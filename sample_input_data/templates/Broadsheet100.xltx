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/>
  </bookViews>
  <sheets>
    <sheet name="Broadsheet" sheetId="2" r:id="rId1"/>
    <sheet name="data" sheetId="3" r:id="rId2"/>
    <sheet name="GPA" sheetId="4" r:id="rId3"/>
  </sheets>
  <definedNames>
    <definedName name="_xlnm.Print_Area" localSheetId="0">Broadsheet!$A$2:$BS$73</definedName>
  </definedNames>
  <calcPr calcId="162913"/>
</workbook>
</file>

<file path=xl/calcChain.xml><?xml version="1.0" encoding="utf-8"?>
<calcChain xmlns="http://schemas.openxmlformats.org/spreadsheetml/2006/main">
  <c r="U10" i="4" l="1"/>
  <c r="T10" i="4"/>
  <c r="S10" i="4"/>
  <c r="R10" i="4"/>
  <c r="Q10" i="4"/>
  <c r="V10" i="4"/>
  <c r="W10" i="4" s="1"/>
  <c r="N10" i="4"/>
  <c r="O10" i="4"/>
  <c r="M10" i="4"/>
  <c r="L10" i="4"/>
  <c r="K10" i="4"/>
  <c r="P10" i="4" l="1"/>
  <c r="C10" i="4"/>
  <c r="C10" i="2" l="1"/>
  <c r="F10" i="2"/>
  <c r="AH10" i="2"/>
  <c r="BS10" i="2" l="1"/>
  <c r="BP10" i="2" s="1"/>
  <c r="BO10" i="2"/>
  <c r="BJ10" i="2"/>
  <c r="BM10" i="2" s="1"/>
  <c r="BN10" i="2"/>
  <c r="AI67" i="2" l="1"/>
  <c r="AI68" i="2" s="1"/>
  <c r="BQ10" i="2" l="1"/>
  <c r="AI71" i="2" l="1"/>
  <c r="AI69" i="2"/>
  <c r="AI72" i="2"/>
  <c r="AI70" i="2"/>
</calcChain>
</file>

<file path=xl/sharedStrings.xml><?xml version="1.0" encoding="utf-8"?>
<sst xmlns="http://schemas.openxmlformats.org/spreadsheetml/2006/main" count="176" uniqueCount="106">
  <si>
    <t>FACULTY OF ENGINEERING</t>
  </si>
  <si>
    <t>UNIVERSITY OF BENIN</t>
  </si>
  <si>
    <t>EXAMINATION RECORD SHEET (2014/2015 SESSION)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</si>
  <si>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</si>
  <si>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</si>
  <si>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</si>
  <si>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</si>
  <si>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</si>
  <si>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</si>
  <si>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</si>
  <si>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CPE575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</si>
  <si>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</si>
  <si>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</si>
  <si>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</si>
  <si>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</si>
  <si>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</si>
  <si>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</si>
  <si>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</si>
  <si>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</si>
  <si>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</si>
  <si>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</si>
  <si>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</si>
  <si>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</si>
  <si>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</si>
  <si>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</si>
  <si>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</si>
  <si>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</si>
  <si>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</si>
  <si>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</si>
  <si>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</si>
  <si>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</si>
  <si>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</si>
  <si>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</si>
  <si>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</si>
  <si>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PRE572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</si>
  <si>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</si>
  <si>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</si>
  <si>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</si>
  <si>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</si>
  <si>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</si>
  <si>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</si>
  <si>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</si>
  <si>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</si>
  <si>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</si>
  <si>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</si>
  <si>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</si>
  <si>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</si>
  <si>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</si>
  <si>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</si>
  <si>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CPE471/3/15</t>
  </si>
  <si>
    <t>25</t>
  </si>
  <si>
    <t>*40</t>
  </si>
  <si>
    <t>*45</t>
  </si>
  <si>
    <t>*64</t>
  </si>
  <si>
    <t>3</t>
  </si>
  <si>
    <t>CPE316/3/   CPE312/3 , CPE378/3/ , CPE314/3/ ,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</si>
  <si>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</si>
  <si>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</si>
  <si>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</si>
  <si>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</si>
  <si>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</si>
  <si>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</si>
  <si>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TOTAL</t>
  </si>
  <si>
    <t>REPEAT COURSES IN CODES AND MARKS (ALL HIDDEN)</t>
  </si>
  <si>
    <t>Rules</t>
  </si>
  <si>
    <t>%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</si>
  <si>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</si>
  <si>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</si>
  <si>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</si>
  <si>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</si>
  <si>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</si>
  <si>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</si>
  <si>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</si>
  <si>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</si>
  <si>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</si>
  <si>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</si>
  <si>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</si>
  <si>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</si>
  <si>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</si>
  <si>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</si>
  <si>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</si>
  <si>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</si>
  <si>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</si>
  <si>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d</t>
  </si>
  <si>
    <t>TCR SESSION</t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</si>
  <si>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</si>
  <si>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</si>
  <si>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</si>
  <si>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</si>
  <si>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</si>
  <si>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</si>
  <si>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</si>
  <si>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LEVEL: 200</t>
  </si>
  <si>
    <t>COURSES FAILED</t>
  </si>
  <si>
    <t>MTH110</t>
  </si>
  <si>
    <t>MTH112</t>
  </si>
  <si>
    <t>PHY111</t>
  </si>
  <si>
    <t>PHY112</t>
  </si>
  <si>
    <t>CHM111</t>
  </si>
  <si>
    <t>CHM112</t>
  </si>
  <si>
    <t>GST111</t>
  </si>
  <si>
    <t>GST112</t>
  </si>
  <si>
    <t>(C)             STUDENTS ON PROBATION</t>
  </si>
  <si>
    <t>(D)             FAIL/WITHDRAW</t>
  </si>
  <si>
    <t>(K)            UNREGISTERED</t>
  </si>
  <si>
    <t>(E)              TEMP?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</si>
</sst>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33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0" fillId="0" borderId="0" xfId="0"/>
    <xf numFmtId="0" fontId="4" fillId="0" borderId="15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/>
    </xf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2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textRotation="90"/>
    </xf>
    <xf numFmtId="0" fontId="4" fillId="0" borderId="31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38" xfId="1" applyFont="1" applyFill="1" applyBorder="1" applyAlignment="1">
      <alignment wrapText="1"/>
    </xf>
    <xf numFmtId="0" fontId="8" fillId="0" borderId="39" xfId="0" applyFont="1" applyFill="1" applyBorder="1" applyAlignment="1">
      <alignment wrapText="1"/>
    </xf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49" fontId="8" fillId="0" borderId="43" xfId="0" applyNumberFormat="1" applyFont="1" applyFill="1" applyBorder="1" applyAlignment="1">
      <alignment horizontal="left" wrapText="1"/>
    </xf>
    <xf numFmtId="49" fontId="8" fillId="0" borderId="40" xfId="0" applyNumberFormat="1" applyFont="1" applyFill="1" applyBorder="1" applyAlignment="1">
      <alignment horizontal="center" wrapText="1"/>
    </xf>
    <xf numFmtId="0" fontId="8" fillId="0" borderId="39" xfId="0" applyFont="1" applyFill="1" applyBorder="1" applyAlignment="1">
      <alignment horizontal="center" wrapText="1"/>
    </xf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3" xfId="0" applyFont="1" applyFill="1" applyBorder="1" applyAlignment="1">
      <alignment horizontal="left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8" fillId="0" borderId="44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>
      <alignment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8" fillId="0" borderId="20" xfId="0" applyNumberFormat="1" applyFont="1" applyFill="1" applyBorder="1" applyAlignment="1">
      <alignment vertical="center" wrapText="1"/>
    </xf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left" vertical="center" wrapText="1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6" fillId="0" borderId="20" xfId="0" applyFont="1" applyFill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4" xfId="0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0" fontId="4" fillId="0" borderId="13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2" xfId="0" applyBorder="1"/>
    <xf numFmtId="0" fontId="0" fillId="0" borderId="30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B75"/>
  <sheetViews>
    <sheetView tabSelected="1" zoomScale="60" zoomScaleNormal="60" workbookViewId="0">
      <selection activeCell="F9" sqref="F9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59.140625" customWidth="1"/>
    <col min="7" max="7" width="59.140625" hidden="1" customWidth="1"/>
    <col min="8" max="8" width="6.42578125" bestFit="1" customWidth="1"/>
    <col min="9" max="12" width="6.42578125" customWidth="1"/>
    <col min="13" max="30" width="6.42578125" style="120" customWidth="1"/>
    <col min="31" max="35" width="6.42578125" customWidth="1"/>
    <col min="36" max="36" width="56.5703125" hidden="1" customWidth="1"/>
    <col min="37" max="45" width="6.42578125" customWidth="1"/>
    <col min="46" max="59" width="6.42578125" style="120" customWidth="1"/>
    <col min="60" max="67" width="6.42578125" customWidth="1"/>
    <col min="68" max="69" width="0" hidden="1" customWidth="1"/>
    <col min="71" max="71" width="33.140625" customWidth="1"/>
  </cols>
  <sheetData>
    <row r="1" spans="1:80" s="115" customFormat="1" ht="13.5" thickBot="1" x14ac:dyDescent="0.25">
      <c r="A1" s="115" t="s">
        <v>74</v>
      </c>
      <c r="B1" s="115" t="s">
        <v>73</v>
      </c>
      <c r="C1" s="115" t="s">
        <v>74</v>
      </c>
      <c r="F1" s="115" t="s">
        <v>74</v>
      </c>
      <c r="H1" s="115" t="s">
        <v>73</v>
      </c>
      <c r="I1" s="115" t="s">
        <v>73</v>
      </c>
      <c r="J1" s="115" t="s">
        <v>73</v>
      </c>
      <c r="K1" s="115" t="s">
        <v>73</v>
      </c>
      <c r="L1" s="115" t="s">
        <v>73</v>
      </c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15" t="s">
        <v>73</v>
      </c>
      <c r="AF1" s="115" t="s">
        <v>73</v>
      </c>
      <c r="AG1" s="115" t="s">
        <v>74</v>
      </c>
      <c r="AH1" s="115" t="s">
        <v>74</v>
      </c>
      <c r="AI1" s="115" t="s">
        <v>74</v>
      </c>
      <c r="AK1" s="115" t="s">
        <v>73</v>
      </c>
      <c r="AL1" s="115" t="s">
        <v>73</v>
      </c>
      <c r="AM1" s="115" t="s">
        <v>73</v>
      </c>
      <c r="AN1" s="115" t="s">
        <v>73</v>
      </c>
      <c r="AO1" s="115" t="s">
        <v>73</v>
      </c>
      <c r="AP1" s="115" t="s">
        <v>73</v>
      </c>
      <c r="AQ1" s="115" t="s">
        <v>73</v>
      </c>
      <c r="AR1" s="115" t="s">
        <v>73</v>
      </c>
      <c r="AS1" s="115" t="s">
        <v>73</v>
      </c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15" t="s">
        <v>73</v>
      </c>
      <c r="BI1" s="115" t="s">
        <v>73</v>
      </c>
      <c r="BJ1" s="115" t="s">
        <v>74</v>
      </c>
      <c r="BK1" s="115" t="s">
        <v>74</v>
      </c>
      <c r="BL1" s="115" t="s">
        <v>74</v>
      </c>
      <c r="BM1" s="115" t="s">
        <v>74</v>
      </c>
      <c r="BN1" s="115" t="s">
        <v>74</v>
      </c>
      <c r="BO1" s="115" t="s">
        <v>74</v>
      </c>
      <c r="BP1" s="115" t="s">
        <v>74</v>
      </c>
      <c r="BQ1" s="115" t="s">
        <v>74</v>
      </c>
      <c r="BR1" s="115" t="s">
        <v>74</v>
      </c>
      <c r="BS1" s="115" t="s">
        <v>74</v>
      </c>
    </row>
    <row r="2" spans="1:80" ht="18.75" x14ac:dyDescent="0.3">
      <c r="A2" s="211" t="s">
        <v>91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  <c r="BR2" s="212"/>
      <c r="BS2" s="213"/>
      <c r="BT2" s="1"/>
      <c r="CA2" s="2"/>
      <c r="CB2" s="2"/>
    </row>
    <row r="3" spans="1:80" ht="18.75" x14ac:dyDescent="0.3">
      <c r="A3" s="214" t="s">
        <v>0</v>
      </c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6"/>
      <c r="BT3" s="1"/>
      <c r="CA3" s="2"/>
      <c r="CB3" s="2"/>
    </row>
    <row r="4" spans="1:80" ht="18.75" x14ac:dyDescent="0.3">
      <c r="A4" s="214" t="s">
        <v>1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15"/>
      <c r="BJ4" s="215"/>
      <c r="BK4" s="215"/>
      <c r="BL4" s="215"/>
      <c r="BM4" s="215"/>
      <c r="BN4" s="215"/>
      <c r="BO4" s="215"/>
      <c r="BP4" s="215"/>
      <c r="BQ4" s="215"/>
      <c r="BR4" s="215"/>
      <c r="BS4" s="216"/>
      <c r="BT4" s="1"/>
      <c r="CA4" s="2"/>
      <c r="CB4" s="2"/>
    </row>
    <row r="5" spans="1:80" ht="19.5" thickBot="1" x14ac:dyDescent="0.35">
      <c r="A5" s="217" t="s">
        <v>2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9"/>
      <c r="BT5" s="1"/>
      <c r="CA5" s="2"/>
      <c r="CB5" s="2"/>
    </row>
    <row r="6" spans="1:80" ht="19.5" thickBot="1" x14ac:dyDescent="0.35">
      <c r="A6" s="220" t="s">
        <v>92</v>
      </c>
      <c r="B6" s="221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BO6" s="221"/>
      <c r="BP6" s="221"/>
      <c r="BQ6" s="221"/>
      <c r="BR6" s="221"/>
      <c r="BS6" s="222"/>
      <c r="BT6" s="1"/>
      <c r="CA6" s="2"/>
      <c r="CB6" s="2"/>
    </row>
    <row r="7" spans="1:80" ht="16.5" customHeight="1" x14ac:dyDescent="0.25">
      <c r="A7" s="196" t="s">
        <v>3</v>
      </c>
      <c r="B7" s="225" t="s">
        <v>4</v>
      </c>
      <c r="C7" s="225" t="s">
        <v>5</v>
      </c>
      <c r="D7" s="225" t="s">
        <v>6</v>
      </c>
      <c r="E7" s="225" t="s">
        <v>7</v>
      </c>
      <c r="F7" s="5"/>
      <c r="G7" s="225" t="s">
        <v>8</v>
      </c>
      <c r="H7" s="176" t="s">
        <v>94</v>
      </c>
      <c r="I7" s="181" t="s">
        <v>95</v>
      </c>
      <c r="J7" s="181" t="s">
        <v>96</v>
      </c>
      <c r="K7" s="176" t="s">
        <v>97</v>
      </c>
      <c r="L7" s="176" t="s">
        <v>98</v>
      </c>
      <c r="M7" s="176" t="s">
        <v>99</v>
      </c>
      <c r="N7" s="176" t="s">
        <v>100</v>
      </c>
      <c r="O7" s="176" t="s">
        <v>101</v>
      </c>
      <c r="P7" s="176"/>
      <c r="Q7" s="176"/>
      <c r="R7" s="176"/>
      <c r="S7" s="118"/>
      <c r="T7" s="118"/>
      <c r="U7" s="118"/>
      <c r="V7" s="118"/>
      <c r="W7" s="118"/>
      <c r="X7" s="176"/>
      <c r="Y7" s="176"/>
      <c r="Z7" s="176"/>
      <c r="AA7" s="176"/>
      <c r="AB7" s="176"/>
      <c r="AC7" s="176"/>
      <c r="AD7" s="176"/>
      <c r="AE7" s="176"/>
      <c r="AF7" s="185"/>
      <c r="AG7" s="187" t="s">
        <v>11</v>
      </c>
      <c r="AH7" s="190" t="s">
        <v>12</v>
      </c>
      <c r="AI7" s="193" t="s">
        <v>13</v>
      </c>
      <c r="AJ7" s="196" t="s">
        <v>14</v>
      </c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199" t="s">
        <v>15</v>
      </c>
      <c r="BK7" s="202" t="s">
        <v>16</v>
      </c>
      <c r="BL7" s="205" t="s">
        <v>17</v>
      </c>
      <c r="BM7" s="208" t="s">
        <v>18</v>
      </c>
      <c r="BN7" s="176" t="s">
        <v>19</v>
      </c>
      <c r="BO7" s="176" t="s">
        <v>84</v>
      </c>
      <c r="BP7" s="178" t="s">
        <v>20</v>
      </c>
      <c r="BQ7" s="181" t="s">
        <v>21</v>
      </c>
      <c r="BR7" s="181" t="s">
        <v>22</v>
      </c>
      <c r="BS7" s="182" t="s">
        <v>93</v>
      </c>
      <c r="BT7" s="7"/>
      <c r="CA7" s="8"/>
      <c r="CB7" s="8"/>
    </row>
    <row r="8" spans="1:80" ht="81" customHeight="1" x14ac:dyDescent="0.25">
      <c r="A8" s="223"/>
      <c r="B8" s="209"/>
      <c r="C8" s="209"/>
      <c r="D8" s="209"/>
      <c r="E8" s="209"/>
      <c r="F8" s="9" t="s">
        <v>63</v>
      </c>
      <c r="G8" s="209"/>
      <c r="H8" s="177"/>
      <c r="I8" s="177"/>
      <c r="J8" s="177"/>
      <c r="K8" s="177"/>
      <c r="L8" s="177"/>
      <c r="M8" s="177" t="s">
        <v>10</v>
      </c>
      <c r="N8" s="177"/>
      <c r="O8" s="177"/>
      <c r="P8" s="177"/>
      <c r="Q8" s="177"/>
      <c r="R8" s="177"/>
      <c r="S8" s="119"/>
      <c r="T8" s="119"/>
      <c r="U8" s="119"/>
      <c r="V8" s="119"/>
      <c r="W8" s="119"/>
      <c r="X8" s="177"/>
      <c r="Y8" s="177"/>
      <c r="Z8" s="177" t="s">
        <v>83</v>
      </c>
      <c r="AA8" s="177"/>
      <c r="AB8" s="177"/>
      <c r="AC8" s="177"/>
      <c r="AD8" s="177"/>
      <c r="AE8" s="177"/>
      <c r="AF8" s="186"/>
      <c r="AG8" s="188"/>
      <c r="AH8" s="191"/>
      <c r="AI8" s="194"/>
      <c r="AJ8" s="197"/>
      <c r="AK8" s="10" t="s">
        <v>34</v>
      </c>
      <c r="AL8" s="10" t="s">
        <v>35</v>
      </c>
      <c r="AM8" s="10" t="s">
        <v>36</v>
      </c>
      <c r="AN8" s="10" t="s">
        <v>37</v>
      </c>
      <c r="AO8" s="10" t="s">
        <v>38</v>
      </c>
      <c r="AP8" s="10" t="s">
        <v>39</v>
      </c>
      <c r="AQ8" s="10" t="s">
        <v>40</v>
      </c>
      <c r="AR8" s="10" t="s">
        <v>41</v>
      </c>
      <c r="AS8" s="10" t="s">
        <v>42</v>
      </c>
      <c r="AT8" s="10" t="s">
        <v>43</v>
      </c>
      <c r="AU8" s="10" t="s">
        <v>44</v>
      </c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200"/>
      <c r="BK8" s="203"/>
      <c r="BL8" s="206"/>
      <c r="BM8" s="209"/>
      <c r="BN8" s="209"/>
      <c r="BO8" s="179"/>
      <c r="BP8" s="179"/>
      <c r="BQ8" s="179"/>
      <c r="BR8" s="179"/>
      <c r="BS8" s="183"/>
      <c r="BT8" s="7"/>
      <c r="CA8" s="8"/>
      <c r="CB8" s="8"/>
    </row>
    <row r="9" spans="1:80" ht="16.5" thickBot="1" x14ac:dyDescent="0.3">
      <c r="A9" s="224"/>
      <c r="B9" s="210"/>
      <c r="C9" s="210"/>
      <c r="D9" s="210"/>
      <c r="E9" s="210"/>
      <c r="F9" s="11"/>
      <c r="G9" s="210"/>
      <c r="H9" s="12">
        <v>3</v>
      </c>
      <c r="I9" s="12">
        <v>3</v>
      </c>
      <c r="J9" s="12">
        <v>3</v>
      </c>
      <c r="K9" s="12">
        <v>3</v>
      </c>
      <c r="L9" s="12">
        <v>3</v>
      </c>
      <c r="M9" s="12">
        <v>3</v>
      </c>
      <c r="N9" s="12">
        <v>2</v>
      </c>
      <c r="O9" s="12">
        <v>2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3"/>
      <c r="AG9" s="189"/>
      <c r="AH9" s="192"/>
      <c r="AI9" s="195"/>
      <c r="AJ9" s="198"/>
      <c r="AK9" s="12">
        <v>3</v>
      </c>
      <c r="AL9" s="12">
        <v>3</v>
      </c>
      <c r="AM9" s="12">
        <v>3</v>
      </c>
      <c r="AN9" s="12">
        <v>3</v>
      </c>
      <c r="AO9" s="12">
        <v>3</v>
      </c>
      <c r="AP9" s="12">
        <v>3</v>
      </c>
      <c r="AQ9" s="12">
        <v>3</v>
      </c>
      <c r="AR9" s="12">
        <v>3</v>
      </c>
      <c r="AS9" s="12">
        <v>3</v>
      </c>
      <c r="AT9" s="12">
        <v>3</v>
      </c>
      <c r="AU9" s="12">
        <v>3</v>
      </c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201"/>
      <c r="BK9" s="204"/>
      <c r="BL9" s="207"/>
      <c r="BM9" s="210"/>
      <c r="BN9" s="210"/>
      <c r="BO9" s="180"/>
      <c r="BP9" s="180"/>
      <c r="BQ9" s="180"/>
      <c r="BR9" s="180"/>
      <c r="BS9" s="184"/>
      <c r="BT9" s="7"/>
      <c r="CA9" s="8"/>
      <c r="CB9" s="8"/>
    </row>
    <row r="10" spans="1:80" ht="31.5" x14ac:dyDescent="0.25">
      <c r="A10" s="14">
        <v>1</v>
      </c>
      <c r="B10" s="15" t="s">
        <v>46</v>
      </c>
      <c r="C10" s="16" t="str">
        <f>D10 &amp; " " &amp; E10</f>
        <v>Bayo   SAMUEL</v>
      </c>
      <c r="D10" s="17" t="s">
        <v>47</v>
      </c>
      <c r="E10" s="17" t="s">
        <v>48</v>
      </c>
      <c r="F10" s="16" t="str">
        <f>G10&amp;" "&amp;AJ10</f>
        <v>CPE471/3/15 CPE316/3/   CPE312/3 , CPE378/3/ , CPE314/3/ ,</v>
      </c>
      <c r="G10" s="18" t="s">
        <v>49</v>
      </c>
      <c r="H10" s="129" t="s">
        <v>50</v>
      </c>
      <c r="I10" s="130">
        <v>40</v>
      </c>
      <c r="J10" s="130" t="s">
        <v>51</v>
      </c>
      <c r="K10" s="130" t="s">
        <v>52</v>
      </c>
      <c r="L10" s="130">
        <v>41</v>
      </c>
      <c r="M10" s="130" t="s">
        <v>51</v>
      </c>
      <c r="N10" s="130" t="s">
        <v>53</v>
      </c>
      <c r="O10" s="130">
        <v>56</v>
      </c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1"/>
      <c r="AG10" s="104" t="s">
        <v>54</v>
      </c>
      <c r="AH10" s="105">
        <f>AI10-AG10</f>
        <v>9</v>
      </c>
      <c r="AI10" s="106">
        <v>12</v>
      </c>
      <c r="AJ10" s="19" t="s">
        <v>55</v>
      </c>
      <c r="AK10" s="20">
        <v>31</v>
      </c>
      <c r="AL10" s="21" t="s">
        <v>56</v>
      </c>
      <c r="AM10" s="21" t="s">
        <v>56</v>
      </c>
      <c r="AN10" s="21" t="s">
        <v>56</v>
      </c>
      <c r="AO10" s="22" t="s">
        <v>57</v>
      </c>
      <c r="AP10" s="21" t="s">
        <v>57</v>
      </c>
      <c r="AQ10" s="21" t="s">
        <v>57</v>
      </c>
      <c r="AR10" s="21" t="s">
        <v>57</v>
      </c>
      <c r="AS10" s="21" t="s">
        <v>56</v>
      </c>
      <c r="AT10" s="21" t="s">
        <v>53</v>
      </c>
      <c r="AU10" s="21" t="s">
        <v>52</v>
      </c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3"/>
      <c r="BJ10" s="141">
        <f>BL10-BK10</f>
        <v>27</v>
      </c>
      <c r="BK10" s="142"/>
      <c r="BL10" s="143">
        <v>27</v>
      </c>
      <c r="BM10" s="133">
        <f>BJ10+AG10</f>
        <v>30</v>
      </c>
      <c r="BN10" s="133">
        <f>BK10+AH10</f>
        <v>9</v>
      </c>
      <c r="BO10" s="142">
        <f>AI10+BL10</f>
        <v>39</v>
      </c>
      <c r="BP10" s="144" t="str">
        <f>IF(OR(BS10="",GPA!Y10="WAIVED"),GPA!W10,"")</f>
        <v/>
      </c>
      <c r="BQ10" s="145" t="str">
        <f>IF(BP10&lt;&gt;"",#REF!,"")</f>
        <v/>
      </c>
      <c r="BR10" s="25"/>
      <c r="BS10" s="26" t="str">
        <f>GPA!Z10&amp;" "&amp;GPA!AA10</f>
        <v xml:space="preserve">PRE571 </v>
      </c>
      <c r="BT10" s="7"/>
      <c r="CA10" s="31"/>
      <c r="CB10" s="31"/>
    </row>
    <row r="11" spans="1:80" ht="15.75" x14ac:dyDescent="0.25">
      <c r="A11" s="20">
        <v>2</v>
      </c>
      <c r="B11" s="24"/>
      <c r="C11" s="32"/>
      <c r="D11" s="33"/>
      <c r="E11" s="28"/>
      <c r="F11" s="27"/>
      <c r="G11" s="34"/>
      <c r="H11" s="132"/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4"/>
      <c r="AG11" s="107"/>
      <c r="AH11" s="108"/>
      <c r="AI11" s="109"/>
      <c r="AJ11" s="36"/>
      <c r="AK11" s="35"/>
      <c r="AL11" s="22"/>
      <c r="AM11" s="22"/>
      <c r="AN11" s="22"/>
      <c r="AO11" s="22"/>
      <c r="AP11" s="22"/>
      <c r="AQ11" s="22"/>
      <c r="AR11" s="24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37"/>
      <c r="BI11" s="38"/>
      <c r="BJ11" s="141"/>
      <c r="BK11" s="146"/>
      <c r="BL11" s="147"/>
      <c r="BM11" s="133"/>
      <c r="BN11" s="133"/>
      <c r="BO11" s="146"/>
      <c r="BP11" s="144"/>
      <c r="BQ11" s="148"/>
      <c r="BR11" s="29"/>
      <c r="BS11" s="26"/>
      <c r="BT11" s="7"/>
      <c r="CA11" s="31"/>
      <c r="CB11" s="31"/>
    </row>
    <row r="12" spans="1:80" s="117" customFormat="1" ht="15.75" x14ac:dyDescent="0.25">
      <c r="A12" s="20">
        <v>3</v>
      </c>
      <c r="B12" s="24"/>
      <c r="C12" s="32"/>
      <c r="D12" s="33"/>
      <c r="E12" s="28"/>
      <c r="F12" s="27"/>
      <c r="G12" s="34"/>
      <c r="H12" s="132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4"/>
      <c r="AG12" s="107"/>
      <c r="AH12" s="108"/>
      <c r="AI12" s="109"/>
      <c r="AJ12" s="36"/>
      <c r="AK12" s="35"/>
      <c r="AL12" s="22"/>
      <c r="AM12" s="22"/>
      <c r="AN12" s="22"/>
      <c r="AO12" s="22"/>
      <c r="AP12" s="22"/>
      <c r="AQ12" s="22"/>
      <c r="AR12" s="24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37"/>
      <c r="BI12" s="38"/>
      <c r="BJ12" s="141"/>
      <c r="BK12" s="146"/>
      <c r="BL12" s="147"/>
      <c r="BM12" s="133"/>
      <c r="BN12" s="133"/>
      <c r="BO12" s="146"/>
      <c r="BP12" s="144"/>
      <c r="BQ12" s="148"/>
      <c r="BR12" s="29"/>
      <c r="BS12" s="26"/>
      <c r="BT12" s="7"/>
      <c r="CA12" s="31"/>
      <c r="CB12" s="31"/>
    </row>
    <row r="13" spans="1:80" s="117" customFormat="1" ht="15.75" x14ac:dyDescent="0.25">
      <c r="A13" s="20">
        <v>4</v>
      </c>
      <c r="B13" s="24"/>
      <c r="C13" s="32"/>
      <c r="D13" s="33"/>
      <c r="E13" s="28"/>
      <c r="F13" s="27"/>
      <c r="G13" s="34"/>
      <c r="H13" s="132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4"/>
      <c r="AG13" s="107"/>
      <c r="AH13" s="108"/>
      <c r="AI13" s="109"/>
      <c r="AJ13" s="36"/>
      <c r="AK13" s="35"/>
      <c r="AL13" s="22"/>
      <c r="AM13" s="22"/>
      <c r="AN13" s="22"/>
      <c r="AO13" s="22"/>
      <c r="AP13" s="22"/>
      <c r="AQ13" s="22"/>
      <c r="AR13" s="24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37"/>
      <c r="BI13" s="38"/>
      <c r="BJ13" s="141"/>
      <c r="BK13" s="146"/>
      <c r="BL13" s="147"/>
      <c r="BM13" s="133"/>
      <c r="BN13" s="133"/>
      <c r="BO13" s="146"/>
      <c r="BP13" s="144"/>
      <c r="BQ13" s="148"/>
      <c r="BR13" s="29"/>
      <c r="BS13" s="26"/>
      <c r="BT13" s="7"/>
      <c r="CA13" s="31"/>
      <c r="CB13" s="31"/>
    </row>
    <row r="14" spans="1:80" s="117" customFormat="1" ht="15.75" x14ac:dyDescent="0.25">
      <c r="A14" s="20">
        <v>5</v>
      </c>
      <c r="B14" s="24"/>
      <c r="C14" s="32"/>
      <c r="D14" s="33"/>
      <c r="E14" s="28"/>
      <c r="F14" s="27"/>
      <c r="G14" s="34"/>
      <c r="H14" s="132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4"/>
      <c r="AG14" s="107"/>
      <c r="AH14" s="108"/>
      <c r="AI14" s="109"/>
      <c r="AJ14" s="36"/>
      <c r="AK14" s="35"/>
      <c r="AL14" s="22"/>
      <c r="AM14" s="22"/>
      <c r="AN14" s="22"/>
      <c r="AO14" s="22"/>
      <c r="AP14" s="22"/>
      <c r="AQ14" s="22"/>
      <c r="AR14" s="24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37"/>
      <c r="BI14" s="38"/>
      <c r="BJ14" s="141"/>
      <c r="BK14" s="146"/>
      <c r="BL14" s="147"/>
      <c r="BM14" s="133"/>
      <c r="BN14" s="133"/>
      <c r="BO14" s="146"/>
      <c r="BP14" s="144"/>
      <c r="BQ14" s="148"/>
      <c r="BR14" s="29"/>
      <c r="BS14" s="26"/>
      <c r="BT14" s="7"/>
      <c r="CA14" s="31"/>
      <c r="CB14" s="31"/>
    </row>
    <row r="15" spans="1:80" s="117" customFormat="1" ht="15.75" x14ac:dyDescent="0.25">
      <c r="A15" s="20">
        <v>6</v>
      </c>
      <c r="B15" s="24"/>
      <c r="C15" s="32"/>
      <c r="D15" s="33"/>
      <c r="E15" s="28"/>
      <c r="F15" s="27"/>
      <c r="G15" s="34"/>
      <c r="H15" s="132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4"/>
      <c r="AG15" s="107"/>
      <c r="AH15" s="108"/>
      <c r="AI15" s="109"/>
      <c r="AJ15" s="36"/>
      <c r="AK15" s="35"/>
      <c r="AL15" s="22"/>
      <c r="AM15" s="22"/>
      <c r="AN15" s="22"/>
      <c r="AO15" s="22"/>
      <c r="AP15" s="22"/>
      <c r="AQ15" s="22"/>
      <c r="AR15" s="24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37"/>
      <c r="BI15" s="38"/>
      <c r="BJ15" s="141"/>
      <c r="BK15" s="146"/>
      <c r="BL15" s="147"/>
      <c r="BM15" s="133"/>
      <c r="BN15" s="133"/>
      <c r="BO15" s="146"/>
      <c r="BP15" s="144"/>
      <c r="BQ15" s="148"/>
      <c r="BR15" s="29"/>
      <c r="BS15" s="26"/>
      <c r="BT15" s="7"/>
      <c r="CA15" s="31"/>
      <c r="CB15" s="31"/>
    </row>
    <row r="16" spans="1:80" s="117" customFormat="1" ht="15.75" x14ac:dyDescent="0.25">
      <c r="A16" s="20">
        <v>7</v>
      </c>
      <c r="B16" s="24"/>
      <c r="C16" s="32"/>
      <c r="D16" s="33"/>
      <c r="E16" s="28"/>
      <c r="F16" s="27"/>
      <c r="G16" s="34"/>
      <c r="H16" s="132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4"/>
      <c r="AG16" s="107"/>
      <c r="AH16" s="108"/>
      <c r="AI16" s="109"/>
      <c r="AJ16" s="36"/>
      <c r="AK16" s="35"/>
      <c r="AL16" s="22"/>
      <c r="AM16" s="22"/>
      <c r="AN16" s="22"/>
      <c r="AO16" s="22"/>
      <c r="AP16" s="22"/>
      <c r="AQ16" s="22"/>
      <c r="AR16" s="24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37"/>
      <c r="BI16" s="38"/>
      <c r="BJ16" s="141"/>
      <c r="BK16" s="146"/>
      <c r="BL16" s="147"/>
      <c r="BM16" s="133"/>
      <c r="BN16" s="133"/>
      <c r="BO16" s="146"/>
      <c r="BP16" s="144"/>
      <c r="BQ16" s="148"/>
      <c r="BR16" s="29"/>
      <c r="BS16" s="26"/>
      <c r="BT16" s="7"/>
      <c r="CA16" s="31"/>
      <c r="CB16" s="31"/>
    </row>
    <row r="17" spans="1:80" s="117" customFormat="1" ht="15.75" x14ac:dyDescent="0.25">
      <c r="A17" s="20">
        <v>8</v>
      </c>
      <c r="B17" s="24"/>
      <c r="C17" s="32"/>
      <c r="D17" s="33"/>
      <c r="E17" s="28"/>
      <c r="F17" s="27"/>
      <c r="G17" s="34"/>
      <c r="H17" s="132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4"/>
      <c r="AG17" s="107"/>
      <c r="AH17" s="108"/>
      <c r="AI17" s="109"/>
      <c r="AJ17" s="36"/>
      <c r="AK17" s="35"/>
      <c r="AL17" s="22"/>
      <c r="AM17" s="22"/>
      <c r="AN17" s="22"/>
      <c r="AO17" s="22"/>
      <c r="AP17" s="22"/>
      <c r="AQ17" s="22"/>
      <c r="AR17" s="24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37"/>
      <c r="BI17" s="38"/>
      <c r="BJ17" s="141"/>
      <c r="BK17" s="146"/>
      <c r="BL17" s="147"/>
      <c r="BM17" s="133"/>
      <c r="BN17" s="133"/>
      <c r="BO17" s="146"/>
      <c r="BP17" s="144"/>
      <c r="BQ17" s="148"/>
      <c r="BR17" s="29"/>
      <c r="BS17" s="26"/>
      <c r="BT17" s="7"/>
      <c r="CA17" s="31"/>
      <c r="CB17" s="31"/>
    </row>
    <row r="18" spans="1:80" s="117" customFormat="1" ht="15.75" x14ac:dyDescent="0.25">
      <c r="A18" s="20">
        <v>9</v>
      </c>
      <c r="B18" s="24"/>
      <c r="C18" s="32"/>
      <c r="D18" s="33"/>
      <c r="E18" s="28"/>
      <c r="F18" s="27"/>
      <c r="G18" s="34"/>
      <c r="H18" s="132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4"/>
      <c r="AG18" s="107"/>
      <c r="AH18" s="108"/>
      <c r="AI18" s="109"/>
      <c r="AJ18" s="36"/>
      <c r="AK18" s="35"/>
      <c r="AL18" s="22"/>
      <c r="AM18" s="22"/>
      <c r="AN18" s="22"/>
      <c r="AO18" s="22"/>
      <c r="AP18" s="22"/>
      <c r="AQ18" s="22"/>
      <c r="AR18" s="24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37"/>
      <c r="BI18" s="38"/>
      <c r="BJ18" s="141"/>
      <c r="BK18" s="146"/>
      <c r="BL18" s="147"/>
      <c r="BM18" s="133"/>
      <c r="BN18" s="133"/>
      <c r="BO18" s="146"/>
      <c r="BP18" s="144"/>
      <c r="BQ18" s="148"/>
      <c r="BR18" s="29"/>
      <c r="BS18" s="26"/>
      <c r="BT18" s="7"/>
      <c r="CA18" s="31"/>
      <c r="CB18" s="31"/>
    </row>
    <row r="19" spans="1:80" s="117" customFormat="1" ht="15.75" x14ac:dyDescent="0.25">
      <c r="A19" s="20">
        <v>10</v>
      </c>
      <c r="B19" s="24"/>
      <c r="C19" s="32"/>
      <c r="D19" s="33"/>
      <c r="E19" s="28"/>
      <c r="F19" s="27"/>
      <c r="G19" s="34"/>
      <c r="H19" s="132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4"/>
      <c r="AG19" s="107"/>
      <c r="AH19" s="108"/>
      <c r="AI19" s="109"/>
      <c r="AJ19" s="36"/>
      <c r="AK19" s="35"/>
      <c r="AL19" s="22"/>
      <c r="AM19" s="22"/>
      <c r="AN19" s="22"/>
      <c r="AO19" s="22"/>
      <c r="AP19" s="22"/>
      <c r="AQ19" s="22"/>
      <c r="AR19" s="24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37"/>
      <c r="BI19" s="38"/>
      <c r="BJ19" s="141"/>
      <c r="BK19" s="146"/>
      <c r="BL19" s="147"/>
      <c r="BM19" s="133"/>
      <c r="BN19" s="133"/>
      <c r="BO19" s="146"/>
      <c r="BP19" s="144"/>
      <c r="BQ19" s="148"/>
      <c r="BR19" s="29"/>
      <c r="BS19" s="26"/>
      <c r="BT19" s="7"/>
      <c r="CA19" s="31"/>
      <c r="CB19" s="31"/>
    </row>
    <row r="20" spans="1:80" s="117" customFormat="1" ht="15.75" x14ac:dyDescent="0.25">
      <c r="A20" s="20">
        <v>11</v>
      </c>
      <c r="B20" s="24"/>
      <c r="C20" s="32"/>
      <c r="D20" s="33"/>
      <c r="E20" s="28"/>
      <c r="F20" s="27"/>
      <c r="G20" s="34"/>
      <c r="H20" s="132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4"/>
      <c r="AG20" s="107"/>
      <c r="AH20" s="108"/>
      <c r="AI20" s="109"/>
      <c r="AJ20" s="36"/>
      <c r="AK20" s="35"/>
      <c r="AL20" s="22"/>
      <c r="AM20" s="22"/>
      <c r="AN20" s="22"/>
      <c r="AO20" s="22"/>
      <c r="AP20" s="22"/>
      <c r="AQ20" s="22"/>
      <c r="AR20" s="24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37"/>
      <c r="BI20" s="38"/>
      <c r="BJ20" s="141"/>
      <c r="BK20" s="146"/>
      <c r="BL20" s="147"/>
      <c r="BM20" s="133"/>
      <c r="BN20" s="133"/>
      <c r="BO20" s="146"/>
      <c r="BP20" s="144"/>
      <c r="BQ20" s="148"/>
      <c r="BR20" s="29"/>
      <c r="BS20" s="26"/>
      <c r="BT20" s="7"/>
      <c r="CA20" s="31"/>
      <c r="CB20" s="31"/>
    </row>
    <row r="21" spans="1:80" s="117" customFormat="1" ht="15.75" x14ac:dyDescent="0.25">
      <c r="A21" s="20">
        <v>12</v>
      </c>
      <c r="B21" s="24"/>
      <c r="C21" s="32"/>
      <c r="D21" s="33"/>
      <c r="E21" s="28"/>
      <c r="F21" s="27"/>
      <c r="G21" s="34"/>
      <c r="H21" s="132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4"/>
      <c r="AG21" s="107"/>
      <c r="AH21" s="108"/>
      <c r="AI21" s="109"/>
      <c r="AJ21" s="36"/>
      <c r="AK21" s="35"/>
      <c r="AL21" s="22"/>
      <c r="AM21" s="22"/>
      <c r="AN21" s="22"/>
      <c r="AO21" s="22"/>
      <c r="AP21" s="22"/>
      <c r="AQ21" s="22"/>
      <c r="AR21" s="24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37"/>
      <c r="BI21" s="38"/>
      <c r="BJ21" s="141"/>
      <c r="BK21" s="146"/>
      <c r="BL21" s="147"/>
      <c r="BM21" s="133"/>
      <c r="BN21" s="133"/>
      <c r="BO21" s="146"/>
      <c r="BP21" s="144"/>
      <c r="BQ21" s="148"/>
      <c r="BR21" s="29"/>
      <c r="BS21" s="26"/>
      <c r="BT21" s="7"/>
      <c r="CA21" s="31"/>
      <c r="CB21" s="31"/>
    </row>
    <row r="22" spans="1:80" s="117" customFormat="1" ht="15.75" x14ac:dyDescent="0.25">
      <c r="A22" s="20">
        <v>13</v>
      </c>
      <c r="B22" s="24"/>
      <c r="C22" s="32"/>
      <c r="D22" s="33"/>
      <c r="E22" s="28"/>
      <c r="F22" s="27"/>
      <c r="G22" s="34"/>
      <c r="H22" s="132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4"/>
      <c r="AG22" s="107"/>
      <c r="AH22" s="108"/>
      <c r="AI22" s="109"/>
      <c r="AJ22" s="36"/>
      <c r="AK22" s="35"/>
      <c r="AL22" s="22"/>
      <c r="AM22" s="22"/>
      <c r="AN22" s="22"/>
      <c r="AO22" s="22"/>
      <c r="AP22" s="22"/>
      <c r="AQ22" s="22"/>
      <c r="AR22" s="24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37"/>
      <c r="BI22" s="38"/>
      <c r="BJ22" s="141"/>
      <c r="BK22" s="146"/>
      <c r="BL22" s="147"/>
      <c r="BM22" s="133"/>
      <c r="BN22" s="133"/>
      <c r="BO22" s="146"/>
      <c r="BP22" s="144"/>
      <c r="BQ22" s="148"/>
      <c r="BR22" s="29"/>
      <c r="BS22" s="26"/>
      <c r="BT22" s="7"/>
      <c r="CA22" s="31"/>
      <c r="CB22" s="31"/>
    </row>
    <row r="23" spans="1:80" s="117" customFormat="1" ht="15.75" x14ac:dyDescent="0.25">
      <c r="A23" s="20">
        <v>14</v>
      </c>
      <c r="B23" s="24"/>
      <c r="C23" s="32"/>
      <c r="D23" s="33"/>
      <c r="E23" s="28"/>
      <c r="F23" s="27"/>
      <c r="G23" s="34"/>
      <c r="H23" s="132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4"/>
      <c r="AG23" s="107"/>
      <c r="AH23" s="108"/>
      <c r="AI23" s="109"/>
      <c r="AJ23" s="36"/>
      <c r="AK23" s="35"/>
      <c r="AL23" s="22"/>
      <c r="AM23" s="22"/>
      <c r="AN23" s="22"/>
      <c r="AO23" s="22"/>
      <c r="AP23" s="22"/>
      <c r="AQ23" s="22"/>
      <c r="AR23" s="24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37"/>
      <c r="BI23" s="38"/>
      <c r="BJ23" s="141"/>
      <c r="BK23" s="146"/>
      <c r="BL23" s="147"/>
      <c r="BM23" s="133"/>
      <c r="BN23" s="133"/>
      <c r="BO23" s="146"/>
      <c r="BP23" s="144"/>
      <c r="BQ23" s="148"/>
      <c r="BR23" s="29"/>
      <c r="BS23" s="26"/>
      <c r="BT23" s="7"/>
      <c r="CA23" s="31"/>
      <c r="CB23" s="31"/>
    </row>
    <row r="24" spans="1:80" s="117" customFormat="1" ht="15.75" x14ac:dyDescent="0.25">
      <c r="A24" s="20">
        <v>15</v>
      </c>
      <c r="B24" s="24"/>
      <c r="C24" s="32"/>
      <c r="D24" s="33"/>
      <c r="E24" s="28"/>
      <c r="F24" s="27"/>
      <c r="G24" s="34"/>
      <c r="H24" s="132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4"/>
      <c r="AG24" s="107"/>
      <c r="AH24" s="108"/>
      <c r="AI24" s="109"/>
      <c r="AJ24" s="36"/>
      <c r="AK24" s="35"/>
      <c r="AL24" s="22"/>
      <c r="AM24" s="22"/>
      <c r="AN24" s="22"/>
      <c r="AO24" s="22"/>
      <c r="AP24" s="22"/>
      <c r="AQ24" s="22"/>
      <c r="AR24" s="24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37"/>
      <c r="BI24" s="38"/>
      <c r="BJ24" s="141"/>
      <c r="BK24" s="146"/>
      <c r="BL24" s="147"/>
      <c r="BM24" s="133"/>
      <c r="BN24" s="133"/>
      <c r="BO24" s="146"/>
      <c r="BP24" s="144"/>
      <c r="BQ24" s="148"/>
      <c r="BR24" s="29"/>
      <c r="BS24" s="26"/>
      <c r="BT24" s="7"/>
      <c r="CA24" s="31"/>
      <c r="CB24" s="31"/>
    </row>
    <row r="25" spans="1:80" s="117" customFormat="1" ht="15.75" x14ac:dyDescent="0.25">
      <c r="A25" s="20">
        <v>16</v>
      </c>
      <c r="B25" s="24"/>
      <c r="C25" s="32"/>
      <c r="D25" s="33"/>
      <c r="E25" s="28"/>
      <c r="F25" s="27"/>
      <c r="G25" s="34"/>
      <c r="H25" s="132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/>
      <c r="AG25" s="107"/>
      <c r="AH25" s="108"/>
      <c r="AI25" s="109"/>
      <c r="AJ25" s="36"/>
      <c r="AK25" s="35"/>
      <c r="AL25" s="22"/>
      <c r="AM25" s="22"/>
      <c r="AN25" s="22"/>
      <c r="AO25" s="22"/>
      <c r="AP25" s="22"/>
      <c r="AQ25" s="22"/>
      <c r="AR25" s="24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37"/>
      <c r="BI25" s="38"/>
      <c r="BJ25" s="141"/>
      <c r="BK25" s="146"/>
      <c r="BL25" s="147"/>
      <c r="BM25" s="133"/>
      <c r="BN25" s="133"/>
      <c r="BO25" s="146"/>
      <c r="BP25" s="144"/>
      <c r="BQ25" s="148"/>
      <c r="BR25" s="29"/>
      <c r="BS25" s="26"/>
      <c r="BT25" s="7"/>
      <c r="CA25" s="31"/>
      <c r="CB25" s="31"/>
    </row>
    <row r="26" spans="1:80" s="117" customFormat="1" ht="15.75" x14ac:dyDescent="0.25">
      <c r="A26" s="20">
        <v>17</v>
      </c>
      <c r="B26" s="24"/>
      <c r="C26" s="32"/>
      <c r="D26" s="33"/>
      <c r="E26" s="28"/>
      <c r="F26" s="27"/>
      <c r="G26" s="34"/>
      <c r="H26" s="132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4"/>
      <c r="AG26" s="107"/>
      <c r="AH26" s="108"/>
      <c r="AI26" s="109"/>
      <c r="AJ26" s="36"/>
      <c r="AK26" s="35"/>
      <c r="AL26" s="22"/>
      <c r="AM26" s="22"/>
      <c r="AN26" s="22"/>
      <c r="AO26" s="22"/>
      <c r="AP26" s="22"/>
      <c r="AQ26" s="22"/>
      <c r="AR26" s="24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37"/>
      <c r="BI26" s="38"/>
      <c r="BJ26" s="141"/>
      <c r="BK26" s="146"/>
      <c r="BL26" s="147"/>
      <c r="BM26" s="133"/>
      <c r="BN26" s="133"/>
      <c r="BO26" s="146"/>
      <c r="BP26" s="144"/>
      <c r="BQ26" s="148"/>
      <c r="BR26" s="29"/>
      <c r="BS26" s="26"/>
      <c r="BT26" s="7"/>
      <c r="CA26" s="31"/>
      <c r="CB26" s="31"/>
    </row>
    <row r="27" spans="1:80" s="117" customFormat="1" ht="15.75" x14ac:dyDescent="0.25">
      <c r="A27" s="20">
        <v>18</v>
      </c>
      <c r="B27" s="24"/>
      <c r="C27" s="32"/>
      <c r="D27" s="33"/>
      <c r="E27" s="28"/>
      <c r="F27" s="27"/>
      <c r="G27" s="34"/>
      <c r="H27" s="132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4"/>
      <c r="AG27" s="107"/>
      <c r="AH27" s="108"/>
      <c r="AI27" s="109"/>
      <c r="AJ27" s="36"/>
      <c r="AK27" s="35"/>
      <c r="AL27" s="22"/>
      <c r="AM27" s="22"/>
      <c r="AN27" s="22"/>
      <c r="AO27" s="22"/>
      <c r="AP27" s="22"/>
      <c r="AQ27" s="22"/>
      <c r="AR27" s="24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37"/>
      <c r="BI27" s="38"/>
      <c r="BJ27" s="141"/>
      <c r="BK27" s="146"/>
      <c r="BL27" s="147"/>
      <c r="BM27" s="133"/>
      <c r="BN27" s="133"/>
      <c r="BO27" s="146"/>
      <c r="BP27" s="144"/>
      <c r="BQ27" s="148"/>
      <c r="BR27" s="29"/>
      <c r="BS27" s="26"/>
      <c r="BT27" s="7"/>
      <c r="CA27" s="31"/>
      <c r="CB27" s="31"/>
    </row>
    <row r="28" spans="1:80" s="117" customFormat="1" ht="15.75" x14ac:dyDescent="0.25">
      <c r="A28" s="20">
        <v>19</v>
      </c>
      <c r="B28" s="24"/>
      <c r="C28" s="32"/>
      <c r="D28" s="33"/>
      <c r="E28" s="28"/>
      <c r="F28" s="27"/>
      <c r="G28" s="34"/>
      <c r="H28" s="132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4"/>
      <c r="AG28" s="107"/>
      <c r="AH28" s="108"/>
      <c r="AI28" s="109"/>
      <c r="AJ28" s="36"/>
      <c r="AK28" s="35"/>
      <c r="AL28" s="22"/>
      <c r="AM28" s="22"/>
      <c r="AN28" s="22"/>
      <c r="AO28" s="22"/>
      <c r="AP28" s="22"/>
      <c r="AQ28" s="22"/>
      <c r="AR28" s="24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37"/>
      <c r="BI28" s="38"/>
      <c r="BJ28" s="141"/>
      <c r="BK28" s="146"/>
      <c r="BL28" s="147"/>
      <c r="BM28" s="133"/>
      <c r="BN28" s="133"/>
      <c r="BO28" s="146"/>
      <c r="BP28" s="144"/>
      <c r="BQ28" s="148"/>
      <c r="BR28" s="29"/>
      <c r="BS28" s="26"/>
      <c r="BT28" s="7"/>
      <c r="CA28" s="31"/>
      <c r="CB28" s="31"/>
    </row>
    <row r="29" spans="1:80" s="117" customFormat="1" ht="15.75" x14ac:dyDescent="0.25">
      <c r="A29" s="20">
        <v>20</v>
      </c>
      <c r="B29" s="24"/>
      <c r="C29" s="32"/>
      <c r="D29" s="33"/>
      <c r="E29" s="28"/>
      <c r="F29" s="27"/>
      <c r="G29" s="34"/>
      <c r="H29" s="132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4"/>
      <c r="AG29" s="107"/>
      <c r="AH29" s="108"/>
      <c r="AI29" s="109"/>
      <c r="AJ29" s="36"/>
      <c r="AK29" s="35"/>
      <c r="AL29" s="22"/>
      <c r="AM29" s="22"/>
      <c r="AN29" s="22"/>
      <c r="AO29" s="22"/>
      <c r="AP29" s="22"/>
      <c r="AQ29" s="22"/>
      <c r="AR29" s="24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37"/>
      <c r="BI29" s="38"/>
      <c r="BJ29" s="141"/>
      <c r="BK29" s="146"/>
      <c r="BL29" s="147"/>
      <c r="BM29" s="133"/>
      <c r="BN29" s="133"/>
      <c r="BO29" s="146"/>
      <c r="BP29" s="144"/>
      <c r="BQ29" s="148"/>
      <c r="BR29" s="29"/>
      <c r="BS29" s="26"/>
      <c r="BT29" s="7"/>
      <c r="CA29" s="31"/>
      <c r="CB29" s="31"/>
    </row>
    <row r="30" spans="1:80" s="117" customFormat="1" ht="15.75" x14ac:dyDescent="0.25">
      <c r="A30" s="20"/>
      <c r="B30" s="24"/>
      <c r="C30" s="32"/>
      <c r="D30" s="33"/>
      <c r="E30" s="28"/>
      <c r="F30" s="27"/>
      <c r="G30" s="34"/>
      <c r="H30" s="132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4"/>
      <c r="AG30" s="107"/>
      <c r="AH30" s="108"/>
      <c r="AI30" s="109"/>
      <c r="AJ30" s="36"/>
      <c r="AK30" s="35"/>
      <c r="AL30" s="22"/>
      <c r="AM30" s="22"/>
      <c r="AN30" s="22"/>
      <c r="AO30" s="22"/>
      <c r="AP30" s="22"/>
      <c r="AQ30" s="22"/>
      <c r="AR30" s="24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37"/>
      <c r="BI30" s="38"/>
      <c r="BJ30" s="141"/>
      <c r="BK30" s="146"/>
      <c r="BL30" s="147"/>
      <c r="BM30" s="133"/>
      <c r="BN30" s="133"/>
      <c r="BO30" s="146"/>
      <c r="BP30" s="144"/>
      <c r="BQ30" s="148"/>
      <c r="BR30" s="29"/>
      <c r="BS30" s="26"/>
      <c r="BT30" s="7"/>
      <c r="CA30" s="31"/>
      <c r="CB30" s="31"/>
    </row>
    <row r="31" spans="1:80" s="117" customFormat="1" ht="15.75" x14ac:dyDescent="0.25">
      <c r="A31" s="20"/>
      <c r="B31" s="24"/>
      <c r="C31" s="32"/>
      <c r="D31" s="33"/>
      <c r="E31" s="28"/>
      <c r="F31" s="27"/>
      <c r="G31" s="34"/>
      <c r="H31" s="132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4"/>
      <c r="AG31" s="107"/>
      <c r="AH31" s="108"/>
      <c r="AI31" s="109"/>
      <c r="AJ31" s="36"/>
      <c r="AK31" s="35"/>
      <c r="AL31" s="22"/>
      <c r="AM31" s="22"/>
      <c r="AN31" s="22"/>
      <c r="AO31" s="22"/>
      <c r="AP31" s="22"/>
      <c r="AQ31" s="22"/>
      <c r="AR31" s="24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37"/>
      <c r="BI31" s="38"/>
      <c r="BJ31" s="141"/>
      <c r="BK31" s="146"/>
      <c r="BL31" s="147"/>
      <c r="BM31" s="133"/>
      <c r="BN31" s="133"/>
      <c r="BO31" s="146"/>
      <c r="BP31" s="144"/>
      <c r="BQ31" s="148"/>
      <c r="BR31" s="29"/>
      <c r="BS31" s="26"/>
      <c r="BT31" s="7"/>
      <c r="CA31" s="31"/>
      <c r="CB31" s="31"/>
    </row>
    <row r="32" spans="1:80" s="117" customFormat="1" ht="15.75" x14ac:dyDescent="0.25">
      <c r="A32" s="20"/>
      <c r="B32" s="24"/>
      <c r="C32" s="32"/>
      <c r="D32" s="33"/>
      <c r="E32" s="28"/>
      <c r="F32" s="27"/>
      <c r="G32" s="34"/>
      <c r="H32" s="132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4"/>
      <c r="AG32" s="107"/>
      <c r="AH32" s="108"/>
      <c r="AI32" s="109"/>
      <c r="AJ32" s="36"/>
      <c r="AK32" s="35"/>
      <c r="AL32" s="22"/>
      <c r="AM32" s="22"/>
      <c r="AN32" s="22"/>
      <c r="AO32" s="22"/>
      <c r="AP32" s="22"/>
      <c r="AQ32" s="22"/>
      <c r="AR32" s="24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37"/>
      <c r="BI32" s="38"/>
      <c r="BJ32" s="141"/>
      <c r="BK32" s="146"/>
      <c r="BL32" s="147"/>
      <c r="BM32" s="133"/>
      <c r="BN32" s="133"/>
      <c r="BO32" s="146"/>
      <c r="BP32" s="144"/>
      <c r="BQ32" s="148"/>
      <c r="BR32" s="29"/>
      <c r="BS32" s="26"/>
      <c r="BT32" s="7"/>
      <c r="CA32" s="31"/>
      <c r="CB32" s="31"/>
    </row>
    <row r="33" spans="1:80" s="117" customFormat="1" ht="15.75" x14ac:dyDescent="0.25">
      <c r="A33" s="20"/>
      <c r="B33" s="24"/>
      <c r="C33" s="32"/>
      <c r="D33" s="33"/>
      <c r="E33" s="28"/>
      <c r="F33" s="27"/>
      <c r="G33" s="34"/>
      <c r="H33" s="132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4"/>
      <c r="AG33" s="107"/>
      <c r="AH33" s="108"/>
      <c r="AI33" s="109"/>
      <c r="AJ33" s="36"/>
      <c r="AK33" s="35"/>
      <c r="AL33" s="22"/>
      <c r="AM33" s="22"/>
      <c r="AN33" s="22"/>
      <c r="AO33" s="22"/>
      <c r="AP33" s="22"/>
      <c r="AQ33" s="22"/>
      <c r="AR33" s="24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37"/>
      <c r="BI33" s="38"/>
      <c r="BJ33" s="141"/>
      <c r="BK33" s="146"/>
      <c r="BL33" s="147"/>
      <c r="BM33" s="133"/>
      <c r="BN33" s="133"/>
      <c r="BO33" s="146"/>
      <c r="BP33" s="144"/>
      <c r="BQ33" s="148"/>
      <c r="BR33" s="29"/>
      <c r="BS33" s="26"/>
      <c r="BT33" s="7"/>
      <c r="CA33" s="31"/>
      <c r="CB33" s="31"/>
    </row>
    <row r="34" spans="1:80" s="117" customFormat="1" ht="15.75" x14ac:dyDescent="0.25">
      <c r="A34" s="20"/>
      <c r="B34" s="24"/>
      <c r="C34" s="32"/>
      <c r="D34" s="33"/>
      <c r="E34" s="28"/>
      <c r="F34" s="27"/>
      <c r="G34" s="34"/>
      <c r="H34" s="132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4"/>
      <c r="AG34" s="107"/>
      <c r="AH34" s="108"/>
      <c r="AI34" s="109"/>
      <c r="AJ34" s="36"/>
      <c r="AK34" s="35"/>
      <c r="AL34" s="22"/>
      <c r="AM34" s="22"/>
      <c r="AN34" s="22"/>
      <c r="AO34" s="22"/>
      <c r="AP34" s="22"/>
      <c r="AQ34" s="22"/>
      <c r="AR34" s="24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37"/>
      <c r="BI34" s="38"/>
      <c r="BJ34" s="141"/>
      <c r="BK34" s="146"/>
      <c r="BL34" s="147"/>
      <c r="BM34" s="133"/>
      <c r="BN34" s="133"/>
      <c r="BO34" s="146"/>
      <c r="BP34" s="144"/>
      <c r="BQ34" s="148"/>
      <c r="BR34" s="29"/>
      <c r="BS34" s="26"/>
      <c r="BT34" s="7"/>
      <c r="CA34" s="31"/>
      <c r="CB34" s="31"/>
    </row>
    <row r="35" spans="1:80" s="117" customFormat="1" ht="15.75" x14ac:dyDescent="0.25">
      <c r="A35" s="20"/>
      <c r="B35" s="24"/>
      <c r="C35" s="32"/>
      <c r="D35" s="33"/>
      <c r="E35" s="28"/>
      <c r="F35" s="27"/>
      <c r="G35" s="34"/>
      <c r="H35" s="132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4"/>
      <c r="AG35" s="107"/>
      <c r="AH35" s="108"/>
      <c r="AI35" s="109"/>
      <c r="AJ35" s="36"/>
      <c r="AK35" s="35"/>
      <c r="AL35" s="22"/>
      <c r="AM35" s="22"/>
      <c r="AN35" s="22"/>
      <c r="AO35" s="22"/>
      <c r="AP35" s="22"/>
      <c r="AQ35" s="22"/>
      <c r="AR35" s="24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37"/>
      <c r="BI35" s="38"/>
      <c r="BJ35" s="141"/>
      <c r="BK35" s="146"/>
      <c r="BL35" s="147"/>
      <c r="BM35" s="133"/>
      <c r="BN35" s="133"/>
      <c r="BO35" s="146"/>
      <c r="BP35" s="144"/>
      <c r="BQ35" s="148"/>
      <c r="BR35" s="29"/>
      <c r="BS35" s="26"/>
      <c r="BT35" s="7"/>
      <c r="CA35" s="31"/>
      <c r="CB35" s="31"/>
    </row>
    <row r="36" spans="1:80" s="117" customFormat="1" ht="15.75" x14ac:dyDescent="0.25">
      <c r="A36" s="20"/>
      <c r="B36" s="24"/>
      <c r="C36" s="32"/>
      <c r="D36" s="33"/>
      <c r="E36" s="28"/>
      <c r="F36" s="27"/>
      <c r="G36" s="34"/>
      <c r="H36" s="132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4"/>
      <c r="AG36" s="107"/>
      <c r="AH36" s="108"/>
      <c r="AI36" s="109"/>
      <c r="AJ36" s="36"/>
      <c r="AK36" s="35"/>
      <c r="AL36" s="22"/>
      <c r="AM36" s="22"/>
      <c r="AN36" s="22"/>
      <c r="AO36" s="22"/>
      <c r="AP36" s="22"/>
      <c r="AQ36" s="22"/>
      <c r="AR36" s="24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37"/>
      <c r="BI36" s="38"/>
      <c r="BJ36" s="141"/>
      <c r="BK36" s="146"/>
      <c r="BL36" s="147"/>
      <c r="BM36" s="133"/>
      <c r="BN36" s="133"/>
      <c r="BO36" s="146"/>
      <c r="BP36" s="144"/>
      <c r="BQ36" s="148"/>
      <c r="BR36" s="29"/>
      <c r="BS36" s="26"/>
      <c r="BT36" s="7"/>
      <c r="CA36" s="31"/>
      <c r="CB36" s="31"/>
    </row>
    <row r="37" spans="1:80" s="117" customFormat="1" ht="15.75" x14ac:dyDescent="0.25">
      <c r="A37" s="20"/>
      <c r="B37" s="24"/>
      <c r="C37" s="32"/>
      <c r="D37" s="33"/>
      <c r="E37" s="28"/>
      <c r="F37" s="27"/>
      <c r="G37" s="34"/>
      <c r="H37" s="132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4"/>
      <c r="AG37" s="107"/>
      <c r="AH37" s="108"/>
      <c r="AI37" s="109"/>
      <c r="AJ37" s="36"/>
      <c r="AK37" s="35"/>
      <c r="AL37" s="22"/>
      <c r="AM37" s="22"/>
      <c r="AN37" s="22"/>
      <c r="AO37" s="22"/>
      <c r="AP37" s="22"/>
      <c r="AQ37" s="22"/>
      <c r="AR37" s="24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37"/>
      <c r="BI37" s="38"/>
      <c r="BJ37" s="141"/>
      <c r="BK37" s="146"/>
      <c r="BL37" s="147"/>
      <c r="BM37" s="133"/>
      <c r="BN37" s="133"/>
      <c r="BO37" s="146"/>
      <c r="BP37" s="144"/>
      <c r="BQ37" s="148"/>
      <c r="BR37" s="29"/>
      <c r="BS37" s="26"/>
      <c r="BT37" s="7"/>
      <c r="CA37" s="31"/>
      <c r="CB37" s="31"/>
    </row>
    <row r="38" spans="1:80" s="117" customFormat="1" ht="15.75" x14ac:dyDescent="0.25">
      <c r="A38" s="20"/>
      <c r="B38" s="24"/>
      <c r="C38" s="32"/>
      <c r="D38" s="33"/>
      <c r="E38" s="28"/>
      <c r="F38" s="27"/>
      <c r="G38" s="34"/>
      <c r="H38" s="132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4"/>
      <c r="AG38" s="107"/>
      <c r="AH38" s="108"/>
      <c r="AI38" s="109"/>
      <c r="AJ38" s="36"/>
      <c r="AK38" s="35"/>
      <c r="AL38" s="22"/>
      <c r="AM38" s="22"/>
      <c r="AN38" s="22"/>
      <c r="AO38" s="22"/>
      <c r="AP38" s="22"/>
      <c r="AQ38" s="22"/>
      <c r="AR38" s="24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37"/>
      <c r="BI38" s="38"/>
      <c r="BJ38" s="141"/>
      <c r="BK38" s="146"/>
      <c r="BL38" s="147"/>
      <c r="BM38" s="133"/>
      <c r="BN38" s="133"/>
      <c r="BO38" s="146"/>
      <c r="BP38" s="144"/>
      <c r="BQ38" s="148"/>
      <c r="BR38" s="29"/>
      <c r="BS38" s="26"/>
      <c r="BT38" s="7"/>
      <c r="CA38" s="31"/>
      <c r="CB38" s="31"/>
    </row>
    <row r="39" spans="1:80" s="117" customFormat="1" ht="15.75" x14ac:dyDescent="0.25">
      <c r="A39" s="20"/>
      <c r="B39" s="24"/>
      <c r="C39" s="32"/>
      <c r="D39" s="33"/>
      <c r="E39" s="28"/>
      <c r="F39" s="27"/>
      <c r="G39" s="34"/>
      <c r="H39" s="132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4"/>
      <c r="AG39" s="107"/>
      <c r="AH39" s="108"/>
      <c r="AI39" s="109"/>
      <c r="AJ39" s="36"/>
      <c r="AK39" s="35"/>
      <c r="AL39" s="22"/>
      <c r="AM39" s="22"/>
      <c r="AN39" s="22"/>
      <c r="AO39" s="22"/>
      <c r="AP39" s="22"/>
      <c r="AQ39" s="22"/>
      <c r="AR39" s="24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37"/>
      <c r="BI39" s="38"/>
      <c r="BJ39" s="141"/>
      <c r="BK39" s="146"/>
      <c r="BL39" s="147"/>
      <c r="BM39" s="133"/>
      <c r="BN39" s="133"/>
      <c r="BO39" s="146"/>
      <c r="BP39" s="144"/>
      <c r="BQ39" s="148"/>
      <c r="BR39" s="29"/>
      <c r="BS39" s="26"/>
      <c r="BT39" s="7"/>
      <c r="CA39" s="31"/>
      <c r="CB39" s="31"/>
    </row>
    <row r="40" spans="1:80" s="117" customFormat="1" ht="15.75" x14ac:dyDescent="0.25">
      <c r="A40" s="20"/>
      <c r="B40" s="24"/>
      <c r="C40" s="32"/>
      <c r="D40" s="33"/>
      <c r="E40" s="28"/>
      <c r="F40" s="27"/>
      <c r="G40" s="34"/>
      <c r="H40" s="132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4"/>
      <c r="AG40" s="107"/>
      <c r="AH40" s="108"/>
      <c r="AI40" s="109"/>
      <c r="AJ40" s="36"/>
      <c r="AK40" s="35"/>
      <c r="AL40" s="22"/>
      <c r="AM40" s="22"/>
      <c r="AN40" s="22"/>
      <c r="AO40" s="22"/>
      <c r="AP40" s="22"/>
      <c r="AQ40" s="22"/>
      <c r="AR40" s="24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37"/>
      <c r="BI40" s="38"/>
      <c r="BJ40" s="141"/>
      <c r="BK40" s="146"/>
      <c r="BL40" s="147"/>
      <c r="BM40" s="133"/>
      <c r="BN40" s="133"/>
      <c r="BO40" s="146"/>
      <c r="BP40" s="144"/>
      <c r="BQ40" s="148"/>
      <c r="BR40" s="29"/>
      <c r="BS40" s="26"/>
      <c r="BT40" s="7"/>
      <c r="CA40" s="31"/>
      <c r="CB40" s="31"/>
    </row>
    <row r="41" spans="1:80" s="117" customFormat="1" ht="15.75" x14ac:dyDescent="0.25">
      <c r="A41" s="20"/>
      <c r="B41" s="24"/>
      <c r="C41" s="32"/>
      <c r="D41" s="33"/>
      <c r="E41" s="28"/>
      <c r="F41" s="27"/>
      <c r="G41" s="34"/>
      <c r="H41" s="132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4"/>
      <c r="AG41" s="107"/>
      <c r="AH41" s="108"/>
      <c r="AI41" s="109"/>
      <c r="AJ41" s="36"/>
      <c r="AK41" s="35"/>
      <c r="AL41" s="22"/>
      <c r="AM41" s="22"/>
      <c r="AN41" s="22"/>
      <c r="AO41" s="22"/>
      <c r="AP41" s="22"/>
      <c r="AQ41" s="22"/>
      <c r="AR41" s="24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37"/>
      <c r="BI41" s="38"/>
      <c r="BJ41" s="141"/>
      <c r="BK41" s="146"/>
      <c r="BL41" s="147"/>
      <c r="BM41" s="133"/>
      <c r="BN41" s="133"/>
      <c r="BO41" s="146"/>
      <c r="BP41" s="144"/>
      <c r="BQ41" s="148"/>
      <c r="BR41" s="29"/>
      <c r="BS41" s="26"/>
      <c r="BT41" s="7"/>
      <c r="CA41" s="31"/>
      <c r="CB41" s="31"/>
    </row>
    <row r="42" spans="1:80" s="117" customFormat="1" ht="15.75" x14ac:dyDescent="0.25">
      <c r="A42" s="20"/>
      <c r="B42" s="24"/>
      <c r="C42" s="32"/>
      <c r="D42" s="33"/>
      <c r="E42" s="28"/>
      <c r="F42" s="27"/>
      <c r="G42" s="34"/>
      <c r="H42" s="132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4"/>
      <c r="AG42" s="107"/>
      <c r="AH42" s="108"/>
      <c r="AI42" s="109"/>
      <c r="AJ42" s="36"/>
      <c r="AK42" s="35"/>
      <c r="AL42" s="22"/>
      <c r="AM42" s="22"/>
      <c r="AN42" s="22"/>
      <c r="AO42" s="22"/>
      <c r="AP42" s="22"/>
      <c r="AQ42" s="22"/>
      <c r="AR42" s="24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37"/>
      <c r="BI42" s="38"/>
      <c r="BJ42" s="141"/>
      <c r="BK42" s="146"/>
      <c r="BL42" s="147"/>
      <c r="BM42" s="133"/>
      <c r="BN42" s="133"/>
      <c r="BO42" s="146"/>
      <c r="BP42" s="144"/>
      <c r="BQ42" s="148"/>
      <c r="BR42" s="29"/>
      <c r="BS42" s="26"/>
      <c r="BT42" s="7"/>
      <c r="CA42" s="31"/>
      <c r="CB42" s="31"/>
    </row>
    <row r="43" spans="1:80" s="117" customFormat="1" ht="15.75" x14ac:dyDescent="0.25">
      <c r="A43" s="20"/>
      <c r="B43" s="24"/>
      <c r="C43" s="32"/>
      <c r="D43" s="33"/>
      <c r="E43" s="28"/>
      <c r="F43" s="27"/>
      <c r="G43" s="34"/>
      <c r="H43" s="132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4"/>
      <c r="AG43" s="107"/>
      <c r="AH43" s="108"/>
      <c r="AI43" s="109"/>
      <c r="AJ43" s="36"/>
      <c r="AK43" s="35"/>
      <c r="AL43" s="22"/>
      <c r="AM43" s="22"/>
      <c r="AN43" s="22"/>
      <c r="AO43" s="22"/>
      <c r="AP43" s="22"/>
      <c r="AQ43" s="22"/>
      <c r="AR43" s="24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37"/>
      <c r="BI43" s="38"/>
      <c r="BJ43" s="141"/>
      <c r="BK43" s="146"/>
      <c r="BL43" s="147"/>
      <c r="BM43" s="133"/>
      <c r="BN43" s="133"/>
      <c r="BO43" s="146"/>
      <c r="BP43" s="144"/>
      <c r="BQ43" s="148"/>
      <c r="BR43" s="29"/>
      <c r="BS43" s="26"/>
      <c r="BT43" s="7"/>
      <c r="CA43" s="31"/>
      <c r="CB43" s="31"/>
    </row>
    <row r="44" spans="1:80" s="117" customFormat="1" ht="15.75" x14ac:dyDescent="0.25">
      <c r="A44" s="20"/>
      <c r="B44" s="24"/>
      <c r="C44" s="32"/>
      <c r="D44" s="33"/>
      <c r="E44" s="28"/>
      <c r="F44" s="27"/>
      <c r="G44" s="34"/>
      <c r="H44" s="132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4"/>
      <c r="AG44" s="107"/>
      <c r="AH44" s="108"/>
      <c r="AI44" s="109"/>
      <c r="AJ44" s="36"/>
      <c r="AK44" s="35"/>
      <c r="AL44" s="22"/>
      <c r="AM44" s="22"/>
      <c r="AN44" s="22"/>
      <c r="AO44" s="22"/>
      <c r="AP44" s="22"/>
      <c r="AQ44" s="22"/>
      <c r="AR44" s="24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37"/>
      <c r="BI44" s="38"/>
      <c r="BJ44" s="141"/>
      <c r="BK44" s="146"/>
      <c r="BL44" s="147"/>
      <c r="BM44" s="133"/>
      <c r="BN44" s="133"/>
      <c r="BO44" s="146"/>
      <c r="BP44" s="144"/>
      <c r="BQ44" s="148"/>
      <c r="BR44" s="29"/>
      <c r="BS44" s="26"/>
      <c r="BT44" s="7"/>
      <c r="CA44" s="31"/>
      <c r="CB44" s="31"/>
    </row>
    <row r="45" spans="1:80" s="117" customFormat="1" ht="15.75" x14ac:dyDescent="0.25">
      <c r="A45" s="20"/>
      <c r="B45" s="24"/>
      <c r="C45" s="32"/>
      <c r="D45" s="33"/>
      <c r="E45" s="28"/>
      <c r="F45" s="27"/>
      <c r="G45" s="34"/>
      <c r="H45" s="132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4"/>
      <c r="AG45" s="107"/>
      <c r="AH45" s="108"/>
      <c r="AI45" s="109"/>
      <c r="AJ45" s="36"/>
      <c r="AK45" s="35"/>
      <c r="AL45" s="22"/>
      <c r="AM45" s="22"/>
      <c r="AN45" s="22"/>
      <c r="AO45" s="22"/>
      <c r="AP45" s="22"/>
      <c r="AQ45" s="22"/>
      <c r="AR45" s="24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37"/>
      <c r="BI45" s="38"/>
      <c r="BJ45" s="141"/>
      <c r="BK45" s="146"/>
      <c r="BL45" s="147"/>
      <c r="BM45" s="133"/>
      <c r="BN45" s="133"/>
      <c r="BO45" s="146"/>
      <c r="BP45" s="144"/>
      <c r="BQ45" s="148"/>
      <c r="BR45" s="29"/>
      <c r="BS45" s="26"/>
      <c r="BT45" s="7"/>
      <c r="CA45" s="31"/>
      <c r="CB45" s="31"/>
    </row>
    <row r="46" spans="1:80" s="117" customFormat="1" ht="15.75" x14ac:dyDescent="0.25">
      <c r="A46" s="20">
        <v>21</v>
      </c>
      <c r="B46" s="24"/>
      <c r="C46" s="32"/>
      <c r="D46" s="33"/>
      <c r="E46" s="28"/>
      <c r="F46" s="27"/>
      <c r="G46" s="34"/>
      <c r="H46" s="132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4"/>
      <c r="AG46" s="107"/>
      <c r="AH46" s="108"/>
      <c r="AI46" s="109"/>
      <c r="AJ46" s="36"/>
      <c r="AK46" s="35"/>
      <c r="AL46" s="22"/>
      <c r="AM46" s="22"/>
      <c r="AN46" s="22"/>
      <c r="AO46" s="22"/>
      <c r="AP46" s="22"/>
      <c r="AQ46" s="22"/>
      <c r="AR46" s="24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37"/>
      <c r="BI46" s="38"/>
      <c r="BJ46" s="141"/>
      <c r="BK46" s="146"/>
      <c r="BL46" s="147"/>
      <c r="BM46" s="133"/>
      <c r="BN46" s="133"/>
      <c r="BO46" s="146"/>
      <c r="BP46" s="144"/>
      <c r="BQ46" s="148"/>
      <c r="BR46" s="29"/>
      <c r="BS46" s="26"/>
      <c r="BT46" s="7"/>
      <c r="CA46" s="31"/>
      <c r="CB46" s="31"/>
    </row>
    <row r="47" spans="1:80" s="117" customFormat="1" ht="15.75" x14ac:dyDescent="0.25">
      <c r="A47" s="20">
        <v>22</v>
      </c>
      <c r="B47" s="24"/>
      <c r="C47" s="32"/>
      <c r="D47" s="33"/>
      <c r="E47" s="28"/>
      <c r="F47" s="27"/>
      <c r="G47" s="34"/>
      <c r="H47" s="132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4"/>
      <c r="AG47" s="107"/>
      <c r="AH47" s="108"/>
      <c r="AI47" s="109"/>
      <c r="AJ47" s="36"/>
      <c r="AK47" s="35"/>
      <c r="AL47" s="22"/>
      <c r="AM47" s="22"/>
      <c r="AN47" s="22"/>
      <c r="AO47" s="22"/>
      <c r="AP47" s="22"/>
      <c r="AQ47" s="22"/>
      <c r="AR47" s="24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37"/>
      <c r="BI47" s="38"/>
      <c r="BJ47" s="141"/>
      <c r="BK47" s="146"/>
      <c r="BL47" s="147"/>
      <c r="BM47" s="133"/>
      <c r="BN47" s="133"/>
      <c r="BO47" s="146"/>
      <c r="BP47" s="144"/>
      <c r="BQ47" s="148"/>
      <c r="BR47" s="29"/>
      <c r="BS47" s="26"/>
      <c r="BT47" s="7"/>
      <c r="CA47" s="31"/>
      <c r="CB47" s="31"/>
    </row>
    <row r="48" spans="1:80" s="117" customFormat="1" ht="15.75" x14ac:dyDescent="0.25">
      <c r="A48" s="20">
        <v>23</v>
      </c>
      <c r="B48" s="24"/>
      <c r="C48" s="32"/>
      <c r="D48" s="33"/>
      <c r="E48" s="28"/>
      <c r="F48" s="27"/>
      <c r="G48" s="34"/>
      <c r="H48" s="132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4"/>
      <c r="AG48" s="107"/>
      <c r="AH48" s="108"/>
      <c r="AI48" s="109"/>
      <c r="AJ48" s="36"/>
      <c r="AK48" s="35"/>
      <c r="AL48" s="22"/>
      <c r="AM48" s="22"/>
      <c r="AN48" s="22"/>
      <c r="AO48" s="22"/>
      <c r="AP48" s="22"/>
      <c r="AQ48" s="22"/>
      <c r="AR48" s="24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37"/>
      <c r="BI48" s="38"/>
      <c r="BJ48" s="141"/>
      <c r="BK48" s="146"/>
      <c r="BL48" s="147"/>
      <c r="BM48" s="133"/>
      <c r="BN48" s="133"/>
      <c r="BO48" s="146"/>
      <c r="BP48" s="144"/>
      <c r="BQ48" s="148"/>
      <c r="BR48" s="29"/>
      <c r="BS48" s="26"/>
      <c r="BT48" s="7"/>
      <c r="CA48" s="31"/>
      <c r="CB48" s="31"/>
    </row>
    <row r="49" spans="1:80" s="117" customFormat="1" ht="15.75" x14ac:dyDescent="0.25">
      <c r="A49" s="20">
        <v>24</v>
      </c>
      <c r="B49" s="24"/>
      <c r="C49" s="32"/>
      <c r="D49" s="33"/>
      <c r="E49" s="28"/>
      <c r="F49" s="27"/>
      <c r="G49" s="34"/>
      <c r="H49" s="132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4"/>
      <c r="AG49" s="107"/>
      <c r="AH49" s="108"/>
      <c r="AI49" s="109"/>
      <c r="AJ49" s="36"/>
      <c r="AK49" s="35"/>
      <c r="AL49" s="22"/>
      <c r="AM49" s="22"/>
      <c r="AN49" s="22"/>
      <c r="AO49" s="22"/>
      <c r="AP49" s="22"/>
      <c r="AQ49" s="22"/>
      <c r="AR49" s="24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37"/>
      <c r="BI49" s="38"/>
      <c r="BJ49" s="141"/>
      <c r="BK49" s="146"/>
      <c r="BL49" s="147"/>
      <c r="BM49" s="133"/>
      <c r="BN49" s="133"/>
      <c r="BO49" s="146"/>
      <c r="BP49" s="144"/>
      <c r="BQ49" s="148"/>
      <c r="BR49" s="29"/>
      <c r="BS49" s="26"/>
      <c r="BT49" s="7"/>
      <c r="CA49" s="31"/>
      <c r="CB49" s="31"/>
    </row>
    <row r="50" spans="1:80" s="117" customFormat="1" ht="15.75" x14ac:dyDescent="0.25">
      <c r="A50" s="20">
        <v>25</v>
      </c>
      <c r="B50" s="24"/>
      <c r="C50" s="32"/>
      <c r="D50" s="33"/>
      <c r="E50" s="28"/>
      <c r="F50" s="27"/>
      <c r="G50" s="34"/>
      <c r="H50" s="132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4"/>
      <c r="AG50" s="107"/>
      <c r="AH50" s="108"/>
      <c r="AI50" s="109"/>
      <c r="AJ50" s="36"/>
      <c r="AK50" s="35"/>
      <c r="AL50" s="22"/>
      <c r="AM50" s="22"/>
      <c r="AN50" s="22"/>
      <c r="AO50" s="22"/>
      <c r="AP50" s="22"/>
      <c r="AQ50" s="22"/>
      <c r="AR50" s="24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37"/>
      <c r="BI50" s="38"/>
      <c r="BJ50" s="141"/>
      <c r="BK50" s="146"/>
      <c r="BL50" s="147"/>
      <c r="BM50" s="133"/>
      <c r="BN50" s="133"/>
      <c r="BO50" s="146"/>
      <c r="BP50" s="144"/>
      <c r="BQ50" s="148"/>
      <c r="BR50" s="29"/>
      <c r="BS50" s="26"/>
      <c r="BT50" s="7"/>
      <c r="CA50" s="31"/>
      <c r="CB50" s="31"/>
    </row>
    <row r="51" spans="1:80" s="117" customFormat="1" ht="15.75" x14ac:dyDescent="0.25">
      <c r="A51" s="20">
        <v>26</v>
      </c>
      <c r="B51" s="24"/>
      <c r="C51" s="32"/>
      <c r="D51" s="33"/>
      <c r="E51" s="28"/>
      <c r="F51" s="27"/>
      <c r="G51" s="34"/>
      <c r="H51" s="132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4"/>
      <c r="AG51" s="107"/>
      <c r="AH51" s="108"/>
      <c r="AI51" s="109"/>
      <c r="AJ51" s="36"/>
      <c r="AK51" s="35"/>
      <c r="AL51" s="22"/>
      <c r="AM51" s="22"/>
      <c r="AN51" s="22"/>
      <c r="AO51" s="22"/>
      <c r="AP51" s="22"/>
      <c r="AQ51" s="22"/>
      <c r="AR51" s="24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37"/>
      <c r="BI51" s="38"/>
      <c r="BJ51" s="141"/>
      <c r="BK51" s="146"/>
      <c r="BL51" s="147"/>
      <c r="BM51" s="133"/>
      <c r="BN51" s="133"/>
      <c r="BO51" s="146"/>
      <c r="BP51" s="144"/>
      <c r="BQ51" s="148"/>
      <c r="BR51" s="29"/>
      <c r="BS51" s="26"/>
      <c r="BT51" s="7"/>
      <c r="CA51" s="31"/>
      <c r="CB51" s="31"/>
    </row>
    <row r="52" spans="1:80" s="117" customFormat="1" ht="15.75" x14ac:dyDescent="0.25">
      <c r="A52" s="20">
        <v>27</v>
      </c>
      <c r="B52" s="24"/>
      <c r="C52" s="32"/>
      <c r="D52" s="33"/>
      <c r="E52" s="28"/>
      <c r="F52" s="27"/>
      <c r="G52" s="34"/>
      <c r="H52" s="132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4"/>
      <c r="AG52" s="107"/>
      <c r="AH52" s="108"/>
      <c r="AI52" s="109"/>
      <c r="AJ52" s="36"/>
      <c r="AK52" s="35"/>
      <c r="AL52" s="22"/>
      <c r="AM52" s="22"/>
      <c r="AN52" s="22"/>
      <c r="AO52" s="22"/>
      <c r="AP52" s="22"/>
      <c r="AQ52" s="22"/>
      <c r="AR52" s="24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37"/>
      <c r="BI52" s="38"/>
      <c r="BJ52" s="141"/>
      <c r="BK52" s="146"/>
      <c r="BL52" s="147"/>
      <c r="BM52" s="133"/>
      <c r="BN52" s="133"/>
      <c r="BO52" s="146"/>
      <c r="BP52" s="144"/>
      <c r="BQ52" s="148"/>
      <c r="BR52" s="29"/>
      <c r="BS52" s="26"/>
      <c r="BT52" s="7"/>
      <c r="CA52" s="31"/>
      <c r="CB52" s="31"/>
    </row>
    <row r="53" spans="1:80" s="117" customFormat="1" ht="15.75" x14ac:dyDescent="0.25">
      <c r="A53" s="20">
        <v>28</v>
      </c>
      <c r="B53" s="24"/>
      <c r="C53" s="32"/>
      <c r="D53" s="33"/>
      <c r="E53" s="28"/>
      <c r="F53" s="27"/>
      <c r="G53" s="34"/>
      <c r="H53" s="132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4"/>
      <c r="AG53" s="107"/>
      <c r="AH53" s="108"/>
      <c r="AI53" s="109"/>
      <c r="AJ53" s="36"/>
      <c r="AK53" s="35"/>
      <c r="AL53" s="22"/>
      <c r="AM53" s="22"/>
      <c r="AN53" s="22"/>
      <c r="AO53" s="22"/>
      <c r="AP53" s="22"/>
      <c r="AQ53" s="22"/>
      <c r="AR53" s="24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37"/>
      <c r="BI53" s="38"/>
      <c r="BJ53" s="141"/>
      <c r="BK53" s="146"/>
      <c r="BL53" s="147"/>
      <c r="BM53" s="133"/>
      <c r="BN53" s="133"/>
      <c r="BO53" s="146"/>
      <c r="BP53" s="144"/>
      <c r="BQ53" s="148"/>
      <c r="BR53" s="29"/>
      <c r="BS53" s="26"/>
      <c r="BT53" s="7"/>
      <c r="CA53" s="31"/>
      <c r="CB53" s="31"/>
    </row>
    <row r="54" spans="1:80" s="117" customFormat="1" ht="15.75" x14ac:dyDescent="0.25">
      <c r="A54" s="20">
        <v>29</v>
      </c>
      <c r="B54" s="24"/>
      <c r="C54" s="32"/>
      <c r="D54" s="33"/>
      <c r="E54" s="28"/>
      <c r="F54" s="27"/>
      <c r="G54" s="34"/>
      <c r="H54" s="132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4"/>
      <c r="AG54" s="107"/>
      <c r="AH54" s="108"/>
      <c r="AI54" s="109"/>
      <c r="AJ54" s="36"/>
      <c r="AK54" s="35"/>
      <c r="AL54" s="22"/>
      <c r="AM54" s="22"/>
      <c r="AN54" s="22"/>
      <c r="AO54" s="22"/>
      <c r="AP54" s="22"/>
      <c r="AQ54" s="22"/>
      <c r="AR54" s="24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37"/>
      <c r="BI54" s="38"/>
      <c r="BJ54" s="141"/>
      <c r="BK54" s="146"/>
      <c r="BL54" s="147"/>
      <c r="BM54" s="133"/>
      <c r="BN54" s="133"/>
      <c r="BO54" s="146"/>
      <c r="BP54" s="144"/>
      <c r="BQ54" s="148"/>
      <c r="BR54" s="29"/>
      <c r="BS54" s="26"/>
      <c r="BT54" s="7"/>
      <c r="CA54" s="31"/>
      <c r="CB54" s="31"/>
    </row>
    <row r="55" spans="1:80" s="117" customFormat="1" ht="15.75" x14ac:dyDescent="0.25">
      <c r="A55" s="20">
        <v>30</v>
      </c>
      <c r="B55" s="24"/>
      <c r="C55" s="32"/>
      <c r="D55" s="33"/>
      <c r="E55" s="28"/>
      <c r="F55" s="27"/>
      <c r="G55" s="34"/>
      <c r="H55" s="132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4"/>
      <c r="AG55" s="107"/>
      <c r="AH55" s="108"/>
      <c r="AI55" s="109"/>
      <c r="AJ55" s="36"/>
      <c r="AK55" s="35"/>
      <c r="AL55" s="22"/>
      <c r="AM55" s="22"/>
      <c r="AN55" s="22"/>
      <c r="AO55" s="22"/>
      <c r="AP55" s="22"/>
      <c r="AQ55" s="22"/>
      <c r="AR55" s="24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37"/>
      <c r="BI55" s="38"/>
      <c r="BJ55" s="141"/>
      <c r="BK55" s="146"/>
      <c r="BL55" s="147"/>
      <c r="BM55" s="133"/>
      <c r="BN55" s="133"/>
      <c r="BO55" s="146"/>
      <c r="BP55" s="144"/>
      <c r="BQ55" s="148"/>
      <c r="BR55" s="29"/>
      <c r="BS55" s="26"/>
      <c r="BT55" s="7"/>
      <c r="CA55" s="31"/>
      <c r="CB55" s="31"/>
    </row>
    <row r="56" spans="1:80" s="117" customFormat="1" ht="15.75" x14ac:dyDescent="0.25">
      <c r="A56" s="20">
        <v>31</v>
      </c>
      <c r="B56" s="24"/>
      <c r="C56" s="32"/>
      <c r="D56" s="33"/>
      <c r="E56" s="28"/>
      <c r="F56" s="27"/>
      <c r="G56" s="34"/>
      <c r="H56" s="132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4"/>
      <c r="AG56" s="107"/>
      <c r="AH56" s="108"/>
      <c r="AI56" s="109"/>
      <c r="AJ56" s="36"/>
      <c r="AK56" s="35"/>
      <c r="AL56" s="22"/>
      <c r="AM56" s="22"/>
      <c r="AN56" s="22"/>
      <c r="AO56" s="22"/>
      <c r="AP56" s="22"/>
      <c r="AQ56" s="22"/>
      <c r="AR56" s="24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37"/>
      <c r="BI56" s="38"/>
      <c r="BJ56" s="141"/>
      <c r="BK56" s="146"/>
      <c r="BL56" s="147"/>
      <c r="BM56" s="133"/>
      <c r="BN56" s="133"/>
      <c r="BO56" s="146"/>
      <c r="BP56" s="144"/>
      <c r="BQ56" s="148"/>
      <c r="BR56" s="29"/>
      <c r="BS56" s="26"/>
      <c r="BT56" s="7"/>
      <c r="CA56" s="31"/>
      <c r="CB56" s="31"/>
    </row>
    <row r="57" spans="1:80" s="117" customFormat="1" ht="15.75" x14ac:dyDescent="0.25">
      <c r="A57" s="20">
        <v>32</v>
      </c>
      <c r="B57" s="24"/>
      <c r="C57" s="32"/>
      <c r="D57" s="33"/>
      <c r="E57" s="28"/>
      <c r="F57" s="27"/>
      <c r="G57" s="34"/>
      <c r="H57" s="132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4"/>
      <c r="AG57" s="107"/>
      <c r="AH57" s="108"/>
      <c r="AI57" s="109"/>
      <c r="AJ57" s="36"/>
      <c r="AK57" s="35"/>
      <c r="AL57" s="22"/>
      <c r="AM57" s="22"/>
      <c r="AN57" s="22"/>
      <c r="AO57" s="22"/>
      <c r="AP57" s="22"/>
      <c r="AQ57" s="22"/>
      <c r="AR57" s="24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37"/>
      <c r="BI57" s="38"/>
      <c r="BJ57" s="141"/>
      <c r="BK57" s="146"/>
      <c r="BL57" s="147"/>
      <c r="BM57" s="133"/>
      <c r="BN57" s="133"/>
      <c r="BO57" s="146"/>
      <c r="BP57" s="144"/>
      <c r="BQ57" s="148"/>
      <c r="BR57" s="29"/>
      <c r="BS57" s="26"/>
      <c r="BT57" s="7"/>
      <c r="CA57" s="31"/>
      <c r="CB57" s="31"/>
    </row>
    <row r="58" spans="1:80" s="117" customFormat="1" ht="15.75" x14ac:dyDescent="0.25">
      <c r="A58" s="20">
        <v>33</v>
      </c>
      <c r="B58" s="24"/>
      <c r="C58" s="32"/>
      <c r="D58" s="33"/>
      <c r="E58" s="28"/>
      <c r="F58" s="27"/>
      <c r="G58" s="34"/>
      <c r="H58" s="132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4"/>
      <c r="AG58" s="107"/>
      <c r="AH58" s="108"/>
      <c r="AI58" s="109"/>
      <c r="AJ58" s="36"/>
      <c r="AK58" s="35"/>
      <c r="AL58" s="22"/>
      <c r="AM58" s="22"/>
      <c r="AN58" s="22"/>
      <c r="AO58" s="22"/>
      <c r="AP58" s="22"/>
      <c r="AQ58" s="22"/>
      <c r="AR58" s="24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37"/>
      <c r="BI58" s="38"/>
      <c r="BJ58" s="141"/>
      <c r="BK58" s="146"/>
      <c r="BL58" s="147"/>
      <c r="BM58" s="133"/>
      <c r="BN58" s="133"/>
      <c r="BO58" s="146"/>
      <c r="BP58" s="144"/>
      <c r="BQ58" s="148"/>
      <c r="BR58" s="29"/>
      <c r="BS58" s="26"/>
      <c r="BT58" s="7"/>
      <c r="CA58" s="31"/>
      <c r="CB58" s="31"/>
    </row>
    <row r="59" spans="1:80" s="117" customFormat="1" ht="15.75" x14ac:dyDescent="0.25">
      <c r="A59" s="20">
        <v>34</v>
      </c>
      <c r="B59" s="24"/>
      <c r="C59" s="32"/>
      <c r="D59" s="33"/>
      <c r="E59" s="28"/>
      <c r="F59" s="27"/>
      <c r="G59" s="34"/>
      <c r="H59" s="132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4"/>
      <c r="AG59" s="107"/>
      <c r="AH59" s="108"/>
      <c r="AI59" s="109"/>
      <c r="AJ59" s="36"/>
      <c r="AK59" s="35"/>
      <c r="AL59" s="22"/>
      <c r="AM59" s="22"/>
      <c r="AN59" s="22"/>
      <c r="AO59" s="22"/>
      <c r="AP59" s="22"/>
      <c r="AQ59" s="22"/>
      <c r="AR59" s="24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37"/>
      <c r="BI59" s="38"/>
      <c r="BJ59" s="141"/>
      <c r="BK59" s="146"/>
      <c r="BL59" s="147"/>
      <c r="BM59" s="133"/>
      <c r="BN59" s="133"/>
      <c r="BO59" s="146"/>
      <c r="BP59" s="144"/>
      <c r="BQ59" s="148"/>
      <c r="BR59" s="29"/>
      <c r="BS59" s="26"/>
      <c r="BT59" s="7"/>
      <c r="CA59" s="31"/>
      <c r="CB59" s="31"/>
    </row>
    <row r="60" spans="1:80" ht="15.75" x14ac:dyDescent="0.25">
      <c r="A60" s="20">
        <v>35</v>
      </c>
      <c r="B60" s="24"/>
      <c r="C60" s="32"/>
      <c r="D60" s="33"/>
      <c r="E60" s="28"/>
      <c r="F60" s="27"/>
      <c r="G60" s="39"/>
      <c r="H60" s="132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4"/>
      <c r="AG60" s="107"/>
      <c r="AH60" s="108"/>
      <c r="AI60" s="109"/>
      <c r="AJ60" s="36"/>
      <c r="AK60" s="35"/>
      <c r="AL60" s="22"/>
      <c r="AM60" s="22"/>
      <c r="AN60" s="22"/>
      <c r="AO60" s="22"/>
      <c r="AP60" s="22"/>
      <c r="AQ60" s="22"/>
      <c r="AR60" s="24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37"/>
      <c r="BI60" s="38"/>
      <c r="BJ60" s="141"/>
      <c r="BK60" s="146"/>
      <c r="BL60" s="147"/>
      <c r="BM60" s="133"/>
      <c r="BN60" s="133"/>
      <c r="BO60" s="146"/>
      <c r="BP60" s="144"/>
      <c r="BQ60" s="148"/>
      <c r="BR60" s="29"/>
      <c r="BS60" s="26"/>
      <c r="BT60" s="7"/>
      <c r="CA60" s="31"/>
      <c r="CB60" s="31"/>
    </row>
    <row r="61" spans="1:80" ht="15.75" x14ac:dyDescent="0.25">
      <c r="A61" s="20">
        <v>36</v>
      </c>
      <c r="B61" s="24"/>
      <c r="C61" s="32"/>
      <c r="D61" s="33"/>
      <c r="E61" s="28"/>
      <c r="F61" s="27"/>
      <c r="G61" s="34"/>
      <c r="H61" s="132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4"/>
      <c r="AG61" s="107"/>
      <c r="AH61" s="108"/>
      <c r="AI61" s="109"/>
      <c r="AJ61" s="36"/>
      <c r="AK61" s="35"/>
      <c r="AL61" s="22"/>
      <c r="AM61" s="22"/>
      <c r="AN61" s="22"/>
      <c r="AO61" s="22"/>
      <c r="AP61" s="22"/>
      <c r="AQ61" s="22"/>
      <c r="AR61" s="24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37"/>
      <c r="BI61" s="38"/>
      <c r="BJ61" s="141"/>
      <c r="BK61" s="146"/>
      <c r="BL61" s="147"/>
      <c r="BM61" s="133"/>
      <c r="BN61" s="133"/>
      <c r="BO61" s="146"/>
      <c r="BP61" s="144"/>
      <c r="BQ61" s="148"/>
      <c r="BR61" s="29"/>
      <c r="BS61" s="26"/>
      <c r="BT61" s="7"/>
      <c r="CA61" s="31"/>
      <c r="CB61" s="31"/>
    </row>
    <row r="62" spans="1:80" ht="15.75" x14ac:dyDescent="0.25">
      <c r="A62" s="20">
        <v>37</v>
      </c>
      <c r="B62" s="24"/>
      <c r="C62" s="32"/>
      <c r="D62" s="33"/>
      <c r="E62" s="30"/>
      <c r="F62" s="27"/>
      <c r="G62" s="39"/>
      <c r="H62" s="132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6"/>
      <c r="AF62" s="137"/>
      <c r="AG62" s="107"/>
      <c r="AH62" s="108"/>
      <c r="AI62" s="102"/>
      <c r="AJ62" s="36"/>
      <c r="AK62" s="20"/>
      <c r="AL62" s="21"/>
      <c r="AM62" s="42"/>
      <c r="AN62" s="22"/>
      <c r="AO62" s="22"/>
      <c r="AP62" s="2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3"/>
      <c r="BJ62" s="141"/>
      <c r="BK62" s="149"/>
      <c r="BL62" s="150"/>
      <c r="BM62" s="133"/>
      <c r="BN62" s="133"/>
      <c r="BO62" s="146"/>
      <c r="BP62" s="144"/>
      <c r="BQ62" s="148"/>
      <c r="BR62" s="44"/>
      <c r="BS62" s="26"/>
      <c r="BT62" s="7"/>
      <c r="CA62" s="31"/>
      <c r="CB62" s="31"/>
    </row>
    <row r="63" spans="1:80" ht="15.75" x14ac:dyDescent="0.25">
      <c r="A63" s="20">
        <v>38</v>
      </c>
      <c r="B63" s="24"/>
      <c r="C63" s="32"/>
      <c r="D63" s="33"/>
      <c r="E63" s="28"/>
      <c r="F63" s="27"/>
      <c r="G63" s="34"/>
      <c r="H63" s="132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4"/>
      <c r="AG63" s="107"/>
      <c r="AH63" s="108"/>
      <c r="AI63" s="109"/>
      <c r="AJ63" s="36"/>
      <c r="AK63" s="35"/>
      <c r="AL63" s="22"/>
      <c r="AM63" s="22"/>
      <c r="AN63" s="22"/>
      <c r="AO63" s="22"/>
      <c r="AP63" s="22"/>
      <c r="AQ63" s="22"/>
      <c r="AR63" s="24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37"/>
      <c r="BI63" s="38"/>
      <c r="BJ63" s="141"/>
      <c r="BK63" s="146"/>
      <c r="BL63" s="147"/>
      <c r="BM63" s="133"/>
      <c r="BN63" s="133"/>
      <c r="BO63" s="146"/>
      <c r="BP63" s="144"/>
      <c r="BQ63" s="148"/>
      <c r="BR63" s="29"/>
      <c r="BS63" s="26"/>
      <c r="BT63" s="7"/>
      <c r="CA63" s="31"/>
      <c r="CB63" s="31"/>
    </row>
    <row r="64" spans="1:80" ht="16.5" thickBot="1" x14ac:dyDescent="0.3">
      <c r="A64" s="53">
        <v>39</v>
      </c>
      <c r="B64" s="54"/>
      <c r="C64" s="55"/>
      <c r="D64" s="56"/>
      <c r="E64" s="57"/>
      <c r="F64" s="58"/>
      <c r="G64" s="59"/>
      <c r="H64" s="138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40"/>
      <c r="AG64" s="110"/>
      <c r="AH64" s="111"/>
      <c r="AI64" s="103"/>
      <c r="AJ64" s="45"/>
      <c r="AK64" s="46"/>
      <c r="AL64" s="46"/>
      <c r="AM64" s="46"/>
      <c r="AN64" s="47"/>
      <c r="AO64" s="47"/>
      <c r="AP64" s="47"/>
      <c r="AQ64" s="47"/>
      <c r="AR64" s="47"/>
      <c r="AS64" s="47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151"/>
      <c r="BK64" s="128"/>
      <c r="BL64" s="152"/>
      <c r="BM64" s="153"/>
      <c r="BN64" s="153"/>
      <c r="BO64" s="153"/>
      <c r="BP64" s="154"/>
      <c r="BQ64" s="148"/>
      <c r="BR64" s="51"/>
      <c r="BS64" s="26"/>
      <c r="BT64" s="7"/>
      <c r="CA64" s="2"/>
      <c r="CB64" s="2"/>
    </row>
    <row r="65" spans="1:80" ht="15.75" x14ac:dyDescent="0.25">
      <c r="A65" s="60"/>
      <c r="B65" s="61"/>
      <c r="C65" s="62"/>
      <c r="D65" s="63"/>
      <c r="E65" s="63"/>
      <c r="F65" s="64"/>
      <c r="G65" s="65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6"/>
      <c r="AI65" s="60"/>
      <c r="AJ65" s="67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1"/>
      <c r="BK65" s="61"/>
      <c r="BL65" s="61"/>
      <c r="BM65" s="68"/>
      <c r="BN65" s="69"/>
      <c r="BO65" s="2"/>
      <c r="BP65" s="70"/>
      <c r="BQ65" s="71"/>
      <c r="CA65" s="2"/>
      <c r="CB65" s="2"/>
    </row>
    <row r="66" spans="1:80" ht="15.75" x14ac:dyDescent="0.25">
      <c r="A66" s="60"/>
      <c r="B66" s="61"/>
      <c r="C66" s="112" t="s">
        <v>59</v>
      </c>
      <c r="D66" s="72"/>
      <c r="E66" s="50"/>
      <c r="F66" s="73"/>
      <c r="G66" s="74"/>
      <c r="H66" s="75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7"/>
      <c r="AI66" s="76"/>
      <c r="AJ66" s="78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1"/>
      <c r="BK66" s="61"/>
      <c r="BL66" s="61"/>
      <c r="BM66" s="68"/>
      <c r="BN66" s="69"/>
      <c r="BO66" s="2"/>
      <c r="BP66" s="70"/>
      <c r="BQ66" s="71"/>
      <c r="CA66" s="2"/>
      <c r="CB66" s="2"/>
    </row>
    <row r="67" spans="1:80" ht="15.75" x14ac:dyDescent="0.25">
      <c r="A67" s="60"/>
      <c r="B67" s="61"/>
      <c r="C67" s="113" t="s">
        <v>60</v>
      </c>
      <c r="D67" s="79"/>
      <c r="E67" s="50"/>
      <c r="F67" s="80"/>
      <c r="G67" s="81"/>
      <c r="H67" s="82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4"/>
      <c r="AI67" s="86">
        <f>COUNTIF(BS10:BS64," ")</f>
        <v>0</v>
      </c>
      <c r="AJ67" s="85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1"/>
      <c r="BK67" s="61"/>
      <c r="BL67" s="61"/>
      <c r="BM67" s="68"/>
      <c r="BN67" s="69"/>
      <c r="BO67" s="2"/>
      <c r="BP67" s="70"/>
      <c r="BQ67" s="71"/>
      <c r="CA67" s="2"/>
      <c r="CB67" s="2"/>
    </row>
    <row r="68" spans="1:80" ht="15.75" x14ac:dyDescent="0.25">
      <c r="A68" s="87"/>
      <c r="B68" s="61"/>
      <c r="C68" s="113" t="s">
        <v>61</v>
      </c>
      <c r="D68" s="79"/>
      <c r="E68" s="50"/>
      <c r="F68" s="88"/>
      <c r="G68" s="89"/>
      <c r="H68" s="90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2"/>
      <c r="AI68" s="94">
        <f>AI73-AI67</f>
        <v>1</v>
      </c>
      <c r="AJ68" s="93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1"/>
      <c r="BK68" s="61"/>
      <c r="BL68" s="61"/>
      <c r="BM68" s="68"/>
      <c r="BN68" s="69"/>
      <c r="BO68" s="2"/>
      <c r="BP68" s="70"/>
      <c r="BQ68" s="71"/>
      <c r="CA68" s="2"/>
      <c r="CB68" s="2"/>
    </row>
    <row r="69" spans="1:80" ht="15.75" x14ac:dyDescent="0.25">
      <c r="A69" s="87"/>
      <c r="B69" s="95"/>
      <c r="C69" s="113" t="s">
        <v>102</v>
      </c>
      <c r="D69" s="79"/>
      <c r="E69" s="50"/>
      <c r="F69" s="88"/>
      <c r="G69" s="89"/>
      <c r="H69" s="90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2"/>
      <c r="AI69" s="94">
        <f>COUNTIFS(BQ10:BQ64,"1")</f>
        <v>0</v>
      </c>
      <c r="AJ69" s="93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1"/>
      <c r="BK69" s="61"/>
      <c r="BL69" s="61"/>
      <c r="BM69" s="68"/>
      <c r="BN69" s="69"/>
      <c r="BO69" s="2"/>
      <c r="BP69" s="70"/>
      <c r="BQ69" s="71"/>
      <c r="CA69" s="2"/>
      <c r="CB69" s="2"/>
    </row>
    <row r="70" spans="1:80" ht="15.75" x14ac:dyDescent="0.25">
      <c r="A70" s="87"/>
      <c r="B70" s="95"/>
      <c r="C70" s="113" t="s">
        <v>103</v>
      </c>
      <c r="D70" s="79"/>
      <c r="E70" s="50"/>
      <c r="F70" s="88"/>
      <c r="G70" s="89"/>
      <c r="H70" s="90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2"/>
      <c r="AI70" s="94">
        <f>COUNTIFS(BQ10:BQ64,"2.1")</f>
        <v>0</v>
      </c>
      <c r="AJ70" s="93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1"/>
      <c r="BK70" s="61"/>
      <c r="BL70" s="61"/>
      <c r="BM70" s="68"/>
      <c r="BN70" s="69"/>
      <c r="BO70" s="2"/>
      <c r="BP70" s="70"/>
      <c r="BQ70" s="71"/>
      <c r="CA70" s="2"/>
      <c r="CB70" s="2"/>
    </row>
    <row r="71" spans="1:80" ht="15.75" x14ac:dyDescent="0.25">
      <c r="A71" s="87"/>
      <c r="B71" s="95"/>
      <c r="C71" s="113" t="s">
        <v>105</v>
      </c>
      <c r="D71" s="79"/>
      <c r="E71" s="50"/>
      <c r="F71" s="88"/>
      <c r="G71" s="89"/>
      <c r="H71" s="90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2"/>
      <c r="AI71" s="94">
        <f>COUNTIFS(BQ10:BQ64,"2.2")</f>
        <v>0</v>
      </c>
      <c r="AJ71" s="93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1"/>
      <c r="BK71" s="61"/>
      <c r="BL71" s="61"/>
      <c r="BM71" s="68"/>
      <c r="BN71" s="69"/>
      <c r="BO71" s="2"/>
      <c r="BP71" s="70"/>
      <c r="BQ71" s="71"/>
      <c r="CA71" s="2"/>
      <c r="CB71" s="2"/>
    </row>
    <row r="72" spans="1:80" ht="15.75" x14ac:dyDescent="0.25">
      <c r="A72" s="87"/>
      <c r="B72" s="95"/>
      <c r="C72" s="113" t="s">
        <v>104</v>
      </c>
      <c r="D72" s="79"/>
      <c r="E72" s="50"/>
      <c r="F72" s="88"/>
      <c r="G72" s="89"/>
      <c r="H72" s="90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2"/>
      <c r="AI72" s="94">
        <f>COUNTIFS(BQ10:BQ64,"3.0")</f>
        <v>0</v>
      </c>
      <c r="AJ72" s="93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1"/>
      <c r="BK72" s="61"/>
      <c r="BL72" s="61"/>
      <c r="BM72" s="68"/>
      <c r="BN72" s="69"/>
      <c r="BO72" s="2"/>
      <c r="BP72" s="70"/>
      <c r="BQ72" s="71"/>
      <c r="CA72" s="2"/>
      <c r="CB72" s="2"/>
    </row>
    <row r="73" spans="1:80" ht="15.75" x14ac:dyDescent="0.25">
      <c r="A73" s="87"/>
      <c r="B73" s="95"/>
      <c r="C73" s="114" t="s">
        <v>62</v>
      </c>
      <c r="D73" s="96"/>
      <c r="E73" s="52"/>
      <c r="F73" s="97"/>
      <c r="G73" s="98"/>
      <c r="H73" s="75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7"/>
      <c r="AI73" s="99">
        <v>1</v>
      </c>
      <c r="AJ73" s="78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1"/>
      <c r="BK73" s="61"/>
      <c r="BL73" s="61"/>
      <c r="BM73" s="68"/>
      <c r="BN73" s="69"/>
      <c r="BO73" s="2"/>
      <c r="BP73" s="70"/>
      <c r="BQ73" s="71"/>
      <c r="CA73" s="2"/>
      <c r="CB73" s="2"/>
    </row>
    <row r="74" spans="1:80" ht="15.75" x14ac:dyDescent="0.25">
      <c r="A74" s="87"/>
      <c r="B74" s="2"/>
      <c r="C74" s="2"/>
      <c r="D74" s="33"/>
      <c r="E74" s="33"/>
      <c r="F74" s="100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101"/>
      <c r="AI74" s="2"/>
      <c r="AJ74" s="69"/>
      <c r="AK74" s="87"/>
      <c r="AL74" s="87"/>
      <c r="AM74" s="87"/>
      <c r="AN74" s="87"/>
      <c r="AO74" s="87"/>
      <c r="AP74" s="87"/>
      <c r="AQ74" s="87"/>
      <c r="AR74" s="87"/>
      <c r="AS74" s="87"/>
      <c r="AT74" s="87"/>
      <c r="AU74" s="87"/>
      <c r="AV74" s="87"/>
      <c r="AW74" s="87"/>
      <c r="AX74" s="87"/>
      <c r="AY74" s="87"/>
      <c r="AZ74" s="87"/>
      <c r="BA74" s="87"/>
      <c r="BB74" s="87"/>
      <c r="BC74" s="87"/>
      <c r="BD74" s="87"/>
      <c r="BE74" s="87"/>
      <c r="BF74" s="87"/>
      <c r="BG74" s="87"/>
      <c r="BH74" s="87"/>
      <c r="BI74" s="87"/>
      <c r="BJ74" s="2"/>
      <c r="BK74" s="2"/>
      <c r="BL74" s="2"/>
      <c r="BM74" s="2"/>
      <c r="BN74" s="69"/>
      <c r="BO74" s="2"/>
      <c r="BP74" s="3"/>
      <c r="BQ74" s="87"/>
      <c r="BR74" s="2"/>
      <c r="BS74" s="2"/>
      <c r="BT74" s="2"/>
      <c r="CA74" s="2"/>
      <c r="CB74" s="2"/>
    </row>
    <row r="75" spans="1:80" ht="15.75" x14ac:dyDescent="0.25">
      <c r="A75" s="87"/>
      <c r="B75" s="2"/>
      <c r="C75" s="2"/>
      <c r="D75" s="33"/>
      <c r="E75" s="33"/>
      <c r="F75" s="100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101"/>
      <c r="AI75" s="2"/>
      <c r="AJ75" s="69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2"/>
      <c r="BK75" s="2"/>
      <c r="BL75" s="2"/>
      <c r="BM75" s="2"/>
      <c r="BN75" s="69"/>
      <c r="BO75" s="2"/>
      <c r="BP75" s="3"/>
      <c r="BQ75" s="87"/>
      <c r="BR75" s="2"/>
      <c r="BS75" s="2"/>
      <c r="BT75" s="2"/>
      <c r="CA75" s="2"/>
      <c r="CB75" s="2"/>
    </row>
  </sheetData>
  <mergeCells count="45">
    <mergeCell ref="K7:K8"/>
    <mergeCell ref="BN7:BN9"/>
    <mergeCell ref="L7:L8"/>
    <mergeCell ref="A2:BS2"/>
    <mergeCell ref="A3:BS3"/>
    <mergeCell ref="A4:BS4"/>
    <mergeCell ref="A5:BS5"/>
    <mergeCell ref="A6:BS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AJ7:AJ9"/>
    <mergeCell ref="BJ7:BJ9"/>
    <mergeCell ref="BK7:BK9"/>
    <mergeCell ref="BL7:BL9"/>
    <mergeCell ref="BM7:BM9"/>
    <mergeCell ref="AE7:AE8"/>
    <mergeCell ref="AF7:AF8"/>
    <mergeCell ref="AG7:AG9"/>
    <mergeCell ref="AH7:AH9"/>
    <mergeCell ref="AI7:AI9"/>
    <mergeCell ref="BP7:BP9"/>
    <mergeCell ref="BQ7:BQ9"/>
    <mergeCell ref="BR7:BR9"/>
    <mergeCell ref="BS7:BS9"/>
    <mergeCell ref="BO7:BO9"/>
    <mergeCell ref="M7:M8"/>
    <mergeCell ref="N7:N8"/>
    <mergeCell ref="O7:O8"/>
    <mergeCell ref="P7:P8"/>
    <mergeCell ref="Q7:Q8"/>
    <mergeCell ref="AB7:AB8"/>
    <mergeCell ref="AC7:AC8"/>
    <mergeCell ref="AD7:AD8"/>
    <mergeCell ref="R7:R8"/>
    <mergeCell ref="X7:X8"/>
    <mergeCell ref="Y7:Y8"/>
    <mergeCell ref="Z7:Z8"/>
    <mergeCell ref="AA7:AA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"/>
  <sheetViews>
    <sheetView workbookViewId="0">
      <selection activeCell="S12" sqref="S12"/>
    </sheetView>
  </sheetViews>
  <sheetFormatPr defaultRowHeight="12.75" x14ac:dyDescent="0.2"/>
  <cols>
    <col min="3" max="3" width="13.5703125" customWidth="1"/>
    <col min="4" max="4" width="12.85546875" customWidth="1"/>
  </cols>
  <sheetData>
    <row r="1" spans="1:19" x14ac:dyDescent="0.2">
      <c r="A1" t="s">
        <v>64</v>
      </c>
    </row>
    <row r="3" spans="1:19" x14ac:dyDescent="0.2">
      <c r="A3" t="s">
        <v>20</v>
      </c>
      <c r="B3" t="s">
        <v>65</v>
      </c>
      <c r="C3" t="s">
        <v>66</v>
      </c>
      <c r="D3" t="s">
        <v>67</v>
      </c>
      <c r="G3" t="s">
        <v>68</v>
      </c>
      <c r="H3" t="s">
        <v>75</v>
      </c>
      <c r="I3" t="s">
        <v>76</v>
      </c>
      <c r="J3" s="4" t="s">
        <v>66</v>
      </c>
      <c r="K3" s="4" t="s">
        <v>67</v>
      </c>
      <c r="N3" t="s">
        <v>77</v>
      </c>
    </row>
    <row r="4" spans="1:19" x14ac:dyDescent="0.2">
      <c r="A4" t="s">
        <v>28</v>
      </c>
      <c r="B4">
        <v>0.2</v>
      </c>
      <c r="C4">
        <v>2014</v>
      </c>
      <c r="D4">
        <v>2015</v>
      </c>
      <c r="G4" t="s">
        <v>69</v>
      </c>
      <c r="H4">
        <v>70</v>
      </c>
      <c r="I4">
        <v>100</v>
      </c>
      <c r="J4" s="4">
        <v>2014</v>
      </c>
      <c r="K4" s="4">
        <v>2015</v>
      </c>
    </row>
    <row r="5" spans="1:19" x14ac:dyDescent="0.2">
      <c r="A5" t="s">
        <v>29</v>
      </c>
      <c r="C5" s="4">
        <v>2014</v>
      </c>
      <c r="D5" s="4">
        <v>2015</v>
      </c>
      <c r="G5" t="s">
        <v>70</v>
      </c>
      <c r="H5">
        <v>60</v>
      </c>
      <c r="I5">
        <v>69</v>
      </c>
      <c r="J5" s="4">
        <v>2014</v>
      </c>
      <c r="K5" s="4">
        <v>2015</v>
      </c>
    </row>
    <row r="6" spans="1:19" x14ac:dyDescent="0.2">
      <c r="A6" t="s">
        <v>30</v>
      </c>
      <c r="C6" s="4">
        <v>2014</v>
      </c>
      <c r="D6" s="4">
        <v>2015</v>
      </c>
      <c r="G6" t="s">
        <v>71</v>
      </c>
      <c r="H6">
        <v>50</v>
      </c>
      <c r="I6">
        <v>59</v>
      </c>
      <c r="J6" s="4">
        <v>2014</v>
      </c>
      <c r="K6" s="4">
        <v>2015</v>
      </c>
    </row>
    <row r="7" spans="1:19" x14ac:dyDescent="0.2">
      <c r="A7" t="s">
        <v>31</v>
      </c>
      <c r="C7" s="4">
        <v>2014</v>
      </c>
      <c r="D7" s="4">
        <v>2015</v>
      </c>
      <c r="G7" t="s">
        <v>72</v>
      </c>
      <c r="H7">
        <v>41</v>
      </c>
      <c r="I7">
        <v>45</v>
      </c>
      <c r="J7" s="4">
        <v>2014</v>
      </c>
      <c r="K7" s="4">
        <v>2015</v>
      </c>
    </row>
    <row r="8" spans="1:19" x14ac:dyDescent="0.2">
      <c r="A8" t="s">
        <v>32</v>
      </c>
      <c r="C8" s="4">
        <v>2014</v>
      </c>
      <c r="D8" s="4">
        <v>2015</v>
      </c>
      <c r="G8" t="s">
        <v>73</v>
      </c>
      <c r="H8">
        <v>40</v>
      </c>
      <c r="I8">
        <v>44</v>
      </c>
      <c r="J8" s="4">
        <v>2014</v>
      </c>
      <c r="K8" s="4">
        <v>2015</v>
      </c>
      <c r="N8" t="s">
        <v>73</v>
      </c>
      <c r="O8">
        <v>30</v>
      </c>
      <c r="P8">
        <v>40</v>
      </c>
      <c r="Q8">
        <v>2014</v>
      </c>
      <c r="R8">
        <v>2014</v>
      </c>
      <c r="S8" t="s">
        <v>78</v>
      </c>
    </row>
    <row r="9" spans="1:19" x14ac:dyDescent="0.2">
      <c r="A9" t="s">
        <v>28</v>
      </c>
      <c r="B9">
        <v>0.1</v>
      </c>
      <c r="C9" s="4">
        <v>2016</v>
      </c>
      <c r="D9" s="4">
        <v>2019</v>
      </c>
      <c r="G9" t="s">
        <v>74</v>
      </c>
      <c r="H9">
        <v>0</v>
      </c>
      <c r="I9">
        <v>39</v>
      </c>
      <c r="J9" s="4">
        <v>2016</v>
      </c>
      <c r="K9" s="4">
        <v>2019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75"/>
  <sheetViews>
    <sheetView topLeftCell="O1" workbookViewId="0">
      <selection activeCell="Z12" sqref="Z12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20"/>
    <col min="26" max="26" width="26.85546875" customWidth="1"/>
    <col min="27" max="27" width="32.42578125" customWidth="1"/>
    <col min="28" max="28" width="15.85546875" customWidth="1"/>
  </cols>
  <sheetData>
    <row r="1" spans="1:31" x14ac:dyDescent="0.2">
      <c r="Z1" s="115"/>
      <c r="AA1" s="115"/>
      <c r="AB1" s="115"/>
      <c r="AC1" s="115"/>
      <c r="AD1" s="115"/>
      <c r="AE1" s="115"/>
    </row>
    <row r="2" spans="1:31" ht="15.75" x14ac:dyDescent="0.25">
      <c r="Z2" s="2"/>
      <c r="AA2" s="2"/>
      <c r="AB2" s="2"/>
      <c r="AC2" s="2"/>
      <c r="AD2" s="2"/>
      <c r="AE2" s="2"/>
    </row>
    <row r="3" spans="1:31" ht="15.75" x14ac:dyDescent="0.25">
      <c r="Z3" s="2"/>
      <c r="AA3" s="2"/>
      <c r="AB3" s="2"/>
      <c r="AC3" s="2"/>
      <c r="AD3" s="2"/>
      <c r="AE3" s="2"/>
    </row>
    <row r="4" spans="1:31" ht="15.75" x14ac:dyDescent="0.25">
      <c r="Z4" s="2"/>
      <c r="AA4" s="2"/>
      <c r="AB4" s="2"/>
      <c r="AC4" s="2"/>
      <c r="AD4" s="2"/>
      <c r="AE4" s="2"/>
    </row>
    <row r="5" spans="1:31" ht="15.75" x14ac:dyDescent="0.25">
      <c r="Z5" s="2"/>
      <c r="AA5" s="2"/>
      <c r="AB5" s="2"/>
      <c r="AC5" s="2"/>
      <c r="AD5" s="2"/>
      <c r="AE5" s="2"/>
    </row>
    <row r="6" spans="1:31" ht="16.5" thickBot="1" x14ac:dyDescent="0.3">
      <c r="Z6" s="2" t="s">
        <v>79</v>
      </c>
      <c r="AA6" s="2"/>
      <c r="AB6" s="2"/>
      <c r="AC6" s="2"/>
      <c r="AD6" s="2"/>
      <c r="AE6" s="2"/>
    </row>
    <row r="7" spans="1:31" ht="13.5" customHeight="1" thickBot="1" x14ac:dyDescent="0.25">
      <c r="A7" s="196" t="s">
        <v>3</v>
      </c>
      <c r="B7" s="225" t="s">
        <v>4</v>
      </c>
      <c r="C7" s="229" t="s">
        <v>5</v>
      </c>
      <c r="D7" s="230" t="s">
        <v>20</v>
      </c>
      <c r="E7" s="231"/>
      <c r="F7" s="231"/>
      <c r="G7" s="231"/>
      <c r="H7" s="232"/>
      <c r="I7" s="155"/>
      <c r="J7" s="156"/>
      <c r="K7" s="226" t="s">
        <v>86</v>
      </c>
      <c r="L7" s="227"/>
      <c r="M7" s="227"/>
      <c r="N7" s="227"/>
      <c r="O7" s="227"/>
      <c r="P7" s="228"/>
      <c r="Q7" s="226" t="s">
        <v>87</v>
      </c>
      <c r="R7" s="227"/>
      <c r="S7" s="227"/>
      <c r="T7" s="227"/>
      <c r="U7" s="227"/>
      <c r="V7" s="227"/>
      <c r="W7" s="168"/>
      <c r="X7" s="122"/>
      <c r="Y7" s="226" t="s">
        <v>79</v>
      </c>
      <c r="Z7" s="227"/>
      <c r="AA7" s="227"/>
      <c r="AB7" s="227"/>
      <c r="AC7" s="227"/>
      <c r="AD7" s="227"/>
      <c r="AE7" s="228"/>
    </row>
    <row r="8" spans="1:31" ht="13.5" customHeight="1" thickBot="1" x14ac:dyDescent="0.25">
      <c r="A8" s="223"/>
      <c r="B8" s="209"/>
      <c r="C8" s="200"/>
      <c r="D8" s="121"/>
      <c r="E8" s="122"/>
      <c r="F8" s="122"/>
      <c r="G8" s="123"/>
      <c r="H8" s="123"/>
      <c r="I8" s="123"/>
      <c r="J8" s="123"/>
      <c r="K8" s="158">
        <v>0</v>
      </c>
      <c r="L8" s="158">
        <v>0.15</v>
      </c>
      <c r="M8" s="158">
        <v>0.15</v>
      </c>
      <c r="N8" s="159">
        <v>0.2</v>
      </c>
      <c r="O8" s="160">
        <v>0.5</v>
      </c>
      <c r="P8" s="160"/>
      <c r="Q8" s="158">
        <v>0.05</v>
      </c>
      <c r="R8" s="158">
        <v>0.1</v>
      </c>
      <c r="S8" s="158">
        <v>0.15</v>
      </c>
      <c r="T8" s="159">
        <v>0.2</v>
      </c>
      <c r="U8" s="160">
        <v>0.5</v>
      </c>
      <c r="V8" s="166"/>
      <c r="W8" s="169"/>
      <c r="X8" s="122"/>
      <c r="Y8" s="174"/>
      <c r="Z8" s="173"/>
      <c r="AA8" s="173"/>
      <c r="AB8" s="175"/>
      <c r="AC8" s="173"/>
      <c r="AD8" s="173"/>
      <c r="AE8" s="173"/>
    </row>
    <row r="9" spans="1:31" ht="13.5" customHeight="1" thickBot="1" x14ac:dyDescent="0.25">
      <c r="A9" s="224"/>
      <c r="B9" s="210"/>
      <c r="C9" s="201"/>
      <c r="D9" s="161" t="s">
        <v>28</v>
      </c>
      <c r="E9" s="162" t="s">
        <v>29</v>
      </c>
      <c r="F9" s="162" t="s">
        <v>30</v>
      </c>
      <c r="G9" s="162" t="s">
        <v>31</v>
      </c>
      <c r="H9" s="165" t="s">
        <v>32</v>
      </c>
      <c r="I9" s="164" t="s">
        <v>80</v>
      </c>
      <c r="J9" s="157" t="s">
        <v>33</v>
      </c>
      <c r="K9" s="161" t="s">
        <v>28</v>
      </c>
      <c r="L9" s="162" t="s">
        <v>29</v>
      </c>
      <c r="M9" s="162" t="s">
        <v>30</v>
      </c>
      <c r="N9" s="162" t="s">
        <v>31</v>
      </c>
      <c r="O9" s="162" t="s">
        <v>32</v>
      </c>
      <c r="P9" s="163" t="s">
        <v>88</v>
      </c>
      <c r="Q9" s="161" t="s">
        <v>28</v>
      </c>
      <c r="R9" s="162" t="s">
        <v>29</v>
      </c>
      <c r="S9" s="162" t="s">
        <v>30</v>
      </c>
      <c r="T9" s="162" t="s">
        <v>31</v>
      </c>
      <c r="U9" s="162" t="s">
        <v>32</v>
      </c>
      <c r="V9" s="167" t="s">
        <v>89</v>
      </c>
      <c r="W9" s="170" t="s">
        <v>82</v>
      </c>
      <c r="X9" s="171"/>
      <c r="Y9" s="172" t="s">
        <v>90</v>
      </c>
      <c r="Z9" s="173" t="s">
        <v>23</v>
      </c>
      <c r="AA9" s="173" t="s">
        <v>24</v>
      </c>
      <c r="AB9" s="173" t="s">
        <v>45</v>
      </c>
      <c r="AC9" s="173" t="s">
        <v>25</v>
      </c>
      <c r="AD9" s="173" t="s">
        <v>26</v>
      </c>
      <c r="AE9" s="173" t="s">
        <v>27</v>
      </c>
    </row>
    <row r="10" spans="1:31" ht="15.75" x14ac:dyDescent="0.25">
      <c r="A10" s="14">
        <v>1</v>
      </c>
      <c r="B10" s="15" t="s">
        <v>46</v>
      </c>
      <c r="C10" s="16" t="str">
        <f>D10 &amp; " " &amp; E10</f>
        <v>3.4 3.6</v>
      </c>
      <c r="D10" s="116">
        <v>3.4</v>
      </c>
      <c r="E10" s="116">
        <v>3.6</v>
      </c>
      <c r="F10" s="116">
        <v>3.9</v>
      </c>
      <c r="G10" s="116">
        <v>4.5999999999999996</v>
      </c>
      <c r="H10" s="116">
        <v>4.7</v>
      </c>
      <c r="I10" s="127" t="s">
        <v>85</v>
      </c>
      <c r="J10" s="127" t="s">
        <v>81</v>
      </c>
      <c r="K10" s="116">
        <f>D10*$K$8</f>
        <v>0</v>
      </c>
      <c r="L10" s="119">
        <f>E10*$L$8</f>
        <v>0.54</v>
      </c>
      <c r="M10" s="119">
        <f>F10*$M$8</f>
        <v>0.58499999999999996</v>
      </c>
      <c r="N10" s="119">
        <f>G10*$N$8</f>
        <v>0.91999999999999993</v>
      </c>
      <c r="O10" s="119">
        <f>H10*$O$8</f>
        <v>2.35</v>
      </c>
      <c r="P10" s="116">
        <f>SUM(K10:O10)</f>
        <v>4.3949999999999996</v>
      </c>
      <c r="Q10" s="119">
        <f>D10*$Q$8</f>
        <v>0.17</v>
      </c>
      <c r="R10" s="119">
        <f>E10*$R$8</f>
        <v>0.36000000000000004</v>
      </c>
      <c r="S10" s="119">
        <f>F10*$S$8</f>
        <v>0.58499999999999996</v>
      </c>
      <c r="T10" s="119">
        <f>G10*$T$8</f>
        <v>0.91999999999999993</v>
      </c>
      <c r="U10" s="119">
        <f>H10*$U$8</f>
        <v>2.35</v>
      </c>
      <c r="V10" s="119">
        <f>SUM(Q10:U10)</f>
        <v>4.3849999999999998</v>
      </c>
      <c r="W10" s="119">
        <f>IF(J10="DE",P10,V10)</f>
        <v>4.3849999999999998</v>
      </c>
      <c r="X10" s="122"/>
      <c r="Y10" s="125"/>
      <c r="Z10" s="27" t="s">
        <v>9</v>
      </c>
      <c r="AA10" s="28"/>
      <c r="AB10" s="29"/>
      <c r="AC10" s="30"/>
      <c r="AD10" s="28"/>
      <c r="AE10" s="28"/>
    </row>
    <row r="11" spans="1:31" ht="15.75" x14ac:dyDescent="0.25">
      <c r="A11" s="20">
        <v>2</v>
      </c>
      <c r="B11" s="24"/>
      <c r="C11" s="32"/>
      <c r="D11" s="125"/>
      <c r="E11" s="125"/>
      <c r="F11" s="125"/>
      <c r="G11" s="125"/>
      <c r="H11" s="125"/>
      <c r="I11" s="125"/>
      <c r="J11" s="126" t="s">
        <v>58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2"/>
      <c r="Y11" s="125"/>
      <c r="Z11" s="27"/>
      <c r="AA11" s="33"/>
      <c r="AB11" s="29"/>
      <c r="AC11" s="33"/>
      <c r="AD11" s="33"/>
      <c r="AE11" s="28"/>
    </row>
    <row r="12" spans="1:31" ht="15.75" x14ac:dyDescent="0.25">
      <c r="A12" s="20">
        <v>3</v>
      </c>
      <c r="B12" s="24"/>
      <c r="C12" s="32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2"/>
      <c r="Y12" s="125"/>
      <c r="Z12" s="27"/>
      <c r="AA12" s="33"/>
      <c r="AB12" s="29"/>
      <c r="AC12" s="33"/>
      <c r="AD12" s="33"/>
      <c r="AE12" s="28"/>
    </row>
    <row r="13" spans="1:31" ht="15.75" x14ac:dyDescent="0.25">
      <c r="A13" s="20">
        <v>4</v>
      </c>
      <c r="B13" s="24"/>
      <c r="C13" s="32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2"/>
      <c r="Y13" s="125"/>
      <c r="Z13" s="27"/>
      <c r="AA13" s="33"/>
      <c r="AB13" s="29"/>
      <c r="AC13" s="33"/>
      <c r="AD13" s="33"/>
      <c r="AE13" s="28"/>
    </row>
    <row r="14" spans="1:31" ht="15.75" x14ac:dyDescent="0.25">
      <c r="A14" s="20">
        <v>5</v>
      </c>
      <c r="B14" s="24"/>
      <c r="C14" s="32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2"/>
      <c r="Y14" s="125"/>
      <c r="Z14" s="27"/>
      <c r="AA14" s="33"/>
      <c r="AB14" s="29"/>
      <c r="AC14" s="33"/>
      <c r="AD14" s="33"/>
      <c r="AE14" s="28"/>
    </row>
    <row r="15" spans="1:31" ht="15.75" x14ac:dyDescent="0.25">
      <c r="A15" s="20">
        <v>6</v>
      </c>
      <c r="B15" s="24"/>
      <c r="C15" s="32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2"/>
      <c r="Y15" s="125"/>
      <c r="Z15" s="27"/>
      <c r="AA15" s="33"/>
      <c r="AB15" s="29"/>
      <c r="AC15" s="33"/>
      <c r="AD15" s="33"/>
      <c r="AE15" s="28"/>
    </row>
    <row r="16" spans="1:31" ht="15.75" x14ac:dyDescent="0.25">
      <c r="A16" s="20">
        <v>7</v>
      </c>
      <c r="B16" s="24"/>
      <c r="C16" s="32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2"/>
      <c r="Y16" s="125"/>
      <c r="Z16" s="27"/>
      <c r="AA16" s="33"/>
      <c r="AB16" s="29"/>
      <c r="AC16" s="33"/>
      <c r="AD16" s="33"/>
      <c r="AE16" s="28"/>
    </row>
    <row r="17" spans="1:31" ht="15.75" x14ac:dyDescent="0.25">
      <c r="A17" s="20">
        <v>8</v>
      </c>
      <c r="B17" s="24"/>
      <c r="C17" s="32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2"/>
      <c r="Y17" s="125"/>
      <c r="Z17" s="27"/>
      <c r="AA17" s="33"/>
      <c r="AB17" s="29"/>
      <c r="AC17" s="33"/>
      <c r="AD17" s="33"/>
      <c r="AE17" s="28"/>
    </row>
    <row r="18" spans="1:31" ht="15.75" x14ac:dyDescent="0.25">
      <c r="A18" s="20">
        <v>9</v>
      </c>
      <c r="B18" s="24"/>
      <c r="C18" s="32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2"/>
      <c r="Y18" s="125"/>
      <c r="Z18" s="27"/>
      <c r="AA18" s="33"/>
      <c r="AB18" s="29"/>
      <c r="AC18" s="33"/>
      <c r="AD18" s="33"/>
      <c r="AE18" s="28"/>
    </row>
    <row r="19" spans="1:31" ht="15.75" x14ac:dyDescent="0.25">
      <c r="A19" s="20">
        <v>10</v>
      </c>
      <c r="B19" s="24"/>
      <c r="C19" s="32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2"/>
      <c r="Y19" s="125"/>
      <c r="Z19" s="27"/>
      <c r="AA19" s="33"/>
      <c r="AB19" s="29"/>
      <c r="AC19" s="33"/>
      <c r="AD19" s="33"/>
      <c r="AE19" s="28"/>
    </row>
    <row r="20" spans="1:31" ht="15.75" x14ac:dyDescent="0.25">
      <c r="A20" s="20">
        <v>11</v>
      </c>
      <c r="B20" s="24"/>
      <c r="C20" s="32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2"/>
      <c r="Y20" s="125"/>
      <c r="Z20" s="27"/>
      <c r="AA20" s="33"/>
      <c r="AB20" s="29"/>
      <c r="AC20" s="33"/>
      <c r="AD20" s="33"/>
      <c r="AE20" s="28"/>
    </row>
    <row r="21" spans="1:31" ht="15.75" x14ac:dyDescent="0.25">
      <c r="A21" s="20">
        <v>12</v>
      </c>
      <c r="B21" s="24"/>
      <c r="C21" s="32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2"/>
      <c r="Y21" s="125"/>
      <c r="Z21" s="27"/>
      <c r="AA21" s="33"/>
      <c r="AB21" s="29"/>
      <c r="AC21" s="33"/>
      <c r="AD21" s="33"/>
      <c r="AE21" s="28"/>
    </row>
    <row r="22" spans="1:31" ht="15.75" x14ac:dyDescent="0.25">
      <c r="A22" s="20">
        <v>13</v>
      </c>
      <c r="B22" s="24"/>
      <c r="C22" s="32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2"/>
      <c r="Y22" s="125"/>
      <c r="Z22" s="27"/>
      <c r="AA22" s="33"/>
      <c r="AB22" s="29"/>
      <c r="AC22" s="33"/>
      <c r="AD22" s="33"/>
      <c r="AE22" s="28"/>
    </row>
    <row r="23" spans="1:31" ht="15.75" x14ac:dyDescent="0.25">
      <c r="A23" s="20">
        <v>14</v>
      </c>
      <c r="B23" s="24"/>
      <c r="C23" s="32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2"/>
      <c r="Y23" s="125"/>
      <c r="Z23" s="27"/>
      <c r="AA23" s="33"/>
      <c r="AB23" s="29"/>
      <c r="AC23" s="33"/>
      <c r="AD23" s="33"/>
      <c r="AE23" s="28"/>
    </row>
    <row r="24" spans="1:31" ht="15.75" x14ac:dyDescent="0.25">
      <c r="A24" s="20">
        <v>15</v>
      </c>
      <c r="B24" s="24"/>
      <c r="C24" s="32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2"/>
      <c r="Y24" s="125"/>
      <c r="Z24" s="27"/>
      <c r="AA24" s="33"/>
      <c r="AB24" s="29"/>
      <c r="AC24" s="33"/>
      <c r="AD24" s="33"/>
      <c r="AE24" s="28"/>
    </row>
    <row r="25" spans="1:31" ht="15.75" x14ac:dyDescent="0.25">
      <c r="A25" s="20">
        <v>16</v>
      </c>
      <c r="B25" s="24"/>
      <c r="C25" s="32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2"/>
      <c r="Y25" s="125"/>
      <c r="Z25" s="27"/>
      <c r="AA25" s="33"/>
      <c r="AB25" s="29"/>
      <c r="AC25" s="33"/>
      <c r="AD25" s="33"/>
      <c r="AE25" s="28"/>
    </row>
    <row r="26" spans="1:31" ht="15.75" x14ac:dyDescent="0.25">
      <c r="A26" s="20">
        <v>17</v>
      </c>
      <c r="B26" s="24"/>
      <c r="C26" s="32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2"/>
      <c r="Y26" s="125"/>
      <c r="Z26" s="27"/>
      <c r="AA26" s="33"/>
      <c r="AB26" s="29"/>
      <c r="AC26" s="33"/>
      <c r="AD26" s="33"/>
      <c r="AE26" s="28"/>
    </row>
    <row r="27" spans="1:31" ht="15.75" x14ac:dyDescent="0.25">
      <c r="A27" s="20">
        <v>18</v>
      </c>
      <c r="B27" s="24"/>
      <c r="C27" s="32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2"/>
      <c r="Y27" s="125"/>
      <c r="Z27" s="27"/>
      <c r="AA27" s="33"/>
      <c r="AB27" s="29"/>
      <c r="AC27" s="33"/>
      <c r="AD27" s="33"/>
      <c r="AE27" s="28"/>
    </row>
    <row r="28" spans="1:31" ht="15.75" x14ac:dyDescent="0.25">
      <c r="A28" s="20">
        <v>19</v>
      </c>
      <c r="B28" s="24"/>
      <c r="C28" s="32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2"/>
      <c r="Y28" s="125"/>
      <c r="Z28" s="27"/>
      <c r="AA28" s="33"/>
      <c r="AB28" s="29"/>
      <c r="AC28" s="33"/>
      <c r="AD28" s="33"/>
      <c r="AE28" s="28"/>
    </row>
    <row r="29" spans="1:31" ht="15.75" x14ac:dyDescent="0.25">
      <c r="A29" s="20">
        <v>20</v>
      </c>
      <c r="B29" s="24"/>
      <c r="C29" s="32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2"/>
      <c r="Y29" s="125"/>
      <c r="Z29" s="27"/>
      <c r="AA29" s="33"/>
      <c r="AB29" s="29"/>
      <c r="AC29" s="33"/>
      <c r="AD29" s="33"/>
      <c r="AE29" s="28"/>
    </row>
    <row r="30" spans="1:31" ht="15.75" x14ac:dyDescent="0.25">
      <c r="A30" s="20">
        <v>21</v>
      </c>
      <c r="B30" s="24"/>
      <c r="C30" s="32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2"/>
      <c r="Y30" s="125"/>
      <c r="Z30" s="27"/>
      <c r="AA30" s="33"/>
      <c r="AB30" s="29"/>
      <c r="AC30" s="33"/>
      <c r="AD30" s="33"/>
      <c r="AE30" s="28"/>
    </row>
    <row r="31" spans="1:31" ht="15.75" x14ac:dyDescent="0.25">
      <c r="A31" s="20">
        <v>22</v>
      </c>
      <c r="B31" s="24"/>
      <c r="C31" s="32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2"/>
      <c r="Y31" s="125"/>
      <c r="Z31" s="27"/>
      <c r="AA31" s="33"/>
      <c r="AB31" s="29"/>
      <c r="AC31" s="33"/>
      <c r="AD31" s="33"/>
      <c r="AE31" s="28"/>
    </row>
    <row r="32" spans="1:31" ht="15.75" x14ac:dyDescent="0.25">
      <c r="A32" s="20">
        <v>23</v>
      </c>
      <c r="B32" s="24"/>
      <c r="C32" s="32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2"/>
      <c r="Y32" s="125"/>
      <c r="Z32" s="27"/>
      <c r="AA32" s="33"/>
      <c r="AB32" s="29"/>
      <c r="AC32" s="33"/>
      <c r="AD32" s="33"/>
      <c r="AE32" s="28"/>
    </row>
    <row r="33" spans="1:31" ht="15.75" x14ac:dyDescent="0.25">
      <c r="A33" s="20">
        <v>24</v>
      </c>
      <c r="B33" s="24"/>
      <c r="C33" s="32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2"/>
      <c r="Y33" s="125"/>
      <c r="Z33" s="27"/>
      <c r="AA33" s="33"/>
      <c r="AB33" s="29"/>
      <c r="AC33" s="33"/>
      <c r="AD33" s="33"/>
      <c r="AE33" s="28"/>
    </row>
    <row r="34" spans="1:31" ht="15.75" x14ac:dyDescent="0.25">
      <c r="A34" s="20">
        <v>25</v>
      </c>
      <c r="B34" s="24"/>
      <c r="C34" s="32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2"/>
      <c r="Y34" s="125"/>
      <c r="Z34" s="27"/>
      <c r="AA34" s="33"/>
      <c r="AB34" s="29"/>
      <c r="AC34" s="33"/>
      <c r="AD34" s="33"/>
      <c r="AE34" s="28"/>
    </row>
    <row r="35" spans="1:31" ht="15.75" x14ac:dyDescent="0.25">
      <c r="A35" s="20">
        <v>26</v>
      </c>
      <c r="B35" s="24"/>
      <c r="C35" s="32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2"/>
      <c r="Y35" s="125"/>
      <c r="Z35" s="27"/>
      <c r="AA35" s="33"/>
      <c r="AB35" s="29"/>
      <c r="AC35" s="33"/>
      <c r="AD35" s="33"/>
      <c r="AE35" s="28"/>
    </row>
    <row r="36" spans="1:31" ht="15.75" x14ac:dyDescent="0.25">
      <c r="A36" s="20">
        <v>27</v>
      </c>
      <c r="B36" s="24"/>
      <c r="C36" s="32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2"/>
      <c r="Y36" s="125"/>
      <c r="Z36" s="27"/>
      <c r="AA36" s="33"/>
      <c r="AB36" s="29"/>
      <c r="AC36" s="33"/>
      <c r="AD36" s="33"/>
      <c r="AE36" s="28"/>
    </row>
    <row r="37" spans="1:31" ht="15.75" x14ac:dyDescent="0.25">
      <c r="A37" s="20">
        <v>28</v>
      </c>
      <c r="B37" s="24"/>
      <c r="C37" s="32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2"/>
      <c r="Y37" s="125"/>
      <c r="Z37" s="27"/>
      <c r="AA37" s="33"/>
      <c r="AB37" s="29"/>
      <c r="AC37" s="33"/>
      <c r="AD37" s="33"/>
      <c r="AE37" s="28"/>
    </row>
    <row r="38" spans="1:31" ht="15.75" x14ac:dyDescent="0.25">
      <c r="A38" s="20">
        <v>29</v>
      </c>
      <c r="B38" s="24"/>
      <c r="C38" s="32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2"/>
      <c r="Y38" s="125"/>
      <c r="Z38" s="27"/>
      <c r="AA38" s="33"/>
      <c r="AB38" s="29"/>
      <c r="AC38" s="33"/>
      <c r="AD38" s="33"/>
      <c r="AE38" s="28"/>
    </row>
    <row r="39" spans="1:31" ht="15.75" x14ac:dyDescent="0.25">
      <c r="A39" s="20">
        <v>30</v>
      </c>
      <c r="B39" s="24"/>
      <c r="C39" s="32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2"/>
      <c r="Y39" s="125"/>
      <c r="Z39" s="27"/>
      <c r="AA39" s="33"/>
      <c r="AB39" s="29"/>
      <c r="AC39" s="33"/>
      <c r="AD39" s="33"/>
      <c r="AE39" s="28"/>
    </row>
    <row r="40" spans="1:31" ht="15.75" x14ac:dyDescent="0.25">
      <c r="A40" s="20">
        <v>31</v>
      </c>
      <c r="B40" s="24"/>
      <c r="C40" s="32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2"/>
      <c r="Y40" s="125"/>
      <c r="Z40" s="27"/>
      <c r="AA40" s="33"/>
      <c r="AB40" s="29"/>
      <c r="AC40" s="33"/>
      <c r="AD40" s="33"/>
      <c r="AE40" s="28"/>
    </row>
    <row r="41" spans="1:31" ht="15.75" x14ac:dyDescent="0.25">
      <c r="A41" s="20">
        <v>32</v>
      </c>
      <c r="B41" s="24"/>
      <c r="C41" s="32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2"/>
      <c r="Y41" s="125"/>
      <c r="Z41" s="27"/>
      <c r="AA41" s="33"/>
      <c r="AB41" s="29"/>
      <c r="AC41" s="33"/>
      <c r="AD41" s="33"/>
      <c r="AE41" s="28"/>
    </row>
    <row r="42" spans="1:31" ht="15.75" x14ac:dyDescent="0.25">
      <c r="A42" s="20">
        <v>33</v>
      </c>
      <c r="B42" s="24"/>
      <c r="C42" s="32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2"/>
      <c r="Y42" s="125"/>
      <c r="Z42" s="27"/>
      <c r="AA42" s="33"/>
      <c r="AB42" s="29"/>
      <c r="AC42" s="33"/>
      <c r="AD42" s="33"/>
      <c r="AE42" s="28"/>
    </row>
    <row r="43" spans="1:31" ht="15.75" x14ac:dyDescent="0.25">
      <c r="A43" s="20">
        <v>34</v>
      </c>
      <c r="B43" s="24"/>
      <c r="C43" s="32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2"/>
      <c r="Y43" s="125"/>
      <c r="Z43" s="27"/>
      <c r="AA43" s="33"/>
      <c r="AB43" s="29"/>
      <c r="AC43" s="33"/>
      <c r="AD43" s="33"/>
      <c r="AE43" s="28"/>
    </row>
    <row r="44" spans="1:31" ht="15.75" x14ac:dyDescent="0.25">
      <c r="A44" s="20">
        <v>35</v>
      </c>
      <c r="B44" s="24"/>
      <c r="C44" s="32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2"/>
      <c r="Y44" s="125"/>
      <c r="Z44" s="27"/>
      <c r="AA44" s="33"/>
      <c r="AB44" s="29"/>
      <c r="AC44" s="33"/>
      <c r="AD44" s="33"/>
      <c r="AE44" s="28"/>
    </row>
    <row r="45" spans="1:31" ht="15.75" x14ac:dyDescent="0.25">
      <c r="A45" s="20">
        <v>36</v>
      </c>
      <c r="B45" s="24"/>
      <c r="C45" s="32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2"/>
      <c r="Y45" s="125"/>
      <c r="Z45" s="27"/>
      <c r="AA45" s="33"/>
      <c r="AB45" s="29"/>
      <c r="AC45" s="33"/>
      <c r="AD45" s="33"/>
      <c r="AE45" s="28"/>
    </row>
    <row r="46" spans="1:31" ht="15.75" x14ac:dyDescent="0.25">
      <c r="A46" s="20">
        <v>37</v>
      </c>
      <c r="B46" s="24"/>
      <c r="C46" s="32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2"/>
      <c r="Y46" s="125"/>
      <c r="Z46" s="27"/>
      <c r="AA46" s="33"/>
      <c r="AB46" s="29"/>
      <c r="AC46" s="33"/>
      <c r="AD46" s="33"/>
      <c r="AE46" s="28"/>
    </row>
    <row r="47" spans="1:31" ht="15.75" x14ac:dyDescent="0.25">
      <c r="A47" s="20">
        <v>38</v>
      </c>
      <c r="B47" s="24"/>
      <c r="C47" s="32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2"/>
      <c r="Y47" s="125"/>
      <c r="Z47" s="27"/>
      <c r="AA47" s="33"/>
      <c r="AB47" s="29"/>
      <c r="AC47" s="33"/>
      <c r="AD47" s="33"/>
      <c r="AE47" s="28"/>
    </row>
    <row r="48" spans="1:31" ht="15.75" x14ac:dyDescent="0.25">
      <c r="A48" s="20">
        <v>39</v>
      </c>
      <c r="B48" s="24"/>
      <c r="C48" s="32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2"/>
      <c r="Y48" s="125"/>
      <c r="Z48" s="27"/>
      <c r="AA48" s="33"/>
      <c r="AB48" s="29"/>
      <c r="AC48" s="33"/>
      <c r="AD48" s="33"/>
      <c r="AE48" s="28"/>
    </row>
    <row r="49" spans="1:31" ht="15.75" x14ac:dyDescent="0.25">
      <c r="A49" s="20">
        <v>40</v>
      </c>
      <c r="B49" s="24"/>
      <c r="C49" s="32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2"/>
      <c r="Y49" s="125"/>
      <c r="Z49" s="27"/>
      <c r="AA49" s="33"/>
      <c r="AB49" s="29"/>
      <c r="AC49" s="33"/>
      <c r="AD49" s="33"/>
      <c r="AE49" s="28"/>
    </row>
    <row r="50" spans="1:31" ht="15.75" x14ac:dyDescent="0.25">
      <c r="A50" s="20">
        <v>41</v>
      </c>
      <c r="B50" s="24"/>
      <c r="C50" s="32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2"/>
      <c r="Y50" s="125"/>
      <c r="Z50" s="27"/>
      <c r="AA50" s="33"/>
      <c r="AB50" s="29"/>
      <c r="AC50" s="33"/>
      <c r="AD50" s="33"/>
      <c r="AE50" s="28"/>
    </row>
    <row r="51" spans="1:31" ht="15.75" x14ac:dyDescent="0.25">
      <c r="A51" s="20">
        <v>42</v>
      </c>
      <c r="B51" s="24"/>
      <c r="C51" s="32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2"/>
      <c r="Y51" s="125"/>
      <c r="Z51" s="27"/>
      <c r="AA51" s="33"/>
      <c r="AB51" s="29"/>
      <c r="AC51" s="33"/>
      <c r="AD51" s="33"/>
      <c r="AE51" s="28"/>
    </row>
    <row r="52" spans="1:31" ht="15.75" x14ac:dyDescent="0.25">
      <c r="A52" s="20">
        <v>43</v>
      </c>
      <c r="B52" s="24"/>
      <c r="C52" s="32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2"/>
      <c r="Y52" s="125"/>
      <c r="Z52" s="27"/>
      <c r="AA52" s="33"/>
      <c r="AB52" s="29"/>
      <c r="AC52" s="33"/>
      <c r="AD52" s="33"/>
      <c r="AE52" s="28"/>
    </row>
    <row r="53" spans="1:31" ht="15.75" x14ac:dyDescent="0.25">
      <c r="A53" s="20">
        <v>44</v>
      </c>
      <c r="B53" s="24"/>
      <c r="C53" s="32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2"/>
      <c r="Y53" s="125"/>
      <c r="Z53" s="27"/>
      <c r="AA53" s="33"/>
      <c r="AB53" s="29"/>
      <c r="AC53" s="33"/>
      <c r="AD53" s="33"/>
      <c r="AE53" s="28"/>
    </row>
    <row r="54" spans="1:31" ht="15.75" x14ac:dyDescent="0.25">
      <c r="A54" s="20">
        <v>45</v>
      </c>
      <c r="B54" s="24"/>
      <c r="C54" s="32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2"/>
      <c r="Y54" s="125"/>
      <c r="Z54" s="27"/>
      <c r="AA54" s="33"/>
      <c r="AB54" s="29"/>
      <c r="AC54" s="33"/>
      <c r="AD54" s="33"/>
      <c r="AE54" s="28"/>
    </row>
    <row r="55" spans="1:31" ht="15.75" x14ac:dyDescent="0.25">
      <c r="A55" s="20">
        <v>46</v>
      </c>
      <c r="B55" s="24"/>
      <c r="C55" s="32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2"/>
      <c r="Y55" s="125"/>
      <c r="Z55" s="27"/>
      <c r="AA55" s="33"/>
      <c r="AB55" s="29"/>
      <c r="AC55" s="33"/>
      <c r="AD55" s="33"/>
      <c r="AE55" s="28"/>
    </row>
    <row r="56" spans="1:31" ht="15.75" x14ac:dyDescent="0.25">
      <c r="A56" s="20">
        <v>47</v>
      </c>
      <c r="B56" s="24"/>
      <c r="C56" s="32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2"/>
      <c r="Y56" s="125"/>
      <c r="Z56" s="27"/>
      <c r="AA56" s="33"/>
      <c r="AB56" s="29"/>
      <c r="AC56" s="33"/>
      <c r="AD56" s="33"/>
      <c r="AE56" s="28"/>
    </row>
    <row r="57" spans="1:31" ht="15.75" x14ac:dyDescent="0.25">
      <c r="A57" s="20">
        <v>48</v>
      </c>
      <c r="B57" s="24"/>
      <c r="C57" s="32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2"/>
      <c r="Y57" s="125"/>
      <c r="Z57" s="27"/>
      <c r="AA57" s="33"/>
      <c r="AB57" s="29"/>
      <c r="AC57" s="33"/>
      <c r="AD57" s="33"/>
      <c r="AE57" s="28"/>
    </row>
    <row r="58" spans="1:31" ht="15.75" x14ac:dyDescent="0.25">
      <c r="A58" s="20">
        <v>49</v>
      </c>
      <c r="B58" s="24"/>
      <c r="C58" s="32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2"/>
      <c r="Y58" s="125"/>
      <c r="Z58" s="27"/>
      <c r="AA58" s="33"/>
      <c r="AB58" s="29"/>
      <c r="AC58" s="33"/>
      <c r="AD58" s="33"/>
      <c r="AE58" s="28"/>
    </row>
    <row r="59" spans="1:31" ht="15.75" x14ac:dyDescent="0.25">
      <c r="A59" s="20">
        <v>50</v>
      </c>
      <c r="B59" s="24"/>
      <c r="C59" s="32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2"/>
      <c r="Y59" s="125"/>
      <c r="Z59" s="27"/>
      <c r="AA59" s="33"/>
      <c r="AB59" s="29"/>
      <c r="AC59" s="33"/>
      <c r="AD59" s="33"/>
      <c r="AE59" s="28"/>
    </row>
    <row r="60" spans="1:31" ht="15.75" x14ac:dyDescent="0.25">
      <c r="A60" s="20">
        <v>51</v>
      </c>
      <c r="B60" s="24"/>
      <c r="C60" s="32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2"/>
      <c r="Y60" s="125"/>
      <c r="Z60" s="27"/>
      <c r="AA60" s="28"/>
      <c r="AB60" s="40"/>
      <c r="AC60" s="30"/>
      <c r="AD60" s="28"/>
      <c r="AE60" s="28"/>
    </row>
    <row r="61" spans="1:31" ht="15.75" x14ac:dyDescent="0.25">
      <c r="A61" s="20">
        <v>52</v>
      </c>
      <c r="B61" s="24"/>
      <c r="C61" s="32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2"/>
      <c r="Y61" s="125"/>
      <c r="Z61" s="27"/>
      <c r="AA61" s="28"/>
      <c r="AB61" s="29"/>
      <c r="AC61" s="30"/>
      <c r="AD61" s="28"/>
      <c r="AE61" s="28"/>
    </row>
    <row r="62" spans="1:31" ht="15.75" x14ac:dyDescent="0.25">
      <c r="A62" s="20">
        <v>53</v>
      </c>
      <c r="B62" s="24"/>
      <c r="C62" s="32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2"/>
      <c r="Y62" s="125"/>
      <c r="Z62" s="27"/>
      <c r="AA62" s="28"/>
      <c r="AB62" s="40"/>
      <c r="AC62" s="30"/>
      <c r="AD62" s="28"/>
      <c r="AE62" s="28"/>
    </row>
    <row r="63" spans="1:31" ht="15.75" x14ac:dyDescent="0.25">
      <c r="A63" s="20">
        <v>54</v>
      </c>
      <c r="B63" s="24"/>
      <c r="C63" s="32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2"/>
      <c r="Y63" s="125"/>
      <c r="Z63" s="27"/>
      <c r="AA63" s="33"/>
      <c r="AB63" s="40"/>
      <c r="AC63" s="33"/>
      <c r="AD63" s="33"/>
      <c r="AE63" s="28"/>
    </row>
    <row r="64" spans="1:31" ht="16.5" thickBot="1" x14ac:dyDescent="0.3">
      <c r="A64" s="53">
        <v>55</v>
      </c>
      <c r="B64" s="54"/>
      <c r="C64" s="124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2"/>
      <c r="Y64" s="125"/>
      <c r="Z64" s="27"/>
      <c r="AA64" s="33"/>
      <c r="AB64" s="49"/>
      <c r="AC64" s="33"/>
      <c r="AD64" s="33"/>
      <c r="AE64" s="28"/>
    </row>
    <row r="65" spans="26:31" ht="15.75" x14ac:dyDescent="0.25">
      <c r="Z65" s="2"/>
      <c r="AA65" s="2"/>
      <c r="AB65" s="2"/>
      <c r="AC65" s="2"/>
      <c r="AD65" s="2"/>
      <c r="AE65" s="2"/>
    </row>
    <row r="66" spans="26:31" ht="15.75" x14ac:dyDescent="0.25">
      <c r="Z66" s="2"/>
      <c r="AA66" s="2"/>
      <c r="AB66" s="2"/>
      <c r="AC66" s="2"/>
      <c r="AD66" s="2"/>
      <c r="AE66" s="2"/>
    </row>
    <row r="67" spans="26:31" ht="15.75" x14ac:dyDescent="0.25">
      <c r="Z67" s="2"/>
      <c r="AA67" s="2"/>
      <c r="AB67" s="2"/>
      <c r="AC67" s="2"/>
      <c r="AD67" s="2"/>
      <c r="AE67" s="2"/>
    </row>
    <row r="68" spans="26:31" ht="15.75" x14ac:dyDescent="0.25">
      <c r="Z68" s="2"/>
      <c r="AA68" s="2"/>
      <c r="AB68" s="2"/>
      <c r="AC68" s="2"/>
      <c r="AD68" s="2"/>
      <c r="AE68" s="2"/>
    </row>
    <row r="69" spans="26:31" ht="15.75" x14ac:dyDescent="0.25">
      <c r="Z69" s="2"/>
      <c r="AA69" s="2"/>
      <c r="AB69" s="2"/>
      <c r="AC69" s="2"/>
      <c r="AD69" s="2"/>
      <c r="AE69" s="2"/>
    </row>
    <row r="70" spans="26:31" ht="15.75" x14ac:dyDescent="0.25">
      <c r="Z70" s="2"/>
      <c r="AA70" s="2"/>
      <c r="AB70" s="2"/>
      <c r="AC70" s="2"/>
      <c r="AD70" s="2"/>
      <c r="AE70" s="2"/>
    </row>
    <row r="71" spans="26:31" ht="15.75" x14ac:dyDescent="0.25">
      <c r="Z71" s="2"/>
      <c r="AA71" s="2"/>
      <c r="AB71" s="2"/>
      <c r="AC71" s="2"/>
      <c r="AD71" s="2"/>
      <c r="AE71" s="2"/>
    </row>
    <row r="72" spans="26:31" ht="15.75" x14ac:dyDescent="0.25">
      <c r="Z72" s="2"/>
      <c r="AA72" s="2"/>
      <c r="AB72" s="2"/>
      <c r="AC72" s="2"/>
      <c r="AD72" s="2"/>
      <c r="AE72" s="2"/>
    </row>
    <row r="73" spans="26:31" ht="15.75" x14ac:dyDescent="0.25">
      <c r="Z73" s="2"/>
      <c r="AA73" s="2"/>
      <c r="AB73" s="2"/>
      <c r="AC73" s="2"/>
      <c r="AD73" s="2"/>
      <c r="AE73" s="2"/>
    </row>
    <row r="74" spans="26:31" ht="15.75" x14ac:dyDescent="0.25">
      <c r="Z74" s="2"/>
      <c r="AA74" s="2"/>
      <c r="AB74" s="2"/>
      <c r="AC74" s="2"/>
      <c r="AD74" s="2"/>
      <c r="AE74" s="2"/>
    </row>
    <row r="75" spans="26:31" ht="15.75" x14ac:dyDescent="0.25">
      <c r="Z75" s="2"/>
      <c r="AA75" s="2"/>
      <c r="AB75" s="2"/>
      <c r="AC75" s="2"/>
      <c r="AD75" s="2"/>
      <c r="AE75" s="2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Broadsheet</vt:lpstr>
      <vt:lpstr>data</vt:lpstr>
      <vt:lpstr>GPA</vt:lpstr>
      <vt:lpstr>Broadsheet!Print_Area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2021-09-07T23:06:16Z</dcterms:modified>
</cp:coreProperties>
</file>