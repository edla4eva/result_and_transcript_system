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xampp7.4\htdocs\result_and_transcript_system\desktop_src\result_and_transcript_system\result_and_transcript_system\bin\Debug\templates\"/>
    </mc:Choice>
  </mc:AlternateContent>
  <bookViews>
    <workbookView xWindow="120" yWindow="75" windowWidth="7515" windowHeight="2580"/>
  </bookViews>
  <sheets>
    <sheet name="Broadsheet" sheetId="2" r:id="rId1"/>
    <sheet name="Registration" sheetId="7" r:id="rId2"/>
    <sheet name="Grades" sheetId="6" r:id="rId3"/>
    <sheet name="GPA" sheetId="4" r:id="rId4"/>
    <sheet name="data" sheetId="3" r:id="rId5"/>
    <sheet name="AuditLog" sheetId="8" r:id="rId6"/>
  </sheets>
  <definedNames>
    <definedName name="_xlnm.Print_Area" localSheetId="0">Broadsheet!$A$2:$EA$184</definedName>
    <definedName name="_xlnm.Print_Area" localSheetId="1">Registration!$A$2:$EA$184</definedName>
  </definedNames>
  <calcPr calcId="162913"/>
</workbook>
</file>

<file path=xl/calcChain.xml><?xml version="1.0" encoding="utf-8"?>
<calcChain xmlns="http://schemas.openxmlformats.org/spreadsheetml/2006/main">
  <c r="C175" i="7" l="1"/>
  <c r="F174" i="7"/>
  <c r="C174" i="7"/>
  <c r="F173" i="7"/>
  <c r="C173" i="7"/>
  <c r="C172" i="7"/>
  <c r="F171" i="7"/>
  <c r="C171" i="7"/>
  <c r="C170" i="7"/>
  <c r="C169" i="7"/>
  <c r="C168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F56" i="7"/>
  <c r="C56" i="7"/>
  <c r="F55" i="7"/>
  <c r="C55" i="7"/>
  <c r="F54" i="7"/>
  <c r="C54" i="7"/>
  <c r="F53" i="7"/>
  <c r="C53" i="7"/>
  <c r="F52" i="7"/>
  <c r="C52" i="7"/>
  <c r="F51" i="7"/>
  <c r="C51" i="7"/>
  <c r="F50" i="7"/>
  <c r="C50" i="7"/>
  <c r="F49" i="7"/>
  <c r="C49" i="7"/>
  <c r="F48" i="7"/>
  <c r="C48" i="7"/>
  <c r="F47" i="7"/>
  <c r="C47" i="7"/>
  <c r="F46" i="7"/>
  <c r="C46" i="7"/>
  <c r="F45" i="7"/>
  <c r="C45" i="7"/>
  <c r="F44" i="7"/>
  <c r="C44" i="7"/>
  <c r="F43" i="7"/>
  <c r="C43" i="7"/>
  <c r="F42" i="7"/>
  <c r="C42" i="7"/>
  <c r="F41" i="7"/>
  <c r="C41" i="7"/>
  <c r="F40" i="7"/>
  <c r="C40" i="7"/>
  <c r="F39" i="7"/>
  <c r="C39" i="7"/>
  <c r="F38" i="7"/>
  <c r="C38" i="7"/>
  <c r="F37" i="7"/>
  <c r="C37" i="7"/>
  <c r="F36" i="7"/>
  <c r="C36" i="7"/>
  <c r="F35" i="7"/>
  <c r="C35" i="7"/>
  <c r="F34" i="7"/>
  <c r="C34" i="7"/>
  <c r="F33" i="7"/>
  <c r="C33" i="7"/>
  <c r="F32" i="7"/>
  <c r="C32" i="7"/>
  <c r="F31" i="7"/>
  <c r="C31" i="7"/>
  <c r="F30" i="7"/>
  <c r="C30" i="7"/>
  <c r="F29" i="7"/>
  <c r="C29" i="7"/>
  <c r="F28" i="7"/>
  <c r="C28" i="7"/>
  <c r="F27" i="7"/>
  <c r="C27" i="7"/>
  <c r="F26" i="7"/>
  <c r="C26" i="7"/>
  <c r="F25" i="7"/>
  <c r="C25" i="7"/>
  <c r="F24" i="7"/>
  <c r="C24" i="7"/>
  <c r="F23" i="7"/>
  <c r="C23" i="7"/>
  <c r="F22" i="7"/>
  <c r="C22" i="7"/>
  <c r="F21" i="7"/>
  <c r="C21" i="7"/>
  <c r="F20" i="7"/>
  <c r="C20" i="7"/>
  <c r="F19" i="7"/>
  <c r="C19" i="7"/>
  <c r="F18" i="7"/>
  <c r="C18" i="7"/>
  <c r="F17" i="7"/>
  <c r="C17" i="7"/>
  <c r="F16" i="7"/>
  <c r="C16" i="7"/>
  <c r="F15" i="7"/>
  <c r="C15" i="7"/>
  <c r="F14" i="7"/>
  <c r="C14" i="7"/>
  <c r="C13" i="7"/>
  <c r="C12" i="7"/>
  <c r="DT11" i="7"/>
  <c r="C11" i="7"/>
  <c r="EA10" i="7"/>
  <c r="BM178" i="7" s="1"/>
  <c r="BM179" i="7" s="1"/>
  <c r="DT10" i="7"/>
  <c r="DW10" i="7" s="1"/>
  <c r="BK10" i="7"/>
  <c r="C10" i="7"/>
  <c r="BO7" i="7"/>
  <c r="V7" i="7"/>
  <c r="U7" i="7"/>
  <c r="T7" i="7"/>
  <c r="S7" i="7"/>
  <c r="R7" i="7"/>
  <c r="Q7" i="7"/>
  <c r="P7" i="7"/>
  <c r="O7" i="7"/>
  <c r="N7" i="7"/>
  <c r="M7" i="7"/>
  <c r="L7" i="7"/>
  <c r="K7" i="7"/>
  <c r="J7" i="7"/>
  <c r="I7" i="7"/>
  <c r="H7" i="7"/>
  <c r="DS175" i="7"/>
  <c r="DS173" i="7"/>
  <c r="DS171" i="7"/>
  <c r="DS169" i="7"/>
  <c r="DS167" i="7"/>
  <c r="DS165" i="7"/>
  <c r="DS163" i="7"/>
  <c r="DS161" i="7"/>
  <c r="DS159" i="7"/>
  <c r="DS157" i="7"/>
  <c r="DS155" i="7"/>
  <c r="DS153" i="7"/>
  <c r="DS151" i="7"/>
  <c r="DS149" i="7"/>
  <c r="DS147" i="7"/>
  <c r="DS145" i="7"/>
  <c r="DS143" i="7"/>
  <c r="DS141" i="7"/>
  <c r="DS139" i="7"/>
  <c r="DS137" i="7"/>
  <c r="DS135" i="7"/>
  <c r="DS133" i="7"/>
  <c r="DS131" i="7"/>
  <c r="DS129" i="7"/>
  <c r="DS127" i="7"/>
  <c r="DS125" i="7"/>
  <c r="DS123" i="7"/>
  <c r="DS121" i="7"/>
  <c r="DS119" i="7"/>
  <c r="DS117" i="7"/>
  <c r="DS115" i="7"/>
  <c r="DS113" i="7"/>
  <c r="DS111" i="7"/>
  <c r="DS109" i="7"/>
  <c r="DS107" i="7"/>
  <c r="DS105" i="7"/>
  <c r="DS103" i="7"/>
  <c r="DS101" i="7"/>
  <c r="DS99" i="7"/>
  <c r="DS97" i="7"/>
  <c r="DS95" i="7"/>
  <c r="DS93" i="7"/>
  <c r="DS91" i="7"/>
  <c r="DS89" i="7"/>
  <c r="DS87" i="7"/>
  <c r="DS85" i="7"/>
  <c r="DS83" i="7"/>
  <c r="DS81" i="7"/>
  <c r="DS79" i="7"/>
  <c r="DS77" i="7"/>
  <c r="DS75" i="7"/>
  <c r="DS73" i="7"/>
  <c r="DS71" i="7"/>
  <c r="DS69" i="7"/>
  <c r="DS67" i="7"/>
  <c r="DS65" i="7"/>
  <c r="DS63" i="7"/>
  <c r="DS61" i="7"/>
  <c r="DS59" i="7"/>
  <c r="DS57" i="7"/>
  <c r="DS55" i="7"/>
  <c r="DS53" i="7"/>
  <c r="DS51" i="7"/>
  <c r="DS49" i="7"/>
  <c r="DS47" i="7"/>
  <c r="DS45" i="7"/>
  <c r="DS43" i="7"/>
  <c r="DS41" i="7"/>
  <c r="DS39" i="7"/>
  <c r="DS37" i="7"/>
  <c r="DS35" i="7"/>
  <c r="DS33" i="7"/>
  <c r="DS31" i="7"/>
  <c r="DS29" i="7"/>
  <c r="DS27" i="7"/>
  <c r="DS25" i="7"/>
  <c r="DS23" i="7"/>
  <c r="DS21" i="7"/>
  <c r="DS19" i="7"/>
  <c r="DS17" i="7"/>
  <c r="DS15" i="7"/>
  <c r="DS13" i="7"/>
  <c r="DS11" i="7"/>
  <c r="BL11" i="7"/>
  <c r="DS174" i="7"/>
  <c r="DS172" i="7"/>
  <c r="DS170" i="7"/>
  <c r="DS168" i="7"/>
  <c r="DS164" i="7"/>
  <c r="DS160" i="7"/>
  <c r="DS156" i="7"/>
  <c r="DS152" i="7"/>
  <c r="DS148" i="7"/>
  <c r="DS144" i="7"/>
  <c r="DS140" i="7"/>
  <c r="DS136" i="7"/>
  <c r="DS132" i="7"/>
  <c r="DS128" i="7"/>
  <c r="DS124" i="7"/>
  <c r="DS120" i="7"/>
  <c r="DS116" i="7"/>
  <c r="DS112" i="7"/>
  <c r="DS108" i="7"/>
  <c r="DS104" i="7"/>
  <c r="DS100" i="7"/>
  <c r="DS96" i="7"/>
  <c r="DS92" i="7"/>
  <c r="DS88" i="7"/>
  <c r="DS84" i="7"/>
  <c r="DS80" i="7"/>
  <c r="DS76" i="7"/>
  <c r="DS72" i="7"/>
  <c r="DS68" i="7"/>
  <c r="DS64" i="7"/>
  <c r="DS60" i="7"/>
  <c r="DS56" i="7"/>
  <c r="DS54" i="7"/>
  <c r="DS32" i="7"/>
  <c r="DS28" i="7"/>
  <c r="DS26" i="7"/>
  <c r="DS22" i="7"/>
  <c r="DS18" i="7"/>
  <c r="BL10" i="7"/>
  <c r="DS166" i="7"/>
  <c r="DS162" i="7"/>
  <c r="DS158" i="7"/>
  <c r="DS154" i="7"/>
  <c r="DS150" i="7"/>
  <c r="DS146" i="7"/>
  <c r="DS142" i="7"/>
  <c r="DS138" i="7"/>
  <c r="DS134" i="7"/>
  <c r="DS130" i="7"/>
  <c r="DS126" i="7"/>
  <c r="DS122" i="7"/>
  <c r="DS118" i="7"/>
  <c r="DS114" i="7"/>
  <c r="DS110" i="7"/>
  <c r="DS106" i="7"/>
  <c r="DS102" i="7"/>
  <c r="DS98" i="7"/>
  <c r="DS94" i="7"/>
  <c r="DS90" i="7"/>
  <c r="DS86" i="7"/>
  <c r="DS82" i="7"/>
  <c r="DS78" i="7"/>
  <c r="DS74" i="7"/>
  <c r="DS70" i="7"/>
  <c r="DS66" i="7"/>
  <c r="DS62" i="7"/>
  <c r="DS58" i="7"/>
  <c r="DS12" i="7"/>
  <c r="BL12" i="7"/>
  <c r="DS10" i="7"/>
  <c r="DS52" i="7"/>
  <c r="DS50" i="7"/>
  <c r="DS48" i="7"/>
  <c r="DS46" i="7"/>
  <c r="DS44" i="7"/>
  <c r="DS42" i="7"/>
  <c r="DS40" i="7"/>
  <c r="DS38" i="7"/>
  <c r="DS36" i="7"/>
  <c r="DS34" i="7"/>
  <c r="DS30" i="7"/>
  <c r="DS24" i="7"/>
  <c r="DS20" i="7"/>
  <c r="DS16" i="7"/>
  <c r="DS14" i="7"/>
  <c r="F11" i="7" l="1"/>
  <c r="DV10" i="7"/>
  <c r="DR10" i="7"/>
  <c r="DU10" i="7" s="1"/>
  <c r="F13" i="7"/>
  <c r="F12" i="7"/>
  <c r="F10" i="7"/>
  <c r="DX10" i="7"/>
  <c r="DY10" i="7" s="1"/>
  <c r="BK10" i="2"/>
  <c r="DT10" i="2"/>
  <c r="BN15" i="2"/>
  <c r="BN16" i="2"/>
  <c r="BN17" i="2"/>
  <c r="BN18" i="2"/>
  <c r="BN19" i="2"/>
  <c r="BN20" i="2"/>
  <c r="BN21" i="2"/>
  <c r="BN22" i="2"/>
  <c r="BN23" i="2"/>
  <c r="BN24" i="2"/>
  <c r="BN25" i="2"/>
  <c r="BN26" i="2"/>
  <c r="BN27" i="2"/>
  <c r="BN28" i="2"/>
  <c r="BN29" i="2"/>
  <c r="BN30" i="2"/>
  <c r="BN31" i="2"/>
  <c r="BN32" i="2"/>
  <c r="BN33" i="2"/>
  <c r="BN34" i="2"/>
  <c r="BN35" i="2"/>
  <c r="BN36" i="2"/>
  <c r="BN37" i="2"/>
  <c r="BN38" i="2"/>
  <c r="BN39" i="2"/>
  <c r="BN40" i="2"/>
  <c r="BN41" i="2"/>
  <c r="BN42" i="2"/>
  <c r="BN43" i="2"/>
  <c r="BN44" i="2"/>
  <c r="BN45" i="2"/>
  <c r="BN46" i="2"/>
  <c r="BN47" i="2"/>
  <c r="BN48" i="2"/>
  <c r="BN49" i="2"/>
  <c r="BN50" i="2"/>
  <c r="BN51" i="2"/>
  <c r="BN52" i="2"/>
  <c r="BN53" i="2"/>
  <c r="BN54" i="2"/>
  <c r="BN55" i="2"/>
  <c r="BN56" i="2"/>
  <c r="BN57" i="2"/>
  <c r="BN58" i="2"/>
  <c r="BN59" i="2"/>
  <c r="BN60" i="2"/>
  <c r="BN61" i="2"/>
  <c r="BN62" i="2"/>
  <c r="BN63" i="2"/>
  <c r="BN64" i="2"/>
  <c r="BN65" i="2"/>
  <c r="BN66" i="2"/>
  <c r="BN67" i="2"/>
  <c r="BN68" i="2"/>
  <c r="BN69" i="2"/>
  <c r="BN70" i="2"/>
  <c r="BN71" i="2"/>
  <c r="BN72" i="2"/>
  <c r="BN73" i="2"/>
  <c r="BN74" i="2"/>
  <c r="BN75" i="2"/>
  <c r="BN76" i="2"/>
  <c r="BN77" i="2"/>
  <c r="BN78" i="2"/>
  <c r="BN79" i="2"/>
  <c r="BN80" i="2"/>
  <c r="BN81" i="2"/>
  <c r="BN82" i="2"/>
  <c r="BN83" i="2"/>
  <c r="BN84" i="2"/>
  <c r="BN85" i="2"/>
  <c r="BN86" i="2"/>
  <c r="BN87" i="2"/>
  <c r="BN88" i="2"/>
  <c r="BN89" i="2"/>
  <c r="BN90" i="2"/>
  <c r="BN91" i="2"/>
  <c r="BN92" i="2"/>
  <c r="BN93" i="2"/>
  <c r="BN94" i="2"/>
  <c r="BN95" i="2"/>
  <c r="BN96" i="2"/>
  <c r="BN97" i="2"/>
  <c r="BN98" i="2"/>
  <c r="BN99" i="2"/>
  <c r="BN100" i="2"/>
  <c r="BN101" i="2"/>
  <c r="BN102" i="2"/>
  <c r="BN103" i="2"/>
  <c r="BN104" i="2"/>
  <c r="BN105" i="2"/>
  <c r="BN106" i="2"/>
  <c r="BN107" i="2"/>
  <c r="BN108" i="2"/>
  <c r="BN109" i="2"/>
  <c r="BN110" i="2"/>
  <c r="BN111" i="2"/>
  <c r="BN112" i="2"/>
  <c r="BN113" i="2"/>
  <c r="BN114" i="2"/>
  <c r="BN115" i="2"/>
  <c r="BN116" i="2"/>
  <c r="BN117" i="2"/>
  <c r="BN118" i="2"/>
  <c r="BN119" i="2"/>
  <c r="BN120" i="2"/>
  <c r="BN121" i="2"/>
  <c r="BN122" i="2"/>
  <c r="BN123" i="2"/>
  <c r="BN124" i="2"/>
  <c r="BN125" i="2"/>
  <c r="BN126" i="2"/>
  <c r="BN127" i="2"/>
  <c r="BN128" i="2"/>
  <c r="BN129" i="2"/>
  <c r="BN130" i="2"/>
  <c r="BN131" i="2"/>
  <c r="BN132" i="2"/>
  <c r="BN133" i="2"/>
  <c r="BN134" i="2"/>
  <c r="BN135" i="2"/>
  <c r="BN136" i="2"/>
  <c r="BN137" i="2"/>
  <c r="BN138" i="2"/>
  <c r="BN139" i="2"/>
  <c r="BN140" i="2"/>
  <c r="BN141" i="2"/>
  <c r="BN142" i="2"/>
  <c r="BN143" i="2"/>
  <c r="BN144" i="2"/>
  <c r="BN145" i="2"/>
  <c r="BN146" i="2"/>
  <c r="BN147" i="2"/>
  <c r="BN148" i="2"/>
  <c r="BN149" i="2"/>
  <c r="BN150" i="2"/>
  <c r="BN151" i="2"/>
  <c r="BN152" i="2"/>
  <c r="BN153" i="2"/>
  <c r="BN154" i="2"/>
  <c r="BN155" i="2"/>
  <c r="BN156" i="2"/>
  <c r="BN157" i="2"/>
  <c r="BN158" i="2"/>
  <c r="BN159" i="2"/>
  <c r="BN160" i="2"/>
  <c r="BN161" i="2"/>
  <c r="BN162" i="2"/>
  <c r="BN166" i="2"/>
  <c r="BN167" i="2"/>
  <c r="BN168" i="2"/>
  <c r="BN169" i="2"/>
  <c r="BN170" i="2"/>
  <c r="BN171" i="2"/>
  <c r="BN172" i="2"/>
  <c r="BN173" i="2"/>
  <c r="BN174" i="2"/>
  <c r="BN175" i="2"/>
  <c r="BN13" i="2"/>
  <c r="BN14" i="2"/>
  <c r="BN12" i="2"/>
  <c r="BN11" i="2"/>
  <c r="C15" i="2"/>
  <c r="C16" i="2"/>
  <c r="C16" i="6" s="1"/>
  <c r="C17" i="2"/>
  <c r="C18" i="2"/>
  <c r="C18" i="6" s="1"/>
  <c r="C19" i="2"/>
  <c r="C20" i="2"/>
  <c r="C20" i="6" s="1"/>
  <c r="C21" i="2"/>
  <c r="C22" i="2"/>
  <c r="C22" i="6" s="1"/>
  <c r="C23" i="2"/>
  <c r="C24" i="2"/>
  <c r="C24" i="6" s="1"/>
  <c r="C25" i="2"/>
  <c r="C26" i="2"/>
  <c r="C26" i="6" s="1"/>
  <c r="C27" i="2"/>
  <c r="C28" i="2"/>
  <c r="C28" i="6" s="1"/>
  <c r="C29" i="2"/>
  <c r="C30" i="2"/>
  <c r="C30" i="6" s="1"/>
  <c r="C31" i="2"/>
  <c r="C32" i="2"/>
  <c r="C32" i="6" s="1"/>
  <c r="C33" i="2"/>
  <c r="C34" i="2"/>
  <c r="C34" i="6" s="1"/>
  <c r="C35" i="2"/>
  <c r="C36" i="2"/>
  <c r="C36" i="6" s="1"/>
  <c r="C37" i="2"/>
  <c r="C38" i="2"/>
  <c r="C38" i="6" s="1"/>
  <c r="C39" i="2"/>
  <c r="C40" i="2"/>
  <c r="C40" i="6" s="1"/>
  <c r="C41" i="2"/>
  <c r="C42" i="2"/>
  <c r="C42" i="6" s="1"/>
  <c r="C43" i="2"/>
  <c r="C44" i="2"/>
  <c r="C44" i="6" s="1"/>
  <c r="C45" i="2"/>
  <c r="C46" i="2"/>
  <c r="C46" i="6" s="1"/>
  <c r="C47" i="2"/>
  <c r="C48" i="2"/>
  <c r="C48" i="6" s="1"/>
  <c r="C49" i="2"/>
  <c r="C50" i="2"/>
  <c r="C50" i="6" s="1"/>
  <c r="C51" i="2"/>
  <c r="C52" i="2"/>
  <c r="C52" i="6" s="1"/>
  <c r="C53" i="2"/>
  <c r="C54" i="2"/>
  <c r="C54" i="6" s="1"/>
  <c r="C55" i="2"/>
  <c r="C56" i="2"/>
  <c r="C56" i="6" s="1"/>
  <c r="C57" i="2"/>
  <c r="C58" i="2"/>
  <c r="C58" i="6" s="1"/>
  <c r="C59" i="2"/>
  <c r="C60" i="2"/>
  <c r="C60" i="6" s="1"/>
  <c r="C61" i="2"/>
  <c r="C62" i="2"/>
  <c r="C62" i="6" s="1"/>
  <c r="C63" i="2"/>
  <c r="C64" i="2"/>
  <c r="C64" i="6" s="1"/>
  <c r="C65" i="2"/>
  <c r="C66" i="2"/>
  <c r="C66" i="6" s="1"/>
  <c r="C67" i="2"/>
  <c r="C68" i="2"/>
  <c r="C68" i="6" s="1"/>
  <c r="C69" i="2"/>
  <c r="C70" i="2"/>
  <c r="C70" i="6" s="1"/>
  <c r="C71" i="2"/>
  <c r="C72" i="2"/>
  <c r="C72" i="6" s="1"/>
  <c r="C73" i="2"/>
  <c r="C74" i="2"/>
  <c r="C74" i="6" s="1"/>
  <c r="C75" i="2"/>
  <c r="C76" i="2"/>
  <c r="C76" i="6" s="1"/>
  <c r="C77" i="2"/>
  <c r="C78" i="2"/>
  <c r="C78" i="6" s="1"/>
  <c r="C79" i="2"/>
  <c r="C80" i="2"/>
  <c r="C80" i="6" s="1"/>
  <c r="C81" i="2"/>
  <c r="C82" i="2"/>
  <c r="C82" i="6" s="1"/>
  <c r="C83" i="2"/>
  <c r="C84" i="2"/>
  <c r="C84" i="6" s="1"/>
  <c r="C85" i="2"/>
  <c r="C86" i="2"/>
  <c r="C86" i="6" s="1"/>
  <c r="C87" i="2"/>
  <c r="C88" i="2"/>
  <c r="C88" i="6" s="1"/>
  <c r="C89" i="2"/>
  <c r="C90" i="2"/>
  <c r="C90" i="6" s="1"/>
  <c r="C91" i="2"/>
  <c r="C92" i="2"/>
  <c r="C92" i="6" s="1"/>
  <c r="C93" i="2"/>
  <c r="C94" i="2"/>
  <c r="C94" i="6" s="1"/>
  <c r="C95" i="2"/>
  <c r="C96" i="2"/>
  <c r="C96" i="6" s="1"/>
  <c r="C97" i="2"/>
  <c r="C98" i="2"/>
  <c r="C98" i="6" s="1"/>
  <c r="C99" i="2"/>
  <c r="C100" i="2"/>
  <c r="C100" i="6" s="1"/>
  <c r="C101" i="2"/>
  <c r="C102" i="2"/>
  <c r="C102" i="6" s="1"/>
  <c r="C103" i="2"/>
  <c r="C104" i="2"/>
  <c r="C104" i="6" s="1"/>
  <c r="C105" i="2"/>
  <c r="C106" i="2"/>
  <c r="C106" i="6" s="1"/>
  <c r="C107" i="2"/>
  <c r="C108" i="2"/>
  <c r="C108" i="6" s="1"/>
  <c r="C109" i="2"/>
  <c r="C110" i="2"/>
  <c r="C110" i="6" s="1"/>
  <c r="C111" i="2"/>
  <c r="C112" i="2"/>
  <c r="C112" i="6" s="1"/>
  <c r="C113" i="2"/>
  <c r="C114" i="2"/>
  <c r="C114" i="6" s="1"/>
  <c r="C115" i="2"/>
  <c r="C116" i="2"/>
  <c r="C116" i="6" s="1"/>
  <c r="C117" i="2"/>
  <c r="C118" i="2"/>
  <c r="C118" i="6" s="1"/>
  <c r="C119" i="2"/>
  <c r="C120" i="2"/>
  <c r="C120" i="6" s="1"/>
  <c r="C121" i="2"/>
  <c r="C122" i="2"/>
  <c r="C122" i="6" s="1"/>
  <c r="C123" i="2"/>
  <c r="C124" i="2"/>
  <c r="C124" i="6" s="1"/>
  <c r="C125" i="2"/>
  <c r="C126" i="2"/>
  <c r="C126" i="6" s="1"/>
  <c r="C127" i="2"/>
  <c r="C128" i="2"/>
  <c r="C128" i="6" s="1"/>
  <c r="C129" i="2"/>
  <c r="C130" i="2"/>
  <c r="C130" i="6" s="1"/>
  <c r="C131" i="2"/>
  <c r="C132" i="2"/>
  <c r="C132" i="6" s="1"/>
  <c r="C133" i="2"/>
  <c r="C134" i="2"/>
  <c r="C134" i="6" s="1"/>
  <c r="C135" i="2"/>
  <c r="C136" i="2"/>
  <c r="C136" i="6" s="1"/>
  <c r="C137" i="2"/>
  <c r="C138" i="2"/>
  <c r="C138" i="6" s="1"/>
  <c r="C139" i="2"/>
  <c r="C140" i="2"/>
  <c r="C140" i="6" s="1"/>
  <c r="C141" i="2"/>
  <c r="C142" i="2"/>
  <c r="C142" i="6" s="1"/>
  <c r="C143" i="2"/>
  <c r="C144" i="2"/>
  <c r="C144" i="6" s="1"/>
  <c r="C145" i="2"/>
  <c r="C146" i="2"/>
  <c r="C146" i="6" s="1"/>
  <c r="C147" i="2"/>
  <c r="C148" i="2"/>
  <c r="C148" i="6" s="1"/>
  <c r="C149" i="2"/>
  <c r="C150" i="2"/>
  <c r="C150" i="6" s="1"/>
  <c r="C151" i="2"/>
  <c r="C152" i="2"/>
  <c r="C152" i="6" s="1"/>
  <c r="C153" i="2"/>
  <c r="C154" i="2"/>
  <c r="C154" i="6" s="1"/>
  <c r="C155" i="2"/>
  <c r="C156" i="2"/>
  <c r="C156" i="6" s="1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4" i="2"/>
  <c r="C12" i="2"/>
  <c r="C13" i="2"/>
  <c r="C13" i="6" s="1"/>
  <c r="C11" i="2"/>
  <c r="C10" i="2"/>
  <c r="I9" i="6"/>
  <c r="J9" i="6"/>
  <c r="K9" i="6"/>
  <c r="L9" i="6"/>
  <c r="M9" i="6"/>
  <c r="N9" i="6"/>
  <c r="O9" i="6"/>
  <c r="P9" i="6"/>
  <c r="Q9" i="6"/>
  <c r="R9" i="6"/>
  <c r="S9" i="6"/>
  <c r="T9" i="6"/>
  <c r="U9" i="6"/>
  <c r="V9" i="6"/>
  <c r="W9" i="6"/>
  <c r="X9" i="6"/>
  <c r="Y9" i="6"/>
  <c r="Z9" i="6"/>
  <c r="AA9" i="6"/>
  <c r="AB9" i="6"/>
  <c r="AC9" i="6"/>
  <c r="AD9" i="6"/>
  <c r="AE9" i="6"/>
  <c r="AF9" i="6"/>
  <c r="AG9" i="6"/>
  <c r="AH9" i="6"/>
  <c r="AI9" i="6"/>
  <c r="AJ9" i="6"/>
  <c r="AK9" i="6"/>
  <c r="AL9" i="6"/>
  <c r="AM9" i="6"/>
  <c r="AN9" i="6"/>
  <c r="AO9" i="6"/>
  <c r="AP9" i="6"/>
  <c r="AQ9" i="6"/>
  <c r="AR9" i="6"/>
  <c r="AS9" i="6"/>
  <c r="AT9" i="6"/>
  <c r="AU9" i="6"/>
  <c r="AV9" i="6"/>
  <c r="AW9" i="6"/>
  <c r="AX9" i="6"/>
  <c r="AY9" i="6"/>
  <c r="AZ9" i="6"/>
  <c r="BA9" i="6"/>
  <c r="BB9" i="6"/>
  <c r="BC9" i="6"/>
  <c r="BD9" i="6"/>
  <c r="BE9" i="6"/>
  <c r="BF9" i="6"/>
  <c r="BG9" i="6"/>
  <c r="BH9" i="6"/>
  <c r="BI9" i="6"/>
  <c r="BJ9" i="6"/>
  <c r="H9" i="6"/>
  <c r="H8" i="6"/>
  <c r="I8" i="6"/>
  <c r="J8" i="6"/>
  <c r="K8" i="6"/>
  <c r="L8" i="6"/>
  <c r="M8" i="6"/>
  <c r="N8" i="6"/>
  <c r="O8" i="6"/>
  <c r="P8" i="6"/>
  <c r="Q8" i="6"/>
  <c r="R8" i="6"/>
  <c r="S8" i="6"/>
  <c r="T8" i="6"/>
  <c r="U8" i="6"/>
  <c r="V8" i="6"/>
  <c r="W8" i="6"/>
  <c r="X8" i="6"/>
  <c r="Y8" i="6"/>
  <c r="Z8" i="6"/>
  <c r="AA8" i="6"/>
  <c r="AB8" i="6"/>
  <c r="AC8" i="6"/>
  <c r="AD8" i="6"/>
  <c r="AE8" i="6"/>
  <c r="AF8" i="6"/>
  <c r="AG8" i="6"/>
  <c r="AH8" i="6"/>
  <c r="AI8" i="6"/>
  <c r="AJ8" i="6"/>
  <c r="AK8" i="6"/>
  <c r="AL8" i="6"/>
  <c r="AM8" i="6"/>
  <c r="AN8" i="6"/>
  <c r="AO8" i="6"/>
  <c r="AP8" i="6"/>
  <c r="AQ8" i="6"/>
  <c r="AR8" i="6"/>
  <c r="AS8" i="6"/>
  <c r="AT8" i="6"/>
  <c r="AU8" i="6"/>
  <c r="AV8" i="6"/>
  <c r="AW8" i="6"/>
  <c r="AX8" i="6"/>
  <c r="AY8" i="6"/>
  <c r="AZ8" i="6"/>
  <c r="BA8" i="6"/>
  <c r="BB8" i="6"/>
  <c r="BC8" i="6"/>
  <c r="BD8" i="6"/>
  <c r="BE8" i="6"/>
  <c r="BF8" i="6"/>
  <c r="BG8" i="6"/>
  <c r="BH8" i="6"/>
  <c r="BI8" i="6"/>
  <c r="BJ8" i="6"/>
  <c r="BO8" i="6"/>
  <c r="BP8" i="6"/>
  <c r="BQ8" i="6"/>
  <c r="BR8" i="6"/>
  <c r="BS8" i="6"/>
  <c r="BT8" i="6"/>
  <c r="BU8" i="6"/>
  <c r="BV8" i="6"/>
  <c r="BW8" i="6"/>
  <c r="BX8" i="6"/>
  <c r="BY8" i="6"/>
  <c r="BZ8" i="6"/>
  <c r="CA8" i="6"/>
  <c r="CB8" i="6"/>
  <c r="CC8" i="6"/>
  <c r="CD8" i="6"/>
  <c r="CE8" i="6"/>
  <c r="CF8" i="6"/>
  <c r="CG8" i="6"/>
  <c r="CH8" i="6"/>
  <c r="CI8" i="6"/>
  <c r="CJ8" i="6"/>
  <c r="CK8" i="6"/>
  <c r="CL8" i="6"/>
  <c r="CM8" i="6"/>
  <c r="CN8" i="6"/>
  <c r="CO8" i="6"/>
  <c r="CP8" i="6"/>
  <c r="CQ8" i="6"/>
  <c r="CR8" i="6"/>
  <c r="CS8" i="6"/>
  <c r="CT8" i="6"/>
  <c r="CU8" i="6"/>
  <c r="CV8" i="6"/>
  <c r="CW8" i="6"/>
  <c r="CX8" i="6"/>
  <c r="CY8" i="6"/>
  <c r="CZ8" i="6"/>
  <c r="DA8" i="6"/>
  <c r="DB8" i="6"/>
  <c r="DC8" i="6"/>
  <c r="DD8" i="6"/>
  <c r="DE8" i="6"/>
  <c r="DF8" i="6"/>
  <c r="DG8" i="6"/>
  <c r="DH8" i="6"/>
  <c r="DI8" i="6"/>
  <c r="DJ8" i="6"/>
  <c r="DK8" i="6"/>
  <c r="DL8" i="6"/>
  <c r="DM8" i="6"/>
  <c r="DN8" i="6"/>
  <c r="DO8" i="6"/>
  <c r="DP8" i="6"/>
  <c r="DQ8" i="6"/>
  <c r="DR8" i="6"/>
  <c r="DS8" i="6"/>
  <c r="DT8" i="6"/>
  <c r="DU8" i="6"/>
  <c r="DV8" i="6"/>
  <c r="DW8" i="6"/>
  <c r="DX8" i="6"/>
  <c r="DY8" i="6"/>
  <c r="DZ8" i="6"/>
  <c r="BP7" i="6"/>
  <c r="BQ7" i="6"/>
  <c r="BR7" i="6"/>
  <c r="BS7" i="6"/>
  <c r="BT7" i="6"/>
  <c r="BU7" i="6"/>
  <c r="BV7" i="6"/>
  <c r="BW7" i="6"/>
  <c r="BX7" i="6"/>
  <c r="BY7" i="6"/>
  <c r="BZ7" i="6"/>
  <c r="CA7" i="6"/>
  <c r="CB7" i="6"/>
  <c r="CC7" i="6"/>
  <c r="CD7" i="6"/>
  <c r="CE7" i="6"/>
  <c r="CF7" i="6"/>
  <c r="CG7" i="6"/>
  <c r="CH7" i="6"/>
  <c r="CI7" i="6"/>
  <c r="CJ7" i="6"/>
  <c r="CK7" i="6"/>
  <c r="CL7" i="6"/>
  <c r="CM7" i="6"/>
  <c r="CN7" i="6"/>
  <c r="CO7" i="6"/>
  <c r="CP7" i="6"/>
  <c r="CQ7" i="6"/>
  <c r="CR7" i="6"/>
  <c r="CS7" i="6"/>
  <c r="CT7" i="6"/>
  <c r="CU7" i="6"/>
  <c r="CV7" i="6"/>
  <c r="CW7" i="6"/>
  <c r="CX7" i="6"/>
  <c r="CY7" i="6"/>
  <c r="CZ7" i="6"/>
  <c r="DA7" i="6"/>
  <c r="DB7" i="6"/>
  <c r="DC7" i="6"/>
  <c r="DD7" i="6"/>
  <c r="DE7" i="6"/>
  <c r="DF7" i="6"/>
  <c r="DG7" i="6"/>
  <c r="DH7" i="6"/>
  <c r="DI7" i="6"/>
  <c r="DJ7" i="6"/>
  <c r="DK7" i="6"/>
  <c r="DL7" i="6"/>
  <c r="DM7" i="6"/>
  <c r="DN7" i="6"/>
  <c r="DO7" i="6"/>
  <c r="DP7" i="6"/>
  <c r="DQ7" i="6"/>
  <c r="DR7" i="6"/>
  <c r="DT7" i="6"/>
  <c r="DU7" i="6"/>
  <c r="DV7" i="6"/>
  <c r="DW7" i="6"/>
  <c r="DX7" i="6"/>
  <c r="DY7" i="6"/>
  <c r="DZ7" i="6"/>
  <c r="DS7" i="6"/>
  <c r="BJ7" i="6"/>
  <c r="W7" i="6"/>
  <c r="X7" i="6"/>
  <c r="Y7" i="6"/>
  <c r="Z7" i="6"/>
  <c r="AA7" i="6"/>
  <c r="AB7" i="6"/>
  <c r="AC7" i="6"/>
  <c r="AD7" i="6"/>
  <c r="AE7" i="6"/>
  <c r="AF7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T7" i="6"/>
  <c r="AU7" i="6"/>
  <c r="AV7" i="6"/>
  <c r="AW7" i="6"/>
  <c r="AX7" i="6"/>
  <c r="AY7" i="6"/>
  <c r="AZ7" i="6"/>
  <c r="BA7" i="6"/>
  <c r="BB7" i="6"/>
  <c r="BC7" i="6"/>
  <c r="BD7" i="6"/>
  <c r="BE7" i="6"/>
  <c r="BF7" i="6"/>
  <c r="BG7" i="6"/>
  <c r="BH7" i="6"/>
  <c r="BI7" i="6"/>
  <c r="B10" i="6"/>
  <c r="B11" i="6"/>
  <c r="C10" i="6"/>
  <c r="C11" i="6"/>
  <c r="C12" i="6"/>
  <c r="C14" i="6"/>
  <c r="C15" i="6"/>
  <c r="C17" i="6"/>
  <c r="C19" i="6"/>
  <c r="C21" i="6"/>
  <c r="C23" i="6"/>
  <c r="C25" i="6"/>
  <c r="C27" i="6"/>
  <c r="C29" i="6"/>
  <c r="C31" i="6"/>
  <c r="C33" i="6"/>
  <c r="C35" i="6"/>
  <c r="C37" i="6"/>
  <c r="C39" i="6"/>
  <c r="C41" i="6"/>
  <c r="C43" i="6"/>
  <c r="C45" i="6"/>
  <c r="C47" i="6"/>
  <c r="C49" i="6"/>
  <c r="C51" i="6"/>
  <c r="C53" i="6"/>
  <c r="C55" i="6"/>
  <c r="C57" i="6"/>
  <c r="C59" i="6"/>
  <c r="C61" i="6"/>
  <c r="C63" i="6"/>
  <c r="C65" i="6"/>
  <c r="C67" i="6"/>
  <c r="C69" i="6"/>
  <c r="C71" i="6"/>
  <c r="C73" i="6"/>
  <c r="C75" i="6"/>
  <c r="C77" i="6"/>
  <c r="C79" i="6"/>
  <c r="C81" i="6"/>
  <c r="C83" i="6"/>
  <c r="C85" i="6"/>
  <c r="C87" i="6"/>
  <c r="C89" i="6"/>
  <c r="C91" i="6"/>
  <c r="C93" i="6"/>
  <c r="C95" i="6"/>
  <c r="C97" i="6"/>
  <c r="C99" i="6"/>
  <c r="C101" i="6"/>
  <c r="C103" i="6"/>
  <c r="C105" i="6"/>
  <c r="C107" i="6"/>
  <c r="C109" i="6"/>
  <c r="C111" i="6"/>
  <c r="C113" i="6"/>
  <c r="C115" i="6"/>
  <c r="C117" i="6"/>
  <c r="C119" i="6"/>
  <c r="C121" i="6"/>
  <c r="C123" i="6"/>
  <c r="C125" i="6"/>
  <c r="C127" i="6"/>
  <c r="C129" i="6"/>
  <c r="C131" i="6"/>
  <c r="C133" i="6"/>
  <c r="C135" i="6"/>
  <c r="C137" i="6"/>
  <c r="C139" i="6"/>
  <c r="C141" i="6"/>
  <c r="C143" i="6"/>
  <c r="C145" i="6"/>
  <c r="C147" i="6"/>
  <c r="C149" i="6"/>
  <c r="C151" i="6"/>
  <c r="C153" i="6"/>
  <c r="C155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1" i="6"/>
  <c r="A10" i="6"/>
  <c r="G7" i="6"/>
  <c r="F7" i="6"/>
  <c r="E7" i="6"/>
  <c r="D7" i="6"/>
  <c r="C7" i="6"/>
  <c r="E10" i="6"/>
  <c r="D10" i="6"/>
  <c r="EA9" i="6"/>
  <c r="DZ9" i="6"/>
  <c r="DY9" i="6"/>
  <c r="DX9" i="6"/>
  <c r="DW9" i="6"/>
  <c r="DV9" i="6"/>
  <c r="DU9" i="6"/>
  <c r="DT9" i="6"/>
  <c r="DS9" i="6"/>
  <c r="DR9" i="6"/>
  <c r="DQ9" i="6"/>
  <c r="DP9" i="6"/>
  <c r="DO9" i="6"/>
  <c r="DN9" i="6"/>
  <c r="DM9" i="6"/>
  <c r="DL9" i="6"/>
  <c r="DK9" i="6"/>
  <c r="DJ9" i="6"/>
  <c r="DI9" i="6"/>
  <c r="DH9" i="6"/>
  <c r="DG9" i="6"/>
  <c r="DF9" i="6"/>
  <c r="DE9" i="6"/>
  <c r="DD9" i="6"/>
  <c r="DC9" i="6"/>
  <c r="DB9" i="6"/>
  <c r="DA9" i="6"/>
  <c r="CZ9" i="6"/>
  <c r="CY9" i="6"/>
  <c r="CX9" i="6"/>
  <c r="CW9" i="6"/>
  <c r="CV9" i="6"/>
  <c r="CU9" i="6"/>
  <c r="CT9" i="6"/>
  <c r="CS9" i="6"/>
  <c r="CR9" i="6"/>
  <c r="CQ9" i="6"/>
  <c r="CP9" i="6"/>
  <c r="CO9" i="6"/>
  <c r="CN9" i="6"/>
  <c r="CM9" i="6"/>
  <c r="CL9" i="6"/>
  <c r="CK9" i="6"/>
  <c r="CJ9" i="6"/>
  <c r="CI9" i="6"/>
  <c r="CH9" i="6"/>
  <c r="CG9" i="6"/>
  <c r="CF9" i="6"/>
  <c r="CE9" i="6"/>
  <c r="CD9" i="6"/>
  <c r="CC9" i="6"/>
  <c r="CB9" i="6"/>
  <c r="CA9" i="6"/>
  <c r="BZ9" i="6"/>
  <c r="BY9" i="6"/>
  <c r="BX9" i="6"/>
  <c r="BW9" i="6"/>
  <c r="BV9" i="6"/>
  <c r="BU9" i="6"/>
  <c r="BT9" i="6"/>
  <c r="BS9" i="6"/>
  <c r="BR9" i="6"/>
  <c r="BQ9" i="6"/>
  <c r="BP9" i="6"/>
  <c r="BO9" i="6"/>
  <c r="BN9" i="6"/>
  <c r="BM9" i="6"/>
  <c r="BL9" i="6"/>
  <c r="BK9" i="6"/>
  <c r="BN7" i="6"/>
  <c r="BM7" i="6"/>
  <c r="BL7" i="6"/>
  <c r="BK7" i="6"/>
  <c r="AX9" i="4" l="1"/>
  <c r="AY9" i="4"/>
  <c r="AZ9" i="4"/>
  <c r="BA9" i="4"/>
  <c r="BB9" i="4"/>
  <c r="BC9" i="4"/>
  <c r="BD9" i="4"/>
  <c r="BE9" i="4"/>
  <c r="BF9" i="4"/>
  <c r="BG9" i="4"/>
  <c r="BH9" i="4"/>
  <c r="BI9" i="4"/>
  <c r="BJ9" i="4"/>
  <c r="BK9" i="4"/>
  <c r="BL9" i="4"/>
  <c r="BM9" i="4"/>
  <c r="BN9" i="4"/>
  <c r="BO9" i="4"/>
  <c r="BP9" i="4"/>
  <c r="BQ9" i="4"/>
  <c r="BR9" i="4"/>
  <c r="BS9" i="4"/>
  <c r="BT9" i="4"/>
  <c r="BU9" i="4"/>
  <c r="BV9" i="4"/>
  <c r="BW9" i="4"/>
  <c r="BX9" i="4"/>
  <c r="BY9" i="4"/>
  <c r="BZ9" i="4"/>
  <c r="CA9" i="4"/>
  <c r="CB9" i="4"/>
  <c r="CC9" i="4"/>
  <c r="CD9" i="4"/>
  <c r="CE9" i="4"/>
  <c r="CF9" i="4"/>
  <c r="CG9" i="4"/>
  <c r="CH9" i="4"/>
  <c r="CI9" i="4"/>
  <c r="CJ9" i="4"/>
  <c r="CK9" i="4"/>
  <c r="CL9" i="4"/>
  <c r="CM9" i="4"/>
  <c r="CN9" i="4"/>
  <c r="CO9" i="4"/>
  <c r="CP9" i="4"/>
  <c r="CQ9" i="4"/>
  <c r="CR9" i="4"/>
  <c r="CS9" i="4"/>
  <c r="CT9" i="4"/>
  <c r="CU9" i="4"/>
  <c r="CV9" i="4"/>
  <c r="CW9" i="4"/>
  <c r="CX9" i="4"/>
  <c r="CY9" i="4"/>
  <c r="CZ9" i="4"/>
  <c r="DA9" i="4"/>
  <c r="DB9" i="4"/>
  <c r="DC9" i="4"/>
  <c r="DD9" i="4"/>
  <c r="DE9" i="4"/>
  <c r="DF9" i="4"/>
  <c r="DG9" i="4"/>
  <c r="DH9" i="4"/>
  <c r="DI9" i="4"/>
  <c r="DJ9" i="4"/>
  <c r="DK9" i="4"/>
  <c r="DL9" i="4"/>
  <c r="DM9" i="4"/>
  <c r="DN9" i="4"/>
  <c r="DO9" i="4"/>
  <c r="DP9" i="4"/>
  <c r="DQ9" i="4"/>
  <c r="DR9" i="4"/>
  <c r="DS9" i="4"/>
  <c r="DT9" i="4"/>
  <c r="DU9" i="4"/>
  <c r="DV9" i="4"/>
  <c r="DW9" i="4"/>
  <c r="DX9" i="4"/>
  <c r="DY9" i="4"/>
  <c r="DZ9" i="4"/>
  <c r="EA9" i="4"/>
  <c r="EB9" i="4"/>
  <c r="EC9" i="4"/>
  <c r="ED9" i="4"/>
  <c r="EE9" i="4"/>
  <c r="EF9" i="4"/>
  <c r="EG9" i="4"/>
  <c r="EH9" i="4"/>
  <c r="EI9" i="4"/>
  <c r="EJ9" i="4"/>
  <c r="EK9" i="4"/>
  <c r="EL9" i="4"/>
  <c r="EM9" i="4"/>
  <c r="EN9" i="4"/>
  <c r="EO9" i="4"/>
  <c r="EP9" i="4"/>
  <c r="EQ9" i="4"/>
  <c r="ER9" i="4"/>
  <c r="ES9" i="4"/>
  <c r="ET9" i="4"/>
  <c r="EU9" i="4"/>
  <c r="EV9" i="4"/>
  <c r="EW9" i="4"/>
  <c r="EX9" i="4"/>
  <c r="EY9" i="4"/>
  <c r="EZ9" i="4"/>
  <c r="CS7" i="4"/>
  <c r="CT7" i="4"/>
  <c r="CU7" i="4"/>
  <c r="CV7" i="4"/>
  <c r="CW7" i="4"/>
  <c r="CX7" i="4"/>
  <c r="CY7" i="4"/>
  <c r="CZ7" i="4"/>
  <c r="DA7" i="4"/>
  <c r="DB7" i="4"/>
  <c r="DC7" i="4"/>
  <c r="DD7" i="4"/>
  <c r="DE7" i="4"/>
  <c r="DF7" i="4"/>
  <c r="DG7" i="4"/>
  <c r="DH7" i="4"/>
  <c r="DI7" i="4"/>
  <c r="DJ7" i="4"/>
  <c r="DK7" i="4"/>
  <c r="DL7" i="4"/>
  <c r="DM7" i="4"/>
  <c r="DN7" i="4"/>
  <c r="DO7" i="4"/>
  <c r="DP7" i="4"/>
  <c r="DQ7" i="4"/>
  <c r="DR7" i="4"/>
  <c r="DS7" i="4"/>
  <c r="DT7" i="4"/>
  <c r="DU7" i="4"/>
  <c r="DV7" i="4"/>
  <c r="DW7" i="4"/>
  <c r="DX7" i="4"/>
  <c r="DY7" i="4"/>
  <c r="DZ7" i="4"/>
  <c r="EA7" i="4"/>
  <c r="EB7" i="4"/>
  <c r="EC7" i="4"/>
  <c r="ED7" i="4"/>
  <c r="EE7" i="4"/>
  <c r="EF7" i="4"/>
  <c r="EG7" i="4"/>
  <c r="EH7" i="4"/>
  <c r="EI7" i="4"/>
  <c r="EJ7" i="4"/>
  <c r="EK7" i="4"/>
  <c r="EL7" i="4"/>
  <c r="EM7" i="4"/>
  <c r="EN7" i="4"/>
  <c r="EO7" i="4"/>
  <c r="EP7" i="4"/>
  <c r="EQ7" i="4"/>
  <c r="ER7" i="4"/>
  <c r="ES7" i="4"/>
  <c r="ET7" i="4"/>
  <c r="EU7" i="4"/>
  <c r="EV7" i="4"/>
  <c r="EW7" i="4"/>
  <c r="EX7" i="4"/>
  <c r="EY7" i="4"/>
  <c r="EZ7" i="4"/>
  <c r="BN7" i="4"/>
  <c r="BO7" i="4"/>
  <c r="BP7" i="4"/>
  <c r="BQ7" i="4"/>
  <c r="BR7" i="4"/>
  <c r="BS7" i="4"/>
  <c r="BT7" i="4"/>
  <c r="BU7" i="4"/>
  <c r="BV7" i="4"/>
  <c r="BW7" i="4"/>
  <c r="BX7" i="4"/>
  <c r="BY7" i="4"/>
  <c r="BZ7" i="4"/>
  <c r="CA7" i="4"/>
  <c r="CB7" i="4"/>
  <c r="CC7" i="4"/>
  <c r="CD7" i="4"/>
  <c r="CE7" i="4"/>
  <c r="CF7" i="4"/>
  <c r="CG7" i="4"/>
  <c r="CH7" i="4"/>
  <c r="CI7" i="4"/>
  <c r="CJ7" i="4"/>
  <c r="CK7" i="4"/>
  <c r="CL7" i="4"/>
  <c r="CM7" i="4"/>
  <c r="CO7" i="4"/>
  <c r="CP7" i="4"/>
  <c r="CQ7" i="4"/>
  <c r="CR7" i="4"/>
  <c r="AX7" i="4"/>
  <c r="AY7" i="4"/>
  <c r="AZ7" i="4"/>
  <c r="BA7" i="4"/>
  <c r="BB7" i="4"/>
  <c r="BC7" i="4"/>
  <c r="BD7" i="4"/>
  <c r="BE7" i="4"/>
  <c r="BF7" i="4"/>
  <c r="BG7" i="4"/>
  <c r="BH7" i="4"/>
  <c r="BI7" i="4"/>
  <c r="BJ7" i="4"/>
  <c r="BK7" i="4"/>
  <c r="BL7" i="4"/>
  <c r="BM7" i="4"/>
  <c r="AH9" i="4"/>
  <c r="AI9" i="4"/>
  <c r="AJ9" i="4"/>
  <c r="AK9" i="4"/>
  <c r="AL9" i="4"/>
  <c r="AM9" i="4"/>
  <c r="AN9" i="4"/>
  <c r="AO9" i="4"/>
  <c r="AP9" i="4"/>
  <c r="AQ9" i="4"/>
  <c r="AR9" i="4"/>
  <c r="AS9" i="4"/>
  <c r="AT9" i="4"/>
  <c r="AU9" i="4"/>
  <c r="AV9" i="4"/>
  <c r="AW9" i="4"/>
  <c r="AG9" i="4"/>
  <c r="AV7" i="4"/>
  <c r="AW7" i="4"/>
  <c r="D11" i="4"/>
  <c r="D12" i="4"/>
  <c r="D13" i="4"/>
  <c r="D14" i="4"/>
  <c r="D10" i="4"/>
  <c r="B10" i="4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171" i="2"/>
  <c r="G173" i="2"/>
  <c r="G174" i="2"/>
  <c r="BO7" i="2"/>
  <c r="H7" i="2"/>
  <c r="V7" i="2"/>
  <c r="V7" i="6" s="1"/>
  <c r="U7" i="2"/>
  <c r="U7" i="6" s="1"/>
  <c r="T7" i="2"/>
  <c r="T7" i="6" s="1"/>
  <c r="S7" i="2"/>
  <c r="S7" i="6" s="1"/>
  <c r="R7" i="2"/>
  <c r="R7" i="6" s="1"/>
  <c r="Q7" i="2"/>
  <c r="Q7" i="6" s="1"/>
  <c r="P7" i="2"/>
  <c r="P7" i="6" s="1"/>
  <c r="O7" i="2"/>
  <c r="O7" i="6" s="1"/>
  <c r="N7" i="2"/>
  <c r="N7" i="6" s="1"/>
  <c r="M7" i="2"/>
  <c r="M7" i="6" s="1"/>
  <c r="L7" i="2"/>
  <c r="L7" i="6" s="1"/>
  <c r="K7" i="2"/>
  <c r="K7" i="6" s="1"/>
  <c r="J7" i="2"/>
  <c r="J7" i="6" s="1"/>
  <c r="I7" i="2"/>
  <c r="I7" i="6" s="1"/>
  <c r="DT11" i="2"/>
  <c r="DS12" i="2"/>
  <c r="DS16" i="2"/>
  <c r="DS20" i="2"/>
  <c r="DS24" i="2"/>
  <c r="DS28" i="2"/>
  <c r="DS32" i="2"/>
  <c r="DS36" i="2"/>
  <c r="DS40" i="2"/>
  <c r="DS44" i="2"/>
  <c r="DS48" i="2"/>
  <c r="DS52" i="2"/>
  <c r="DS56" i="2"/>
  <c r="DS60" i="2"/>
  <c r="DS64" i="2"/>
  <c r="DS68" i="2"/>
  <c r="DS72" i="2"/>
  <c r="DS76" i="2"/>
  <c r="DS80" i="2"/>
  <c r="DS84" i="2"/>
  <c r="DS88" i="2"/>
  <c r="DS92" i="2"/>
  <c r="DS96" i="2"/>
  <c r="DS100" i="2"/>
  <c r="DS104" i="2"/>
  <c r="DS108" i="2"/>
  <c r="DS112" i="2"/>
  <c r="DS116" i="2"/>
  <c r="DS120" i="2"/>
  <c r="DS124" i="2"/>
  <c r="DS128" i="2"/>
  <c r="DS132" i="2"/>
  <c r="DS136" i="2"/>
  <c r="DS140" i="2"/>
  <c r="DS144" i="2"/>
  <c r="DS148" i="2"/>
  <c r="DS152" i="2"/>
  <c r="DS156" i="2"/>
  <c r="DS160" i="2"/>
  <c r="DS164" i="2"/>
  <c r="DS168" i="2"/>
  <c r="DS172" i="2"/>
  <c r="DS13" i="2"/>
  <c r="DS17" i="2"/>
  <c r="DS21" i="2"/>
  <c r="DS25" i="2"/>
  <c r="DS29" i="2"/>
  <c r="DS33" i="2"/>
  <c r="DS37" i="2"/>
  <c r="DS41" i="2"/>
  <c r="DS45" i="2"/>
  <c r="DS49" i="2"/>
  <c r="DS53" i="2"/>
  <c r="DS57" i="2"/>
  <c r="DS61" i="2"/>
  <c r="DS65" i="2"/>
  <c r="DS69" i="2"/>
  <c r="DS73" i="2"/>
  <c r="DS77" i="2"/>
  <c r="DS81" i="2"/>
  <c r="DS85" i="2"/>
  <c r="DS89" i="2"/>
  <c r="DS93" i="2"/>
  <c r="DS97" i="2"/>
  <c r="DS101" i="2"/>
  <c r="DS107" i="2"/>
  <c r="DS115" i="2"/>
  <c r="DS123" i="2"/>
  <c r="DS131" i="2"/>
  <c r="DS139" i="2"/>
  <c r="DS147" i="2"/>
  <c r="DS155" i="2"/>
  <c r="DS163" i="2"/>
  <c r="DS171" i="2"/>
  <c r="DS105" i="2"/>
  <c r="DS113" i="2"/>
  <c r="DS121" i="2"/>
  <c r="DS129" i="2"/>
  <c r="DS137" i="2"/>
  <c r="DS145" i="2"/>
  <c r="DS153" i="2"/>
  <c r="DS161" i="2"/>
  <c r="DS169" i="2"/>
  <c r="DS11" i="2"/>
  <c r="BH156" i="6"/>
  <c r="BD156" i="6"/>
  <c r="AZ156" i="6"/>
  <c r="AV156" i="6"/>
  <c r="AR156" i="6"/>
  <c r="AN156" i="6"/>
  <c r="AJ156" i="6"/>
  <c r="AF156" i="6"/>
  <c r="AB156" i="6"/>
  <c r="X156" i="6"/>
  <c r="T156" i="6"/>
  <c r="P156" i="6"/>
  <c r="L156" i="6"/>
  <c r="H156" i="6"/>
  <c r="BG155" i="6"/>
  <c r="BC155" i="6"/>
  <c r="AY155" i="6"/>
  <c r="AU155" i="6"/>
  <c r="AQ155" i="6"/>
  <c r="AM155" i="6"/>
  <c r="AI155" i="6"/>
  <c r="AE155" i="6"/>
  <c r="AA155" i="6"/>
  <c r="W155" i="6"/>
  <c r="S155" i="6"/>
  <c r="O155" i="6"/>
  <c r="K155" i="6"/>
  <c r="BJ154" i="6"/>
  <c r="BF154" i="6"/>
  <c r="BB154" i="6"/>
  <c r="AX154" i="6"/>
  <c r="AT154" i="6"/>
  <c r="AP154" i="6"/>
  <c r="AL154" i="6"/>
  <c r="AH154" i="6"/>
  <c r="AD154" i="6"/>
  <c r="Z154" i="6"/>
  <c r="V154" i="6"/>
  <c r="R154" i="6"/>
  <c r="N154" i="6"/>
  <c r="J154" i="6"/>
  <c r="BI153" i="6"/>
  <c r="BE153" i="6"/>
  <c r="BA153" i="6"/>
  <c r="AW153" i="6"/>
  <c r="AS153" i="6"/>
  <c r="AO153" i="6"/>
  <c r="AK153" i="6"/>
  <c r="AG153" i="6"/>
  <c r="AC153" i="6"/>
  <c r="Y153" i="6"/>
  <c r="U153" i="6"/>
  <c r="Q153" i="6"/>
  <c r="M153" i="6"/>
  <c r="I153" i="6"/>
  <c r="BH152" i="6"/>
  <c r="BD152" i="6"/>
  <c r="AZ152" i="6"/>
  <c r="AV152" i="6"/>
  <c r="AR152" i="6"/>
  <c r="AN152" i="6"/>
  <c r="AJ152" i="6"/>
  <c r="AF152" i="6"/>
  <c r="BI156" i="6"/>
  <c r="BA156" i="6"/>
  <c r="AS156" i="6"/>
  <c r="AK156" i="6"/>
  <c r="AC156" i="6"/>
  <c r="U156" i="6"/>
  <c r="M156" i="6"/>
  <c r="BH155" i="6"/>
  <c r="AZ155" i="6"/>
  <c r="AR155" i="6"/>
  <c r="AJ155" i="6"/>
  <c r="AB155" i="6"/>
  <c r="T155" i="6"/>
  <c r="L155" i="6"/>
  <c r="BG154" i="6"/>
  <c r="AY154" i="6"/>
  <c r="AQ154" i="6"/>
  <c r="AI154" i="6"/>
  <c r="AA154" i="6"/>
  <c r="S154" i="6"/>
  <c r="K154" i="6"/>
  <c r="BF153" i="6"/>
  <c r="AX153" i="6"/>
  <c r="AP153" i="6"/>
  <c r="AH153" i="6"/>
  <c r="Z153" i="6"/>
  <c r="R153" i="6"/>
  <c r="J153" i="6"/>
  <c r="BE152" i="6"/>
  <c r="AW152" i="6"/>
  <c r="AO152" i="6"/>
  <c r="AG152" i="6"/>
  <c r="AA152" i="6"/>
  <c r="W152" i="6"/>
  <c r="S152" i="6"/>
  <c r="O152" i="6"/>
  <c r="K152" i="6"/>
  <c r="BJ151" i="6"/>
  <c r="BF151" i="6"/>
  <c r="BB151" i="6"/>
  <c r="AX151" i="6"/>
  <c r="AT151" i="6"/>
  <c r="AP151" i="6"/>
  <c r="AL151" i="6"/>
  <c r="AH151" i="6"/>
  <c r="AD151" i="6"/>
  <c r="Z151" i="6"/>
  <c r="V151" i="6"/>
  <c r="R151" i="6"/>
  <c r="N151" i="6"/>
  <c r="J151" i="6"/>
  <c r="BI150" i="6"/>
  <c r="DS14" i="2"/>
  <c r="DS18" i="2"/>
  <c r="DS22" i="2"/>
  <c r="DS26" i="2"/>
  <c r="DS30" i="2"/>
  <c r="DS34" i="2"/>
  <c r="DS38" i="2"/>
  <c r="DS42" i="2"/>
  <c r="DS46" i="2"/>
  <c r="DS50" i="2"/>
  <c r="DS54" i="2"/>
  <c r="DS58" i="2"/>
  <c r="DS62" i="2"/>
  <c r="DS66" i="2"/>
  <c r="DS70" i="2"/>
  <c r="DS74" i="2"/>
  <c r="DS78" i="2"/>
  <c r="DS82" i="2"/>
  <c r="DS86" i="2"/>
  <c r="DS90" i="2"/>
  <c r="DS94" i="2"/>
  <c r="DS98" i="2"/>
  <c r="DS102" i="2"/>
  <c r="DS106" i="2"/>
  <c r="DS110" i="2"/>
  <c r="DS114" i="2"/>
  <c r="DS118" i="2"/>
  <c r="DS122" i="2"/>
  <c r="DS126" i="2"/>
  <c r="DS130" i="2"/>
  <c r="DS134" i="2"/>
  <c r="DS138" i="2"/>
  <c r="DS142" i="2"/>
  <c r="DS146" i="2"/>
  <c r="DS150" i="2"/>
  <c r="DS154" i="2"/>
  <c r="DS158" i="2"/>
  <c r="DS162" i="2"/>
  <c r="DS166" i="2"/>
  <c r="DS170" i="2"/>
  <c r="DS174" i="2"/>
  <c r="DS15" i="2"/>
  <c r="DS19" i="2"/>
  <c r="DS23" i="2"/>
  <c r="DS27" i="2"/>
  <c r="DS31" i="2"/>
  <c r="DS35" i="2"/>
  <c r="DS39" i="2"/>
  <c r="DS43" i="2"/>
  <c r="DS47" i="2"/>
  <c r="DS51" i="2"/>
  <c r="DS55" i="2"/>
  <c r="DS59" i="2"/>
  <c r="DS63" i="2"/>
  <c r="DS67" i="2"/>
  <c r="DS71" i="2"/>
  <c r="DS75" i="2"/>
  <c r="DS79" i="2"/>
  <c r="DS83" i="2"/>
  <c r="DS87" i="2"/>
  <c r="DS91" i="2"/>
  <c r="DS95" i="2"/>
  <c r="DS99" i="2"/>
  <c r="DS103" i="2"/>
  <c r="DS111" i="2"/>
  <c r="DS119" i="2"/>
  <c r="DS127" i="2"/>
  <c r="DS135" i="2"/>
  <c r="DS143" i="2"/>
  <c r="DS151" i="2"/>
  <c r="DS159" i="2"/>
  <c r="DS167" i="2"/>
  <c r="DS175" i="2"/>
  <c r="DS109" i="2"/>
  <c r="DS117" i="2"/>
  <c r="DS125" i="2"/>
  <c r="DS133" i="2"/>
  <c r="DS141" i="2"/>
  <c r="DS149" i="2"/>
  <c r="DS157" i="2"/>
  <c r="DS165" i="2"/>
  <c r="DS173" i="2"/>
  <c r="BJ156" i="6"/>
  <c r="BF156" i="6"/>
  <c r="BB156" i="6"/>
  <c r="AX156" i="6"/>
  <c r="AT156" i="6"/>
  <c r="AP156" i="6"/>
  <c r="AL156" i="6"/>
  <c r="AH156" i="6"/>
  <c r="AD156" i="6"/>
  <c r="Z156" i="6"/>
  <c r="V156" i="6"/>
  <c r="R156" i="6"/>
  <c r="N156" i="6"/>
  <c r="J156" i="6"/>
  <c r="BI155" i="6"/>
  <c r="BE155" i="6"/>
  <c r="BA155" i="6"/>
  <c r="AW155" i="6"/>
  <c r="AS155" i="6"/>
  <c r="AO155" i="6"/>
  <c r="AK155" i="6"/>
  <c r="AG155" i="6"/>
  <c r="AC155" i="6"/>
  <c r="Y155" i="6"/>
  <c r="U155" i="6"/>
  <c r="Q155" i="6"/>
  <c r="M155" i="6"/>
  <c r="I155" i="6"/>
  <c r="BH154" i="6"/>
  <c r="BD154" i="6"/>
  <c r="AZ154" i="6"/>
  <c r="AV154" i="6"/>
  <c r="AR154" i="6"/>
  <c r="AN154" i="6"/>
  <c r="AJ154" i="6"/>
  <c r="AF154" i="6"/>
  <c r="AB154" i="6"/>
  <c r="X154" i="6"/>
  <c r="T154" i="6"/>
  <c r="P154" i="6"/>
  <c r="L154" i="6"/>
  <c r="H154" i="6"/>
  <c r="BG153" i="6"/>
  <c r="BC153" i="6"/>
  <c r="AU153" i="6"/>
  <c r="AM153" i="6"/>
  <c r="AE153" i="6"/>
  <c r="W153" i="6"/>
  <c r="O153" i="6"/>
  <c r="BJ152" i="6"/>
  <c r="BB152" i="6"/>
  <c r="AT152" i="6"/>
  <c r="AL152" i="6"/>
  <c r="AD152" i="6"/>
  <c r="AW156" i="6"/>
  <c r="AG156" i="6"/>
  <c r="Q156" i="6"/>
  <c r="BD155" i="6"/>
  <c r="AN155" i="6"/>
  <c r="X155" i="6"/>
  <c r="H155" i="6"/>
  <c r="AU154" i="6"/>
  <c r="AE154" i="6"/>
  <c r="O154" i="6"/>
  <c r="BB153" i="6"/>
  <c r="AL153" i="6"/>
  <c r="V153" i="6"/>
  <c r="BI152" i="6"/>
  <c r="AS152" i="6"/>
  <c r="AC152" i="6"/>
  <c r="U152" i="6"/>
  <c r="M152" i="6"/>
  <c r="BH151" i="6"/>
  <c r="AZ151" i="6"/>
  <c r="AR151" i="6"/>
  <c r="AJ151" i="6"/>
  <c r="AB151" i="6"/>
  <c r="T151" i="6"/>
  <c r="L151" i="6"/>
  <c r="BG150" i="6"/>
  <c r="BC150" i="6"/>
  <c r="AY150" i="6"/>
  <c r="AU150" i="6"/>
  <c r="AQ150" i="6"/>
  <c r="AM150" i="6"/>
  <c r="AI150" i="6"/>
  <c r="AE150" i="6"/>
  <c r="AA150" i="6"/>
  <c r="W150" i="6"/>
  <c r="S150" i="6"/>
  <c r="O150" i="6"/>
  <c r="K150" i="6"/>
  <c r="BJ149" i="6"/>
  <c r="BF149" i="6"/>
  <c r="BB149" i="6"/>
  <c r="AX149" i="6"/>
  <c r="AT149" i="6"/>
  <c r="AP149" i="6"/>
  <c r="AL149" i="6"/>
  <c r="AH149" i="6"/>
  <c r="AD149" i="6"/>
  <c r="Z149" i="6"/>
  <c r="V149" i="6"/>
  <c r="R149" i="6"/>
  <c r="N149" i="6"/>
  <c r="J149" i="6"/>
  <c r="BI148" i="6"/>
  <c r="BE148" i="6"/>
  <c r="BA148" i="6"/>
  <c r="AW148" i="6"/>
  <c r="AS148" i="6"/>
  <c r="AO148" i="6"/>
  <c r="AK148" i="6"/>
  <c r="AG148" i="6"/>
  <c r="AC148" i="6"/>
  <c r="Y148" i="6"/>
  <c r="U148" i="6"/>
  <c r="Q148" i="6"/>
  <c r="M148" i="6"/>
  <c r="I148" i="6"/>
  <c r="BH147" i="6"/>
  <c r="BD147" i="6"/>
  <c r="AZ147" i="6"/>
  <c r="AV147" i="6"/>
  <c r="AR147" i="6"/>
  <c r="AN147" i="6"/>
  <c r="AJ147" i="6"/>
  <c r="AF147" i="6"/>
  <c r="AB147" i="6"/>
  <c r="X147" i="6"/>
  <c r="T147" i="6"/>
  <c r="P147" i="6"/>
  <c r="L147" i="6"/>
  <c r="H147" i="6"/>
  <c r="BG146" i="6"/>
  <c r="BC146" i="6"/>
  <c r="AY146" i="6"/>
  <c r="AU146" i="6"/>
  <c r="AQ146" i="6"/>
  <c r="AM146" i="6"/>
  <c r="AI146" i="6"/>
  <c r="AE146" i="6"/>
  <c r="AA146" i="6"/>
  <c r="W146" i="6"/>
  <c r="S146" i="6"/>
  <c r="O146" i="6"/>
  <c r="K146" i="6"/>
  <c r="BJ145" i="6"/>
  <c r="BF145" i="6"/>
  <c r="BB145" i="6"/>
  <c r="AX145" i="6"/>
  <c r="AT145" i="6"/>
  <c r="AP145" i="6"/>
  <c r="AL145" i="6"/>
  <c r="AH145" i="6"/>
  <c r="BG156" i="6"/>
  <c r="AQ156" i="6"/>
  <c r="AA156" i="6"/>
  <c r="K156" i="6"/>
  <c r="AX155" i="6"/>
  <c r="AH155" i="6"/>
  <c r="R155" i="6"/>
  <c r="BE154" i="6"/>
  <c r="AO154" i="6"/>
  <c r="Y154" i="6"/>
  <c r="I154" i="6"/>
  <c r="AV153" i="6"/>
  <c r="AF153" i="6"/>
  <c r="P153" i="6"/>
  <c r="BC152" i="6"/>
  <c r="AM152" i="6"/>
  <c r="Z152" i="6"/>
  <c r="R152" i="6"/>
  <c r="J152" i="6"/>
  <c r="BE151" i="6"/>
  <c r="AW151" i="6"/>
  <c r="AO151" i="6"/>
  <c r="AG151" i="6"/>
  <c r="Y151" i="6"/>
  <c r="Q151" i="6"/>
  <c r="I151" i="6"/>
  <c r="BD150" i="6"/>
  <c r="AV150" i="6"/>
  <c r="AN150" i="6"/>
  <c r="AF150" i="6"/>
  <c r="X150" i="6"/>
  <c r="P150" i="6"/>
  <c r="H150" i="6"/>
  <c r="BC149" i="6"/>
  <c r="AU149" i="6"/>
  <c r="AM149" i="6"/>
  <c r="AE149" i="6"/>
  <c r="W149" i="6"/>
  <c r="O149" i="6"/>
  <c r="BJ148" i="6"/>
  <c r="BB148" i="6"/>
  <c r="AT148" i="6"/>
  <c r="AL148" i="6"/>
  <c r="AD148" i="6"/>
  <c r="V148" i="6"/>
  <c r="N148" i="6"/>
  <c r="BI147" i="6"/>
  <c r="BA147" i="6"/>
  <c r="AS147" i="6"/>
  <c r="AK147" i="6"/>
  <c r="AC147" i="6"/>
  <c r="U147" i="6"/>
  <c r="M147" i="6"/>
  <c r="BH146" i="6"/>
  <c r="AZ146" i="6"/>
  <c r="AR146" i="6"/>
  <c r="AJ146" i="6"/>
  <c r="AB146" i="6"/>
  <c r="T146" i="6"/>
  <c r="L146" i="6"/>
  <c r="BG145" i="6"/>
  <c r="AY145" i="6"/>
  <c r="AQ145" i="6"/>
  <c r="AI145" i="6"/>
  <c r="AC145" i="6"/>
  <c r="Y145" i="6"/>
  <c r="U145" i="6"/>
  <c r="Q145" i="6"/>
  <c r="M145" i="6"/>
  <c r="I145" i="6"/>
  <c r="BH144" i="6"/>
  <c r="BD144" i="6"/>
  <c r="AZ144" i="6"/>
  <c r="AV144" i="6"/>
  <c r="AR144" i="6"/>
  <c r="AN144" i="6"/>
  <c r="AJ144" i="6"/>
  <c r="AF144" i="6"/>
  <c r="AB144" i="6"/>
  <c r="X144" i="6"/>
  <c r="T144" i="6"/>
  <c r="P144" i="6"/>
  <c r="L144" i="6"/>
  <c r="H144" i="6"/>
  <c r="BG143" i="6"/>
  <c r="BC143" i="6"/>
  <c r="AY143" i="6"/>
  <c r="AU143" i="6"/>
  <c r="AQ143" i="6"/>
  <c r="AM143" i="6"/>
  <c r="AI143" i="6"/>
  <c r="AE143" i="6"/>
  <c r="AA143" i="6"/>
  <c r="W143" i="6"/>
  <c r="S143" i="6"/>
  <c r="O143" i="6"/>
  <c r="K143" i="6"/>
  <c r="BJ142" i="6"/>
  <c r="BF142" i="6"/>
  <c r="BB142" i="6"/>
  <c r="AX142" i="6"/>
  <c r="AT142" i="6"/>
  <c r="AP142" i="6"/>
  <c r="AL142" i="6"/>
  <c r="AH142" i="6"/>
  <c r="AD142" i="6"/>
  <c r="Z142" i="6"/>
  <c r="V142" i="6"/>
  <c r="R142" i="6"/>
  <c r="N142" i="6"/>
  <c r="J142" i="6"/>
  <c r="BI141" i="6"/>
  <c r="BE141" i="6"/>
  <c r="BA141" i="6"/>
  <c r="AW141" i="6"/>
  <c r="AS141" i="6"/>
  <c r="AO141" i="6"/>
  <c r="AK141" i="6"/>
  <c r="AG141" i="6"/>
  <c r="AC141" i="6"/>
  <c r="Y141" i="6"/>
  <c r="U141" i="6"/>
  <c r="Q141" i="6"/>
  <c r="M141" i="6"/>
  <c r="I141" i="6"/>
  <c r="BH140" i="6"/>
  <c r="BD140" i="6"/>
  <c r="AZ140" i="6"/>
  <c r="AV140" i="6"/>
  <c r="AR140" i="6"/>
  <c r="AN140" i="6"/>
  <c r="AJ140" i="6"/>
  <c r="AF140" i="6"/>
  <c r="AB140" i="6"/>
  <c r="X140" i="6"/>
  <c r="T140" i="6"/>
  <c r="P140" i="6"/>
  <c r="L140" i="6"/>
  <c r="H140" i="6"/>
  <c r="BG139" i="6"/>
  <c r="BC139" i="6"/>
  <c r="AY139" i="6"/>
  <c r="AU139" i="6"/>
  <c r="AY153" i="6"/>
  <c r="AQ153" i="6"/>
  <c r="AI153" i="6"/>
  <c r="AA153" i="6"/>
  <c r="S153" i="6"/>
  <c r="K153" i="6"/>
  <c r="BF152" i="6"/>
  <c r="AX152" i="6"/>
  <c r="AP152" i="6"/>
  <c r="AH152" i="6"/>
  <c r="BE156" i="6"/>
  <c r="AO156" i="6"/>
  <c r="Y156" i="6"/>
  <c r="I156" i="6"/>
  <c r="AV155" i="6"/>
  <c r="AF155" i="6"/>
  <c r="P155" i="6"/>
  <c r="BC154" i="6"/>
  <c r="AM154" i="6"/>
  <c r="W154" i="6"/>
  <c r="BJ153" i="6"/>
  <c r="AT153" i="6"/>
  <c r="AD153" i="6"/>
  <c r="N153" i="6"/>
  <c r="BA152" i="6"/>
  <c r="AK152" i="6"/>
  <c r="Y152" i="6"/>
  <c r="Q152" i="6"/>
  <c r="I152" i="6"/>
  <c r="BD151" i="6"/>
  <c r="AV151" i="6"/>
  <c r="AN151" i="6"/>
  <c r="AF151" i="6"/>
  <c r="X151" i="6"/>
  <c r="P151" i="6"/>
  <c r="H151" i="6"/>
  <c r="BE150" i="6"/>
  <c r="BA150" i="6"/>
  <c r="AW150" i="6"/>
  <c r="AS150" i="6"/>
  <c r="AO150" i="6"/>
  <c r="AK150" i="6"/>
  <c r="AG150" i="6"/>
  <c r="AC150" i="6"/>
  <c r="Y150" i="6"/>
  <c r="U150" i="6"/>
  <c r="Q150" i="6"/>
  <c r="M150" i="6"/>
  <c r="I150" i="6"/>
  <c r="BH149" i="6"/>
  <c r="BD149" i="6"/>
  <c r="AZ149" i="6"/>
  <c r="AV149" i="6"/>
  <c r="AR149" i="6"/>
  <c r="AN149" i="6"/>
  <c r="AJ149" i="6"/>
  <c r="AF149" i="6"/>
  <c r="AB149" i="6"/>
  <c r="X149" i="6"/>
  <c r="T149" i="6"/>
  <c r="P149" i="6"/>
  <c r="L149" i="6"/>
  <c r="H149" i="6"/>
  <c r="BG148" i="6"/>
  <c r="BC148" i="6"/>
  <c r="AY148" i="6"/>
  <c r="AU148" i="6"/>
  <c r="AQ148" i="6"/>
  <c r="AM148" i="6"/>
  <c r="AI148" i="6"/>
  <c r="AE148" i="6"/>
  <c r="AA148" i="6"/>
  <c r="W148" i="6"/>
  <c r="S148" i="6"/>
  <c r="O148" i="6"/>
  <c r="K148" i="6"/>
  <c r="BJ147" i="6"/>
  <c r="BF147" i="6"/>
  <c r="BB147" i="6"/>
  <c r="AX147" i="6"/>
  <c r="AT147" i="6"/>
  <c r="AP147" i="6"/>
  <c r="AL147" i="6"/>
  <c r="AH147" i="6"/>
  <c r="AD147" i="6"/>
  <c r="Z147" i="6"/>
  <c r="V147" i="6"/>
  <c r="R147" i="6"/>
  <c r="N147" i="6"/>
  <c r="J147" i="6"/>
  <c r="BI146" i="6"/>
  <c r="BE146" i="6"/>
  <c r="BA146" i="6"/>
  <c r="AW146" i="6"/>
  <c r="AS146" i="6"/>
  <c r="AO146" i="6"/>
  <c r="AK146" i="6"/>
  <c r="AG146" i="6"/>
  <c r="AC146" i="6"/>
  <c r="Y146" i="6"/>
  <c r="U146" i="6"/>
  <c r="Q146" i="6"/>
  <c r="M146" i="6"/>
  <c r="I146" i="6"/>
  <c r="BH145" i="6"/>
  <c r="BD145" i="6"/>
  <c r="AZ145" i="6"/>
  <c r="AV145" i="6"/>
  <c r="AR145" i="6"/>
  <c r="AN145" i="6"/>
  <c r="AJ145" i="6"/>
  <c r="AF145" i="6"/>
  <c r="AY156" i="6"/>
  <c r="AI156" i="6"/>
  <c r="S156" i="6"/>
  <c r="BF155" i="6"/>
  <c r="AP155" i="6"/>
  <c r="Z155" i="6"/>
  <c r="J155" i="6"/>
  <c r="AW154" i="6"/>
  <c r="AG154" i="6"/>
  <c r="Q154" i="6"/>
  <c r="BD153" i="6"/>
  <c r="AN153" i="6"/>
  <c r="X153" i="6"/>
  <c r="H153" i="6"/>
  <c r="AU152" i="6"/>
  <c r="AE152" i="6"/>
  <c r="V152" i="6"/>
  <c r="N152" i="6"/>
  <c r="BI151" i="6"/>
  <c r="BA151" i="6"/>
  <c r="AS151" i="6"/>
  <c r="AK151" i="6"/>
  <c r="AC151" i="6"/>
  <c r="U151" i="6"/>
  <c r="M151" i="6"/>
  <c r="BH150" i="6"/>
  <c r="AZ150" i="6"/>
  <c r="AR150" i="6"/>
  <c r="AJ150" i="6"/>
  <c r="AB150" i="6"/>
  <c r="T150" i="6"/>
  <c r="L150" i="6"/>
  <c r="BG149" i="6"/>
  <c r="AY149" i="6"/>
  <c r="AQ149" i="6"/>
  <c r="AI149" i="6"/>
  <c r="AA149" i="6"/>
  <c r="S149" i="6"/>
  <c r="K149" i="6"/>
  <c r="BF148" i="6"/>
  <c r="AX148" i="6"/>
  <c r="AP148" i="6"/>
  <c r="AH148" i="6"/>
  <c r="Z148" i="6"/>
  <c r="R148" i="6"/>
  <c r="J148" i="6"/>
  <c r="BE147" i="6"/>
  <c r="AW147" i="6"/>
  <c r="AO147" i="6"/>
  <c r="AG147" i="6"/>
  <c r="Y147" i="6"/>
  <c r="Q147" i="6"/>
  <c r="I147" i="6"/>
  <c r="BD146" i="6"/>
  <c r="AV146" i="6"/>
  <c r="AN146" i="6"/>
  <c r="AF146" i="6"/>
  <c r="X146" i="6"/>
  <c r="P146" i="6"/>
  <c r="H146" i="6"/>
  <c r="BC145" i="6"/>
  <c r="AU145" i="6"/>
  <c r="AM145" i="6"/>
  <c r="AE145" i="6"/>
  <c r="AA145" i="6"/>
  <c r="W145" i="6"/>
  <c r="S145" i="6"/>
  <c r="O145" i="6"/>
  <c r="K145" i="6"/>
  <c r="BJ144" i="6"/>
  <c r="BF144" i="6"/>
  <c r="BB144" i="6"/>
  <c r="AX144" i="6"/>
  <c r="AT144" i="6"/>
  <c r="AP144" i="6"/>
  <c r="AL144" i="6"/>
  <c r="AH144" i="6"/>
  <c r="AD144" i="6"/>
  <c r="Z144" i="6"/>
  <c r="V144" i="6"/>
  <c r="R144" i="6"/>
  <c r="N144" i="6"/>
  <c r="J144" i="6"/>
  <c r="BI143" i="6"/>
  <c r="BE143" i="6"/>
  <c r="BA143" i="6"/>
  <c r="AW143" i="6"/>
  <c r="AS143" i="6"/>
  <c r="AO143" i="6"/>
  <c r="AK143" i="6"/>
  <c r="AG143" i="6"/>
  <c r="AC143" i="6"/>
  <c r="Y143" i="6"/>
  <c r="U143" i="6"/>
  <c r="Q143" i="6"/>
  <c r="M143" i="6"/>
  <c r="I143" i="6"/>
  <c r="BH142" i="6"/>
  <c r="BD142" i="6"/>
  <c r="AZ142" i="6"/>
  <c r="AV142" i="6"/>
  <c r="AR142" i="6"/>
  <c r="AN142" i="6"/>
  <c r="AJ142" i="6"/>
  <c r="AF142" i="6"/>
  <c r="AB142" i="6"/>
  <c r="X142" i="6"/>
  <c r="T142" i="6"/>
  <c r="P142" i="6"/>
  <c r="L142" i="6"/>
  <c r="H142" i="6"/>
  <c r="BG141" i="6"/>
  <c r="BC141" i="6"/>
  <c r="AY141" i="6"/>
  <c r="AU141" i="6"/>
  <c r="AQ141" i="6"/>
  <c r="AM141" i="6"/>
  <c r="AI141" i="6"/>
  <c r="AE141" i="6"/>
  <c r="AA141" i="6"/>
  <c r="W141" i="6"/>
  <c r="S141" i="6"/>
  <c r="O141" i="6"/>
  <c r="K141" i="6"/>
  <c r="BJ140" i="6"/>
  <c r="BF140" i="6"/>
  <c r="BB140" i="6"/>
  <c r="AX140" i="6"/>
  <c r="AT140" i="6"/>
  <c r="AL140" i="6"/>
  <c r="AD140" i="6"/>
  <c r="V140" i="6"/>
  <c r="N140" i="6"/>
  <c r="BI139" i="6"/>
  <c r="BA139" i="6"/>
  <c r="AS139" i="6"/>
  <c r="AO139" i="6"/>
  <c r="AK139" i="6"/>
  <c r="AG139" i="6"/>
  <c r="AC139" i="6"/>
  <c r="Y139" i="6"/>
  <c r="U139" i="6"/>
  <c r="Q139" i="6"/>
  <c r="M139" i="6"/>
  <c r="I139" i="6"/>
  <c r="BH138" i="6"/>
  <c r="BD138" i="6"/>
  <c r="AZ138" i="6"/>
  <c r="AV138" i="6"/>
  <c r="AR138" i="6"/>
  <c r="AN138" i="6"/>
  <c r="AJ138" i="6"/>
  <c r="AF138" i="6"/>
  <c r="AB138" i="6"/>
  <c r="X138" i="6"/>
  <c r="T138" i="6"/>
  <c r="P138" i="6"/>
  <c r="L138" i="6"/>
  <c r="H138" i="6"/>
  <c r="BG137" i="6"/>
  <c r="BC137" i="6"/>
  <c r="AY137" i="6"/>
  <c r="AU137" i="6"/>
  <c r="AQ137" i="6"/>
  <c r="AM137" i="6"/>
  <c r="AI137" i="6"/>
  <c r="AE137" i="6"/>
  <c r="AA137" i="6"/>
  <c r="W137" i="6"/>
  <c r="S137" i="6"/>
  <c r="O137" i="6"/>
  <c r="K137" i="6"/>
  <c r="BJ136" i="6"/>
  <c r="BF136" i="6"/>
  <c r="BB136" i="6"/>
  <c r="AX136" i="6"/>
  <c r="AT136" i="6"/>
  <c r="AP136" i="6"/>
  <c r="AL136" i="6"/>
  <c r="AH136" i="6"/>
  <c r="AD136" i="6"/>
  <c r="Z136" i="6"/>
  <c r="V136" i="6"/>
  <c r="R136" i="6"/>
  <c r="N136" i="6"/>
  <c r="J136" i="6"/>
  <c r="BI135" i="6"/>
  <c r="BE135" i="6"/>
  <c r="BA135" i="6"/>
  <c r="AW135" i="6"/>
  <c r="AS135" i="6"/>
  <c r="AO135" i="6"/>
  <c r="AK135" i="6"/>
  <c r="AG135" i="6"/>
  <c r="AC135" i="6"/>
  <c r="Y135" i="6"/>
  <c r="U135" i="6"/>
  <c r="Q135" i="6"/>
  <c r="M135" i="6"/>
  <c r="I135" i="6"/>
  <c r="BH134" i="6"/>
  <c r="BD134" i="6"/>
  <c r="AZ134" i="6"/>
  <c r="AV134" i="6"/>
  <c r="AR134" i="6"/>
  <c r="AN134" i="6"/>
  <c r="AJ134" i="6"/>
  <c r="AF134" i="6"/>
  <c r="AB134" i="6"/>
  <c r="X134" i="6"/>
  <c r="T134" i="6"/>
  <c r="P134" i="6"/>
  <c r="L134" i="6"/>
  <c r="H134" i="6"/>
  <c r="BG133" i="6"/>
  <c r="BC133" i="6"/>
  <c r="AY133" i="6"/>
  <c r="AU133" i="6"/>
  <c r="AQ133" i="6"/>
  <c r="AM133" i="6"/>
  <c r="AI133" i="6"/>
  <c r="AE133" i="6"/>
  <c r="AA133" i="6"/>
  <c r="W133" i="6"/>
  <c r="S133" i="6"/>
  <c r="O133" i="6"/>
  <c r="K133" i="6"/>
  <c r="BJ132" i="6"/>
  <c r="BF132" i="6"/>
  <c r="BB132" i="6"/>
  <c r="AX132" i="6"/>
  <c r="AT132" i="6"/>
  <c r="AP132" i="6"/>
  <c r="AL132" i="6"/>
  <c r="AH132" i="6"/>
  <c r="AD132" i="6"/>
  <c r="Z132" i="6"/>
  <c r="V132" i="6"/>
  <c r="R132" i="6"/>
  <c r="N132" i="6"/>
  <c r="J132" i="6"/>
  <c r="BI131" i="6"/>
  <c r="BE131" i="6"/>
  <c r="BA131" i="6"/>
  <c r="AW131" i="6"/>
  <c r="AS131" i="6"/>
  <c r="AO131" i="6"/>
  <c r="AK131" i="6"/>
  <c r="BC156" i="6"/>
  <c r="W156" i="6"/>
  <c r="AT155" i="6"/>
  <c r="N155" i="6"/>
  <c r="AK154" i="6"/>
  <c r="BH153" i="6"/>
  <c r="AB153" i="6"/>
  <c r="AY152" i="6"/>
  <c r="X152" i="6"/>
  <c r="H152" i="6"/>
  <c r="AU151" i="6"/>
  <c r="AE151" i="6"/>
  <c r="O151" i="6"/>
  <c r="BB150" i="6"/>
  <c r="AL150" i="6"/>
  <c r="V150" i="6"/>
  <c r="BI149" i="6"/>
  <c r="AS149" i="6"/>
  <c r="AC149" i="6"/>
  <c r="M149" i="6"/>
  <c r="AZ148" i="6"/>
  <c r="AJ148" i="6"/>
  <c r="T148" i="6"/>
  <c r="BG147" i="6"/>
  <c r="AQ147" i="6"/>
  <c r="AA147" i="6"/>
  <c r="K147" i="6"/>
  <c r="AX146" i="6"/>
  <c r="AH146" i="6"/>
  <c r="R146" i="6"/>
  <c r="BE145" i="6"/>
  <c r="AO145" i="6"/>
  <c r="AB145" i="6"/>
  <c r="T145" i="6"/>
  <c r="L145" i="6"/>
  <c r="BG144" i="6"/>
  <c r="AY144" i="6"/>
  <c r="AQ144" i="6"/>
  <c r="AI144" i="6"/>
  <c r="AA144" i="6"/>
  <c r="S144" i="6"/>
  <c r="K144" i="6"/>
  <c r="BF143" i="6"/>
  <c r="AX143" i="6"/>
  <c r="AP143" i="6"/>
  <c r="AH143" i="6"/>
  <c r="Z143" i="6"/>
  <c r="R143" i="6"/>
  <c r="J143" i="6"/>
  <c r="BE142" i="6"/>
  <c r="AW142" i="6"/>
  <c r="AO142" i="6"/>
  <c r="AG142" i="6"/>
  <c r="Y142" i="6"/>
  <c r="Q142" i="6"/>
  <c r="I142" i="6"/>
  <c r="BD141" i="6"/>
  <c r="AV141" i="6"/>
  <c r="AN141" i="6"/>
  <c r="AF141" i="6"/>
  <c r="X141" i="6"/>
  <c r="P141" i="6"/>
  <c r="H141" i="6"/>
  <c r="BC140" i="6"/>
  <c r="AU140" i="6"/>
  <c r="AM140" i="6"/>
  <c r="AE140" i="6"/>
  <c r="W140" i="6"/>
  <c r="O140" i="6"/>
  <c r="BJ139" i="6"/>
  <c r="BB139" i="6"/>
  <c r="AT139" i="6"/>
  <c r="AL139" i="6"/>
  <c r="AD139" i="6"/>
  <c r="V139" i="6"/>
  <c r="N139" i="6"/>
  <c r="BI138" i="6"/>
  <c r="BA138" i="6"/>
  <c r="AS138" i="6"/>
  <c r="AK138" i="6"/>
  <c r="AC138" i="6"/>
  <c r="U138" i="6"/>
  <c r="M138" i="6"/>
  <c r="BH137" i="6"/>
  <c r="AZ137" i="6"/>
  <c r="AR137" i="6"/>
  <c r="AJ137" i="6"/>
  <c r="AB137" i="6"/>
  <c r="T137" i="6"/>
  <c r="L137" i="6"/>
  <c r="BG136" i="6"/>
  <c r="AY136" i="6"/>
  <c r="AQ136" i="6"/>
  <c r="AI136" i="6"/>
  <c r="AA136" i="6"/>
  <c r="S136" i="6"/>
  <c r="K136" i="6"/>
  <c r="BF135" i="6"/>
  <c r="AX135" i="6"/>
  <c r="AP135" i="6"/>
  <c r="AH135" i="6"/>
  <c r="Z135" i="6"/>
  <c r="R135" i="6"/>
  <c r="J135" i="6"/>
  <c r="BE134" i="6"/>
  <c r="AW134" i="6"/>
  <c r="AO134" i="6"/>
  <c r="AG134" i="6"/>
  <c r="Y134" i="6"/>
  <c r="Q134" i="6"/>
  <c r="I134" i="6"/>
  <c r="BD133" i="6"/>
  <c r="AV133" i="6"/>
  <c r="AN133" i="6"/>
  <c r="AF133" i="6"/>
  <c r="X133" i="6"/>
  <c r="P133" i="6"/>
  <c r="H133" i="6"/>
  <c r="BC132" i="6"/>
  <c r="AU132" i="6"/>
  <c r="AM132" i="6"/>
  <c r="AE132" i="6"/>
  <c r="W132" i="6"/>
  <c r="O132" i="6"/>
  <c r="BJ131" i="6"/>
  <c r="BB131" i="6"/>
  <c r="AP140" i="6"/>
  <c r="AH140" i="6"/>
  <c r="Z140" i="6"/>
  <c r="R140" i="6"/>
  <c r="J140" i="6"/>
  <c r="BE139" i="6"/>
  <c r="AW139" i="6"/>
  <c r="AQ139" i="6"/>
  <c r="AM139" i="6"/>
  <c r="AI139" i="6"/>
  <c r="AE139" i="6"/>
  <c r="AA139" i="6"/>
  <c r="W139" i="6"/>
  <c r="S139" i="6"/>
  <c r="O139" i="6"/>
  <c r="K139" i="6"/>
  <c r="BJ138" i="6"/>
  <c r="BF138" i="6"/>
  <c r="BB138" i="6"/>
  <c r="AX138" i="6"/>
  <c r="AT138" i="6"/>
  <c r="AP138" i="6"/>
  <c r="AL138" i="6"/>
  <c r="AH138" i="6"/>
  <c r="AD138" i="6"/>
  <c r="Z138" i="6"/>
  <c r="V138" i="6"/>
  <c r="R138" i="6"/>
  <c r="N138" i="6"/>
  <c r="J138" i="6"/>
  <c r="BI137" i="6"/>
  <c r="BE137" i="6"/>
  <c r="BA137" i="6"/>
  <c r="AW137" i="6"/>
  <c r="AS137" i="6"/>
  <c r="AO137" i="6"/>
  <c r="AK137" i="6"/>
  <c r="AG137" i="6"/>
  <c r="AC137" i="6"/>
  <c r="Y137" i="6"/>
  <c r="U137" i="6"/>
  <c r="Q137" i="6"/>
  <c r="M137" i="6"/>
  <c r="I137" i="6"/>
  <c r="BH136" i="6"/>
  <c r="BD136" i="6"/>
  <c r="AZ136" i="6"/>
  <c r="AV136" i="6"/>
  <c r="AR136" i="6"/>
  <c r="AN136" i="6"/>
  <c r="AJ136" i="6"/>
  <c r="AF136" i="6"/>
  <c r="AB136" i="6"/>
  <c r="X136" i="6"/>
  <c r="T136" i="6"/>
  <c r="P136" i="6"/>
  <c r="L136" i="6"/>
  <c r="H136" i="6"/>
  <c r="BG135" i="6"/>
  <c r="BC135" i="6"/>
  <c r="AY135" i="6"/>
  <c r="AU135" i="6"/>
  <c r="AQ135" i="6"/>
  <c r="AM135" i="6"/>
  <c r="AI135" i="6"/>
  <c r="AE135" i="6"/>
  <c r="AA135" i="6"/>
  <c r="W135" i="6"/>
  <c r="S135" i="6"/>
  <c r="O135" i="6"/>
  <c r="K135" i="6"/>
  <c r="BJ134" i="6"/>
  <c r="BF134" i="6"/>
  <c r="BB134" i="6"/>
  <c r="AX134" i="6"/>
  <c r="AT134" i="6"/>
  <c r="AP134" i="6"/>
  <c r="AL134" i="6"/>
  <c r="AH134" i="6"/>
  <c r="AD134" i="6"/>
  <c r="Z134" i="6"/>
  <c r="V134" i="6"/>
  <c r="R134" i="6"/>
  <c r="N134" i="6"/>
  <c r="J134" i="6"/>
  <c r="BI133" i="6"/>
  <c r="BE133" i="6"/>
  <c r="BA133" i="6"/>
  <c r="AW133" i="6"/>
  <c r="AS133" i="6"/>
  <c r="AO133" i="6"/>
  <c r="AK133" i="6"/>
  <c r="AG133" i="6"/>
  <c r="AC133" i="6"/>
  <c r="Y133" i="6"/>
  <c r="U133" i="6"/>
  <c r="Q133" i="6"/>
  <c r="M133" i="6"/>
  <c r="I133" i="6"/>
  <c r="BH132" i="6"/>
  <c r="BD132" i="6"/>
  <c r="AZ132" i="6"/>
  <c r="AV132" i="6"/>
  <c r="AR132" i="6"/>
  <c r="AN132" i="6"/>
  <c r="AJ132" i="6"/>
  <c r="AF132" i="6"/>
  <c r="AB132" i="6"/>
  <c r="X132" i="6"/>
  <c r="T132" i="6"/>
  <c r="P132" i="6"/>
  <c r="L132" i="6"/>
  <c r="H132" i="6"/>
  <c r="BG131" i="6"/>
  <c r="BC131" i="6"/>
  <c r="AY131" i="6"/>
  <c r="AU131" i="6"/>
  <c r="AQ131" i="6"/>
  <c r="AM131" i="6"/>
  <c r="AI131" i="6"/>
  <c r="AM156" i="6"/>
  <c r="BJ155" i="6"/>
  <c r="AD155" i="6"/>
  <c r="BA154" i="6"/>
  <c r="U154" i="6"/>
  <c r="AR153" i="6"/>
  <c r="L153" i="6"/>
  <c r="AI152" i="6"/>
  <c r="P152" i="6"/>
  <c r="BC151" i="6"/>
  <c r="AM151" i="6"/>
  <c r="W151" i="6"/>
  <c r="BJ150" i="6"/>
  <c r="AT150" i="6"/>
  <c r="AD150" i="6"/>
  <c r="N150" i="6"/>
  <c r="BA149" i="6"/>
  <c r="AK149" i="6"/>
  <c r="U149" i="6"/>
  <c r="BH148" i="6"/>
  <c r="AR148" i="6"/>
  <c r="AB148" i="6"/>
  <c r="L148" i="6"/>
  <c r="AY147" i="6"/>
  <c r="AI147" i="6"/>
  <c r="S147" i="6"/>
  <c r="BF146" i="6"/>
  <c r="AP146" i="6"/>
  <c r="Z146" i="6"/>
  <c r="J146" i="6"/>
  <c r="AW145" i="6"/>
  <c r="AG145" i="6"/>
  <c r="X145" i="6"/>
  <c r="P145" i="6"/>
  <c r="H145" i="6"/>
  <c r="BC144" i="6"/>
  <c r="AU144" i="6"/>
  <c r="AM144" i="6"/>
  <c r="AE144" i="6"/>
  <c r="W144" i="6"/>
  <c r="O144" i="6"/>
  <c r="BJ143" i="6"/>
  <c r="BB143" i="6"/>
  <c r="AT143" i="6"/>
  <c r="AL143" i="6"/>
  <c r="AD143" i="6"/>
  <c r="V143" i="6"/>
  <c r="N143" i="6"/>
  <c r="BI142" i="6"/>
  <c r="BA142" i="6"/>
  <c r="AS142" i="6"/>
  <c r="AK142" i="6"/>
  <c r="AC142" i="6"/>
  <c r="U142" i="6"/>
  <c r="M142" i="6"/>
  <c r="BH141" i="6"/>
  <c r="AZ141" i="6"/>
  <c r="AR141" i="6"/>
  <c r="AJ141" i="6"/>
  <c r="AB141" i="6"/>
  <c r="T141" i="6"/>
  <c r="L141" i="6"/>
  <c r="BG140" i="6"/>
  <c r="AY140" i="6"/>
  <c r="AQ140" i="6"/>
  <c r="AI140" i="6"/>
  <c r="AA140" i="6"/>
  <c r="S140" i="6"/>
  <c r="K140" i="6"/>
  <c r="BF139" i="6"/>
  <c r="AX139" i="6"/>
  <c r="AP139" i="6"/>
  <c r="AH139" i="6"/>
  <c r="Z139" i="6"/>
  <c r="R139" i="6"/>
  <c r="J139" i="6"/>
  <c r="BE138" i="6"/>
  <c r="AW138" i="6"/>
  <c r="AO138" i="6"/>
  <c r="AG138" i="6"/>
  <c r="Y138" i="6"/>
  <c r="Q138" i="6"/>
  <c r="I138" i="6"/>
  <c r="BD137" i="6"/>
  <c r="AV137" i="6"/>
  <c r="AN137" i="6"/>
  <c r="AF137" i="6"/>
  <c r="X137" i="6"/>
  <c r="P137" i="6"/>
  <c r="H137" i="6"/>
  <c r="BC136" i="6"/>
  <c r="AU136" i="6"/>
  <c r="AM136" i="6"/>
  <c r="AE136" i="6"/>
  <c r="W136" i="6"/>
  <c r="O136" i="6"/>
  <c r="BJ135" i="6"/>
  <c r="BB135" i="6"/>
  <c r="AT135" i="6"/>
  <c r="AL135" i="6"/>
  <c r="AD135" i="6"/>
  <c r="V135" i="6"/>
  <c r="N135" i="6"/>
  <c r="BI134" i="6"/>
  <c r="BA134" i="6"/>
  <c r="AS134" i="6"/>
  <c r="AK134" i="6"/>
  <c r="AC134" i="6"/>
  <c r="U134" i="6"/>
  <c r="M134" i="6"/>
  <c r="BH133" i="6"/>
  <c r="AZ133" i="6"/>
  <c r="AR133" i="6"/>
  <c r="AJ133" i="6"/>
  <c r="AB133" i="6"/>
  <c r="T133" i="6"/>
  <c r="L133" i="6"/>
  <c r="BG132" i="6"/>
  <c r="AY132" i="6"/>
  <c r="AQ132" i="6"/>
  <c r="AI132" i="6"/>
  <c r="AA132" i="6"/>
  <c r="S132" i="6"/>
  <c r="K132" i="6"/>
  <c r="BF131" i="6"/>
  <c r="AX131" i="6"/>
  <c r="AP131" i="6"/>
  <c r="AH131" i="6"/>
  <c r="AD131" i="6"/>
  <c r="Z131" i="6"/>
  <c r="V131" i="6"/>
  <c r="R131" i="6"/>
  <c r="N131" i="6"/>
  <c r="J131" i="6"/>
  <c r="BI130" i="6"/>
  <c r="AT131" i="6"/>
  <c r="AF131" i="6"/>
  <c r="X131" i="6"/>
  <c r="P131" i="6"/>
  <c r="H131" i="6"/>
  <c r="BE130" i="6"/>
  <c r="BA130" i="6"/>
  <c r="AW130" i="6"/>
  <c r="AS130" i="6"/>
  <c r="AO130" i="6"/>
  <c r="AK130" i="6"/>
  <c r="AG130" i="6"/>
  <c r="AC130" i="6"/>
  <c r="Y130" i="6"/>
  <c r="U130" i="6"/>
  <c r="Q130" i="6"/>
  <c r="M130" i="6"/>
  <c r="I130" i="6"/>
  <c r="BH129" i="6"/>
  <c r="BD129" i="6"/>
  <c r="AZ129" i="6"/>
  <c r="AV129" i="6"/>
  <c r="AR129" i="6"/>
  <c r="AN129" i="6"/>
  <c r="AJ129" i="6"/>
  <c r="AF129" i="6"/>
  <c r="AB129" i="6"/>
  <c r="X129" i="6"/>
  <c r="T129" i="6"/>
  <c r="P129" i="6"/>
  <c r="L129" i="6"/>
  <c r="H129" i="6"/>
  <c r="BG128" i="6"/>
  <c r="BC128" i="6"/>
  <c r="AY128" i="6"/>
  <c r="AU128" i="6"/>
  <c r="AQ128" i="6"/>
  <c r="AM128" i="6"/>
  <c r="AI128" i="6"/>
  <c r="AE128" i="6"/>
  <c r="AA128" i="6"/>
  <c r="W128" i="6"/>
  <c r="S128" i="6"/>
  <c r="O128" i="6"/>
  <c r="K128" i="6"/>
  <c r="BJ127" i="6"/>
  <c r="BF127" i="6"/>
  <c r="BB127" i="6"/>
  <c r="AX127" i="6"/>
  <c r="AT127" i="6"/>
  <c r="AP127" i="6"/>
  <c r="AL127" i="6"/>
  <c r="AH127" i="6"/>
  <c r="AD127" i="6"/>
  <c r="Z127" i="6"/>
  <c r="V127" i="6"/>
  <c r="R127" i="6"/>
  <c r="N127" i="6"/>
  <c r="J127" i="6"/>
  <c r="BI126" i="6"/>
  <c r="BE126" i="6"/>
  <c r="BA126" i="6"/>
  <c r="AW126" i="6"/>
  <c r="AS126" i="6"/>
  <c r="AO126" i="6"/>
  <c r="AK126" i="6"/>
  <c r="AG126" i="6"/>
  <c r="AC126" i="6"/>
  <c r="Y126" i="6"/>
  <c r="U126" i="6"/>
  <c r="Q126" i="6"/>
  <c r="M126" i="6"/>
  <c r="I126" i="6"/>
  <c r="BH125" i="6"/>
  <c r="BD125" i="6"/>
  <c r="AZ125" i="6"/>
  <c r="AV125" i="6"/>
  <c r="AR125" i="6"/>
  <c r="AN125" i="6"/>
  <c r="AJ125" i="6"/>
  <c r="AF125" i="6"/>
  <c r="AB125" i="6"/>
  <c r="X125" i="6"/>
  <c r="T125" i="6"/>
  <c r="P125" i="6"/>
  <c r="L125" i="6"/>
  <c r="H125" i="6"/>
  <c r="BG124" i="6"/>
  <c r="BC124" i="6"/>
  <c r="AY124" i="6"/>
  <c r="AU124" i="6"/>
  <c r="AQ124" i="6"/>
  <c r="AM124" i="6"/>
  <c r="AI124" i="6"/>
  <c r="AE124" i="6"/>
  <c r="AA124" i="6"/>
  <c r="W124" i="6"/>
  <c r="S124" i="6"/>
  <c r="O124" i="6"/>
  <c r="K124" i="6"/>
  <c r="BJ123" i="6"/>
  <c r="BF123" i="6"/>
  <c r="BB123" i="6"/>
  <c r="AX123" i="6"/>
  <c r="AT123" i="6"/>
  <c r="AP123" i="6"/>
  <c r="AL123" i="6"/>
  <c r="AH123" i="6"/>
  <c r="AD123" i="6"/>
  <c r="Z123" i="6"/>
  <c r="V123" i="6"/>
  <c r="R123" i="6"/>
  <c r="N123" i="6"/>
  <c r="J123" i="6"/>
  <c r="BI122" i="6"/>
  <c r="BE122" i="6"/>
  <c r="BA122" i="6"/>
  <c r="AW122" i="6"/>
  <c r="AS122" i="6"/>
  <c r="AO122" i="6"/>
  <c r="AK122" i="6"/>
  <c r="AG122" i="6"/>
  <c r="AC122" i="6"/>
  <c r="Y122" i="6"/>
  <c r="U122" i="6"/>
  <c r="Q122" i="6"/>
  <c r="M122" i="6"/>
  <c r="I122" i="6"/>
  <c r="BH121" i="6"/>
  <c r="BD121" i="6"/>
  <c r="AZ121" i="6"/>
  <c r="AV121" i="6"/>
  <c r="AR121" i="6"/>
  <c r="AN121" i="6"/>
  <c r="AJ121" i="6"/>
  <c r="AF121" i="6"/>
  <c r="AB121" i="6"/>
  <c r="X121" i="6"/>
  <c r="T121" i="6"/>
  <c r="P121" i="6"/>
  <c r="L121" i="6"/>
  <c r="H121" i="6"/>
  <c r="BG120" i="6"/>
  <c r="BC120" i="6"/>
  <c r="AY120" i="6"/>
  <c r="AU120" i="6"/>
  <c r="AQ120" i="6"/>
  <c r="AM120" i="6"/>
  <c r="AI120" i="6"/>
  <c r="AE120" i="6"/>
  <c r="AA120" i="6"/>
  <c r="W120" i="6"/>
  <c r="S120" i="6"/>
  <c r="O120" i="6"/>
  <c r="K120" i="6"/>
  <c r="BJ119" i="6"/>
  <c r="BF119" i="6"/>
  <c r="BB119" i="6"/>
  <c r="AX119" i="6"/>
  <c r="AT119" i="6"/>
  <c r="AP119" i="6"/>
  <c r="AL119" i="6"/>
  <c r="AH119" i="6"/>
  <c r="AD119" i="6"/>
  <c r="Z119" i="6"/>
  <c r="V119" i="6"/>
  <c r="R119" i="6"/>
  <c r="N119" i="6"/>
  <c r="J119" i="6"/>
  <c r="BI118" i="6"/>
  <c r="BE118" i="6"/>
  <c r="BA118" i="6"/>
  <c r="AW118" i="6"/>
  <c r="AS118" i="6"/>
  <c r="AO118" i="6"/>
  <c r="AK118" i="6"/>
  <c r="AG118" i="6"/>
  <c r="AC118" i="6"/>
  <c r="Y118" i="6"/>
  <c r="U118" i="6"/>
  <c r="Q118" i="6"/>
  <c r="M118" i="6"/>
  <c r="I118" i="6"/>
  <c r="BH117" i="6"/>
  <c r="BD117" i="6"/>
  <c r="AZ117" i="6"/>
  <c r="AV117" i="6"/>
  <c r="AR117" i="6"/>
  <c r="AN117" i="6"/>
  <c r="AJ117" i="6"/>
  <c r="AF117" i="6"/>
  <c r="AB117" i="6"/>
  <c r="X117" i="6"/>
  <c r="T117" i="6"/>
  <c r="P117" i="6"/>
  <c r="L117" i="6"/>
  <c r="H117" i="6"/>
  <c r="BG116" i="6"/>
  <c r="BC116" i="6"/>
  <c r="AY116" i="6"/>
  <c r="AU116" i="6"/>
  <c r="AQ116" i="6"/>
  <c r="AM116" i="6"/>
  <c r="AI116" i="6"/>
  <c r="AE116" i="6"/>
  <c r="AA116" i="6"/>
  <c r="W116" i="6"/>
  <c r="S116" i="6"/>
  <c r="O116" i="6"/>
  <c r="K116" i="6"/>
  <c r="BJ115" i="6"/>
  <c r="BF115" i="6"/>
  <c r="BB115" i="6"/>
  <c r="AX115" i="6"/>
  <c r="AT115" i="6"/>
  <c r="AP115" i="6"/>
  <c r="AL115" i="6"/>
  <c r="AH115" i="6"/>
  <c r="AD115" i="6"/>
  <c r="Z115" i="6"/>
  <c r="V115" i="6"/>
  <c r="R115" i="6"/>
  <c r="N115" i="6"/>
  <c r="J115" i="6"/>
  <c r="BI114" i="6"/>
  <c r="BE114" i="6"/>
  <c r="BA114" i="6"/>
  <c r="AW114" i="6"/>
  <c r="AS114" i="6"/>
  <c r="AO114" i="6"/>
  <c r="AK114" i="6"/>
  <c r="AG114" i="6"/>
  <c r="AC114" i="6"/>
  <c r="Y114" i="6"/>
  <c r="U114" i="6"/>
  <c r="Q114" i="6"/>
  <c r="M114" i="6"/>
  <c r="I114" i="6"/>
  <c r="BH113" i="6"/>
  <c r="BD113" i="6"/>
  <c r="AZ113" i="6"/>
  <c r="AV113" i="6"/>
  <c r="AR113" i="6"/>
  <c r="AN113" i="6"/>
  <c r="AJ113" i="6"/>
  <c r="AF113" i="6"/>
  <c r="AB113" i="6"/>
  <c r="X113" i="6"/>
  <c r="T113" i="6"/>
  <c r="P113" i="6"/>
  <c r="L113" i="6"/>
  <c r="H113" i="6"/>
  <c r="AU156" i="6"/>
  <c r="O156" i="6"/>
  <c r="AL155" i="6"/>
  <c r="BI154" i="6"/>
  <c r="AC154" i="6"/>
  <c r="AZ153" i="6"/>
  <c r="T153" i="6"/>
  <c r="AQ152" i="6"/>
  <c r="T152" i="6"/>
  <c r="BG151" i="6"/>
  <c r="AQ151" i="6"/>
  <c r="AA151" i="6"/>
  <c r="K151" i="6"/>
  <c r="AX150" i="6"/>
  <c r="AH150" i="6"/>
  <c r="R150" i="6"/>
  <c r="BE149" i="6"/>
  <c r="AO149" i="6"/>
  <c r="Y149" i="6"/>
  <c r="I149" i="6"/>
  <c r="AV148" i="6"/>
  <c r="AF148" i="6"/>
  <c r="P148" i="6"/>
  <c r="BC147" i="6"/>
  <c r="AM147" i="6"/>
  <c r="W147" i="6"/>
  <c r="BJ146" i="6"/>
  <c r="AT146" i="6"/>
  <c r="AD146" i="6"/>
  <c r="N146" i="6"/>
  <c r="BA145" i="6"/>
  <c r="AK145" i="6"/>
  <c r="Z145" i="6"/>
  <c r="R145" i="6"/>
  <c r="J145" i="6"/>
  <c r="BE144" i="6"/>
  <c r="AW144" i="6"/>
  <c r="AO144" i="6"/>
  <c r="AG144" i="6"/>
  <c r="Y144" i="6"/>
  <c r="Q144" i="6"/>
  <c r="I144" i="6"/>
  <c r="BD143" i="6"/>
  <c r="AV143" i="6"/>
  <c r="AN143" i="6"/>
  <c r="AF143" i="6"/>
  <c r="X143" i="6"/>
  <c r="P143" i="6"/>
  <c r="H143" i="6"/>
  <c r="BC142" i="6"/>
  <c r="AU142" i="6"/>
  <c r="AM142" i="6"/>
  <c r="AE142" i="6"/>
  <c r="W142" i="6"/>
  <c r="O142" i="6"/>
  <c r="BJ141" i="6"/>
  <c r="BB141" i="6"/>
  <c r="AT141" i="6"/>
  <c r="AL141" i="6"/>
  <c r="AD141" i="6"/>
  <c r="V141" i="6"/>
  <c r="N141" i="6"/>
  <c r="BI140" i="6"/>
  <c r="BA140" i="6"/>
  <c r="AO140" i="6"/>
  <c r="Y140" i="6"/>
  <c r="I140" i="6"/>
  <c r="AV139" i="6"/>
  <c r="AF139" i="6"/>
  <c r="P139" i="6"/>
  <c r="BC138" i="6"/>
  <c r="AM138" i="6"/>
  <c r="W138" i="6"/>
  <c r="BJ137" i="6"/>
  <c r="AT137" i="6"/>
  <c r="AD137" i="6"/>
  <c r="N137" i="6"/>
  <c r="BA136" i="6"/>
  <c r="AK136" i="6"/>
  <c r="U136" i="6"/>
  <c r="BH135" i="6"/>
  <c r="AR135" i="6"/>
  <c r="AB135" i="6"/>
  <c r="L135" i="6"/>
  <c r="AY134" i="6"/>
  <c r="AI134" i="6"/>
  <c r="S134" i="6"/>
  <c r="BF133" i="6"/>
  <c r="AP133" i="6"/>
  <c r="Z133" i="6"/>
  <c r="J133" i="6"/>
  <c r="AW132" i="6"/>
  <c r="AG132" i="6"/>
  <c r="Q132" i="6"/>
  <c r="BD131" i="6"/>
  <c r="AN131" i="6"/>
  <c r="AC131" i="6"/>
  <c r="U131" i="6"/>
  <c r="M131" i="6"/>
  <c r="BH130" i="6"/>
  <c r="AZ130" i="6"/>
  <c r="AR130" i="6"/>
  <c r="AJ130" i="6"/>
  <c r="AB130" i="6"/>
  <c r="T130" i="6"/>
  <c r="L130" i="6"/>
  <c r="BG129" i="6"/>
  <c r="AY129" i="6"/>
  <c r="AQ129" i="6"/>
  <c r="AI129" i="6"/>
  <c r="AA129" i="6"/>
  <c r="S129" i="6"/>
  <c r="K129" i="6"/>
  <c r="BF128" i="6"/>
  <c r="AX128" i="6"/>
  <c r="AP128" i="6"/>
  <c r="AH128" i="6"/>
  <c r="Z128" i="6"/>
  <c r="R128" i="6"/>
  <c r="J128" i="6"/>
  <c r="BE127" i="6"/>
  <c r="AW127" i="6"/>
  <c r="AO127" i="6"/>
  <c r="AG127" i="6"/>
  <c r="Y127" i="6"/>
  <c r="Q127" i="6"/>
  <c r="I127" i="6"/>
  <c r="BD126" i="6"/>
  <c r="AV126" i="6"/>
  <c r="AN126" i="6"/>
  <c r="AF126" i="6"/>
  <c r="X126" i="6"/>
  <c r="P126" i="6"/>
  <c r="H126" i="6"/>
  <c r="BC125" i="6"/>
  <c r="AU125" i="6"/>
  <c r="AM125" i="6"/>
  <c r="AE125" i="6"/>
  <c r="W125" i="6"/>
  <c r="O125" i="6"/>
  <c r="BJ124" i="6"/>
  <c r="BB124" i="6"/>
  <c r="AT124" i="6"/>
  <c r="AL124" i="6"/>
  <c r="AD124" i="6"/>
  <c r="V124" i="6"/>
  <c r="N124" i="6"/>
  <c r="BI123" i="6"/>
  <c r="BA123" i="6"/>
  <c r="AS123" i="6"/>
  <c r="AK123" i="6"/>
  <c r="AC123" i="6"/>
  <c r="U123" i="6"/>
  <c r="M123" i="6"/>
  <c r="BH122" i="6"/>
  <c r="AZ122" i="6"/>
  <c r="AR122" i="6"/>
  <c r="AJ122" i="6"/>
  <c r="AB122" i="6"/>
  <c r="T122" i="6"/>
  <c r="L122" i="6"/>
  <c r="BG121" i="6"/>
  <c r="AY121" i="6"/>
  <c r="AQ121" i="6"/>
  <c r="AI121" i="6"/>
  <c r="AA121" i="6"/>
  <c r="S121" i="6"/>
  <c r="K121" i="6"/>
  <c r="BF120" i="6"/>
  <c r="AX120" i="6"/>
  <c r="AP120" i="6"/>
  <c r="AH120" i="6"/>
  <c r="Z120" i="6"/>
  <c r="R120" i="6"/>
  <c r="J120" i="6"/>
  <c r="BE119" i="6"/>
  <c r="AW119" i="6"/>
  <c r="AO119" i="6"/>
  <c r="AG119" i="6"/>
  <c r="Y119" i="6"/>
  <c r="Q119" i="6"/>
  <c r="I119" i="6"/>
  <c r="BD118" i="6"/>
  <c r="AV118" i="6"/>
  <c r="AN118" i="6"/>
  <c r="AF118" i="6"/>
  <c r="X118" i="6"/>
  <c r="P118" i="6"/>
  <c r="H118" i="6"/>
  <c r="BC117" i="6"/>
  <c r="AU117" i="6"/>
  <c r="AM117" i="6"/>
  <c r="AE117" i="6"/>
  <c r="W117" i="6"/>
  <c r="O117" i="6"/>
  <c r="BJ116" i="6"/>
  <c r="BB116" i="6"/>
  <c r="AT116" i="6"/>
  <c r="AL116" i="6"/>
  <c r="AD116" i="6"/>
  <c r="AK140" i="6"/>
  <c r="U140" i="6"/>
  <c r="BH139" i="6"/>
  <c r="AR139" i="6"/>
  <c r="AB139" i="6"/>
  <c r="L139" i="6"/>
  <c r="AY138" i="6"/>
  <c r="AI138" i="6"/>
  <c r="S138" i="6"/>
  <c r="BF137" i="6"/>
  <c r="AP137" i="6"/>
  <c r="Z137" i="6"/>
  <c r="J137" i="6"/>
  <c r="AW136" i="6"/>
  <c r="AG136" i="6"/>
  <c r="Q136" i="6"/>
  <c r="BD135" i="6"/>
  <c r="AN135" i="6"/>
  <c r="X135" i="6"/>
  <c r="H135" i="6"/>
  <c r="AU134" i="6"/>
  <c r="AE134" i="6"/>
  <c r="O134" i="6"/>
  <c r="BB133" i="6"/>
  <c r="AL133" i="6"/>
  <c r="V133" i="6"/>
  <c r="BI132" i="6"/>
  <c r="AS132" i="6"/>
  <c r="AC132" i="6"/>
  <c r="M132" i="6"/>
  <c r="AZ131" i="6"/>
  <c r="AJ131" i="6"/>
  <c r="AA131" i="6"/>
  <c r="S131" i="6"/>
  <c r="K131" i="6"/>
  <c r="BF130" i="6"/>
  <c r="AX130" i="6"/>
  <c r="AP130" i="6"/>
  <c r="AH130" i="6"/>
  <c r="Z130" i="6"/>
  <c r="R130" i="6"/>
  <c r="J130" i="6"/>
  <c r="BE129" i="6"/>
  <c r="AW129" i="6"/>
  <c r="AO129" i="6"/>
  <c r="AG129" i="6"/>
  <c r="Y129" i="6"/>
  <c r="Q129" i="6"/>
  <c r="I129" i="6"/>
  <c r="BD128" i="6"/>
  <c r="AV128" i="6"/>
  <c r="AN128" i="6"/>
  <c r="AF128" i="6"/>
  <c r="X128" i="6"/>
  <c r="P128" i="6"/>
  <c r="H128" i="6"/>
  <c r="BC127" i="6"/>
  <c r="AU127" i="6"/>
  <c r="AM127" i="6"/>
  <c r="AL131" i="6"/>
  <c r="AB131" i="6"/>
  <c r="T131" i="6"/>
  <c r="L131" i="6"/>
  <c r="BG130" i="6"/>
  <c r="BC130" i="6"/>
  <c r="AY130" i="6"/>
  <c r="AU130" i="6"/>
  <c r="AQ130" i="6"/>
  <c r="AM130" i="6"/>
  <c r="AI130" i="6"/>
  <c r="AE130" i="6"/>
  <c r="AA130" i="6"/>
  <c r="W130" i="6"/>
  <c r="S130" i="6"/>
  <c r="O130" i="6"/>
  <c r="K130" i="6"/>
  <c r="BJ129" i="6"/>
  <c r="BF129" i="6"/>
  <c r="BB129" i="6"/>
  <c r="AX129" i="6"/>
  <c r="AT129" i="6"/>
  <c r="AP129" i="6"/>
  <c r="AL129" i="6"/>
  <c r="AH129" i="6"/>
  <c r="AD129" i="6"/>
  <c r="Z129" i="6"/>
  <c r="V129" i="6"/>
  <c r="R129" i="6"/>
  <c r="N129" i="6"/>
  <c r="J129" i="6"/>
  <c r="BI128" i="6"/>
  <c r="BE128" i="6"/>
  <c r="BA128" i="6"/>
  <c r="AW128" i="6"/>
  <c r="AS128" i="6"/>
  <c r="AO128" i="6"/>
  <c r="AK128" i="6"/>
  <c r="AG128" i="6"/>
  <c r="AC128" i="6"/>
  <c r="Y128" i="6"/>
  <c r="U128" i="6"/>
  <c r="Q128" i="6"/>
  <c r="M128" i="6"/>
  <c r="I128" i="6"/>
  <c r="BH127" i="6"/>
  <c r="BD127" i="6"/>
  <c r="AZ127" i="6"/>
  <c r="AV127" i="6"/>
  <c r="AR127" i="6"/>
  <c r="AN127" i="6"/>
  <c r="AJ127" i="6"/>
  <c r="AF127" i="6"/>
  <c r="AB127" i="6"/>
  <c r="X127" i="6"/>
  <c r="T127" i="6"/>
  <c r="P127" i="6"/>
  <c r="L127" i="6"/>
  <c r="H127" i="6"/>
  <c r="BG126" i="6"/>
  <c r="BC126" i="6"/>
  <c r="AY126" i="6"/>
  <c r="AU126" i="6"/>
  <c r="AQ126" i="6"/>
  <c r="AM126" i="6"/>
  <c r="AI126" i="6"/>
  <c r="AE126" i="6"/>
  <c r="AA126" i="6"/>
  <c r="W126" i="6"/>
  <c r="S126" i="6"/>
  <c r="O126" i="6"/>
  <c r="K126" i="6"/>
  <c r="BJ125" i="6"/>
  <c r="BF125" i="6"/>
  <c r="BB125" i="6"/>
  <c r="AX125" i="6"/>
  <c r="AT125" i="6"/>
  <c r="AP125" i="6"/>
  <c r="AL125" i="6"/>
  <c r="AH125" i="6"/>
  <c r="AD125" i="6"/>
  <c r="Z125" i="6"/>
  <c r="V125" i="6"/>
  <c r="R125" i="6"/>
  <c r="N125" i="6"/>
  <c r="J125" i="6"/>
  <c r="BI124" i="6"/>
  <c r="BE124" i="6"/>
  <c r="BA124" i="6"/>
  <c r="AW124" i="6"/>
  <c r="AS124" i="6"/>
  <c r="AO124" i="6"/>
  <c r="AK124" i="6"/>
  <c r="AG124" i="6"/>
  <c r="AC124" i="6"/>
  <c r="Y124" i="6"/>
  <c r="U124" i="6"/>
  <c r="Q124" i="6"/>
  <c r="M124" i="6"/>
  <c r="I124" i="6"/>
  <c r="BH123" i="6"/>
  <c r="BD123" i="6"/>
  <c r="AZ123" i="6"/>
  <c r="AV123" i="6"/>
  <c r="AR123" i="6"/>
  <c r="AN123" i="6"/>
  <c r="AJ123" i="6"/>
  <c r="AF123" i="6"/>
  <c r="AB123" i="6"/>
  <c r="X123" i="6"/>
  <c r="T123" i="6"/>
  <c r="P123" i="6"/>
  <c r="L123" i="6"/>
  <c r="H123" i="6"/>
  <c r="BG122" i="6"/>
  <c r="BC122" i="6"/>
  <c r="AY122" i="6"/>
  <c r="AU122" i="6"/>
  <c r="AQ122" i="6"/>
  <c r="AM122" i="6"/>
  <c r="AI122" i="6"/>
  <c r="AE122" i="6"/>
  <c r="AA122" i="6"/>
  <c r="W122" i="6"/>
  <c r="S122" i="6"/>
  <c r="O122" i="6"/>
  <c r="K122" i="6"/>
  <c r="BJ121" i="6"/>
  <c r="BF121" i="6"/>
  <c r="BB121" i="6"/>
  <c r="AX121" i="6"/>
  <c r="AT121" i="6"/>
  <c r="AP121" i="6"/>
  <c r="AL121" i="6"/>
  <c r="AH121" i="6"/>
  <c r="AD121" i="6"/>
  <c r="Z121" i="6"/>
  <c r="V121" i="6"/>
  <c r="R121" i="6"/>
  <c r="N121" i="6"/>
  <c r="J121" i="6"/>
  <c r="BI120" i="6"/>
  <c r="BE120" i="6"/>
  <c r="BA120" i="6"/>
  <c r="AW120" i="6"/>
  <c r="AS120" i="6"/>
  <c r="AO120" i="6"/>
  <c r="AK120" i="6"/>
  <c r="AG120" i="6"/>
  <c r="AC120" i="6"/>
  <c r="Y120" i="6"/>
  <c r="U120" i="6"/>
  <c r="Q120" i="6"/>
  <c r="M120" i="6"/>
  <c r="I120" i="6"/>
  <c r="BH119" i="6"/>
  <c r="BD119" i="6"/>
  <c r="AZ119" i="6"/>
  <c r="AV119" i="6"/>
  <c r="AR119" i="6"/>
  <c r="AN119" i="6"/>
  <c r="AJ119" i="6"/>
  <c r="AF119" i="6"/>
  <c r="AB119" i="6"/>
  <c r="X119" i="6"/>
  <c r="T119" i="6"/>
  <c r="P119" i="6"/>
  <c r="L119" i="6"/>
  <c r="H119" i="6"/>
  <c r="BG118" i="6"/>
  <c r="BC118" i="6"/>
  <c r="AY118" i="6"/>
  <c r="AU118" i="6"/>
  <c r="AQ118" i="6"/>
  <c r="AM118" i="6"/>
  <c r="AI118" i="6"/>
  <c r="AE118" i="6"/>
  <c r="AA118" i="6"/>
  <c r="W118" i="6"/>
  <c r="S118" i="6"/>
  <c r="O118" i="6"/>
  <c r="K118" i="6"/>
  <c r="BJ117" i="6"/>
  <c r="BF117" i="6"/>
  <c r="BB117" i="6"/>
  <c r="AX117" i="6"/>
  <c r="AT117" i="6"/>
  <c r="AP117" i="6"/>
  <c r="AL117" i="6"/>
  <c r="AH117" i="6"/>
  <c r="AD117" i="6"/>
  <c r="Z117" i="6"/>
  <c r="V117" i="6"/>
  <c r="R117" i="6"/>
  <c r="N117" i="6"/>
  <c r="J117" i="6"/>
  <c r="BI116" i="6"/>
  <c r="BE116" i="6"/>
  <c r="BA116" i="6"/>
  <c r="AW116" i="6"/>
  <c r="AS116" i="6"/>
  <c r="AO116" i="6"/>
  <c r="AK116" i="6"/>
  <c r="AG116" i="6"/>
  <c r="AC116" i="6"/>
  <c r="Y116" i="6"/>
  <c r="U116" i="6"/>
  <c r="Q116" i="6"/>
  <c r="M116" i="6"/>
  <c r="I116" i="6"/>
  <c r="BH115" i="6"/>
  <c r="BD115" i="6"/>
  <c r="AZ115" i="6"/>
  <c r="AV115" i="6"/>
  <c r="AR115" i="6"/>
  <c r="AN115" i="6"/>
  <c r="AJ115" i="6"/>
  <c r="AF115" i="6"/>
  <c r="AB115" i="6"/>
  <c r="X115" i="6"/>
  <c r="T115" i="6"/>
  <c r="P115" i="6"/>
  <c r="L115" i="6"/>
  <c r="H115" i="6"/>
  <c r="BG114" i="6"/>
  <c r="BC114" i="6"/>
  <c r="AY114" i="6"/>
  <c r="AU114" i="6"/>
  <c r="AQ114" i="6"/>
  <c r="AM114" i="6"/>
  <c r="AI114" i="6"/>
  <c r="AE114" i="6"/>
  <c r="AA114" i="6"/>
  <c r="W114" i="6"/>
  <c r="S114" i="6"/>
  <c r="O114" i="6"/>
  <c r="K114" i="6"/>
  <c r="BJ113" i="6"/>
  <c r="BF113" i="6"/>
  <c r="BB113" i="6"/>
  <c r="AX113" i="6"/>
  <c r="AT113" i="6"/>
  <c r="AP113" i="6"/>
  <c r="AL113" i="6"/>
  <c r="AH113" i="6"/>
  <c r="AD113" i="6"/>
  <c r="Z113" i="6"/>
  <c r="V113" i="6"/>
  <c r="R113" i="6"/>
  <c r="N113" i="6"/>
  <c r="J113" i="6"/>
  <c r="BI112" i="6"/>
  <c r="AE156" i="6"/>
  <c r="BB155" i="6"/>
  <c r="V155" i="6"/>
  <c r="AS154" i="6"/>
  <c r="M154" i="6"/>
  <c r="AJ153" i="6"/>
  <c r="BG152" i="6"/>
  <c r="AB152" i="6"/>
  <c r="L152" i="6"/>
  <c r="AY151" i="6"/>
  <c r="AI151" i="6"/>
  <c r="S151" i="6"/>
  <c r="BF150" i="6"/>
  <c r="AP150" i="6"/>
  <c r="Z150" i="6"/>
  <c r="J150" i="6"/>
  <c r="AW149" i="6"/>
  <c r="AG149" i="6"/>
  <c r="Q149" i="6"/>
  <c r="BD148" i="6"/>
  <c r="AN148" i="6"/>
  <c r="X148" i="6"/>
  <c r="H148" i="6"/>
  <c r="AU147" i="6"/>
  <c r="AE147" i="6"/>
  <c r="O147" i="6"/>
  <c r="BB146" i="6"/>
  <c r="AL146" i="6"/>
  <c r="V146" i="6"/>
  <c r="BI145" i="6"/>
  <c r="AS145" i="6"/>
  <c r="AD145" i="6"/>
  <c r="V145" i="6"/>
  <c r="N145" i="6"/>
  <c r="BI144" i="6"/>
  <c r="BA144" i="6"/>
  <c r="AS144" i="6"/>
  <c r="AK144" i="6"/>
  <c r="AC144" i="6"/>
  <c r="U144" i="6"/>
  <c r="M144" i="6"/>
  <c r="BH143" i="6"/>
  <c r="AZ143" i="6"/>
  <c r="AR143" i="6"/>
  <c r="AJ143" i="6"/>
  <c r="AB143" i="6"/>
  <c r="T143" i="6"/>
  <c r="L143" i="6"/>
  <c r="BG142" i="6"/>
  <c r="AY142" i="6"/>
  <c r="AQ142" i="6"/>
  <c r="AI142" i="6"/>
  <c r="AA142" i="6"/>
  <c r="S142" i="6"/>
  <c r="K142" i="6"/>
  <c r="BF141" i="6"/>
  <c r="AX141" i="6"/>
  <c r="AP141" i="6"/>
  <c r="AH141" i="6"/>
  <c r="Z141" i="6"/>
  <c r="R141" i="6"/>
  <c r="J141" i="6"/>
  <c r="BE140" i="6"/>
  <c r="AW140" i="6"/>
  <c r="AG140" i="6"/>
  <c r="Q140" i="6"/>
  <c r="BD139" i="6"/>
  <c r="AN139" i="6"/>
  <c r="X139" i="6"/>
  <c r="H139" i="6"/>
  <c r="AU138" i="6"/>
  <c r="AE138" i="6"/>
  <c r="O138" i="6"/>
  <c r="BB137" i="6"/>
  <c r="AL137" i="6"/>
  <c r="V137" i="6"/>
  <c r="BI136" i="6"/>
  <c r="AS136" i="6"/>
  <c r="AC136" i="6"/>
  <c r="M136" i="6"/>
  <c r="AZ135" i="6"/>
  <c r="AJ135" i="6"/>
  <c r="T135" i="6"/>
  <c r="BG134" i="6"/>
  <c r="AQ134" i="6"/>
  <c r="AA134" i="6"/>
  <c r="K134" i="6"/>
  <c r="AX133" i="6"/>
  <c r="AH133" i="6"/>
  <c r="R133" i="6"/>
  <c r="BE132" i="6"/>
  <c r="AO132" i="6"/>
  <c r="Y132" i="6"/>
  <c r="I132" i="6"/>
  <c r="AV131" i="6"/>
  <c r="AG131" i="6"/>
  <c r="Y131" i="6"/>
  <c r="Q131" i="6"/>
  <c r="I131" i="6"/>
  <c r="BD130" i="6"/>
  <c r="AV130" i="6"/>
  <c r="AN130" i="6"/>
  <c r="AF130" i="6"/>
  <c r="X130" i="6"/>
  <c r="P130" i="6"/>
  <c r="H130" i="6"/>
  <c r="BC129" i="6"/>
  <c r="AU129" i="6"/>
  <c r="AM129" i="6"/>
  <c r="AE129" i="6"/>
  <c r="W129" i="6"/>
  <c r="O129" i="6"/>
  <c r="BJ128" i="6"/>
  <c r="BB128" i="6"/>
  <c r="AT128" i="6"/>
  <c r="AL128" i="6"/>
  <c r="AD128" i="6"/>
  <c r="V128" i="6"/>
  <c r="N128" i="6"/>
  <c r="BI127" i="6"/>
  <c r="BA127" i="6"/>
  <c r="AS127" i="6"/>
  <c r="AK127" i="6"/>
  <c r="AC127" i="6"/>
  <c r="U127" i="6"/>
  <c r="M127" i="6"/>
  <c r="BH126" i="6"/>
  <c r="AZ126" i="6"/>
  <c r="AR126" i="6"/>
  <c r="AJ126" i="6"/>
  <c r="AB126" i="6"/>
  <c r="T126" i="6"/>
  <c r="L126" i="6"/>
  <c r="BG125" i="6"/>
  <c r="AY125" i="6"/>
  <c r="AQ125" i="6"/>
  <c r="AI125" i="6"/>
  <c r="AA125" i="6"/>
  <c r="S125" i="6"/>
  <c r="K125" i="6"/>
  <c r="BF124" i="6"/>
  <c r="AX124" i="6"/>
  <c r="AP124" i="6"/>
  <c r="AH124" i="6"/>
  <c r="Z124" i="6"/>
  <c r="R124" i="6"/>
  <c r="J124" i="6"/>
  <c r="BE123" i="6"/>
  <c r="AW123" i="6"/>
  <c r="AO123" i="6"/>
  <c r="AG123" i="6"/>
  <c r="Y123" i="6"/>
  <c r="Q123" i="6"/>
  <c r="I123" i="6"/>
  <c r="BD122" i="6"/>
  <c r="AV122" i="6"/>
  <c r="AN122" i="6"/>
  <c r="AF122" i="6"/>
  <c r="X122" i="6"/>
  <c r="P122" i="6"/>
  <c r="H122" i="6"/>
  <c r="BC121" i="6"/>
  <c r="AU121" i="6"/>
  <c r="AM121" i="6"/>
  <c r="AE121" i="6"/>
  <c r="W121" i="6"/>
  <c r="O121" i="6"/>
  <c r="BJ120" i="6"/>
  <c r="BB120" i="6"/>
  <c r="AT120" i="6"/>
  <c r="AL120" i="6"/>
  <c r="AD120" i="6"/>
  <c r="V120" i="6"/>
  <c r="N120" i="6"/>
  <c r="BI119" i="6"/>
  <c r="BA119" i="6"/>
  <c r="AS119" i="6"/>
  <c r="AK119" i="6"/>
  <c r="AC119" i="6"/>
  <c r="U119" i="6"/>
  <c r="M119" i="6"/>
  <c r="BH118" i="6"/>
  <c r="AZ118" i="6"/>
  <c r="AR118" i="6"/>
  <c r="AJ118" i="6"/>
  <c r="AB118" i="6"/>
  <c r="T118" i="6"/>
  <c r="L118" i="6"/>
  <c r="BG117" i="6"/>
  <c r="AY117" i="6"/>
  <c r="AQ117" i="6"/>
  <c r="AI117" i="6"/>
  <c r="AA117" i="6"/>
  <c r="S117" i="6"/>
  <c r="K117" i="6"/>
  <c r="BF116" i="6"/>
  <c r="AX116" i="6"/>
  <c r="AP116" i="6"/>
  <c r="AH116" i="6"/>
  <c r="AS140" i="6"/>
  <c r="AC140" i="6"/>
  <c r="M140" i="6"/>
  <c r="AZ139" i="6"/>
  <c r="AJ139" i="6"/>
  <c r="T139" i="6"/>
  <c r="BG138" i="6"/>
  <c r="AQ138" i="6"/>
  <c r="AA138" i="6"/>
  <c r="K138" i="6"/>
  <c r="AX137" i="6"/>
  <c r="AH137" i="6"/>
  <c r="R137" i="6"/>
  <c r="BE136" i="6"/>
  <c r="AO136" i="6"/>
  <c r="Y136" i="6"/>
  <c r="I136" i="6"/>
  <c r="AV135" i="6"/>
  <c r="AF135" i="6"/>
  <c r="P135" i="6"/>
  <c r="BC134" i="6"/>
  <c r="AM134" i="6"/>
  <c r="W134" i="6"/>
  <c r="BJ133" i="6"/>
  <c r="AT133" i="6"/>
  <c r="AD133" i="6"/>
  <c r="N133" i="6"/>
  <c r="BA132" i="6"/>
  <c r="AK132" i="6"/>
  <c r="U132" i="6"/>
  <c r="BH131" i="6"/>
  <c r="AR131" i="6"/>
  <c r="AE131" i="6"/>
  <c r="W131" i="6"/>
  <c r="O131" i="6"/>
  <c r="BJ130" i="6"/>
  <c r="BB130" i="6"/>
  <c r="AT130" i="6"/>
  <c r="AL130" i="6"/>
  <c r="AD130" i="6"/>
  <c r="V130" i="6"/>
  <c r="N130" i="6"/>
  <c r="BI129" i="6"/>
  <c r="BA129" i="6"/>
  <c r="AS129" i="6"/>
  <c r="AK129" i="6"/>
  <c r="AC129" i="6"/>
  <c r="U129" i="6"/>
  <c r="M129" i="6"/>
  <c r="BH128" i="6"/>
  <c r="AZ128" i="6"/>
  <c r="AR128" i="6"/>
  <c r="AJ128" i="6"/>
  <c r="AB128" i="6"/>
  <c r="L128" i="6"/>
  <c r="AY127" i="6"/>
  <c r="AI127" i="6"/>
  <c r="AA127" i="6"/>
  <c r="S127" i="6"/>
  <c r="K127" i="6"/>
  <c r="BF126" i="6"/>
  <c r="AX126" i="6"/>
  <c r="AP126" i="6"/>
  <c r="AH126" i="6"/>
  <c r="Z126" i="6"/>
  <c r="R126" i="6"/>
  <c r="J126" i="6"/>
  <c r="BE125" i="6"/>
  <c r="AW125" i="6"/>
  <c r="AO125" i="6"/>
  <c r="AG125" i="6"/>
  <c r="Y125" i="6"/>
  <c r="Q125" i="6"/>
  <c r="I125" i="6"/>
  <c r="BD124" i="6"/>
  <c r="AV124" i="6"/>
  <c r="AN124" i="6"/>
  <c r="AF124" i="6"/>
  <c r="X124" i="6"/>
  <c r="P124" i="6"/>
  <c r="H124" i="6"/>
  <c r="BC123" i="6"/>
  <c r="AU123" i="6"/>
  <c r="AM123" i="6"/>
  <c r="AE123" i="6"/>
  <c r="W123" i="6"/>
  <c r="O123" i="6"/>
  <c r="BJ122" i="6"/>
  <c r="BB122" i="6"/>
  <c r="AT122" i="6"/>
  <c r="AL122" i="6"/>
  <c r="AD122" i="6"/>
  <c r="V122" i="6"/>
  <c r="N122" i="6"/>
  <c r="BI121" i="6"/>
  <c r="BA121" i="6"/>
  <c r="AS121" i="6"/>
  <c r="AK121" i="6"/>
  <c r="AC121" i="6"/>
  <c r="U121" i="6"/>
  <c r="M121" i="6"/>
  <c r="BH120" i="6"/>
  <c r="AZ120" i="6"/>
  <c r="AR120" i="6"/>
  <c r="AJ120" i="6"/>
  <c r="AB120" i="6"/>
  <c r="T120" i="6"/>
  <c r="L120" i="6"/>
  <c r="BG119" i="6"/>
  <c r="AY119" i="6"/>
  <c r="AQ119" i="6"/>
  <c r="AI119" i="6"/>
  <c r="AA119" i="6"/>
  <c r="S119" i="6"/>
  <c r="K119" i="6"/>
  <c r="BF118" i="6"/>
  <c r="AX118" i="6"/>
  <c r="AP118" i="6"/>
  <c r="AH118" i="6"/>
  <c r="Z118" i="6"/>
  <c r="R118" i="6"/>
  <c r="J118" i="6"/>
  <c r="BE117" i="6"/>
  <c r="AW117" i="6"/>
  <c r="AO117" i="6"/>
  <c r="AC117" i="6"/>
  <c r="M117" i="6"/>
  <c r="AZ116" i="6"/>
  <c r="AJ116" i="6"/>
  <c r="X116" i="6"/>
  <c r="P116" i="6"/>
  <c r="H116" i="6"/>
  <c r="BC115" i="6"/>
  <c r="AU115" i="6"/>
  <c r="AM115" i="6"/>
  <c r="AE115" i="6"/>
  <c r="W115" i="6"/>
  <c r="O115" i="6"/>
  <c r="BJ114" i="6"/>
  <c r="BB114" i="6"/>
  <c r="AT114" i="6"/>
  <c r="AL114" i="6"/>
  <c r="AD114" i="6"/>
  <c r="V114" i="6"/>
  <c r="N114" i="6"/>
  <c r="BI113" i="6"/>
  <c r="BA113" i="6"/>
  <c r="AS113" i="6"/>
  <c r="AK113" i="6"/>
  <c r="AC113" i="6"/>
  <c r="U113" i="6"/>
  <c r="M113" i="6"/>
  <c r="BH112" i="6"/>
  <c r="BD112" i="6"/>
  <c r="AZ112" i="6"/>
  <c r="AV112" i="6"/>
  <c r="AR112" i="6"/>
  <c r="AN112" i="6"/>
  <c r="AJ112" i="6"/>
  <c r="AF112" i="6"/>
  <c r="AB112" i="6"/>
  <c r="X112" i="6"/>
  <c r="T112" i="6"/>
  <c r="P112" i="6"/>
  <c r="L112" i="6"/>
  <c r="H112" i="6"/>
  <c r="BG111" i="6"/>
  <c r="BC111" i="6"/>
  <c r="AY111" i="6"/>
  <c r="AU111" i="6"/>
  <c r="AQ111" i="6"/>
  <c r="AM111" i="6"/>
  <c r="AI111" i="6"/>
  <c r="AE111" i="6"/>
  <c r="AA111" i="6"/>
  <c r="W111" i="6"/>
  <c r="S111" i="6"/>
  <c r="O111" i="6"/>
  <c r="K111" i="6"/>
  <c r="BJ110" i="6"/>
  <c r="BF110" i="6"/>
  <c r="BB110" i="6"/>
  <c r="AX110" i="6"/>
  <c r="AT110" i="6"/>
  <c r="AP110" i="6"/>
  <c r="AL110" i="6"/>
  <c r="AH110" i="6"/>
  <c r="AD110" i="6"/>
  <c r="Z110" i="6"/>
  <c r="V110" i="6"/>
  <c r="R110" i="6"/>
  <c r="N110" i="6"/>
  <c r="J110" i="6"/>
  <c r="BI109" i="6"/>
  <c r="BE109" i="6"/>
  <c r="BA109" i="6"/>
  <c r="AW109" i="6"/>
  <c r="AS109" i="6"/>
  <c r="AO109" i="6"/>
  <c r="AK109" i="6"/>
  <c r="AG109" i="6"/>
  <c r="AC109" i="6"/>
  <c r="Y109" i="6"/>
  <c r="U109" i="6"/>
  <c r="Q109" i="6"/>
  <c r="M109" i="6"/>
  <c r="I109" i="6"/>
  <c r="BH108" i="6"/>
  <c r="BD108" i="6"/>
  <c r="AZ108" i="6"/>
  <c r="AV108" i="6"/>
  <c r="AR108" i="6"/>
  <c r="AN108" i="6"/>
  <c r="AJ108" i="6"/>
  <c r="AF108" i="6"/>
  <c r="AB108" i="6"/>
  <c r="X108" i="6"/>
  <c r="T108" i="6"/>
  <c r="P108" i="6"/>
  <c r="L108" i="6"/>
  <c r="H108" i="6"/>
  <c r="BG107" i="6"/>
  <c r="BC107" i="6"/>
  <c r="AY107" i="6"/>
  <c r="AU107" i="6"/>
  <c r="AQ107" i="6"/>
  <c r="AM107" i="6"/>
  <c r="AI107" i="6"/>
  <c r="AE107" i="6"/>
  <c r="AA107" i="6"/>
  <c r="W107" i="6"/>
  <c r="S107" i="6"/>
  <c r="O107" i="6"/>
  <c r="K107" i="6"/>
  <c r="BJ106" i="6"/>
  <c r="BF106" i="6"/>
  <c r="BB106" i="6"/>
  <c r="AX106" i="6"/>
  <c r="AT106" i="6"/>
  <c r="AP106" i="6"/>
  <c r="AL106" i="6"/>
  <c r="AH106" i="6"/>
  <c r="AD106" i="6"/>
  <c r="Z106" i="6"/>
  <c r="V106" i="6"/>
  <c r="R106" i="6"/>
  <c r="N106" i="6"/>
  <c r="J106" i="6"/>
  <c r="BI105" i="6"/>
  <c r="BE105" i="6"/>
  <c r="BA105" i="6"/>
  <c r="AW105" i="6"/>
  <c r="AS105" i="6"/>
  <c r="AO105" i="6"/>
  <c r="AK105" i="6"/>
  <c r="AG105" i="6"/>
  <c r="AC105" i="6"/>
  <c r="Y105" i="6"/>
  <c r="U105" i="6"/>
  <c r="Q105" i="6"/>
  <c r="M105" i="6"/>
  <c r="I105" i="6"/>
  <c r="BH104" i="6"/>
  <c r="BD104" i="6"/>
  <c r="AZ104" i="6"/>
  <c r="AV104" i="6"/>
  <c r="AR104" i="6"/>
  <c r="AN104" i="6"/>
  <c r="AJ104" i="6"/>
  <c r="AF104" i="6"/>
  <c r="AB104" i="6"/>
  <c r="X104" i="6"/>
  <c r="T104" i="6"/>
  <c r="P104" i="6"/>
  <c r="L104" i="6"/>
  <c r="H104" i="6"/>
  <c r="BG103" i="6"/>
  <c r="BC103" i="6"/>
  <c r="AY103" i="6"/>
  <c r="AU103" i="6"/>
  <c r="AQ103" i="6"/>
  <c r="AM103" i="6"/>
  <c r="AI103" i="6"/>
  <c r="AE103" i="6"/>
  <c r="AA103" i="6"/>
  <c r="W103" i="6"/>
  <c r="S103" i="6"/>
  <c r="O103" i="6"/>
  <c r="K103" i="6"/>
  <c r="BJ102" i="6"/>
  <c r="BF102" i="6"/>
  <c r="BB102" i="6"/>
  <c r="AX102" i="6"/>
  <c r="AT102" i="6"/>
  <c r="AP102" i="6"/>
  <c r="AL102" i="6"/>
  <c r="AH102" i="6"/>
  <c r="AD102" i="6"/>
  <c r="Z102" i="6"/>
  <c r="V102" i="6"/>
  <c r="R102" i="6"/>
  <c r="N102" i="6"/>
  <c r="J102" i="6"/>
  <c r="BI101" i="6"/>
  <c r="BE101" i="6"/>
  <c r="BA101" i="6"/>
  <c r="AW101" i="6"/>
  <c r="AS101" i="6"/>
  <c r="AO101" i="6"/>
  <c r="AK101" i="6"/>
  <c r="AG101" i="6"/>
  <c r="AC101" i="6"/>
  <c r="Y101" i="6"/>
  <c r="U101" i="6"/>
  <c r="Q101" i="6"/>
  <c r="M101" i="6"/>
  <c r="I101" i="6"/>
  <c r="BH100" i="6"/>
  <c r="BD100" i="6"/>
  <c r="AZ100" i="6"/>
  <c r="AV100" i="6"/>
  <c r="AR100" i="6"/>
  <c r="AN100" i="6"/>
  <c r="AJ100" i="6"/>
  <c r="AF100" i="6"/>
  <c r="AB100" i="6"/>
  <c r="X100" i="6"/>
  <c r="T100" i="6"/>
  <c r="P100" i="6"/>
  <c r="L100" i="6"/>
  <c r="H100" i="6"/>
  <c r="BG99" i="6"/>
  <c r="BC99" i="6"/>
  <c r="AY99" i="6"/>
  <c r="AU99" i="6"/>
  <c r="AQ99" i="6"/>
  <c r="AM99" i="6"/>
  <c r="AI99" i="6"/>
  <c r="AE99" i="6"/>
  <c r="AA99" i="6"/>
  <c r="W99" i="6"/>
  <c r="S99" i="6"/>
  <c r="O99" i="6"/>
  <c r="K99" i="6"/>
  <c r="BJ98" i="6"/>
  <c r="BF98" i="6"/>
  <c r="BB98" i="6"/>
  <c r="AX98" i="6"/>
  <c r="AT98" i="6"/>
  <c r="AP98" i="6"/>
  <c r="AL98" i="6"/>
  <c r="AH98" i="6"/>
  <c r="AD98" i="6"/>
  <c r="Z98" i="6"/>
  <c r="V98" i="6"/>
  <c r="R98" i="6"/>
  <c r="N98" i="6"/>
  <c r="J98" i="6"/>
  <c r="BI97" i="6"/>
  <c r="BE97" i="6"/>
  <c r="BA97" i="6"/>
  <c r="AW97" i="6"/>
  <c r="AS97" i="6"/>
  <c r="AO97" i="6"/>
  <c r="AK97" i="6"/>
  <c r="AG97" i="6"/>
  <c r="AC97" i="6"/>
  <c r="Y97" i="6"/>
  <c r="U97" i="6"/>
  <c r="Q97" i="6"/>
  <c r="M97" i="6"/>
  <c r="I97" i="6"/>
  <c r="BH96" i="6"/>
  <c r="BD96" i="6"/>
  <c r="AZ96" i="6"/>
  <c r="AV96" i="6"/>
  <c r="AR96" i="6"/>
  <c r="AN96" i="6"/>
  <c r="AJ96" i="6"/>
  <c r="AF96" i="6"/>
  <c r="AB96" i="6"/>
  <c r="X96" i="6"/>
  <c r="T96" i="6"/>
  <c r="P96" i="6"/>
  <c r="L96" i="6"/>
  <c r="H96" i="6"/>
  <c r="BG95" i="6"/>
  <c r="BC95" i="6"/>
  <c r="AY95" i="6"/>
  <c r="AU95" i="6"/>
  <c r="AQ95" i="6"/>
  <c r="AM95" i="6"/>
  <c r="AI95" i="6"/>
  <c r="AE95" i="6"/>
  <c r="AA95" i="6"/>
  <c r="W95" i="6"/>
  <c r="S95" i="6"/>
  <c r="O95" i="6"/>
  <c r="K95" i="6"/>
  <c r="BJ94" i="6"/>
  <c r="BF94" i="6"/>
  <c r="BB94" i="6"/>
  <c r="AX94" i="6"/>
  <c r="AT94" i="6"/>
  <c r="AP94" i="6"/>
  <c r="AL94" i="6"/>
  <c r="AH94" i="6"/>
  <c r="AD94" i="6"/>
  <c r="Z94" i="6"/>
  <c r="V94" i="6"/>
  <c r="R94" i="6"/>
  <c r="N94" i="6"/>
  <c r="J94" i="6"/>
  <c r="BI93" i="6"/>
  <c r="BE93" i="6"/>
  <c r="BA93" i="6"/>
  <c r="AW93" i="6"/>
  <c r="AS93" i="6"/>
  <c r="AO93" i="6"/>
  <c r="AK93" i="6"/>
  <c r="AG93" i="6"/>
  <c r="AC93" i="6"/>
  <c r="Y93" i="6"/>
  <c r="U93" i="6"/>
  <c r="Q93" i="6"/>
  <c r="M93" i="6"/>
  <c r="I93" i="6"/>
  <c r="BH92" i="6"/>
  <c r="BD92" i="6"/>
  <c r="AZ92" i="6"/>
  <c r="AV92" i="6"/>
  <c r="AR92" i="6"/>
  <c r="AN92" i="6"/>
  <c r="AJ92" i="6"/>
  <c r="AF92" i="6"/>
  <c r="AB92" i="6"/>
  <c r="X92" i="6"/>
  <c r="T92" i="6"/>
  <c r="P92" i="6"/>
  <c r="L92" i="6"/>
  <c r="H92" i="6"/>
  <c r="BG91" i="6"/>
  <c r="BC91" i="6"/>
  <c r="AY91" i="6"/>
  <c r="AU91" i="6"/>
  <c r="AQ91" i="6"/>
  <c r="AM91" i="6"/>
  <c r="AI91" i="6"/>
  <c r="AE91" i="6"/>
  <c r="AA91" i="6"/>
  <c r="W91" i="6"/>
  <c r="S91" i="6"/>
  <c r="O91" i="6"/>
  <c r="K91" i="6"/>
  <c r="BJ90" i="6"/>
  <c r="BF90" i="6"/>
  <c r="BB90" i="6"/>
  <c r="AX90" i="6"/>
  <c r="AT90" i="6"/>
  <c r="AP90" i="6"/>
  <c r="AL90" i="6"/>
  <c r="AH90" i="6"/>
  <c r="AD90" i="6"/>
  <c r="Z90" i="6"/>
  <c r="V90" i="6"/>
  <c r="R90" i="6"/>
  <c r="N90" i="6"/>
  <c r="J90" i="6"/>
  <c r="BI89" i="6"/>
  <c r="BE89" i="6"/>
  <c r="BA89" i="6"/>
  <c r="AW89" i="6"/>
  <c r="AS89" i="6"/>
  <c r="AO89" i="6"/>
  <c r="AK89" i="6"/>
  <c r="AG89" i="6"/>
  <c r="AC89" i="6"/>
  <c r="Y89" i="6"/>
  <c r="U89" i="6"/>
  <c r="Q89" i="6"/>
  <c r="M89" i="6"/>
  <c r="I89" i="6"/>
  <c r="BH88" i="6"/>
  <c r="BD88" i="6"/>
  <c r="AZ88" i="6"/>
  <c r="AV88" i="6"/>
  <c r="AR88" i="6"/>
  <c r="AN88" i="6"/>
  <c r="AJ88" i="6"/>
  <c r="AF88" i="6"/>
  <c r="AB88" i="6"/>
  <c r="X88" i="6"/>
  <c r="T88" i="6"/>
  <c r="P88" i="6"/>
  <c r="L88" i="6"/>
  <c r="H88" i="6"/>
  <c r="BG87" i="6"/>
  <c r="BC87" i="6"/>
  <c r="AY87" i="6"/>
  <c r="AU87" i="6"/>
  <c r="AQ87" i="6"/>
  <c r="AM87" i="6"/>
  <c r="AI87" i="6"/>
  <c r="AE87" i="6"/>
  <c r="AA87" i="6"/>
  <c r="W87" i="6"/>
  <c r="S87" i="6"/>
  <c r="O87" i="6"/>
  <c r="K87" i="6"/>
  <c r="BJ86" i="6"/>
  <c r="BF86" i="6"/>
  <c r="BB86" i="6"/>
  <c r="AX86" i="6"/>
  <c r="AT86" i="6"/>
  <c r="AP86" i="6"/>
  <c r="AL86" i="6"/>
  <c r="AH86" i="6"/>
  <c r="AD86" i="6"/>
  <c r="Z86" i="6"/>
  <c r="V86" i="6"/>
  <c r="R86" i="6"/>
  <c r="N86" i="6"/>
  <c r="J86" i="6"/>
  <c r="BI85" i="6"/>
  <c r="BE85" i="6"/>
  <c r="BA85" i="6"/>
  <c r="AW85" i="6"/>
  <c r="AS85" i="6"/>
  <c r="AO85" i="6"/>
  <c r="AK85" i="6"/>
  <c r="AG85" i="6"/>
  <c r="AC85" i="6"/>
  <c r="Y85" i="6"/>
  <c r="T128" i="6"/>
  <c r="BG127" i="6"/>
  <c r="AQ127" i="6"/>
  <c r="AE127" i="6"/>
  <c r="W127" i="6"/>
  <c r="O127" i="6"/>
  <c r="BJ126" i="6"/>
  <c r="BB126" i="6"/>
  <c r="AT126" i="6"/>
  <c r="AL126" i="6"/>
  <c r="AD126" i="6"/>
  <c r="V126" i="6"/>
  <c r="N126" i="6"/>
  <c r="BI125" i="6"/>
  <c r="BA125" i="6"/>
  <c r="AS125" i="6"/>
  <c r="AK125" i="6"/>
  <c r="AC125" i="6"/>
  <c r="U125" i="6"/>
  <c r="M125" i="6"/>
  <c r="BH124" i="6"/>
  <c r="AZ124" i="6"/>
  <c r="AR124" i="6"/>
  <c r="AJ124" i="6"/>
  <c r="AB124" i="6"/>
  <c r="T124" i="6"/>
  <c r="L124" i="6"/>
  <c r="BG123" i="6"/>
  <c r="AY123" i="6"/>
  <c r="AQ123" i="6"/>
  <c r="AI123" i="6"/>
  <c r="AA123" i="6"/>
  <c r="S123" i="6"/>
  <c r="K123" i="6"/>
  <c r="BF122" i="6"/>
  <c r="AX122" i="6"/>
  <c r="AP122" i="6"/>
  <c r="AH122" i="6"/>
  <c r="Z122" i="6"/>
  <c r="R122" i="6"/>
  <c r="J122" i="6"/>
  <c r="BE121" i="6"/>
  <c r="AW121" i="6"/>
  <c r="AO121" i="6"/>
  <c r="AG121" i="6"/>
  <c r="Y121" i="6"/>
  <c r="Q121" i="6"/>
  <c r="I121" i="6"/>
  <c r="BD120" i="6"/>
  <c r="AV120" i="6"/>
  <c r="AN120" i="6"/>
  <c r="AF120" i="6"/>
  <c r="X120" i="6"/>
  <c r="P120" i="6"/>
  <c r="H120" i="6"/>
  <c r="BC119" i="6"/>
  <c r="AU119" i="6"/>
  <c r="AM119" i="6"/>
  <c r="AE119" i="6"/>
  <c r="W119" i="6"/>
  <c r="O119" i="6"/>
  <c r="BJ118" i="6"/>
  <c r="BB118" i="6"/>
  <c r="AT118" i="6"/>
  <c r="AL118" i="6"/>
  <c r="AD118" i="6"/>
  <c r="V118" i="6"/>
  <c r="N118" i="6"/>
  <c r="BI117" i="6"/>
  <c r="BA117" i="6"/>
  <c r="AS117" i="6"/>
  <c r="AK117" i="6"/>
  <c r="U117" i="6"/>
  <c r="BH116" i="6"/>
  <c r="AR116" i="6"/>
  <c r="AB116" i="6"/>
  <c r="T116" i="6"/>
  <c r="L116" i="6"/>
  <c r="BG115" i="6"/>
  <c r="AY115" i="6"/>
  <c r="AQ115" i="6"/>
  <c r="AI115" i="6"/>
  <c r="AA115" i="6"/>
  <c r="S115" i="6"/>
  <c r="K115" i="6"/>
  <c r="BF114" i="6"/>
  <c r="AX114" i="6"/>
  <c r="AP114" i="6"/>
  <c r="AH114" i="6"/>
  <c r="Z114" i="6"/>
  <c r="R114" i="6"/>
  <c r="J114" i="6"/>
  <c r="BE113" i="6"/>
  <c r="AW113" i="6"/>
  <c r="AO113" i="6"/>
  <c r="AG113" i="6"/>
  <c r="Y113" i="6"/>
  <c r="Q113" i="6"/>
  <c r="I113" i="6"/>
  <c r="BF112" i="6"/>
  <c r="BB112" i="6"/>
  <c r="AX112" i="6"/>
  <c r="AT112" i="6"/>
  <c r="AP112" i="6"/>
  <c r="AL112" i="6"/>
  <c r="AH112" i="6"/>
  <c r="AD112" i="6"/>
  <c r="Z112" i="6"/>
  <c r="V112" i="6"/>
  <c r="R112" i="6"/>
  <c r="N112" i="6"/>
  <c r="J112" i="6"/>
  <c r="BI111" i="6"/>
  <c r="BE111" i="6"/>
  <c r="BA111" i="6"/>
  <c r="AW111" i="6"/>
  <c r="AS111" i="6"/>
  <c r="AO111" i="6"/>
  <c r="AK111" i="6"/>
  <c r="AG111" i="6"/>
  <c r="AC111" i="6"/>
  <c r="Y111" i="6"/>
  <c r="U111" i="6"/>
  <c r="Q111" i="6"/>
  <c r="M111" i="6"/>
  <c r="I111" i="6"/>
  <c r="BH110" i="6"/>
  <c r="BD110" i="6"/>
  <c r="AZ110" i="6"/>
  <c r="AV110" i="6"/>
  <c r="AR110" i="6"/>
  <c r="AN110" i="6"/>
  <c r="AJ110" i="6"/>
  <c r="AF110" i="6"/>
  <c r="AB110" i="6"/>
  <c r="X110" i="6"/>
  <c r="T110" i="6"/>
  <c r="P110" i="6"/>
  <c r="L110" i="6"/>
  <c r="H110" i="6"/>
  <c r="BG109" i="6"/>
  <c r="BC109" i="6"/>
  <c r="AY109" i="6"/>
  <c r="AU109" i="6"/>
  <c r="AQ109" i="6"/>
  <c r="AM109" i="6"/>
  <c r="AI109" i="6"/>
  <c r="AE109" i="6"/>
  <c r="AA109" i="6"/>
  <c r="W109" i="6"/>
  <c r="S109" i="6"/>
  <c r="O109" i="6"/>
  <c r="K109" i="6"/>
  <c r="BJ108" i="6"/>
  <c r="BF108" i="6"/>
  <c r="BB108" i="6"/>
  <c r="AX108" i="6"/>
  <c r="AT108" i="6"/>
  <c r="AP108" i="6"/>
  <c r="AL108" i="6"/>
  <c r="AH108" i="6"/>
  <c r="AD108" i="6"/>
  <c r="Z108" i="6"/>
  <c r="V108" i="6"/>
  <c r="R108" i="6"/>
  <c r="N108" i="6"/>
  <c r="J108" i="6"/>
  <c r="BI107" i="6"/>
  <c r="BE107" i="6"/>
  <c r="BA107" i="6"/>
  <c r="AW107" i="6"/>
  <c r="AS107" i="6"/>
  <c r="AO107" i="6"/>
  <c r="AK107" i="6"/>
  <c r="AG107" i="6"/>
  <c r="AC107" i="6"/>
  <c r="Y107" i="6"/>
  <c r="U107" i="6"/>
  <c r="Q107" i="6"/>
  <c r="M107" i="6"/>
  <c r="I107" i="6"/>
  <c r="BH106" i="6"/>
  <c r="BD106" i="6"/>
  <c r="AZ106" i="6"/>
  <c r="AV106" i="6"/>
  <c r="AR106" i="6"/>
  <c r="AN106" i="6"/>
  <c r="AJ106" i="6"/>
  <c r="AF106" i="6"/>
  <c r="AB106" i="6"/>
  <c r="X106" i="6"/>
  <c r="T106" i="6"/>
  <c r="P106" i="6"/>
  <c r="L106" i="6"/>
  <c r="H106" i="6"/>
  <c r="BG105" i="6"/>
  <c r="BC105" i="6"/>
  <c r="AY105" i="6"/>
  <c r="AU105" i="6"/>
  <c r="AQ105" i="6"/>
  <c r="AM105" i="6"/>
  <c r="AI105" i="6"/>
  <c r="AE105" i="6"/>
  <c r="AA105" i="6"/>
  <c r="W105" i="6"/>
  <c r="S105" i="6"/>
  <c r="O105" i="6"/>
  <c r="K105" i="6"/>
  <c r="BJ104" i="6"/>
  <c r="BF104" i="6"/>
  <c r="BB104" i="6"/>
  <c r="AX104" i="6"/>
  <c r="AT104" i="6"/>
  <c r="AP104" i="6"/>
  <c r="AL104" i="6"/>
  <c r="AH104" i="6"/>
  <c r="AD104" i="6"/>
  <c r="Z104" i="6"/>
  <c r="V104" i="6"/>
  <c r="R104" i="6"/>
  <c r="N104" i="6"/>
  <c r="J104" i="6"/>
  <c r="BI103" i="6"/>
  <c r="BE103" i="6"/>
  <c r="BA103" i="6"/>
  <c r="AW103" i="6"/>
  <c r="AS103" i="6"/>
  <c r="AO103" i="6"/>
  <c r="AK103" i="6"/>
  <c r="AG103" i="6"/>
  <c r="AC103" i="6"/>
  <c r="Y103" i="6"/>
  <c r="U103" i="6"/>
  <c r="Q103" i="6"/>
  <c r="M103" i="6"/>
  <c r="I103" i="6"/>
  <c r="BH102" i="6"/>
  <c r="BD102" i="6"/>
  <c r="AZ102" i="6"/>
  <c r="AV102" i="6"/>
  <c r="AR102" i="6"/>
  <c r="AN102" i="6"/>
  <c r="AJ102" i="6"/>
  <c r="AF102" i="6"/>
  <c r="AB102" i="6"/>
  <c r="X102" i="6"/>
  <c r="T102" i="6"/>
  <c r="P102" i="6"/>
  <c r="L102" i="6"/>
  <c r="H102" i="6"/>
  <c r="BG101" i="6"/>
  <c r="BC101" i="6"/>
  <c r="AY101" i="6"/>
  <c r="AU101" i="6"/>
  <c r="AQ101" i="6"/>
  <c r="AM101" i="6"/>
  <c r="AI101" i="6"/>
  <c r="AE101" i="6"/>
  <c r="AA101" i="6"/>
  <c r="W101" i="6"/>
  <c r="S101" i="6"/>
  <c r="O101" i="6"/>
  <c r="K101" i="6"/>
  <c r="BJ100" i="6"/>
  <c r="BF100" i="6"/>
  <c r="BB100" i="6"/>
  <c r="AX100" i="6"/>
  <c r="AT100" i="6"/>
  <c r="AP100" i="6"/>
  <c r="AL100" i="6"/>
  <c r="AH100" i="6"/>
  <c r="AD100" i="6"/>
  <c r="Z100" i="6"/>
  <c r="V100" i="6"/>
  <c r="R100" i="6"/>
  <c r="N100" i="6"/>
  <c r="J100" i="6"/>
  <c r="BI99" i="6"/>
  <c r="BE99" i="6"/>
  <c r="BA99" i="6"/>
  <c r="AW99" i="6"/>
  <c r="AS99" i="6"/>
  <c r="AO99" i="6"/>
  <c r="AK99" i="6"/>
  <c r="AG99" i="6"/>
  <c r="AC99" i="6"/>
  <c r="Y99" i="6"/>
  <c r="U99" i="6"/>
  <c r="Q99" i="6"/>
  <c r="M99" i="6"/>
  <c r="I99" i="6"/>
  <c r="BH98" i="6"/>
  <c r="BD98" i="6"/>
  <c r="AZ98" i="6"/>
  <c r="AV98" i="6"/>
  <c r="AR98" i="6"/>
  <c r="AN98" i="6"/>
  <c r="AJ98" i="6"/>
  <c r="AF98" i="6"/>
  <c r="AB98" i="6"/>
  <c r="X98" i="6"/>
  <c r="T98" i="6"/>
  <c r="P98" i="6"/>
  <c r="L98" i="6"/>
  <c r="H98" i="6"/>
  <c r="BG97" i="6"/>
  <c r="BC97" i="6"/>
  <c r="AY97" i="6"/>
  <c r="AU97" i="6"/>
  <c r="AQ97" i="6"/>
  <c r="AM97" i="6"/>
  <c r="AI97" i="6"/>
  <c r="AE97" i="6"/>
  <c r="AA97" i="6"/>
  <c r="W97" i="6"/>
  <c r="S97" i="6"/>
  <c r="O97" i="6"/>
  <c r="K97" i="6"/>
  <c r="BJ96" i="6"/>
  <c r="BF96" i="6"/>
  <c r="BB96" i="6"/>
  <c r="AX96" i="6"/>
  <c r="AT96" i="6"/>
  <c r="AP96" i="6"/>
  <c r="AL96" i="6"/>
  <c r="AH96" i="6"/>
  <c r="AD96" i="6"/>
  <c r="Z96" i="6"/>
  <c r="V96" i="6"/>
  <c r="R96" i="6"/>
  <c r="N96" i="6"/>
  <c r="J96" i="6"/>
  <c r="BI95" i="6"/>
  <c r="BE95" i="6"/>
  <c r="BA95" i="6"/>
  <c r="AW95" i="6"/>
  <c r="AS95" i="6"/>
  <c r="AO95" i="6"/>
  <c r="AK95" i="6"/>
  <c r="AG95" i="6"/>
  <c r="AC95" i="6"/>
  <c r="Y95" i="6"/>
  <c r="U95" i="6"/>
  <c r="Q95" i="6"/>
  <c r="M95" i="6"/>
  <c r="I95" i="6"/>
  <c r="BH94" i="6"/>
  <c r="BD94" i="6"/>
  <c r="AZ94" i="6"/>
  <c r="AV94" i="6"/>
  <c r="AR94" i="6"/>
  <c r="AN94" i="6"/>
  <c r="AJ94" i="6"/>
  <c r="AF94" i="6"/>
  <c r="AB94" i="6"/>
  <c r="X94" i="6"/>
  <c r="T94" i="6"/>
  <c r="P94" i="6"/>
  <c r="L94" i="6"/>
  <c r="H94" i="6"/>
  <c r="BG93" i="6"/>
  <c r="BC93" i="6"/>
  <c r="AY93" i="6"/>
  <c r="AU93" i="6"/>
  <c r="AQ93" i="6"/>
  <c r="AM93" i="6"/>
  <c r="AI93" i="6"/>
  <c r="AE93" i="6"/>
  <c r="AA93" i="6"/>
  <c r="W93" i="6"/>
  <c r="S93" i="6"/>
  <c r="O93" i="6"/>
  <c r="K93" i="6"/>
  <c r="BJ92" i="6"/>
  <c r="BF92" i="6"/>
  <c r="BB92" i="6"/>
  <c r="AX92" i="6"/>
  <c r="AT92" i="6"/>
  <c r="AP92" i="6"/>
  <c r="AL92" i="6"/>
  <c r="AH92" i="6"/>
  <c r="AD92" i="6"/>
  <c r="Z92" i="6"/>
  <c r="V92" i="6"/>
  <c r="R92" i="6"/>
  <c r="N92" i="6"/>
  <c r="J92" i="6"/>
  <c r="BI91" i="6"/>
  <c r="BE91" i="6"/>
  <c r="BA91" i="6"/>
  <c r="AW91" i="6"/>
  <c r="AS91" i="6"/>
  <c r="AO91" i="6"/>
  <c r="AK91" i="6"/>
  <c r="AG91" i="6"/>
  <c r="AC91" i="6"/>
  <c r="Y91" i="6"/>
  <c r="U91" i="6"/>
  <c r="Q91" i="6"/>
  <c r="M91" i="6"/>
  <c r="I91" i="6"/>
  <c r="BH90" i="6"/>
  <c r="BD90" i="6"/>
  <c r="AZ90" i="6"/>
  <c r="AV90" i="6"/>
  <c r="AR90" i="6"/>
  <c r="AN90" i="6"/>
  <c r="AJ90" i="6"/>
  <c r="AF90" i="6"/>
  <c r="AB90" i="6"/>
  <c r="X90" i="6"/>
  <c r="T90" i="6"/>
  <c r="P90" i="6"/>
  <c r="L90" i="6"/>
  <c r="H90" i="6"/>
  <c r="BG89" i="6"/>
  <c r="BC89" i="6"/>
  <c r="AY89" i="6"/>
  <c r="AU89" i="6"/>
  <c r="AQ89" i="6"/>
  <c r="AM89" i="6"/>
  <c r="AI89" i="6"/>
  <c r="AE89" i="6"/>
  <c r="AA89" i="6"/>
  <c r="W89" i="6"/>
  <c r="S89" i="6"/>
  <c r="O89" i="6"/>
  <c r="K89" i="6"/>
  <c r="BJ88" i="6"/>
  <c r="BF88" i="6"/>
  <c r="BB88" i="6"/>
  <c r="AX88" i="6"/>
  <c r="AT88" i="6"/>
  <c r="AP88" i="6"/>
  <c r="AL88" i="6"/>
  <c r="AH88" i="6"/>
  <c r="AD88" i="6"/>
  <c r="Z88" i="6"/>
  <c r="V88" i="6"/>
  <c r="R88" i="6"/>
  <c r="N88" i="6"/>
  <c r="J88" i="6"/>
  <c r="BI87" i="6"/>
  <c r="BE87" i="6"/>
  <c r="BA87" i="6"/>
  <c r="AW87" i="6"/>
  <c r="AS87" i="6"/>
  <c r="AO87" i="6"/>
  <c r="AK87" i="6"/>
  <c r="AG87" i="6"/>
  <c r="AC87" i="6"/>
  <c r="Y87" i="6"/>
  <c r="U87" i="6"/>
  <c r="Q87" i="6"/>
  <c r="M87" i="6"/>
  <c r="I87" i="6"/>
  <c r="BH86" i="6"/>
  <c r="BD86" i="6"/>
  <c r="AZ86" i="6"/>
  <c r="AV86" i="6"/>
  <c r="AR86" i="6"/>
  <c r="AN86" i="6"/>
  <c r="AJ86" i="6"/>
  <c r="AF86" i="6"/>
  <c r="AB86" i="6"/>
  <c r="X86" i="6"/>
  <c r="T86" i="6"/>
  <c r="P86" i="6"/>
  <c r="L86" i="6"/>
  <c r="H86" i="6"/>
  <c r="BG85" i="6"/>
  <c r="BC85" i="6"/>
  <c r="AY85" i="6"/>
  <c r="AU85" i="6"/>
  <c r="AQ85" i="6"/>
  <c r="AM85" i="6"/>
  <c r="AI85" i="6"/>
  <c r="AE85" i="6"/>
  <c r="AA85" i="6"/>
  <c r="W85" i="6"/>
  <c r="S85" i="6"/>
  <c r="O85" i="6"/>
  <c r="K85" i="6"/>
  <c r="BJ84" i="6"/>
  <c r="BF84" i="6"/>
  <c r="BB84" i="6"/>
  <c r="AX84" i="6"/>
  <c r="AT84" i="6"/>
  <c r="AP84" i="6"/>
  <c r="AL84" i="6"/>
  <c r="AH84" i="6"/>
  <c r="AD84" i="6"/>
  <c r="Z84" i="6"/>
  <c r="V84" i="6"/>
  <c r="R84" i="6"/>
  <c r="N84" i="6"/>
  <c r="J84" i="6"/>
  <c r="BI83" i="6"/>
  <c r="BE83" i="6"/>
  <c r="BA83" i="6"/>
  <c r="AW83" i="6"/>
  <c r="AS83" i="6"/>
  <c r="AO83" i="6"/>
  <c r="AK83" i="6"/>
  <c r="AG83" i="6"/>
  <c r="AC83" i="6"/>
  <c r="Y83" i="6"/>
  <c r="U83" i="6"/>
  <c r="Q83" i="6"/>
  <c r="M83" i="6"/>
  <c r="I83" i="6"/>
  <c r="U85" i="6"/>
  <c r="M85" i="6"/>
  <c r="BH84" i="6"/>
  <c r="AZ84" i="6"/>
  <c r="AR84" i="6"/>
  <c r="AJ84" i="6"/>
  <c r="AB84" i="6"/>
  <c r="T84" i="6"/>
  <c r="L84" i="6"/>
  <c r="BG83" i="6"/>
  <c r="AY83" i="6"/>
  <c r="AQ83" i="6"/>
  <c r="AI83" i="6"/>
  <c r="AA83" i="6"/>
  <c r="S83" i="6"/>
  <c r="K83" i="6"/>
  <c r="BH82" i="6"/>
  <c r="BD82" i="6"/>
  <c r="AZ82" i="6"/>
  <c r="AV82" i="6"/>
  <c r="AR82" i="6"/>
  <c r="AN82" i="6"/>
  <c r="AJ82" i="6"/>
  <c r="AF82" i="6"/>
  <c r="AB82" i="6"/>
  <c r="X82" i="6"/>
  <c r="T82" i="6"/>
  <c r="P82" i="6"/>
  <c r="L82" i="6"/>
  <c r="H82" i="6"/>
  <c r="BG81" i="6"/>
  <c r="BC81" i="6"/>
  <c r="AY81" i="6"/>
  <c r="AU81" i="6"/>
  <c r="AQ81" i="6"/>
  <c r="AM81" i="6"/>
  <c r="AI81" i="6"/>
  <c r="AE81" i="6"/>
  <c r="AA81" i="6"/>
  <c r="W81" i="6"/>
  <c r="S81" i="6"/>
  <c r="O81" i="6"/>
  <c r="K81" i="6"/>
  <c r="BJ80" i="6"/>
  <c r="BF80" i="6"/>
  <c r="BB80" i="6"/>
  <c r="AX80" i="6"/>
  <c r="AT80" i="6"/>
  <c r="AP80" i="6"/>
  <c r="AL80" i="6"/>
  <c r="AH80" i="6"/>
  <c r="AD80" i="6"/>
  <c r="Z80" i="6"/>
  <c r="V80" i="6"/>
  <c r="R80" i="6"/>
  <c r="N80" i="6"/>
  <c r="J80" i="6"/>
  <c r="BI79" i="6"/>
  <c r="BE79" i="6"/>
  <c r="BA79" i="6"/>
  <c r="AW79" i="6"/>
  <c r="AS79" i="6"/>
  <c r="AO79" i="6"/>
  <c r="AK79" i="6"/>
  <c r="AG79" i="6"/>
  <c r="AC79" i="6"/>
  <c r="Y79" i="6"/>
  <c r="U79" i="6"/>
  <c r="Q79" i="6"/>
  <c r="M79" i="6"/>
  <c r="I79" i="6"/>
  <c r="BH78" i="6"/>
  <c r="BD78" i="6"/>
  <c r="AZ78" i="6"/>
  <c r="AV78" i="6"/>
  <c r="AR78" i="6"/>
  <c r="AN78" i="6"/>
  <c r="AJ78" i="6"/>
  <c r="AF78" i="6"/>
  <c r="AB78" i="6"/>
  <c r="X78" i="6"/>
  <c r="T78" i="6"/>
  <c r="P78" i="6"/>
  <c r="L78" i="6"/>
  <c r="H78" i="6"/>
  <c r="BG77" i="6"/>
  <c r="BC77" i="6"/>
  <c r="AY77" i="6"/>
  <c r="Q117" i="6"/>
  <c r="AN116" i="6"/>
  <c r="R116" i="6"/>
  <c r="BE115" i="6"/>
  <c r="AO115" i="6"/>
  <c r="Y115" i="6"/>
  <c r="I115" i="6"/>
  <c r="AV114" i="6"/>
  <c r="AF114" i="6"/>
  <c r="P114" i="6"/>
  <c r="BC113" i="6"/>
  <c r="AM113" i="6"/>
  <c r="W113" i="6"/>
  <c r="BJ112" i="6"/>
  <c r="BA112" i="6"/>
  <c r="AS112" i="6"/>
  <c r="AK112" i="6"/>
  <c r="AC112" i="6"/>
  <c r="U112" i="6"/>
  <c r="M112" i="6"/>
  <c r="BH111" i="6"/>
  <c r="AZ111" i="6"/>
  <c r="AR111" i="6"/>
  <c r="AJ111" i="6"/>
  <c r="AB111" i="6"/>
  <c r="T111" i="6"/>
  <c r="L111" i="6"/>
  <c r="BG110" i="6"/>
  <c r="AY110" i="6"/>
  <c r="AQ110" i="6"/>
  <c r="AI110" i="6"/>
  <c r="AA110" i="6"/>
  <c r="S110" i="6"/>
  <c r="K110" i="6"/>
  <c r="BF109" i="6"/>
  <c r="AX109" i="6"/>
  <c r="AP109" i="6"/>
  <c r="AH109" i="6"/>
  <c r="Z109" i="6"/>
  <c r="R109" i="6"/>
  <c r="J109" i="6"/>
  <c r="BE108" i="6"/>
  <c r="AW108" i="6"/>
  <c r="AO108" i="6"/>
  <c r="AG108" i="6"/>
  <c r="Y108" i="6"/>
  <c r="Q108" i="6"/>
  <c r="I108" i="6"/>
  <c r="BD107" i="6"/>
  <c r="AV107" i="6"/>
  <c r="AN107" i="6"/>
  <c r="AF107" i="6"/>
  <c r="X107" i="6"/>
  <c r="P107" i="6"/>
  <c r="H107" i="6"/>
  <c r="BC106" i="6"/>
  <c r="AU106" i="6"/>
  <c r="AM106" i="6"/>
  <c r="AE106" i="6"/>
  <c r="W106" i="6"/>
  <c r="O106" i="6"/>
  <c r="BJ105" i="6"/>
  <c r="BB105" i="6"/>
  <c r="AT105" i="6"/>
  <c r="AL105" i="6"/>
  <c r="AD105" i="6"/>
  <c r="V105" i="6"/>
  <c r="N105" i="6"/>
  <c r="BI104" i="6"/>
  <c r="BA104" i="6"/>
  <c r="AS104" i="6"/>
  <c r="AK104" i="6"/>
  <c r="AC104" i="6"/>
  <c r="U104" i="6"/>
  <c r="M104" i="6"/>
  <c r="BH103" i="6"/>
  <c r="AZ103" i="6"/>
  <c r="AR103" i="6"/>
  <c r="AJ103" i="6"/>
  <c r="AB103" i="6"/>
  <c r="T103" i="6"/>
  <c r="L103" i="6"/>
  <c r="BG102" i="6"/>
  <c r="AY102" i="6"/>
  <c r="AQ102" i="6"/>
  <c r="AI102" i="6"/>
  <c r="AA102" i="6"/>
  <c r="S102" i="6"/>
  <c r="K102" i="6"/>
  <c r="BF101" i="6"/>
  <c r="AX101" i="6"/>
  <c r="AP101" i="6"/>
  <c r="AH101" i="6"/>
  <c r="Z101" i="6"/>
  <c r="R101" i="6"/>
  <c r="J101" i="6"/>
  <c r="BE100" i="6"/>
  <c r="AW100" i="6"/>
  <c r="AO100" i="6"/>
  <c r="AG100" i="6"/>
  <c r="Y100" i="6"/>
  <c r="Q100" i="6"/>
  <c r="I100" i="6"/>
  <c r="BD99" i="6"/>
  <c r="AV99" i="6"/>
  <c r="AN99" i="6"/>
  <c r="AF99" i="6"/>
  <c r="X99" i="6"/>
  <c r="P99" i="6"/>
  <c r="H99" i="6"/>
  <c r="BC98" i="6"/>
  <c r="AU98" i="6"/>
  <c r="AM98" i="6"/>
  <c r="AE98" i="6"/>
  <c r="W98" i="6"/>
  <c r="O98" i="6"/>
  <c r="BJ97" i="6"/>
  <c r="BB97" i="6"/>
  <c r="AT97" i="6"/>
  <c r="AL97" i="6"/>
  <c r="AD97" i="6"/>
  <c r="V97" i="6"/>
  <c r="N97" i="6"/>
  <c r="BI96" i="6"/>
  <c r="BA96" i="6"/>
  <c r="AS96" i="6"/>
  <c r="AK96" i="6"/>
  <c r="AC96" i="6"/>
  <c r="U96" i="6"/>
  <c r="M96" i="6"/>
  <c r="BH95" i="6"/>
  <c r="AZ95" i="6"/>
  <c r="AR95" i="6"/>
  <c r="AJ95" i="6"/>
  <c r="AB95" i="6"/>
  <c r="T95" i="6"/>
  <c r="L95" i="6"/>
  <c r="BG94" i="6"/>
  <c r="AY94" i="6"/>
  <c r="AQ94" i="6"/>
  <c r="AI94" i="6"/>
  <c r="AA94" i="6"/>
  <c r="S94" i="6"/>
  <c r="K94" i="6"/>
  <c r="BF93" i="6"/>
  <c r="AX93" i="6"/>
  <c r="AP93" i="6"/>
  <c r="AH93" i="6"/>
  <c r="Z93" i="6"/>
  <c r="R93" i="6"/>
  <c r="J93" i="6"/>
  <c r="BE92" i="6"/>
  <c r="AW92" i="6"/>
  <c r="AO92" i="6"/>
  <c r="AG92" i="6"/>
  <c r="Y92" i="6"/>
  <c r="Q92" i="6"/>
  <c r="I92" i="6"/>
  <c r="BD91" i="6"/>
  <c r="AV91" i="6"/>
  <c r="AN91" i="6"/>
  <c r="AF91" i="6"/>
  <c r="X91" i="6"/>
  <c r="P91" i="6"/>
  <c r="H91" i="6"/>
  <c r="BC90" i="6"/>
  <c r="AU90" i="6"/>
  <c r="AM90" i="6"/>
  <c r="AE90" i="6"/>
  <c r="W90" i="6"/>
  <c r="O90" i="6"/>
  <c r="BJ89" i="6"/>
  <c r="BB89" i="6"/>
  <c r="AT89" i="6"/>
  <c r="AL89" i="6"/>
  <c r="AD89" i="6"/>
  <c r="V89" i="6"/>
  <c r="N89" i="6"/>
  <c r="BI88" i="6"/>
  <c r="BA88" i="6"/>
  <c r="AS88" i="6"/>
  <c r="AK88" i="6"/>
  <c r="AC88" i="6"/>
  <c r="U88" i="6"/>
  <c r="M88" i="6"/>
  <c r="BH87" i="6"/>
  <c r="AZ87" i="6"/>
  <c r="AR87" i="6"/>
  <c r="AJ87" i="6"/>
  <c r="AB87" i="6"/>
  <c r="T87" i="6"/>
  <c r="L87" i="6"/>
  <c r="BG86" i="6"/>
  <c r="AY86" i="6"/>
  <c r="AQ86" i="6"/>
  <c r="AI86" i="6"/>
  <c r="AA86" i="6"/>
  <c r="S86" i="6"/>
  <c r="K86" i="6"/>
  <c r="BF85" i="6"/>
  <c r="AX85" i="6"/>
  <c r="AP85" i="6"/>
  <c r="AH85" i="6"/>
  <c r="Z85" i="6"/>
  <c r="R85" i="6"/>
  <c r="J85" i="6"/>
  <c r="BE84" i="6"/>
  <c r="AW84" i="6"/>
  <c r="AO84" i="6"/>
  <c r="AG84" i="6"/>
  <c r="Y84" i="6"/>
  <c r="Q84" i="6"/>
  <c r="I84" i="6"/>
  <c r="BD83" i="6"/>
  <c r="AV83" i="6"/>
  <c r="AN83" i="6"/>
  <c r="AF83" i="6"/>
  <c r="X83" i="6"/>
  <c r="P83" i="6"/>
  <c r="H83" i="6"/>
  <c r="BC82" i="6"/>
  <c r="AU82" i="6"/>
  <c r="AM82" i="6"/>
  <c r="AE82" i="6"/>
  <c r="W82" i="6"/>
  <c r="O82" i="6"/>
  <c r="BJ81" i="6"/>
  <c r="BB81" i="6"/>
  <c r="AT81" i="6"/>
  <c r="AL81" i="6"/>
  <c r="AD81" i="6"/>
  <c r="V81" i="6"/>
  <c r="N81" i="6"/>
  <c r="BI80" i="6"/>
  <c r="BA80" i="6"/>
  <c r="AS80" i="6"/>
  <c r="AK80" i="6"/>
  <c r="AC80" i="6"/>
  <c r="U80" i="6"/>
  <c r="M80" i="6"/>
  <c r="BH79" i="6"/>
  <c r="AZ79" i="6"/>
  <c r="AR79" i="6"/>
  <c r="AJ79" i="6"/>
  <c r="AB79" i="6"/>
  <c r="T79" i="6"/>
  <c r="L79" i="6"/>
  <c r="BG78" i="6"/>
  <c r="AY78" i="6"/>
  <c r="AQ78" i="6"/>
  <c r="AI78" i="6"/>
  <c r="AA78" i="6"/>
  <c r="S78" i="6"/>
  <c r="K78" i="6"/>
  <c r="BF77" i="6"/>
  <c r="AX77" i="6"/>
  <c r="AT77" i="6"/>
  <c r="AP77" i="6"/>
  <c r="AL77" i="6"/>
  <c r="AH77" i="6"/>
  <c r="AD77" i="6"/>
  <c r="Z77" i="6"/>
  <c r="V77" i="6"/>
  <c r="R77" i="6"/>
  <c r="N77" i="6"/>
  <c r="J77" i="6"/>
  <c r="BI76" i="6"/>
  <c r="BE76" i="6"/>
  <c r="BA76" i="6"/>
  <c r="AW76" i="6"/>
  <c r="AS76" i="6"/>
  <c r="AO76" i="6"/>
  <c r="AK76" i="6"/>
  <c r="AG76" i="6"/>
  <c r="AC76" i="6"/>
  <c r="Y76" i="6"/>
  <c r="U76" i="6"/>
  <c r="Q76" i="6"/>
  <c r="M76" i="6"/>
  <c r="I76" i="6"/>
  <c r="BH75" i="6"/>
  <c r="BD75" i="6"/>
  <c r="AZ75" i="6"/>
  <c r="AV75" i="6"/>
  <c r="AR75" i="6"/>
  <c r="AN75" i="6"/>
  <c r="AJ75" i="6"/>
  <c r="AF75" i="6"/>
  <c r="AB75" i="6"/>
  <c r="X75" i="6"/>
  <c r="T75" i="6"/>
  <c r="P75" i="6"/>
  <c r="L75" i="6"/>
  <c r="H75" i="6"/>
  <c r="BG74" i="6"/>
  <c r="BC74" i="6"/>
  <c r="AY74" i="6"/>
  <c r="AU74" i="6"/>
  <c r="AQ74" i="6"/>
  <c r="AM74" i="6"/>
  <c r="AI74" i="6"/>
  <c r="AE74" i="6"/>
  <c r="AA74" i="6"/>
  <c r="W74" i="6"/>
  <c r="S74" i="6"/>
  <c r="O74" i="6"/>
  <c r="K74" i="6"/>
  <c r="BJ73" i="6"/>
  <c r="BF73" i="6"/>
  <c r="BB73" i="6"/>
  <c r="AX73" i="6"/>
  <c r="AT73" i="6"/>
  <c r="AP73" i="6"/>
  <c r="AL73" i="6"/>
  <c r="AH73" i="6"/>
  <c r="AD73" i="6"/>
  <c r="Z73" i="6"/>
  <c r="V73" i="6"/>
  <c r="R73" i="6"/>
  <c r="N73" i="6"/>
  <c r="J73" i="6"/>
  <c r="BI72" i="6"/>
  <c r="BE72" i="6"/>
  <c r="BA72" i="6"/>
  <c r="AW72" i="6"/>
  <c r="AS72" i="6"/>
  <c r="AO72" i="6"/>
  <c r="AK72" i="6"/>
  <c r="AG72" i="6"/>
  <c r="AC72" i="6"/>
  <c r="Y72" i="6"/>
  <c r="U72" i="6"/>
  <c r="Q72" i="6"/>
  <c r="M72" i="6"/>
  <c r="I72" i="6"/>
  <c r="BH71" i="6"/>
  <c r="BD71" i="6"/>
  <c r="AZ71" i="6"/>
  <c r="AV71" i="6"/>
  <c r="AR71" i="6"/>
  <c r="AN71" i="6"/>
  <c r="AJ71" i="6"/>
  <c r="AF71" i="6"/>
  <c r="Y117" i="6"/>
  <c r="AV116" i="6"/>
  <c r="V116" i="6"/>
  <c r="BI115" i="6"/>
  <c r="AS115" i="6"/>
  <c r="AC115" i="6"/>
  <c r="M115" i="6"/>
  <c r="AZ114" i="6"/>
  <c r="AJ114" i="6"/>
  <c r="T114" i="6"/>
  <c r="BG113" i="6"/>
  <c r="AQ113" i="6"/>
  <c r="AA113" i="6"/>
  <c r="K113" i="6"/>
  <c r="BC112" i="6"/>
  <c r="AU112" i="6"/>
  <c r="AM112" i="6"/>
  <c r="AE112" i="6"/>
  <c r="W112" i="6"/>
  <c r="O112" i="6"/>
  <c r="BJ111" i="6"/>
  <c r="BB111" i="6"/>
  <c r="AT111" i="6"/>
  <c r="AL111" i="6"/>
  <c r="AD111" i="6"/>
  <c r="V111" i="6"/>
  <c r="N111" i="6"/>
  <c r="BI110" i="6"/>
  <c r="BA110" i="6"/>
  <c r="AS110" i="6"/>
  <c r="AK110" i="6"/>
  <c r="AC110" i="6"/>
  <c r="U110" i="6"/>
  <c r="M110" i="6"/>
  <c r="BH109" i="6"/>
  <c r="AZ109" i="6"/>
  <c r="AR109" i="6"/>
  <c r="AJ109" i="6"/>
  <c r="AB109" i="6"/>
  <c r="T109" i="6"/>
  <c r="L109" i="6"/>
  <c r="BG108" i="6"/>
  <c r="AY108" i="6"/>
  <c r="AQ108" i="6"/>
  <c r="AI108" i="6"/>
  <c r="AA108" i="6"/>
  <c r="S108" i="6"/>
  <c r="K108" i="6"/>
  <c r="BF107" i="6"/>
  <c r="AX107" i="6"/>
  <c r="AP107" i="6"/>
  <c r="AH107" i="6"/>
  <c r="Z107" i="6"/>
  <c r="R107" i="6"/>
  <c r="J107" i="6"/>
  <c r="BE106" i="6"/>
  <c r="AW106" i="6"/>
  <c r="AO106" i="6"/>
  <c r="AG106" i="6"/>
  <c r="Y106" i="6"/>
  <c r="Q106" i="6"/>
  <c r="I106" i="6"/>
  <c r="BD105" i="6"/>
  <c r="AV105" i="6"/>
  <c r="AN105" i="6"/>
  <c r="AF105" i="6"/>
  <c r="X105" i="6"/>
  <c r="P105" i="6"/>
  <c r="H105" i="6"/>
  <c r="BC104" i="6"/>
  <c r="AU104" i="6"/>
  <c r="AM104" i="6"/>
  <c r="AE104" i="6"/>
  <c r="W104" i="6"/>
  <c r="O104" i="6"/>
  <c r="BJ103" i="6"/>
  <c r="BB103" i="6"/>
  <c r="AT103" i="6"/>
  <c r="AL103" i="6"/>
  <c r="AD103" i="6"/>
  <c r="V103" i="6"/>
  <c r="N103" i="6"/>
  <c r="BI102" i="6"/>
  <c r="BA102" i="6"/>
  <c r="AS102" i="6"/>
  <c r="AK102" i="6"/>
  <c r="AC102" i="6"/>
  <c r="U102" i="6"/>
  <c r="M102" i="6"/>
  <c r="BH101" i="6"/>
  <c r="AZ101" i="6"/>
  <c r="AR101" i="6"/>
  <c r="AJ101" i="6"/>
  <c r="AB101" i="6"/>
  <c r="T101" i="6"/>
  <c r="L101" i="6"/>
  <c r="BG100" i="6"/>
  <c r="AY100" i="6"/>
  <c r="AQ100" i="6"/>
  <c r="AI100" i="6"/>
  <c r="AA100" i="6"/>
  <c r="S100" i="6"/>
  <c r="K100" i="6"/>
  <c r="BF99" i="6"/>
  <c r="AX99" i="6"/>
  <c r="AP99" i="6"/>
  <c r="AH99" i="6"/>
  <c r="Z99" i="6"/>
  <c r="R99" i="6"/>
  <c r="J99" i="6"/>
  <c r="BE98" i="6"/>
  <c r="AW98" i="6"/>
  <c r="AO98" i="6"/>
  <c r="AG98" i="6"/>
  <c r="Y98" i="6"/>
  <c r="Q98" i="6"/>
  <c r="I98" i="6"/>
  <c r="BD97" i="6"/>
  <c r="AV97" i="6"/>
  <c r="AN97" i="6"/>
  <c r="AF97" i="6"/>
  <c r="X97" i="6"/>
  <c r="P97" i="6"/>
  <c r="H97" i="6"/>
  <c r="BC96" i="6"/>
  <c r="AU96" i="6"/>
  <c r="AM96" i="6"/>
  <c r="AE96" i="6"/>
  <c r="W96" i="6"/>
  <c r="O96" i="6"/>
  <c r="BJ95" i="6"/>
  <c r="BB95" i="6"/>
  <c r="AT95" i="6"/>
  <c r="AL95" i="6"/>
  <c r="AD95" i="6"/>
  <c r="V95" i="6"/>
  <c r="N95" i="6"/>
  <c r="BI94" i="6"/>
  <c r="BA94" i="6"/>
  <c r="AS94" i="6"/>
  <c r="AK94" i="6"/>
  <c r="AC94" i="6"/>
  <c r="U94" i="6"/>
  <c r="M94" i="6"/>
  <c r="BH93" i="6"/>
  <c r="AZ93" i="6"/>
  <c r="AR93" i="6"/>
  <c r="AJ93" i="6"/>
  <c r="AB93" i="6"/>
  <c r="T93" i="6"/>
  <c r="L93" i="6"/>
  <c r="BG92" i="6"/>
  <c r="AY92" i="6"/>
  <c r="AQ92" i="6"/>
  <c r="AI92" i="6"/>
  <c r="AA92" i="6"/>
  <c r="S92" i="6"/>
  <c r="K92" i="6"/>
  <c r="BF91" i="6"/>
  <c r="AX91" i="6"/>
  <c r="AP91" i="6"/>
  <c r="AH91" i="6"/>
  <c r="Z91" i="6"/>
  <c r="R91" i="6"/>
  <c r="J91" i="6"/>
  <c r="BE90" i="6"/>
  <c r="AW90" i="6"/>
  <c r="AO90" i="6"/>
  <c r="AG90" i="6"/>
  <c r="Y90" i="6"/>
  <c r="Q90" i="6"/>
  <c r="I90" i="6"/>
  <c r="BD89" i="6"/>
  <c r="AV89" i="6"/>
  <c r="AN89" i="6"/>
  <c r="AF89" i="6"/>
  <c r="X89" i="6"/>
  <c r="P89" i="6"/>
  <c r="H89" i="6"/>
  <c r="BC88" i="6"/>
  <c r="AU88" i="6"/>
  <c r="AM88" i="6"/>
  <c r="AE88" i="6"/>
  <c r="W88" i="6"/>
  <c r="O88" i="6"/>
  <c r="BJ87" i="6"/>
  <c r="BB87" i="6"/>
  <c r="AT87" i="6"/>
  <c r="AL87" i="6"/>
  <c r="AD87" i="6"/>
  <c r="V87" i="6"/>
  <c r="N87" i="6"/>
  <c r="BI86" i="6"/>
  <c r="BA86" i="6"/>
  <c r="AS86" i="6"/>
  <c r="AK86" i="6"/>
  <c r="AC86" i="6"/>
  <c r="U86" i="6"/>
  <c r="M86" i="6"/>
  <c r="BH85" i="6"/>
  <c r="AZ85" i="6"/>
  <c r="AR85" i="6"/>
  <c r="AJ85" i="6"/>
  <c r="AB85" i="6"/>
  <c r="T85" i="6"/>
  <c r="L85" i="6"/>
  <c r="BG84" i="6"/>
  <c r="AY84" i="6"/>
  <c r="AQ84" i="6"/>
  <c r="AI84" i="6"/>
  <c r="AA84" i="6"/>
  <c r="S84" i="6"/>
  <c r="K84" i="6"/>
  <c r="BF83" i="6"/>
  <c r="AX83" i="6"/>
  <c r="AP83" i="6"/>
  <c r="AH83" i="6"/>
  <c r="Z83" i="6"/>
  <c r="R83" i="6"/>
  <c r="J83" i="6"/>
  <c r="BE82" i="6"/>
  <c r="AW82" i="6"/>
  <c r="AO82" i="6"/>
  <c r="AG82" i="6"/>
  <c r="Y82" i="6"/>
  <c r="Q82" i="6"/>
  <c r="I82" i="6"/>
  <c r="BD81" i="6"/>
  <c r="AV81" i="6"/>
  <c r="AN81" i="6"/>
  <c r="AF81" i="6"/>
  <c r="X81" i="6"/>
  <c r="P81" i="6"/>
  <c r="H81" i="6"/>
  <c r="BC80" i="6"/>
  <c r="AU80" i="6"/>
  <c r="AM80" i="6"/>
  <c r="AE80" i="6"/>
  <c r="W80" i="6"/>
  <c r="O80" i="6"/>
  <c r="BJ79" i="6"/>
  <c r="BB79" i="6"/>
  <c r="AT79" i="6"/>
  <c r="AL79" i="6"/>
  <c r="AD79" i="6"/>
  <c r="V79" i="6"/>
  <c r="N79" i="6"/>
  <c r="BI78" i="6"/>
  <c r="BA78" i="6"/>
  <c r="AS78" i="6"/>
  <c r="AK78" i="6"/>
  <c r="AC78" i="6"/>
  <c r="U78" i="6"/>
  <c r="M78" i="6"/>
  <c r="BH77" i="6"/>
  <c r="AZ77" i="6"/>
  <c r="AS77" i="6"/>
  <c r="AK77" i="6"/>
  <c r="AC77" i="6"/>
  <c r="U77" i="6"/>
  <c r="M77" i="6"/>
  <c r="BH76" i="6"/>
  <c r="AZ76" i="6"/>
  <c r="AR76" i="6"/>
  <c r="AJ76" i="6"/>
  <c r="AB76" i="6"/>
  <c r="T76" i="6"/>
  <c r="L76" i="6"/>
  <c r="BG75" i="6"/>
  <c r="AY75" i="6"/>
  <c r="AQ75" i="6"/>
  <c r="AI75" i="6"/>
  <c r="AA75" i="6"/>
  <c r="S75" i="6"/>
  <c r="K75" i="6"/>
  <c r="BF74" i="6"/>
  <c r="AX74" i="6"/>
  <c r="AP74" i="6"/>
  <c r="AH74" i="6"/>
  <c r="Z74" i="6"/>
  <c r="R74" i="6"/>
  <c r="J74" i="6"/>
  <c r="BE73" i="6"/>
  <c r="AW73" i="6"/>
  <c r="AO73" i="6"/>
  <c r="AG73" i="6"/>
  <c r="Y73" i="6"/>
  <c r="Q73" i="6"/>
  <c r="I73" i="6"/>
  <c r="BD72" i="6"/>
  <c r="AV72" i="6"/>
  <c r="AN72" i="6"/>
  <c r="AF72" i="6"/>
  <c r="X72" i="6"/>
  <c r="P72" i="6"/>
  <c r="H72" i="6"/>
  <c r="BC71" i="6"/>
  <c r="AU71" i="6"/>
  <c r="AM71" i="6"/>
  <c r="AE71" i="6"/>
  <c r="Z71" i="6"/>
  <c r="V71" i="6"/>
  <c r="R71" i="6"/>
  <c r="N71" i="6"/>
  <c r="J71" i="6"/>
  <c r="BI70" i="6"/>
  <c r="BE70" i="6"/>
  <c r="BA70" i="6"/>
  <c r="AW70" i="6"/>
  <c r="AS70" i="6"/>
  <c r="AO70" i="6"/>
  <c r="AK70" i="6"/>
  <c r="AG70" i="6"/>
  <c r="AC70" i="6"/>
  <c r="Y70" i="6"/>
  <c r="U70" i="6"/>
  <c r="Q70" i="6"/>
  <c r="M70" i="6"/>
  <c r="I70" i="6"/>
  <c r="BH69" i="6"/>
  <c r="BD69" i="6"/>
  <c r="AZ69" i="6"/>
  <c r="AV69" i="6"/>
  <c r="AR69" i="6"/>
  <c r="AN69" i="6"/>
  <c r="AJ69" i="6"/>
  <c r="AF69" i="6"/>
  <c r="AB69" i="6"/>
  <c r="X69" i="6"/>
  <c r="T69" i="6"/>
  <c r="P69" i="6"/>
  <c r="L69" i="6"/>
  <c r="H69" i="6"/>
  <c r="BG68" i="6"/>
  <c r="BC68" i="6"/>
  <c r="AY68" i="6"/>
  <c r="AU68" i="6"/>
  <c r="AQ68" i="6"/>
  <c r="AM68" i="6"/>
  <c r="AI68" i="6"/>
  <c r="AE68" i="6"/>
  <c r="AA68" i="6"/>
  <c r="W68" i="6"/>
  <c r="S68" i="6"/>
  <c r="O68" i="6"/>
  <c r="K68" i="6"/>
  <c r="BJ67" i="6"/>
  <c r="BF67" i="6"/>
  <c r="BB67" i="6"/>
  <c r="AX67" i="6"/>
  <c r="AT67" i="6"/>
  <c r="AP67" i="6"/>
  <c r="AL67" i="6"/>
  <c r="AH67" i="6"/>
  <c r="AD67" i="6"/>
  <c r="Z67" i="6"/>
  <c r="V67" i="6"/>
  <c r="R67" i="6"/>
  <c r="N67" i="6"/>
  <c r="J67" i="6"/>
  <c r="BI66" i="6"/>
  <c r="BE66" i="6"/>
  <c r="BA66" i="6"/>
  <c r="AW66" i="6"/>
  <c r="AS66" i="6"/>
  <c r="AO66" i="6"/>
  <c r="AK66" i="6"/>
  <c r="AG66" i="6"/>
  <c r="AC66" i="6"/>
  <c r="Y66" i="6"/>
  <c r="U66" i="6"/>
  <c r="Q66" i="6"/>
  <c r="M66" i="6"/>
  <c r="I66" i="6"/>
  <c r="BH65" i="6"/>
  <c r="BD65" i="6"/>
  <c r="AZ65" i="6"/>
  <c r="AV65" i="6"/>
  <c r="AR65" i="6"/>
  <c r="AN65" i="6"/>
  <c r="AJ65" i="6"/>
  <c r="AF65" i="6"/>
  <c r="AB65" i="6"/>
  <c r="X65" i="6"/>
  <c r="T65" i="6"/>
  <c r="P65" i="6"/>
  <c r="L65" i="6"/>
  <c r="H65" i="6"/>
  <c r="BG64" i="6"/>
  <c r="BC64" i="6"/>
  <c r="AY64" i="6"/>
  <c r="AU64" i="6"/>
  <c r="AQ64" i="6"/>
  <c r="AM64" i="6"/>
  <c r="AI64" i="6"/>
  <c r="AE64" i="6"/>
  <c r="AA64" i="6"/>
  <c r="W64" i="6"/>
  <c r="S64" i="6"/>
  <c r="O64" i="6"/>
  <c r="K64" i="6"/>
  <c r="BJ63" i="6"/>
  <c r="BF63" i="6"/>
  <c r="BB63" i="6"/>
  <c r="AX63" i="6"/>
  <c r="AT63" i="6"/>
  <c r="AP63" i="6"/>
  <c r="AL63" i="6"/>
  <c r="AH63" i="6"/>
  <c r="AD63" i="6"/>
  <c r="Z63" i="6"/>
  <c r="V63" i="6"/>
  <c r="R63" i="6"/>
  <c r="N63" i="6"/>
  <c r="J63" i="6"/>
  <c r="BI62" i="6"/>
  <c r="BE62" i="6"/>
  <c r="BA62" i="6"/>
  <c r="AW62" i="6"/>
  <c r="AS62" i="6"/>
  <c r="AO62" i="6"/>
  <c r="AK62" i="6"/>
  <c r="AG62" i="6"/>
  <c r="AC62" i="6"/>
  <c r="Y62" i="6"/>
  <c r="U62" i="6"/>
  <c r="Q62" i="6"/>
  <c r="M62" i="6"/>
  <c r="I62" i="6"/>
  <c r="BH61" i="6"/>
  <c r="BD61" i="6"/>
  <c r="AZ61" i="6"/>
  <c r="AV61" i="6"/>
  <c r="AR61" i="6"/>
  <c r="AN61" i="6"/>
  <c r="AJ61" i="6"/>
  <c r="AF61" i="6"/>
  <c r="AB61" i="6"/>
  <c r="X61" i="6"/>
  <c r="T61" i="6"/>
  <c r="P61" i="6"/>
  <c r="L61" i="6"/>
  <c r="H61" i="6"/>
  <c r="BG60" i="6"/>
  <c r="BC60" i="6"/>
  <c r="AY60" i="6"/>
  <c r="AU60" i="6"/>
  <c r="AQ60" i="6"/>
  <c r="AM60" i="6"/>
  <c r="AI60" i="6"/>
  <c r="AE60" i="6"/>
  <c r="AA60" i="6"/>
  <c r="W60" i="6"/>
  <c r="S60" i="6"/>
  <c r="O60" i="6"/>
  <c r="K60" i="6"/>
  <c r="BJ59" i="6"/>
  <c r="BF59" i="6"/>
  <c r="BB59" i="6"/>
  <c r="AX59" i="6"/>
  <c r="AT59" i="6"/>
  <c r="AP59" i="6"/>
  <c r="AL59" i="6"/>
  <c r="AH59" i="6"/>
  <c r="AD59" i="6"/>
  <c r="Z59" i="6"/>
  <c r="V59" i="6"/>
  <c r="R59" i="6"/>
  <c r="N59" i="6"/>
  <c r="J59" i="6"/>
  <c r="BI58" i="6"/>
  <c r="BE58" i="6"/>
  <c r="BA58" i="6"/>
  <c r="AW58" i="6"/>
  <c r="AS58" i="6"/>
  <c r="AO58" i="6"/>
  <c r="AK58" i="6"/>
  <c r="AG58" i="6"/>
  <c r="AC58" i="6"/>
  <c r="Y58" i="6"/>
  <c r="U58" i="6"/>
  <c r="Q58" i="6"/>
  <c r="M58" i="6"/>
  <c r="I58" i="6"/>
  <c r="BH57" i="6"/>
  <c r="BD57" i="6"/>
  <c r="AZ57" i="6"/>
  <c r="AV57" i="6"/>
  <c r="AR57" i="6"/>
  <c r="AN57" i="6"/>
  <c r="AJ57" i="6"/>
  <c r="AF57" i="6"/>
  <c r="AB57" i="6"/>
  <c r="X57" i="6"/>
  <c r="T57" i="6"/>
  <c r="P57" i="6"/>
  <c r="L57" i="6"/>
  <c r="H57" i="6"/>
  <c r="BG56" i="6"/>
  <c r="BC56" i="6"/>
  <c r="AY56" i="6"/>
  <c r="AU56" i="6"/>
  <c r="AQ56" i="6"/>
  <c r="AM56" i="6"/>
  <c r="AI56" i="6"/>
  <c r="AE56" i="6"/>
  <c r="AA56" i="6"/>
  <c r="W56" i="6"/>
  <c r="S56" i="6"/>
  <c r="O56" i="6"/>
  <c r="K56" i="6"/>
  <c r="BJ55" i="6"/>
  <c r="BF55" i="6"/>
  <c r="BB55" i="6"/>
  <c r="AX55" i="6"/>
  <c r="AT55" i="6"/>
  <c r="AP55" i="6"/>
  <c r="AL55" i="6"/>
  <c r="AH55" i="6"/>
  <c r="AD55" i="6"/>
  <c r="Z55" i="6"/>
  <c r="V55" i="6"/>
  <c r="R55" i="6"/>
  <c r="N55" i="6"/>
  <c r="J55" i="6"/>
  <c r="BI54" i="6"/>
  <c r="BE54" i="6"/>
  <c r="BA54" i="6"/>
  <c r="AW54" i="6"/>
  <c r="AS54" i="6"/>
  <c r="AO54" i="6"/>
  <c r="AK54" i="6"/>
  <c r="AG54" i="6"/>
  <c r="AC54" i="6"/>
  <c r="Y54" i="6"/>
  <c r="U54" i="6"/>
  <c r="Q54" i="6"/>
  <c r="Q85" i="6"/>
  <c r="I85" i="6"/>
  <c r="BD84" i="6"/>
  <c r="AV84" i="6"/>
  <c r="AN84" i="6"/>
  <c r="AF84" i="6"/>
  <c r="X84" i="6"/>
  <c r="P84" i="6"/>
  <c r="H84" i="6"/>
  <c r="BC83" i="6"/>
  <c r="AU83" i="6"/>
  <c r="AM83" i="6"/>
  <c r="AE83" i="6"/>
  <c r="W83" i="6"/>
  <c r="O83" i="6"/>
  <c r="BJ82" i="6"/>
  <c r="BF82" i="6"/>
  <c r="BB82" i="6"/>
  <c r="AX82" i="6"/>
  <c r="AT82" i="6"/>
  <c r="AP82" i="6"/>
  <c r="AL82" i="6"/>
  <c r="AH82" i="6"/>
  <c r="AD82" i="6"/>
  <c r="Z82" i="6"/>
  <c r="V82" i="6"/>
  <c r="R82" i="6"/>
  <c r="N82" i="6"/>
  <c r="J82" i="6"/>
  <c r="BI81" i="6"/>
  <c r="BE81" i="6"/>
  <c r="BA81" i="6"/>
  <c r="AW81" i="6"/>
  <c r="AS81" i="6"/>
  <c r="AO81" i="6"/>
  <c r="AK81" i="6"/>
  <c r="AG81" i="6"/>
  <c r="AC81" i="6"/>
  <c r="Y81" i="6"/>
  <c r="U81" i="6"/>
  <c r="Q81" i="6"/>
  <c r="M81" i="6"/>
  <c r="I81" i="6"/>
  <c r="BH80" i="6"/>
  <c r="BD80" i="6"/>
  <c r="AZ80" i="6"/>
  <c r="AV80" i="6"/>
  <c r="AR80" i="6"/>
  <c r="AN80" i="6"/>
  <c r="AJ80" i="6"/>
  <c r="AF80" i="6"/>
  <c r="AB80" i="6"/>
  <c r="X80" i="6"/>
  <c r="T80" i="6"/>
  <c r="P80" i="6"/>
  <c r="L80" i="6"/>
  <c r="H80" i="6"/>
  <c r="BG79" i="6"/>
  <c r="BC79" i="6"/>
  <c r="AY79" i="6"/>
  <c r="AU79" i="6"/>
  <c r="AQ79" i="6"/>
  <c r="AM79" i="6"/>
  <c r="AI79" i="6"/>
  <c r="AE79" i="6"/>
  <c r="AA79" i="6"/>
  <c r="W79" i="6"/>
  <c r="S79" i="6"/>
  <c r="O79" i="6"/>
  <c r="K79" i="6"/>
  <c r="BJ78" i="6"/>
  <c r="BF78" i="6"/>
  <c r="BB78" i="6"/>
  <c r="AX78" i="6"/>
  <c r="AT78" i="6"/>
  <c r="AP78" i="6"/>
  <c r="AL78" i="6"/>
  <c r="AH78" i="6"/>
  <c r="AD78" i="6"/>
  <c r="Z78" i="6"/>
  <c r="V78" i="6"/>
  <c r="R78" i="6"/>
  <c r="N78" i="6"/>
  <c r="J78" i="6"/>
  <c r="BI77" i="6"/>
  <c r="BE77" i="6"/>
  <c r="BA77" i="6"/>
  <c r="AG117" i="6"/>
  <c r="BD116" i="6"/>
  <c r="Z116" i="6"/>
  <c r="J116" i="6"/>
  <c r="AW115" i="6"/>
  <c r="AG115" i="6"/>
  <c r="Q115" i="6"/>
  <c r="BD114" i="6"/>
  <c r="AN114" i="6"/>
  <c r="X114" i="6"/>
  <c r="H114" i="6"/>
  <c r="AU113" i="6"/>
  <c r="AE113" i="6"/>
  <c r="O113" i="6"/>
  <c r="BE112" i="6"/>
  <c r="AW112" i="6"/>
  <c r="AO112" i="6"/>
  <c r="AG112" i="6"/>
  <c r="Y112" i="6"/>
  <c r="Q112" i="6"/>
  <c r="I112" i="6"/>
  <c r="BD111" i="6"/>
  <c r="AV111" i="6"/>
  <c r="AN111" i="6"/>
  <c r="AF111" i="6"/>
  <c r="X111" i="6"/>
  <c r="P111" i="6"/>
  <c r="H111" i="6"/>
  <c r="BC110" i="6"/>
  <c r="AU110" i="6"/>
  <c r="AM110" i="6"/>
  <c r="AE110" i="6"/>
  <c r="W110" i="6"/>
  <c r="O110" i="6"/>
  <c r="BJ109" i="6"/>
  <c r="BB109" i="6"/>
  <c r="AT109" i="6"/>
  <c r="AL109" i="6"/>
  <c r="AD109" i="6"/>
  <c r="V109" i="6"/>
  <c r="N109" i="6"/>
  <c r="BI108" i="6"/>
  <c r="BA108" i="6"/>
  <c r="AS108" i="6"/>
  <c r="AK108" i="6"/>
  <c r="AC108" i="6"/>
  <c r="U108" i="6"/>
  <c r="M108" i="6"/>
  <c r="BH107" i="6"/>
  <c r="AZ107" i="6"/>
  <c r="AR107" i="6"/>
  <c r="AJ107" i="6"/>
  <c r="AB107" i="6"/>
  <c r="T107" i="6"/>
  <c r="L107" i="6"/>
  <c r="BG106" i="6"/>
  <c r="AY106" i="6"/>
  <c r="AQ106" i="6"/>
  <c r="AI106" i="6"/>
  <c r="AA106" i="6"/>
  <c r="S106" i="6"/>
  <c r="K106" i="6"/>
  <c r="BF105" i="6"/>
  <c r="AX105" i="6"/>
  <c r="AP105" i="6"/>
  <c r="AH105" i="6"/>
  <c r="Z105" i="6"/>
  <c r="R105" i="6"/>
  <c r="J105" i="6"/>
  <c r="BE104" i="6"/>
  <c r="AW104" i="6"/>
  <c r="AO104" i="6"/>
  <c r="AG104" i="6"/>
  <c r="Y104" i="6"/>
  <c r="Q104" i="6"/>
  <c r="I104" i="6"/>
  <c r="BD103" i="6"/>
  <c r="AV103" i="6"/>
  <c r="AN103" i="6"/>
  <c r="AF103" i="6"/>
  <c r="X103" i="6"/>
  <c r="P103" i="6"/>
  <c r="H103" i="6"/>
  <c r="BC102" i="6"/>
  <c r="AU102" i="6"/>
  <c r="AM102" i="6"/>
  <c r="AE102" i="6"/>
  <c r="W102" i="6"/>
  <c r="O102" i="6"/>
  <c r="BJ101" i="6"/>
  <c r="BB101" i="6"/>
  <c r="AT101" i="6"/>
  <c r="AL101" i="6"/>
  <c r="AD101" i="6"/>
  <c r="V101" i="6"/>
  <c r="N101" i="6"/>
  <c r="BI100" i="6"/>
  <c r="BA100" i="6"/>
  <c r="AS100" i="6"/>
  <c r="AK100" i="6"/>
  <c r="AC100" i="6"/>
  <c r="U100" i="6"/>
  <c r="M100" i="6"/>
  <c r="BH99" i="6"/>
  <c r="AZ99" i="6"/>
  <c r="AR99" i="6"/>
  <c r="AJ99" i="6"/>
  <c r="AB99" i="6"/>
  <c r="T99" i="6"/>
  <c r="L99" i="6"/>
  <c r="BG98" i="6"/>
  <c r="AY98" i="6"/>
  <c r="AQ98" i="6"/>
  <c r="AI98" i="6"/>
  <c r="AA98" i="6"/>
  <c r="S98" i="6"/>
  <c r="K98" i="6"/>
  <c r="BF97" i="6"/>
  <c r="AX97" i="6"/>
  <c r="AP97" i="6"/>
  <c r="AH97" i="6"/>
  <c r="Z97" i="6"/>
  <c r="R97" i="6"/>
  <c r="J97" i="6"/>
  <c r="BE96" i="6"/>
  <c r="AW96" i="6"/>
  <c r="AO96" i="6"/>
  <c r="AG96" i="6"/>
  <c r="Y96" i="6"/>
  <c r="Q96" i="6"/>
  <c r="I96" i="6"/>
  <c r="BD95" i="6"/>
  <c r="AV95" i="6"/>
  <c r="AN95" i="6"/>
  <c r="AF95" i="6"/>
  <c r="X95" i="6"/>
  <c r="P95" i="6"/>
  <c r="H95" i="6"/>
  <c r="BC94" i="6"/>
  <c r="AU94" i="6"/>
  <c r="AM94" i="6"/>
  <c r="AE94" i="6"/>
  <c r="W94" i="6"/>
  <c r="O94" i="6"/>
  <c r="BJ93" i="6"/>
  <c r="BB93" i="6"/>
  <c r="AT93" i="6"/>
  <c r="AL93" i="6"/>
  <c r="AD93" i="6"/>
  <c r="V93" i="6"/>
  <c r="N93" i="6"/>
  <c r="BI92" i="6"/>
  <c r="BA92" i="6"/>
  <c r="AS92" i="6"/>
  <c r="AK92" i="6"/>
  <c r="AC92" i="6"/>
  <c r="U92" i="6"/>
  <c r="M92" i="6"/>
  <c r="BH91" i="6"/>
  <c r="AZ91" i="6"/>
  <c r="AR91" i="6"/>
  <c r="AJ91" i="6"/>
  <c r="AB91" i="6"/>
  <c r="T91" i="6"/>
  <c r="L91" i="6"/>
  <c r="BG90" i="6"/>
  <c r="AY90" i="6"/>
  <c r="AQ90" i="6"/>
  <c r="AI90" i="6"/>
  <c r="AA90" i="6"/>
  <c r="S90" i="6"/>
  <c r="K90" i="6"/>
  <c r="BF89" i="6"/>
  <c r="AX89" i="6"/>
  <c r="AP89" i="6"/>
  <c r="AH89" i="6"/>
  <c r="Z89" i="6"/>
  <c r="R89" i="6"/>
  <c r="J89" i="6"/>
  <c r="BE88" i="6"/>
  <c r="AW88" i="6"/>
  <c r="AO88" i="6"/>
  <c r="AG88" i="6"/>
  <c r="Y88" i="6"/>
  <c r="Q88" i="6"/>
  <c r="I88" i="6"/>
  <c r="BD87" i="6"/>
  <c r="AV87" i="6"/>
  <c r="AN87" i="6"/>
  <c r="AF87" i="6"/>
  <c r="X87" i="6"/>
  <c r="P87" i="6"/>
  <c r="H87" i="6"/>
  <c r="BC86" i="6"/>
  <c r="AU86" i="6"/>
  <c r="AM86" i="6"/>
  <c r="AE86" i="6"/>
  <c r="W86" i="6"/>
  <c r="O86" i="6"/>
  <c r="BJ85" i="6"/>
  <c r="BB85" i="6"/>
  <c r="AT85" i="6"/>
  <c r="AL85" i="6"/>
  <c r="AD85" i="6"/>
  <c r="V85" i="6"/>
  <c r="N85" i="6"/>
  <c r="BI84" i="6"/>
  <c r="BA84" i="6"/>
  <c r="AS84" i="6"/>
  <c r="AK84" i="6"/>
  <c r="AC84" i="6"/>
  <c r="U84" i="6"/>
  <c r="M84" i="6"/>
  <c r="BH83" i="6"/>
  <c r="AZ83" i="6"/>
  <c r="AR83" i="6"/>
  <c r="AJ83" i="6"/>
  <c r="AB83" i="6"/>
  <c r="T83" i="6"/>
  <c r="L83" i="6"/>
  <c r="BG82" i="6"/>
  <c r="AY82" i="6"/>
  <c r="AQ82" i="6"/>
  <c r="AI82" i="6"/>
  <c r="AA82" i="6"/>
  <c r="S82" i="6"/>
  <c r="K82" i="6"/>
  <c r="BF81" i="6"/>
  <c r="AX81" i="6"/>
  <c r="AP81" i="6"/>
  <c r="AH81" i="6"/>
  <c r="Z81" i="6"/>
  <c r="R81" i="6"/>
  <c r="J81" i="6"/>
  <c r="BE80" i="6"/>
  <c r="AW80" i="6"/>
  <c r="AO80" i="6"/>
  <c r="AG80" i="6"/>
  <c r="Y80" i="6"/>
  <c r="Q80" i="6"/>
  <c r="I80" i="6"/>
  <c r="BD79" i="6"/>
  <c r="AV79" i="6"/>
  <c r="AN79" i="6"/>
  <c r="AF79" i="6"/>
  <c r="X79" i="6"/>
  <c r="P79" i="6"/>
  <c r="H79" i="6"/>
  <c r="BC78" i="6"/>
  <c r="AU78" i="6"/>
  <c r="AM78" i="6"/>
  <c r="AE78" i="6"/>
  <c r="W78" i="6"/>
  <c r="O78" i="6"/>
  <c r="BJ77" i="6"/>
  <c r="BB77" i="6"/>
  <c r="AV77" i="6"/>
  <c r="AR77" i="6"/>
  <c r="AN77" i="6"/>
  <c r="AJ77" i="6"/>
  <c r="AF77" i="6"/>
  <c r="AB77" i="6"/>
  <c r="X77" i="6"/>
  <c r="T77" i="6"/>
  <c r="P77" i="6"/>
  <c r="L77" i="6"/>
  <c r="H77" i="6"/>
  <c r="BG76" i="6"/>
  <c r="BC76" i="6"/>
  <c r="AY76" i="6"/>
  <c r="AU76" i="6"/>
  <c r="AQ76" i="6"/>
  <c r="AM76" i="6"/>
  <c r="AI76" i="6"/>
  <c r="AE76" i="6"/>
  <c r="AA76" i="6"/>
  <c r="W76" i="6"/>
  <c r="S76" i="6"/>
  <c r="O76" i="6"/>
  <c r="K76" i="6"/>
  <c r="BJ75" i="6"/>
  <c r="BF75" i="6"/>
  <c r="BB75" i="6"/>
  <c r="AX75" i="6"/>
  <c r="AT75" i="6"/>
  <c r="AP75" i="6"/>
  <c r="AL75" i="6"/>
  <c r="AH75" i="6"/>
  <c r="AD75" i="6"/>
  <c r="Z75" i="6"/>
  <c r="V75" i="6"/>
  <c r="R75" i="6"/>
  <c r="N75" i="6"/>
  <c r="J75" i="6"/>
  <c r="BI74" i="6"/>
  <c r="BE74" i="6"/>
  <c r="BA74" i="6"/>
  <c r="AW74" i="6"/>
  <c r="AS74" i="6"/>
  <c r="AO74" i="6"/>
  <c r="AK74" i="6"/>
  <c r="AG74" i="6"/>
  <c r="AC74" i="6"/>
  <c r="Y74" i="6"/>
  <c r="U74" i="6"/>
  <c r="Q74" i="6"/>
  <c r="M74" i="6"/>
  <c r="I74" i="6"/>
  <c r="BH73" i="6"/>
  <c r="BD73" i="6"/>
  <c r="AZ73" i="6"/>
  <c r="AV73" i="6"/>
  <c r="AR73" i="6"/>
  <c r="AN73" i="6"/>
  <c r="AJ73" i="6"/>
  <c r="AF73" i="6"/>
  <c r="AB73" i="6"/>
  <c r="X73" i="6"/>
  <c r="T73" i="6"/>
  <c r="P73" i="6"/>
  <c r="L73" i="6"/>
  <c r="H73" i="6"/>
  <c r="BG72" i="6"/>
  <c r="BC72" i="6"/>
  <c r="AY72" i="6"/>
  <c r="AU72" i="6"/>
  <c r="AQ72" i="6"/>
  <c r="AM72" i="6"/>
  <c r="AI72" i="6"/>
  <c r="AE72" i="6"/>
  <c r="AA72" i="6"/>
  <c r="W72" i="6"/>
  <c r="S72" i="6"/>
  <c r="O72" i="6"/>
  <c r="K72" i="6"/>
  <c r="BJ71" i="6"/>
  <c r="BF71" i="6"/>
  <c r="BB71" i="6"/>
  <c r="AX71" i="6"/>
  <c r="AT71" i="6"/>
  <c r="AP71" i="6"/>
  <c r="AL71" i="6"/>
  <c r="AH71" i="6"/>
  <c r="AD71" i="6"/>
  <c r="I117" i="6"/>
  <c r="AF116" i="6"/>
  <c r="N116" i="6"/>
  <c r="BA115" i="6"/>
  <c r="AK115" i="6"/>
  <c r="U115" i="6"/>
  <c r="BH114" i="6"/>
  <c r="AR114" i="6"/>
  <c r="AB114" i="6"/>
  <c r="L114" i="6"/>
  <c r="AY113" i="6"/>
  <c r="AI113" i="6"/>
  <c r="S113" i="6"/>
  <c r="BG112" i="6"/>
  <c r="AY112" i="6"/>
  <c r="AQ112" i="6"/>
  <c r="AI112" i="6"/>
  <c r="AA112" i="6"/>
  <c r="S112" i="6"/>
  <c r="K112" i="6"/>
  <c r="BF111" i="6"/>
  <c r="AX111" i="6"/>
  <c r="AP111" i="6"/>
  <c r="AH111" i="6"/>
  <c r="Z111" i="6"/>
  <c r="R111" i="6"/>
  <c r="J111" i="6"/>
  <c r="BE110" i="6"/>
  <c r="AW110" i="6"/>
  <c r="AO110" i="6"/>
  <c r="AG110" i="6"/>
  <c r="Y110" i="6"/>
  <c r="Q110" i="6"/>
  <c r="I110" i="6"/>
  <c r="BD109" i="6"/>
  <c r="AV109" i="6"/>
  <c r="AN109" i="6"/>
  <c r="AF109" i="6"/>
  <c r="X109" i="6"/>
  <c r="P109" i="6"/>
  <c r="H109" i="6"/>
  <c r="BC108" i="6"/>
  <c r="AU108" i="6"/>
  <c r="AM108" i="6"/>
  <c r="AE108" i="6"/>
  <c r="W108" i="6"/>
  <c r="O108" i="6"/>
  <c r="BJ107" i="6"/>
  <c r="BB107" i="6"/>
  <c r="AT107" i="6"/>
  <c r="AL107" i="6"/>
  <c r="AD107" i="6"/>
  <c r="V107" i="6"/>
  <c r="N107" i="6"/>
  <c r="BI106" i="6"/>
  <c r="BA106" i="6"/>
  <c r="AS106" i="6"/>
  <c r="AK106" i="6"/>
  <c r="AC106" i="6"/>
  <c r="U106" i="6"/>
  <c r="M106" i="6"/>
  <c r="BH105" i="6"/>
  <c r="AZ105" i="6"/>
  <c r="AR105" i="6"/>
  <c r="AJ105" i="6"/>
  <c r="AB105" i="6"/>
  <c r="T105" i="6"/>
  <c r="L105" i="6"/>
  <c r="BG104" i="6"/>
  <c r="AY104" i="6"/>
  <c r="AQ104" i="6"/>
  <c r="AI104" i="6"/>
  <c r="AA104" i="6"/>
  <c r="S104" i="6"/>
  <c r="K104" i="6"/>
  <c r="BF103" i="6"/>
  <c r="AX103" i="6"/>
  <c r="AP103" i="6"/>
  <c r="AH103" i="6"/>
  <c r="Z103" i="6"/>
  <c r="R103" i="6"/>
  <c r="J103" i="6"/>
  <c r="BE102" i="6"/>
  <c r="AW102" i="6"/>
  <c r="AO102" i="6"/>
  <c r="AG102" i="6"/>
  <c r="Y102" i="6"/>
  <c r="Q102" i="6"/>
  <c r="I102" i="6"/>
  <c r="BD101" i="6"/>
  <c r="AV101" i="6"/>
  <c r="AN101" i="6"/>
  <c r="AF101" i="6"/>
  <c r="X101" i="6"/>
  <c r="P101" i="6"/>
  <c r="H101" i="6"/>
  <c r="BC100" i="6"/>
  <c r="AU100" i="6"/>
  <c r="AM100" i="6"/>
  <c r="AE100" i="6"/>
  <c r="W100" i="6"/>
  <c r="O100" i="6"/>
  <c r="BJ99" i="6"/>
  <c r="BB99" i="6"/>
  <c r="AT99" i="6"/>
  <c r="AL99" i="6"/>
  <c r="AD99" i="6"/>
  <c r="V99" i="6"/>
  <c r="N99" i="6"/>
  <c r="BI98" i="6"/>
  <c r="BA98" i="6"/>
  <c r="AS98" i="6"/>
  <c r="AK98" i="6"/>
  <c r="AC98" i="6"/>
  <c r="U98" i="6"/>
  <c r="M98" i="6"/>
  <c r="BH97" i="6"/>
  <c r="AZ97" i="6"/>
  <c r="AR97" i="6"/>
  <c r="AJ97" i="6"/>
  <c r="AB97" i="6"/>
  <c r="T97" i="6"/>
  <c r="L97" i="6"/>
  <c r="BG96" i="6"/>
  <c r="AY96" i="6"/>
  <c r="AQ96" i="6"/>
  <c r="AI96" i="6"/>
  <c r="AA96" i="6"/>
  <c r="S96" i="6"/>
  <c r="K96" i="6"/>
  <c r="BF95" i="6"/>
  <c r="AX95" i="6"/>
  <c r="AP95" i="6"/>
  <c r="AH95" i="6"/>
  <c r="Z95" i="6"/>
  <c r="R95" i="6"/>
  <c r="J95" i="6"/>
  <c r="BE94" i="6"/>
  <c r="AW94" i="6"/>
  <c r="AO94" i="6"/>
  <c r="AG94" i="6"/>
  <c r="Y94" i="6"/>
  <c r="Q94" i="6"/>
  <c r="I94" i="6"/>
  <c r="BD93" i="6"/>
  <c r="AV93" i="6"/>
  <c r="AN93" i="6"/>
  <c r="AF93" i="6"/>
  <c r="X93" i="6"/>
  <c r="P93" i="6"/>
  <c r="H93" i="6"/>
  <c r="BC92" i="6"/>
  <c r="AU92" i="6"/>
  <c r="AM92" i="6"/>
  <c r="AE92" i="6"/>
  <c r="W92" i="6"/>
  <c r="O92" i="6"/>
  <c r="BJ91" i="6"/>
  <c r="BB91" i="6"/>
  <c r="AT91" i="6"/>
  <c r="AL91" i="6"/>
  <c r="AD91" i="6"/>
  <c r="V91" i="6"/>
  <c r="N91" i="6"/>
  <c r="BI90" i="6"/>
  <c r="BA90" i="6"/>
  <c r="AS90" i="6"/>
  <c r="AK90" i="6"/>
  <c r="AC90" i="6"/>
  <c r="U90" i="6"/>
  <c r="M90" i="6"/>
  <c r="BH89" i="6"/>
  <c r="AZ89" i="6"/>
  <c r="AR89" i="6"/>
  <c r="AJ89" i="6"/>
  <c r="AB89" i="6"/>
  <c r="T89" i="6"/>
  <c r="L89" i="6"/>
  <c r="BG88" i="6"/>
  <c r="AY88" i="6"/>
  <c r="AQ88" i="6"/>
  <c r="AI88" i="6"/>
  <c r="AA88" i="6"/>
  <c r="S88" i="6"/>
  <c r="K88" i="6"/>
  <c r="BF87" i="6"/>
  <c r="AX87" i="6"/>
  <c r="AP87" i="6"/>
  <c r="AH87" i="6"/>
  <c r="Z87" i="6"/>
  <c r="R87" i="6"/>
  <c r="J87" i="6"/>
  <c r="BE86" i="6"/>
  <c r="AW86" i="6"/>
  <c r="AO86" i="6"/>
  <c r="AG86" i="6"/>
  <c r="Y86" i="6"/>
  <c r="Q86" i="6"/>
  <c r="I86" i="6"/>
  <c r="BD85" i="6"/>
  <c r="AV85" i="6"/>
  <c r="AN85" i="6"/>
  <c r="AF85" i="6"/>
  <c r="X85" i="6"/>
  <c r="P85" i="6"/>
  <c r="H85" i="6"/>
  <c r="BC84" i="6"/>
  <c r="AU84" i="6"/>
  <c r="AM84" i="6"/>
  <c r="AE84" i="6"/>
  <c r="W84" i="6"/>
  <c r="O84" i="6"/>
  <c r="BJ83" i="6"/>
  <c r="BB83" i="6"/>
  <c r="AT83" i="6"/>
  <c r="AL83" i="6"/>
  <c r="AD83" i="6"/>
  <c r="V83" i="6"/>
  <c r="N83" i="6"/>
  <c r="BI82" i="6"/>
  <c r="BA82" i="6"/>
  <c r="AS82" i="6"/>
  <c r="AK82" i="6"/>
  <c r="AC82" i="6"/>
  <c r="U82" i="6"/>
  <c r="M82" i="6"/>
  <c r="BH81" i="6"/>
  <c r="AZ81" i="6"/>
  <c r="AR81" i="6"/>
  <c r="AJ81" i="6"/>
  <c r="AB81" i="6"/>
  <c r="T81" i="6"/>
  <c r="L81" i="6"/>
  <c r="BG80" i="6"/>
  <c r="AY80" i="6"/>
  <c r="AQ80" i="6"/>
  <c r="AI80" i="6"/>
  <c r="AA80" i="6"/>
  <c r="S80" i="6"/>
  <c r="K80" i="6"/>
  <c r="BF79" i="6"/>
  <c r="AX79" i="6"/>
  <c r="AP79" i="6"/>
  <c r="AH79" i="6"/>
  <c r="Z79" i="6"/>
  <c r="R79" i="6"/>
  <c r="J79" i="6"/>
  <c r="BE78" i="6"/>
  <c r="AW78" i="6"/>
  <c r="AO78" i="6"/>
  <c r="AG78" i="6"/>
  <c r="Y78" i="6"/>
  <c r="Q78" i="6"/>
  <c r="I78" i="6"/>
  <c r="BD77" i="6"/>
  <c r="AW77" i="6"/>
  <c r="AO77" i="6"/>
  <c r="AG77" i="6"/>
  <c r="Y77" i="6"/>
  <c r="Q77" i="6"/>
  <c r="I77" i="6"/>
  <c r="BD76" i="6"/>
  <c r="AV76" i="6"/>
  <c r="AN76" i="6"/>
  <c r="AF76" i="6"/>
  <c r="X76" i="6"/>
  <c r="P76" i="6"/>
  <c r="H76" i="6"/>
  <c r="BC75" i="6"/>
  <c r="AU75" i="6"/>
  <c r="AM75" i="6"/>
  <c r="AE75" i="6"/>
  <c r="W75" i="6"/>
  <c r="O75" i="6"/>
  <c r="BJ74" i="6"/>
  <c r="BB74" i="6"/>
  <c r="AT74" i="6"/>
  <c r="AL74" i="6"/>
  <c r="AD74" i="6"/>
  <c r="V74" i="6"/>
  <c r="N74" i="6"/>
  <c r="BI73" i="6"/>
  <c r="BA73" i="6"/>
  <c r="AS73" i="6"/>
  <c r="AK73" i="6"/>
  <c r="AC73" i="6"/>
  <c r="U73" i="6"/>
  <c r="M73" i="6"/>
  <c r="BH72" i="6"/>
  <c r="AZ72" i="6"/>
  <c r="AR72" i="6"/>
  <c r="AJ72" i="6"/>
  <c r="AB72" i="6"/>
  <c r="T72" i="6"/>
  <c r="L72" i="6"/>
  <c r="BG71" i="6"/>
  <c r="AY71" i="6"/>
  <c r="AQ71" i="6"/>
  <c r="AI71" i="6"/>
  <c r="AB71" i="6"/>
  <c r="X71" i="6"/>
  <c r="T71" i="6"/>
  <c r="P71" i="6"/>
  <c r="L71" i="6"/>
  <c r="H71" i="6"/>
  <c r="BG70" i="6"/>
  <c r="BC70" i="6"/>
  <c r="AY70" i="6"/>
  <c r="AU70" i="6"/>
  <c r="AQ70" i="6"/>
  <c r="AM70" i="6"/>
  <c r="AI70" i="6"/>
  <c r="AE70" i="6"/>
  <c r="AA70" i="6"/>
  <c r="W70" i="6"/>
  <c r="S70" i="6"/>
  <c r="O70" i="6"/>
  <c r="K70" i="6"/>
  <c r="BJ69" i="6"/>
  <c r="BF69" i="6"/>
  <c r="BB69" i="6"/>
  <c r="AX69" i="6"/>
  <c r="AT69" i="6"/>
  <c r="AP69" i="6"/>
  <c r="AL69" i="6"/>
  <c r="AH69" i="6"/>
  <c r="AD69" i="6"/>
  <c r="Z69" i="6"/>
  <c r="V69" i="6"/>
  <c r="R69" i="6"/>
  <c r="N69" i="6"/>
  <c r="J69" i="6"/>
  <c r="BI68" i="6"/>
  <c r="BE68" i="6"/>
  <c r="BA68" i="6"/>
  <c r="AW68" i="6"/>
  <c r="AS68" i="6"/>
  <c r="AO68" i="6"/>
  <c r="AK68" i="6"/>
  <c r="AG68" i="6"/>
  <c r="AC68" i="6"/>
  <c r="Y68" i="6"/>
  <c r="U68" i="6"/>
  <c r="Q68" i="6"/>
  <c r="M68" i="6"/>
  <c r="I68" i="6"/>
  <c r="BH67" i="6"/>
  <c r="BD67" i="6"/>
  <c r="AZ67" i="6"/>
  <c r="AV67" i="6"/>
  <c r="AR67" i="6"/>
  <c r="AN67" i="6"/>
  <c r="AJ67" i="6"/>
  <c r="AF67" i="6"/>
  <c r="AB67" i="6"/>
  <c r="X67" i="6"/>
  <c r="T67" i="6"/>
  <c r="P67" i="6"/>
  <c r="L67" i="6"/>
  <c r="H67" i="6"/>
  <c r="BG66" i="6"/>
  <c r="BC66" i="6"/>
  <c r="AY66" i="6"/>
  <c r="AU66" i="6"/>
  <c r="AQ66" i="6"/>
  <c r="AM66" i="6"/>
  <c r="AI66" i="6"/>
  <c r="AE66" i="6"/>
  <c r="AA66" i="6"/>
  <c r="W66" i="6"/>
  <c r="S66" i="6"/>
  <c r="O66" i="6"/>
  <c r="K66" i="6"/>
  <c r="BJ65" i="6"/>
  <c r="BF65" i="6"/>
  <c r="BB65" i="6"/>
  <c r="AX65" i="6"/>
  <c r="AT65" i="6"/>
  <c r="AP65" i="6"/>
  <c r="AL65" i="6"/>
  <c r="AH65" i="6"/>
  <c r="AD65" i="6"/>
  <c r="Z65" i="6"/>
  <c r="V65" i="6"/>
  <c r="R65" i="6"/>
  <c r="N65" i="6"/>
  <c r="J65" i="6"/>
  <c r="BI64" i="6"/>
  <c r="BE64" i="6"/>
  <c r="BA64" i="6"/>
  <c r="AW64" i="6"/>
  <c r="AS64" i="6"/>
  <c r="AO64" i="6"/>
  <c r="AK64" i="6"/>
  <c r="AG64" i="6"/>
  <c r="AC64" i="6"/>
  <c r="Y64" i="6"/>
  <c r="U64" i="6"/>
  <c r="Q64" i="6"/>
  <c r="M64" i="6"/>
  <c r="I64" i="6"/>
  <c r="BH63" i="6"/>
  <c r="BD63" i="6"/>
  <c r="AZ63" i="6"/>
  <c r="AV63" i="6"/>
  <c r="AR63" i="6"/>
  <c r="AN63" i="6"/>
  <c r="AJ63" i="6"/>
  <c r="AF63" i="6"/>
  <c r="AB63" i="6"/>
  <c r="X63" i="6"/>
  <c r="T63" i="6"/>
  <c r="P63" i="6"/>
  <c r="L63" i="6"/>
  <c r="H63" i="6"/>
  <c r="BG62" i="6"/>
  <c r="BC62" i="6"/>
  <c r="AY62" i="6"/>
  <c r="AU62" i="6"/>
  <c r="AQ62" i="6"/>
  <c r="AM62" i="6"/>
  <c r="AI62" i="6"/>
  <c r="AE62" i="6"/>
  <c r="AA62" i="6"/>
  <c r="W62" i="6"/>
  <c r="S62" i="6"/>
  <c r="O62" i="6"/>
  <c r="K62" i="6"/>
  <c r="BJ61" i="6"/>
  <c r="BF61" i="6"/>
  <c r="BB61" i="6"/>
  <c r="AX61" i="6"/>
  <c r="AT61" i="6"/>
  <c r="AP61" i="6"/>
  <c r="AL61" i="6"/>
  <c r="AH61" i="6"/>
  <c r="AD61" i="6"/>
  <c r="Z61" i="6"/>
  <c r="V61" i="6"/>
  <c r="R61" i="6"/>
  <c r="N61" i="6"/>
  <c r="J61" i="6"/>
  <c r="BI60" i="6"/>
  <c r="BE60" i="6"/>
  <c r="BA60" i="6"/>
  <c r="AW60" i="6"/>
  <c r="AS60" i="6"/>
  <c r="AO60" i="6"/>
  <c r="AK60" i="6"/>
  <c r="AG60" i="6"/>
  <c r="AC60" i="6"/>
  <c r="Y60" i="6"/>
  <c r="U60" i="6"/>
  <c r="Q60" i="6"/>
  <c r="M60" i="6"/>
  <c r="I60" i="6"/>
  <c r="BH59" i="6"/>
  <c r="BD59" i="6"/>
  <c r="AZ59" i="6"/>
  <c r="AV59" i="6"/>
  <c r="AR59" i="6"/>
  <c r="AN59" i="6"/>
  <c r="AJ59" i="6"/>
  <c r="AF59" i="6"/>
  <c r="AB59" i="6"/>
  <c r="X59" i="6"/>
  <c r="T59" i="6"/>
  <c r="P59" i="6"/>
  <c r="L59" i="6"/>
  <c r="H59" i="6"/>
  <c r="BG58" i="6"/>
  <c r="BC58" i="6"/>
  <c r="AY58" i="6"/>
  <c r="AU58" i="6"/>
  <c r="AQ58" i="6"/>
  <c r="AM58" i="6"/>
  <c r="AI58" i="6"/>
  <c r="AE58" i="6"/>
  <c r="AA58" i="6"/>
  <c r="W58" i="6"/>
  <c r="S58" i="6"/>
  <c r="O58" i="6"/>
  <c r="K58" i="6"/>
  <c r="BJ57" i="6"/>
  <c r="BF57" i="6"/>
  <c r="BB57" i="6"/>
  <c r="AX57" i="6"/>
  <c r="AT57" i="6"/>
  <c r="AP57" i="6"/>
  <c r="AL57" i="6"/>
  <c r="AH57" i="6"/>
  <c r="AD57" i="6"/>
  <c r="Z57" i="6"/>
  <c r="V57" i="6"/>
  <c r="R57" i="6"/>
  <c r="N57" i="6"/>
  <c r="J57" i="6"/>
  <c r="BI56" i="6"/>
  <c r="BE56" i="6"/>
  <c r="BA56" i="6"/>
  <c r="AW56" i="6"/>
  <c r="AS56" i="6"/>
  <c r="AO56" i="6"/>
  <c r="AK56" i="6"/>
  <c r="AG56" i="6"/>
  <c r="AC56" i="6"/>
  <c r="Y56" i="6"/>
  <c r="U56" i="6"/>
  <c r="Q56" i="6"/>
  <c r="M56" i="6"/>
  <c r="I56" i="6"/>
  <c r="BH55" i="6"/>
  <c r="BD55" i="6"/>
  <c r="AZ55" i="6"/>
  <c r="AV55" i="6"/>
  <c r="AR55" i="6"/>
  <c r="AN55" i="6"/>
  <c r="AJ55" i="6"/>
  <c r="AF55" i="6"/>
  <c r="AB55" i="6"/>
  <c r="X55" i="6"/>
  <c r="T55" i="6"/>
  <c r="P55" i="6"/>
  <c r="L55" i="6"/>
  <c r="H55" i="6"/>
  <c r="BG54" i="6"/>
  <c r="BC54" i="6"/>
  <c r="AY54" i="6"/>
  <c r="AU54" i="6"/>
  <c r="AQ54" i="6"/>
  <c r="AM54" i="6"/>
  <c r="AI54" i="6"/>
  <c r="AE54" i="6"/>
  <c r="AA54" i="6"/>
  <c r="W54" i="6"/>
  <c r="S54" i="6"/>
  <c r="O54" i="6"/>
  <c r="K54" i="6"/>
  <c r="BJ53" i="6"/>
  <c r="BF53" i="6"/>
  <c r="BB53" i="6"/>
  <c r="AX53" i="6"/>
  <c r="AT53" i="6"/>
  <c r="AP53" i="6"/>
  <c r="AL53" i="6"/>
  <c r="AH53" i="6"/>
  <c r="AD53" i="6"/>
  <c r="Z53" i="6"/>
  <c r="V53" i="6"/>
  <c r="R53" i="6"/>
  <c r="N53" i="6"/>
  <c r="J53" i="6"/>
  <c r="BI52" i="6"/>
  <c r="BE52" i="6"/>
  <c r="BA52" i="6"/>
  <c r="AW52" i="6"/>
  <c r="AS52" i="6"/>
  <c r="AO52" i="6"/>
  <c r="AK52" i="6"/>
  <c r="AG52" i="6"/>
  <c r="AC52" i="6"/>
  <c r="Y52" i="6"/>
  <c r="U52" i="6"/>
  <c r="Q52" i="6"/>
  <c r="M52" i="6"/>
  <c r="I52" i="6"/>
  <c r="BH51" i="6"/>
  <c r="BD51" i="6"/>
  <c r="AZ51" i="6"/>
  <c r="AV51" i="6"/>
  <c r="AR51" i="6"/>
  <c r="AN51" i="6"/>
  <c r="AJ51" i="6"/>
  <c r="AF51" i="6"/>
  <c r="AB51" i="6"/>
  <c r="X51" i="6"/>
  <c r="T51" i="6"/>
  <c r="P51" i="6"/>
  <c r="L51" i="6"/>
  <c r="H51" i="6"/>
  <c r="BG50" i="6"/>
  <c r="BC50" i="6"/>
  <c r="AY50" i="6"/>
  <c r="AU50" i="6"/>
  <c r="AQ50" i="6"/>
  <c r="AM50" i="6"/>
  <c r="AI50" i="6"/>
  <c r="AE50" i="6"/>
  <c r="AA50" i="6"/>
  <c r="W50" i="6"/>
  <c r="S50" i="6"/>
  <c r="O50" i="6"/>
  <c r="M54" i="6"/>
  <c r="BH53" i="6"/>
  <c r="AZ53" i="6"/>
  <c r="AR53" i="6"/>
  <c r="AJ53" i="6"/>
  <c r="AB53" i="6"/>
  <c r="T53" i="6"/>
  <c r="L53" i="6"/>
  <c r="BG52" i="6"/>
  <c r="AY52" i="6"/>
  <c r="AQ52" i="6"/>
  <c r="AI52" i="6"/>
  <c r="AA52" i="6"/>
  <c r="S52" i="6"/>
  <c r="K52" i="6"/>
  <c r="BF51" i="6"/>
  <c r="AX51" i="6"/>
  <c r="AP51" i="6"/>
  <c r="AH51" i="6"/>
  <c r="Z51" i="6"/>
  <c r="R51" i="6"/>
  <c r="J51" i="6"/>
  <c r="BE50" i="6"/>
  <c r="AW50" i="6"/>
  <c r="AO50" i="6"/>
  <c r="AG50" i="6"/>
  <c r="Y50" i="6"/>
  <c r="Q50" i="6"/>
  <c r="K50" i="6"/>
  <c r="BJ49" i="6"/>
  <c r="BF49" i="6"/>
  <c r="BB49" i="6"/>
  <c r="AX49" i="6"/>
  <c r="AT49" i="6"/>
  <c r="AP49" i="6"/>
  <c r="AL49" i="6"/>
  <c r="AH49" i="6"/>
  <c r="AD49" i="6"/>
  <c r="Z49" i="6"/>
  <c r="V49" i="6"/>
  <c r="R49" i="6"/>
  <c r="N49" i="6"/>
  <c r="J49" i="6"/>
  <c r="BI48" i="6"/>
  <c r="BE48" i="6"/>
  <c r="BA48" i="6"/>
  <c r="AW48" i="6"/>
  <c r="AS48" i="6"/>
  <c r="AO48" i="6"/>
  <c r="AK48" i="6"/>
  <c r="AG48" i="6"/>
  <c r="AC48" i="6"/>
  <c r="Y48" i="6"/>
  <c r="U48" i="6"/>
  <c r="Q48" i="6"/>
  <c r="M48" i="6"/>
  <c r="I48" i="6"/>
  <c r="BH47" i="6"/>
  <c r="BD47" i="6"/>
  <c r="AZ47" i="6"/>
  <c r="AV47" i="6"/>
  <c r="AR47" i="6"/>
  <c r="AN47" i="6"/>
  <c r="AJ47" i="6"/>
  <c r="AF47" i="6"/>
  <c r="AB47" i="6"/>
  <c r="X47" i="6"/>
  <c r="T47" i="6"/>
  <c r="P47" i="6"/>
  <c r="L47" i="6"/>
  <c r="H47" i="6"/>
  <c r="BG46" i="6"/>
  <c r="BC46" i="6"/>
  <c r="AY46" i="6"/>
  <c r="AU46" i="6"/>
  <c r="AQ46" i="6"/>
  <c r="AM46" i="6"/>
  <c r="AI46" i="6"/>
  <c r="AE46" i="6"/>
  <c r="AA46" i="6"/>
  <c r="W46" i="6"/>
  <c r="S46" i="6"/>
  <c r="O46" i="6"/>
  <c r="K46" i="6"/>
  <c r="BJ45" i="6"/>
  <c r="BF45" i="6"/>
  <c r="BB45" i="6"/>
  <c r="AX45" i="6"/>
  <c r="AT45" i="6"/>
  <c r="AP45" i="6"/>
  <c r="AL45" i="6"/>
  <c r="AH45" i="6"/>
  <c r="AD45" i="6"/>
  <c r="Z45" i="6"/>
  <c r="V45" i="6"/>
  <c r="R45" i="6"/>
  <c r="N45" i="6"/>
  <c r="J45" i="6"/>
  <c r="BI44" i="6"/>
  <c r="BE44" i="6"/>
  <c r="BA44" i="6"/>
  <c r="AW44" i="6"/>
  <c r="AS44" i="6"/>
  <c r="AO44" i="6"/>
  <c r="AK44" i="6"/>
  <c r="AG44" i="6"/>
  <c r="AC44" i="6"/>
  <c r="Y44" i="6"/>
  <c r="U44" i="6"/>
  <c r="Q44" i="6"/>
  <c r="M44" i="6"/>
  <c r="I44" i="6"/>
  <c r="BH43" i="6"/>
  <c r="BD43" i="6"/>
  <c r="AZ43" i="6"/>
  <c r="AV43" i="6"/>
  <c r="AR43" i="6"/>
  <c r="AN43" i="6"/>
  <c r="AJ43" i="6"/>
  <c r="AF43" i="6"/>
  <c r="AB43" i="6"/>
  <c r="X43" i="6"/>
  <c r="T43" i="6"/>
  <c r="P43" i="6"/>
  <c r="L43" i="6"/>
  <c r="H43" i="6"/>
  <c r="BG42" i="6"/>
  <c r="BC42" i="6"/>
  <c r="AY42" i="6"/>
  <c r="AU42" i="6"/>
  <c r="AQ42" i="6"/>
  <c r="AM42" i="6"/>
  <c r="AI42" i="6"/>
  <c r="AE42" i="6"/>
  <c r="AA42" i="6"/>
  <c r="W42" i="6"/>
  <c r="S42" i="6"/>
  <c r="O42" i="6"/>
  <c r="K42" i="6"/>
  <c r="BJ41" i="6"/>
  <c r="BF41" i="6"/>
  <c r="BB41" i="6"/>
  <c r="AX41" i="6"/>
  <c r="AT41" i="6"/>
  <c r="AP41" i="6"/>
  <c r="AL41" i="6"/>
  <c r="AH41" i="6"/>
  <c r="AD41" i="6"/>
  <c r="Z41" i="6"/>
  <c r="V41" i="6"/>
  <c r="R41" i="6"/>
  <c r="N41" i="6"/>
  <c r="J41" i="6"/>
  <c r="BI40" i="6"/>
  <c r="BE40" i="6"/>
  <c r="BA40" i="6"/>
  <c r="AW40" i="6"/>
  <c r="AS40" i="6"/>
  <c r="AO40" i="6"/>
  <c r="AK40" i="6"/>
  <c r="AG40" i="6"/>
  <c r="AC40" i="6"/>
  <c r="Y40" i="6"/>
  <c r="U40" i="6"/>
  <c r="Q40" i="6"/>
  <c r="M40" i="6"/>
  <c r="I40" i="6"/>
  <c r="BH39" i="6"/>
  <c r="BD39" i="6"/>
  <c r="AZ39" i="6"/>
  <c r="AV39" i="6"/>
  <c r="AR39" i="6"/>
  <c r="AN39" i="6"/>
  <c r="AJ39" i="6"/>
  <c r="AF39" i="6"/>
  <c r="AB39" i="6"/>
  <c r="X39" i="6"/>
  <c r="T39" i="6"/>
  <c r="P39" i="6"/>
  <c r="L39" i="6"/>
  <c r="H39" i="6"/>
  <c r="BG38" i="6"/>
  <c r="BC38" i="6"/>
  <c r="AY38" i="6"/>
  <c r="AU38" i="6"/>
  <c r="AQ38" i="6"/>
  <c r="AM38" i="6"/>
  <c r="AI38" i="6"/>
  <c r="AE38" i="6"/>
  <c r="AA38" i="6"/>
  <c r="W38" i="6"/>
  <c r="S38" i="6"/>
  <c r="O38" i="6"/>
  <c r="K38" i="6"/>
  <c r="BJ37" i="6"/>
  <c r="BF37" i="6"/>
  <c r="BB37" i="6"/>
  <c r="AX37" i="6"/>
  <c r="AT37" i="6"/>
  <c r="AP37" i="6"/>
  <c r="AL37" i="6"/>
  <c r="AH37" i="6"/>
  <c r="AD37" i="6"/>
  <c r="Z37" i="6"/>
  <c r="V37" i="6"/>
  <c r="R37" i="6"/>
  <c r="N37" i="6"/>
  <c r="J37" i="6"/>
  <c r="BI36" i="6"/>
  <c r="BE36" i="6"/>
  <c r="BA36" i="6"/>
  <c r="AW36" i="6"/>
  <c r="AS36" i="6"/>
  <c r="AO36" i="6"/>
  <c r="AK36" i="6"/>
  <c r="AG36" i="6"/>
  <c r="AC36" i="6"/>
  <c r="Y36" i="6"/>
  <c r="U36" i="6"/>
  <c r="Q36" i="6"/>
  <c r="M36" i="6"/>
  <c r="I36" i="6"/>
  <c r="BH35" i="6"/>
  <c r="BD35" i="6"/>
  <c r="AZ35" i="6"/>
  <c r="AV35" i="6"/>
  <c r="AU77" i="6"/>
  <c r="AM77" i="6"/>
  <c r="AE77" i="6"/>
  <c r="W77" i="6"/>
  <c r="O77" i="6"/>
  <c r="BJ76" i="6"/>
  <c r="BB76" i="6"/>
  <c r="AT76" i="6"/>
  <c r="AL76" i="6"/>
  <c r="AD76" i="6"/>
  <c r="V76" i="6"/>
  <c r="N76" i="6"/>
  <c r="BI75" i="6"/>
  <c r="BA75" i="6"/>
  <c r="AS75" i="6"/>
  <c r="AK75" i="6"/>
  <c r="AC75" i="6"/>
  <c r="U75" i="6"/>
  <c r="M75" i="6"/>
  <c r="BH74" i="6"/>
  <c r="AZ74" i="6"/>
  <c r="AR74" i="6"/>
  <c r="AJ74" i="6"/>
  <c r="AB74" i="6"/>
  <c r="T74" i="6"/>
  <c r="L74" i="6"/>
  <c r="BG73" i="6"/>
  <c r="AY73" i="6"/>
  <c r="AQ73" i="6"/>
  <c r="AI73" i="6"/>
  <c r="AA73" i="6"/>
  <c r="S73" i="6"/>
  <c r="K73" i="6"/>
  <c r="BF72" i="6"/>
  <c r="AX72" i="6"/>
  <c r="AP72" i="6"/>
  <c r="AH72" i="6"/>
  <c r="Z72" i="6"/>
  <c r="R72" i="6"/>
  <c r="J72" i="6"/>
  <c r="BE71" i="6"/>
  <c r="AW71" i="6"/>
  <c r="AO71" i="6"/>
  <c r="AG71" i="6"/>
  <c r="AA71" i="6"/>
  <c r="W71" i="6"/>
  <c r="S71" i="6"/>
  <c r="O71" i="6"/>
  <c r="K71" i="6"/>
  <c r="BJ70" i="6"/>
  <c r="BF70" i="6"/>
  <c r="BB70" i="6"/>
  <c r="AX70" i="6"/>
  <c r="AT70" i="6"/>
  <c r="AP70" i="6"/>
  <c r="AL70" i="6"/>
  <c r="AH70" i="6"/>
  <c r="AD70" i="6"/>
  <c r="Z70" i="6"/>
  <c r="V70" i="6"/>
  <c r="R70" i="6"/>
  <c r="N70" i="6"/>
  <c r="J70" i="6"/>
  <c r="BI69" i="6"/>
  <c r="BE69" i="6"/>
  <c r="BA69" i="6"/>
  <c r="AW69" i="6"/>
  <c r="AS69" i="6"/>
  <c r="AO69" i="6"/>
  <c r="AK69" i="6"/>
  <c r="AG69" i="6"/>
  <c r="AC69" i="6"/>
  <c r="Y69" i="6"/>
  <c r="U69" i="6"/>
  <c r="Q69" i="6"/>
  <c r="M69" i="6"/>
  <c r="I69" i="6"/>
  <c r="BH68" i="6"/>
  <c r="BD68" i="6"/>
  <c r="AZ68" i="6"/>
  <c r="AV68" i="6"/>
  <c r="AR68" i="6"/>
  <c r="AN68" i="6"/>
  <c r="AJ68" i="6"/>
  <c r="AF68" i="6"/>
  <c r="AB68" i="6"/>
  <c r="X68" i="6"/>
  <c r="T68" i="6"/>
  <c r="P68" i="6"/>
  <c r="L68" i="6"/>
  <c r="H68" i="6"/>
  <c r="BG67" i="6"/>
  <c r="BC67" i="6"/>
  <c r="AY67" i="6"/>
  <c r="AU67" i="6"/>
  <c r="AQ67" i="6"/>
  <c r="AM67" i="6"/>
  <c r="AI67" i="6"/>
  <c r="AE67" i="6"/>
  <c r="AA67" i="6"/>
  <c r="W67" i="6"/>
  <c r="S67" i="6"/>
  <c r="O67" i="6"/>
  <c r="K67" i="6"/>
  <c r="BJ66" i="6"/>
  <c r="BF66" i="6"/>
  <c r="BB66" i="6"/>
  <c r="AX66" i="6"/>
  <c r="AT66" i="6"/>
  <c r="AP66" i="6"/>
  <c r="AL66" i="6"/>
  <c r="AH66" i="6"/>
  <c r="AD66" i="6"/>
  <c r="Z66" i="6"/>
  <c r="V66" i="6"/>
  <c r="R66" i="6"/>
  <c r="N66" i="6"/>
  <c r="J66" i="6"/>
  <c r="BI65" i="6"/>
  <c r="BE65" i="6"/>
  <c r="BA65" i="6"/>
  <c r="AW65" i="6"/>
  <c r="AS65" i="6"/>
  <c r="AO65" i="6"/>
  <c r="AK65" i="6"/>
  <c r="AG65" i="6"/>
  <c r="AC65" i="6"/>
  <c r="Y65" i="6"/>
  <c r="U65" i="6"/>
  <c r="Q65" i="6"/>
  <c r="M65" i="6"/>
  <c r="I65" i="6"/>
  <c r="BH64" i="6"/>
  <c r="BD64" i="6"/>
  <c r="AZ64" i="6"/>
  <c r="AV64" i="6"/>
  <c r="AR64" i="6"/>
  <c r="AN64" i="6"/>
  <c r="AJ64" i="6"/>
  <c r="AF64" i="6"/>
  <c r="AB64" i="6"/>
  <c r="X64" i="6"/>
  <c r="T64" i="6"/>
  <c r="P64" i="6"/>
  <c r="L64" i="6"/>
  <c r="H64" i="6"/>
  <c r="BG63" i="6"/>
  <c r="BC63" i="6"/>
  <c r="AY63" i="6"/>
  <c r="AU63" i="6"/>
  <c r="AQ63" i="6"/>
  <c r="AM63" i="6"/>
  <c r="AI63" i="6"/>
  <c r="AE63" i="6"/>
  <c r="AA63" i="6"/>
  <c r="W63" i="6"/>
  <c r="S63" i="6"/>
  <c r="O63" i="6"/>
  <c r="K63" i="6"/>
  <c r="BJ62" i="6"/>
  <c r="BF62" i="6"/>
  <c r="BB62" i="6"/>
  <c r="AX62" i="6"/>
  <c r="AT62" i="6"/>
  <c r="AP62" i="6"/>
  <c r="AL62" i="6"/>
  <c r="AH62" i="6"/>
  <c r="AD62" i="6"/>
  <c r="Z62" i="6"/>
  <c r="V62" i="6"/>
  <c r="R62" i="6"/>
  <c r="N62" i="6"/>
  <c r="J62" i="6"/>
  <c r="BI61" i="6"/>
  <c r="BE61" i="6"/>
  <c r="BA61" i="6"/>
  <c r="AW61" i="6"/>
  <c r="AS61" i="6"/>
  <c r="AO61" i="6"/>
  <c r="AK61" i="6"/>
  <c r="AG61" i="6"/>
  <c r="AC61" i="6"/>
  <c r="Y61" i="6"/>
  <c r="U61" i="6"/>
  <c r="Q61" i="6"/>
  <c r="M61" i="6"/>
  <c r="I61" i="6"/>
  <c r="BH60" i="6"/>
  <c r="BD60" i="6"/>
  <c r="AZ60" i="6"/>
  <c r="AV60" i="6"/>
  <c r="AR60" i="6"/>
  <c r="AN60" i="6"/>
  <c r="AJ60" i="6"/>
  <c r="AF60" i="6"/>
  <c r="AB60" i="6"/>
  <c r="X60" i="6"/>
  <c r="T60" i="6"/>
  <c r="P60" i="6"/>
  <c r="L60" i="6"/>
  <c r="H60" i="6"/>
  <c r="BG59" i="6"/>
  <c r="BC59" i="6"/>
  <c r="AY59" i="6"/>
  <c r="AU59" i="6"/>
  <c r="AQ59" i="6"/>
  <c r="AM59" i="6"/>
  <c r="AI59" i="6"/>
  <c r="AE59" i="6"/>
  <c r="AA59" i="6"/>
  <c r="W59" i="6"/>
  <c r="S59" i="6"/>
  <c r="O59" i="6"/>
  <c r="K59" i="6"/>
  <c r="BJ58" i="6"/>
  <c r="BF58" i="6"/>
  <c r="BB58" i="6"/>
  <c r="AX58" i="6"/>
  <c r="AT58" i="6"/>
  <c r="AP58" i="6"/>
  <c r="AL58" i="6"/>
  <c r="AH58" i="6"/>
  <c r="AD58" i="6"/>
  <c r="Z58" i="6"/>
  <c r="V58" i="6"/>
  <c r="R58" i="6"/>
  <c r="N58" i="6"/>
  <c r="J58" i="6"/>
  <c r="BI57" i="6"/>
  <c r="BE57" i="6"/>
  <c r="BA57" i="6"/>
  <c r="AW57" i="6"/>
  <c r="AS57" i="6"/>
  <c r="AO57" i="6"/>
  <c r="AK57" i="6"/>
  <c r="AG57" i="6"/>
  <c r="AC57" i="6"/>
  <c r="Y57" i="6"/>
  <c r="U57" i="6"/>
  <c r="Q57" i="6"/>
  <c r="M57" i="6"/>
  <c r="I57" i="6"/>
  <c r="BH56" i="6"/>
  <c r="BD56" i="6"/>
  <c r="AZ56" i="6"/>
  <c r="AV56" i="6"/>
  <c r="AR56" i="6"/>
  <c r="AN56" i="6"/>
  <c r="AJ56" i="6"/>
  <c r="AF56" i="6"/>
  <c r="AB56" i="6"/>
  <c r="X56" i="6"/>
  <c r="T56" i="6"/>
  <c r="P56" i="6"/>
  <c r="L56" i="6"/>
  <c r="H56" i="6"/>
  <c r="BG55" i="6"/>
  <c r="BC55" i="6"/>
  <c r="AY55" i="6"/>
  <c r="AU55" i="6"/>
  <c r="AQ55" i="6"/>
  <c r="AM55" i="6"/>
  <c r="AI55" i="6"/>
  <c r="AE55" i="6"/>
  <c r="AA55" i="6"/>
  <c r="W55" i="6"/>
  <c r="S55" i="6"/>
  <c r="O55" i="6"/>
  <c r="K55" i="6"/>
  <c r="BJ54" i="6"/>
  <c r="BF54" i="6"/>
  <c r="BB54" i="6"/>
  <c r="AX54" i="6"/>
  <c r="AT54" i="6"/>
  <c r="AP54" i="6"/>
  <c r="AL54" i="6"/>
  <c r="AH54" i="6"/>
  <c r="AD54" i="6"/>
  <c r="Z54" i="6"/>
  <c r="V54" i="6"/>
  <c r="R54" i="6"/>
  <c r="N54" i="6"/>
  <c r="J54" i="6"/>
  <c r="BI53" i="6"/>
  <c r="BE53" i="6"/>
  <c r="BA53" i="6"/>
  <c r="AW53" i="6"/>
  <c r="AS53" i="6"/>
  <c r="AO53" i="6"/>
  <c r="AK53" i="6"/>
  <c r="AG53" i="6"/>
  <c r="AC53" i="6"/>
  <c r="Y53" i="6"/>
  <c r="U53" i="6"/>
  <c r="Q53" i="6"/>
  <c r="M53" i="6"/>
  <c r="I53" i="6"/>
  <c r="BH52" i="6"/>
  <c r="BD52" i="6"/>
  <c r="AZ52" i="6"/>
  <c r="AV52" i="6"/>
  <c r="AR52" i="6"/>
  <c r="AN52" i="6"/>
  <c r="AJ52" i="6"/>
  <c r="AF52" i="6"/>
  <c r="AB52" i="6"/>
  <c r="X52" i="6"/>
  <c r="T52" i="6"/>
  <c r="P52" i="6"/>
  <c r="L52" i="6"/>
  <c r="H52" i="6"/>
  <c r="BG51" i="6"/>
  <c r="BC51" i="6"/>
  <c r="AY51" i="6"/>
  <c r="AU51" i="6"/>
  <c r="AQ51" i="6"/>
  <c r="AM51" i="6"/>
  <c r="AI51" i="6"/>
  <c r="AE51" i="6"/>
  <c r="AA51" i="6"/>
  <c r="W51" i="6"/>
  <c r="S51" i="6"/>
  <c r="O51" i="6"/>
  <c r="K51" i="6"/>
  <c r="BJ50" i="6"/>
  <c r="BF50" i="6"/>
  <c r="BB50" i="6"/>
  <c r="AX50" i="6"/>
  <c r="AT50" i="6"/>
  <c r="AP50" i="6"/>
  <c r="AL50" i="6"/>
  <c r="AH50" i="6"/>
  <c r="AD50" i="6"/>
  <c r="Z50" i="6"/>
  <c r="V50" i="6"/>
  <c r="R50" i="6"/>
  <c r="N50" i="6"/>
  <c r="J50" i="6"/>
  <c r="BI49" i="6"/>
  <c r="BE49" i="6"/>
  <c r="BA49" i="6"/>
  <c r="AW49" i="6"/>
  <c r="AS49" i="6"/>
  <c r="AO49" i="6"/>
  <c r="AK49" i="6"/>
  <c r="AG49" i="6"/>
  <c r="AC49" i="6"/>
  <c r="Y49" i="6"/>
  <c r="U49" i="6"/>
  <c r="Q49" i="6"/>
  <c r="M49" i="6"/>
  <c r="I49" i="6"/>
  <c r="BH48" i="6"/>
  <c r="BD48" i="6"/>
  <c r="AZ48" i="6"/>
  <c r="AV48" i="6"/>
  <c r="AR48" i="6"/>
  <c r="AN48" i="6"/>
  <c r="AJ48" i="6"/>
  <c r="AF48" i="6"/>
  <c r="AB48" i="6"/>
  <c r="X48" i="6"/>
  <c r="T48" i="6"/>
  <c r="P48" i="6"/>
  <c r="L48" i="6"/>
  <c r="H48" i="6"/>
  <c r="BG47" i="6"/>
  <c r="BC47" i="6"/>
  <c r="AY47" i="6"/>
  <c r="AU47" i="6"/>
  <c r="AQ47" i="6"/>
  <c r="AM47" i="6"/>
  <c r="AI47" i="6"/>
  <c r="AE47" i="6"/>
  <c r="AA47" i="6"/>
  <c r="W47" i="6"/>
  <c r="S47" i="6"/>
  <c r="O47" i="6"/>
  <c r="K47" i="6"/>
  <c r="BJ46" i="6"/>
  <c r="BF46" i="6"/>
  <c r="BB46" i="6"/>
  <c r="AX46" i="6"/>
  <c r="AT46" i="6"/>
  <c r="AP46" i="6"/>
  <c r="AL46" i="6"/>
  <c r="AH46" i="6"/>
  <c r="AD46" i="6"/>
  <c r="Z46" i="6"/>
  <c r="V46" i="6"/>
  <c r="R46" i="6"/>
  <c r="N46" i="6"/>
  <c r="J46" i="6"/>
  <c r="BI45" i="6"/>
  <c r="BE45" i="6"/>
  <c r="BA45" i="6"/>
  <c r="AW45" i="6"/>
  <c r="AS45" i="6"/>
  <c r="AO45" i="6"/>
  <c r="AK45" i="6"/>
  <c r="AG45" i="6"/>
  <c r="AC45" i="6"/>
  <c r="Y45" i="6"/>
  <c r="U45" i="6"/>
  <c r="Q45" i="6"/>
  <c r="M45" i="6"/>
  <c r="I45" i="6"/>
  <c r="BH44" i="6"/>
  <c r="BD44" i="6"/>
  <c r="AZ44" i="6"/>
  <c r="AV44" i="6"/>
  <c r="AR44" i="6"/>
  <c r="AN44" i="6"/>
  <c r="AJ44" i="6"/>
  <c r="AF44" i="6"/>
  <c r="AB44" i="6"/>
  <c r="X44" i="6"/>
  <c r="T44" i="6"/>
  <c r="P44" i="6"/>
  <c r="L44" i="6"/>
  <c r="H44" i="6"/>
  <c r="BG43" i="6"/>
  <c r="BC43" i="6"/>
  <c r="AY43" i="6"/>
  <c r="AU43" i="6"/>
  <c r="AQ43" i="6"/>
  <c r="AM43" i="6"/>
  <c r="AI43" i="6"/>
  <c r="AE43" i="6"/>
  <c r="AA43" i="6"/>
  <c r="W43" i="6"/>
  <c r="S43" i="6"/>
  <c r="O43" i="6"/>
  <c r="K43" i="6"/>
  <c r="BJ42" i="6"/>
  <c r="BF42" i="6"/>
  <c r="BB42" i="6"/>
  <c r="AX42" i="6"/>
  <c r="AT42" i="6"/>
  <c r="AP42" i="6"/>
  <c r="AL42" i="6"/>
  <c r="AH42" i="6"/>
  <c r="AD42" i="6"/>
  <c r="Z42" i="6"/>
  <c r="V42" i="6"/>
  <c r="R42" i="6"/>
  <c r="N42" i="6"/>
  <c r="J42" i="6"/>
  <c r="BI41" i="6"/>
  <c r="BE41" i="6"/>
  <c r="BA41" i="6"/>
  <c r="AW41" i="6"/>
  <c r="AS41" i="6"/>
  <c r="AO41" i="6"/>
  <c r="AK41" i="6"/>
  <c r="AG41" i="6"/>
  <c r="AC41" i="6"/>
  <c r="Y41" i="6"/>
  <c r="U41" i="6"/>
  <c r="Q41" i="6"/>
  <c r="M41" i="6"/>
  <c r="I41" i="6"/>
  <c r="BH40" i="6"/>
  <c r="BD40" i="6"/>
  <c r="AZ40" i="6"/>
  <c r="AV40" i="6"/>
  <c r="AR40" i="6"/>
  <c r="AN40" i="6"/>
  <c r="AJ40" i="6"/>
  <c r="AF40" i="6"/>
  <c r="AB40" i="6"/>
  <c r="X40" i="6"/>
  <c r="T40" i="6"/>
  <c r="P40" i="6"/>
  <c r="L40" i="6"/>
  <c r="H40" i="6"/>
  <c r="BG39" i="6"/>
  <c r="BC39" i="6"/>
  <c r="AY39" i="6"/>
  <c r="AU39" i="6"/>
  <c r="AQ39" i="6"/>
  <c r="AM39" i="6"/>
  <c r="AI39" i="6"/>
  <c r="AE39" i="6"/>
  <c r="AA39" i="6"/>
  <c r="W39" i="6"/>
  <c r="S39" i="6"/>
  <c r="O39" i="6"/>
  <c r="K39" i="6"/>
  <c r="BJ38" i="6"/>
  <c r="BF38" i="6"/>
  <c r="BB38" i="6"/>
  <c r="AX38" i="6"/>
  <c r="AT38" i="6"/>
  <c r="AP38" i="6"/>
  <c r="AL38" i="6"/>
  <c r="AH38" i="6"/>
  <c r="AD38" i="6"/>
  <c r="Z38" i="6"/>
  <c r="V38" i="6"/>
  <c r="R38" i="6"/>
  <c r="N38" i="6"/>
  <c r="J38" i="6"/>
  <c r="BI37" i="6"/>
  <c r="BE37" i="6"/>
  <c r="BA37" i="6"/>
  <c r="AW37" i="6"/>
  <c r="AS37" i="6"/>
  <c r="AO37" i="6"/>
  <c r="AK37" i="6"/>
  <c r="AG37" i="6"/>
  <c r="AC37" i="6"/>
  <c r="W37" i="6"/>
  <c r="O37" i="6"/>
  <c r="BJ36" i="6"/>
  <c r="BB36" i="6"/>
  <c r="AT36" i="6"/>
  <c r="AL36" i="6"/>
  <c r="AD36" i="6"/>
  <c r="V36" i="6"/>
  <c r="N36" i="6"/>
  <c r="BI35" i="6"/>
  <c r="BA35" i="6"/>
  <c r="AS35" i="6"/>
  <c r="AO35" i="6"/>
  <c r="AK35" i="6"/>
  <c r="AG35" i="6"/>
  <c r="AC35" i="6"/>
  <c r="Y35" i="6"/>
  <c r="U35" i="6"/>
  <c r="Q35" i="6"/>
  <c r="M35" i="6"/>
  <c r="I35" i="6"/>
  <c r="BH34" i="6"/>
  <c r="BD34" i="6"/>
  <c r="AZ34" i="6"/>
  <c r="AV34" i="6"/>
  <c r="AR34" i="6"/>
  <c r="AN34" i="6"/>
  <c r="AJ34" i="6"/>
  <c r="AF34" i="6"/>
  <c r="AB34" i="6"/>
  <c r="X34" i="6"/>
  <c r="T34" i="6"/>
  <c r="P34" i="6"/>
  <c r="L34" i="6"/>
  <c r="H34" i="6"/>
  <c r="BG33" i="6"/>
  <c r="BC33" i="6"/>
  <c r="AY33" i="6"/>
  <c r="AU33" i="6"/>
  <c r="AQ33" i="6"/>
  <c r="AM33" i="6"/>
  <c r="AI33" i="6"/>
  <c r="AE33" i="6"/>
  <c r="AA33" i="6"/>
  <c r="W33" i="6"/>
  <c r="S33" i="6"/>
  <c r="O33" i="6"/>
  <c r="K33" i="6"/>
  <c r="BJ32" i="6"/>
  <c r="BF32" i="6"/>
  <c r="BB32" i="6"/>
  <c r="AX32" i="6"/>
  <c r="AT32" i="6"/>
  <c r="AP32" i="6"/>
  <c r="AL32" i="6"/>
  <c r="AH32" i="6"/>
  <c r="AD32" i="6"/>
  <c r="Z32" i="6"/>
  <c r="V32" i="6"/>
  <c r="R32" i="6"/>
  <c r="N32" i="6"/>
  <c r="J32" i="6"/>
  <c r="BI31" i="6"/>
  <c r="BE31" i="6"/>
  <c r="BA31" i="6"/>
  <c r="AW31" i="6"/>
  <c r="AS31" i="6"/>
  <c r="AO31" i="6"/>
  <c r="AK31" i="6"/>
  <c r="AG31" i="6"/>
  <c r="AC31" i="6"/>
  <c r="Y31" i="6"/>
  <c r="U31" i="6"/>
  <c r="Q31" i="6"/>
  <c r="M31" i="6"/>
  <c r="I31" i="6"/>
  <c r="BH30" i="6"/>
  <c r="BD30" i="6"/>
  <c r="AZ30" i="6"/>
  <c r="AV30" i="6"/>
  <c r="AR30" i="6"/>
  <c r="AN30" i="6"/>
  <c r="AJ30" i="6"/>
  <c r="AF30" i="6"/>
  <c r="AB30" i="6"/>
  <c r="X30" i="6"/>
  <c r="T30" i="6"/>
  <c r="P30" i="6"/>
  <c r="L30" i="6"/>
  <c r="H30" i="6"/>
  <c r="BG29" i="6"/>
  <c r="BC29" i="6"/>
  <c r="AY29" i="6"/>
  <c r="AU29" i="6"/>
  <c r="AQ29" i="6"/>
  <c r="AM29" i="6"/>
  <c r="AI29" i="6"/>
  <c r="AE29" i="6"/>
  <c r="AA29" i="6"/>
  <c r="W29" i="6"/>
  <c r="S29" i="6"/>
  <c r="O29" i="6"/>
  <c r="K29" i="6"/>
  <c r="BJ28" i="6"/>
  <c r="BF28" i="6"/>
  <c r="BB28" i="6"/>
  <c r="AX28" i="6"/>
  <c r="AT28" i="6"/>
  <c r="AP28" i="6"/>
  <c r="AL28" i="6"/>
  <c r="AH28" i="6"/>
  <c r="AD28" i="6"/>
  <c r="Z28" i="6"/>
  <c r="V28" i="6"/>
  <c r="R28" i="6"/>
  <c r="N28" i="6"/>
  <c r="J28" i="6"/>
  <c r="BI27" i="6"/>
  <c r="BE27" i="6"/>
  <c r="BA27" i="6"/>
  <c r="AW27" i="6"/>
  <c r="AS27" i="6"/>
  <c r="AO27" i="6"/>
  <c r="AK27" i="6"/>
  <c r="AG27" i="6"/>
  <c r="AC27" i="6"/>
  <c r="Y27" i="6"/>
  <c r="U27" i="6"/>
  <c r="Q27" i="6"/>
  <c r="M27" i="6"/>
  <c r="I27" i="6"/>
  <c r="BH26" i="6"/>
  <c r="BD26" i="6"/>
  <c r="AZ26" i="6"/>
  <c r="AV26" i="6"/>
  <c r="AR26" i="6"/>
  <c r="AN26" i="6"/>
  <c r="AJ26" i="6"/>
  <c r="AF26" i="6"/>
  <c r="AB26" i="6"/>
  <c r="X26" i="6"/>
  <c r="T26" i="6"/>
  <c r="P26" i="6"/>
  <c r="L26" i="6"/>
  <c r="H26" i="6"/>
  <c r="BG25" i="6"/>
  <c r="BC25" i="6"/>
  <c r="AY25" i="6"/>
  <c r="AU25" i="6"/>
  <c r="AQ25" i="6"/>
  <c r="AM25" i="6"/>
  <c r="AI25" i="6"/>
  <c r="AE25" i="6"/>
  <c r="AA25" i="6"/>
  <c r="W25" i="6"/>
  <c r="S25" i="6"/>
  <c r="O25" i="6"/>
  <c r="K25" i="6"/>
  <c r="BJ24" i="6"/>
  <c r="BF24" i="6"/>
  <c r="BB24" i="6"/>
  <c r="AX24" i="6"/>
  <c r="AT24" i="6"/>
  <c r="AP24" i="6"/>
  <c r="AL24" i="6"/>
  <c r="AH24" i="6"/>
  <c r="AD24" i="6"/>
  <c r="Z24" i="6"/>
  <c r="V24" i="6"/>
  <c r="R24" i="6"/>
  <c r="N24" i="6"/>
  <c r="J24" i="6"/>
  <c r="BI23" i="6"/>
  <c r="BE23" i="6"/>
  <c r="BA23" i="6"/>
  <c r="AW23" i="6"/>
  <c r="AS23" i="6"/>
  <c r="AO23" i="6"/>
  <c r="AK23" i="6"/>
  <c r="AG23" i="6"/>
  <c r="AC23" i="6"/>
  <c r="Y23" i="6"/>
  <c r="U23" i="6"/>
  <c r="Q23" i="6"/>
  <c r="M23" i="6"/>
  <c r="I23" i="6"/>
  <c r="BH22" i="6"/>
  <c r="BD22" i="6"/>
  <c r="AZ22" i="6"/>
  <c r="AV22" i="6"/>
  <c r="AR22" i="6"/>
  <c r="AN22" i="6"/>
  <c r="AJ22" i="6"/>
  <c r="AF22" i="6"/>
  <c r="AB22" i="6"/>
  <c r="X22" i="6"/>
  <c r="T22" i="6"/>
  <c r="P22" i="6"/>
  <c r="L22" i="6"/>
  <c r="H22" i="6"/>
  <c r="BG21" i="6"/>
  <c r="BC21" i="6"/>
  <c r="AY21" i="6"/>
  <c r="AU21" i="6"/>
  <c r="AQ21" i="6"/>
  <c r="AM21" i="6"/>
  <c r="AI21" i="6"/>
  <c r="AE21" i="6"/>
  <c r="AA21" i="6"/>
  <c r="W21" i="6"/>
  <c r="S21" i="6"/>
  <c r="O21" i="6"/>
  <c r="K21" i="6"/>
  <c r="BJ20" i="6"/>
  <c r="BF20" i="6"/>
  <c r="BB20" i="6"/>
  <c r="AX20" i="6"/>
  <c r="AT20" i="6"/>
  <c r="AP20" i="6"/>
  <c r="AL20" i="6"/>
  <c r="AH20" i="6"/>
  <c r="AD20" i="6"/>
  <c r="Z20" i="6"/>
  <c r="V20" i="6"/>
  <c r="R20" i="6"/>
  <c r="N20" i="6"/>
  <c r="J20" i="6"/>
  <c r="BI19" i="6"/>
  <c r="BE19" i="6"/>
  <c r="BA19" i="6"/>
  <c r="AW19" i="6"/>
  <c r="AS19" i="6"/>
  <c r="AO19" i="6"/>
  <c r="AK19" i="6"/>
  <c r="AG19" i="6"/>
  <c r="AC19" i="6"/>
  <c r="Y19" i="6"/>
  <c r="U19" i="6"/>
  <c r="Q19" i="6"/>
  <c r="M19" i="6"/>
  <c r="I19" i="6"/>
  <c r="BH18" i="6"/>
  <c r="BD18" i="6"/>
  <c r="AZ18" i="6"/>
  <c r="AV18" i="6"/>
  <c r="AR18" i="6"/>
  <c r="AN18" i="6"/>
  <c r="AJ18" i="6"/>
  <c r="AF18" i="6"/>
  <c r="AB18" i="6"/>
  <c r="X18" i="6"/>
  <c r="T18" i="6"/>
  <c r="P18" i="6"/>
  <c r="L18" i="6"/>
  <c r="H18" i="6"/>
  <c r="BG17" i="6"/>
  <c r="BC17" i="6"/>
  <c r="AY17" i="6"/>
  <c r="AU17" i="6"/>
  <c r="AQ17" i="6"/>
  <c r="AM17" i="6"/>
  <c r="AI17" i="6"/>
  <c r="AE17" i="6"/>
  <c r="AA17" i="6"/>
  <c r="W17" i="6"/>
  <c r="S17" i="6"/>
  <c r="O17" i="6"/>
  <c r="K17" i="6"/>
  <c r="BJ16" i="6"/>
  <c r="BF16" i="6"/>
  <c r="BB16" i="6"/>
  <c r="AX16" i="6"/>
  <c r="AT16" i="6"/>
  <c r="AP16" i="6"/>
  <c r="AL16" i="6"/>
  <c r="AH16" i="6"/>
  <c r="AD16" i="6"/>
  <c r="Z16" i="6"/>
  <c r="V16" i="6"/>
  <c r="R16" i="6"/>
  <c r="N16" i="6"/>
  <c r="J16" i="6"/>
  <c r="BI15" i="6"/>
  <c r="BE15" i="6"/>
  <c r="BA15" i="6"/>
  <c r="I54" i="6"/>
  <c r="BD53" i="6"/>
  <c r="AV53" i="6"/>
  <c r="AN53" i="6"/>
  <c r="AF53" i="6"/>
  <c r="X53" i="6"/>
  <c r="P53" i="6"/>
  <c r="H53" i="6"/>
  <c r="BC52" i="6"/>
  <c r="AU52" i="6"/>
  <c r="AM52" i="6"/>
  <c r="AE52" i="6"/>
  <c r="W52" i="6"/>
  <c r="O52" i="6"/>
  <c r="BJ51" i="6"/>
  <c r="BB51" i="6"/>
  <c r="AT51" i="6"/>
  <c r="AL51" i="6"/>
  <c r="AD51" i="6"/>
  <c r="V51" i="6"/>
  <c r="N51" i="6"/>
  <c r="BI50" i="6"/>
  <c r="BA50" i="6"/>
  <c r="AS50" i="6"/>
  <c r="AK50" i="6"/>
  <c r="AC50" i="6"/>
  <c r="U50" i="6"/>
  <c r="M50" i="6"/>
  <c r="I50" i="6"/>
  <c r="BH49" i="6"/>
  <c r="BD49" i="6"/>
  <c r="AZ49" i="6"/>
  <c r="AV49" i="6"/>
  <c r="AR49" i="6"/>
  <c r="AN49" i="6"/>
  <c r="AJ49" i="6"/>
  <c r="AF49" i="6"/>
  <c r="AB49" i="6"/>
  <c r="X49" i="6"/>
  <c r="T49" i="6"/>
  <c r="P49" i="6"/>
  <c r="L49" i="6"/>
  <c r="H49" i="6"/>
  <c r="BG48" i="6"/>
  <c r="BC48" i="6"/>
  <c r="AY48" i="6"/>
  <c r="AU48" i="6"/>
  <c r="AQ48" i="6"/>
  <c r="AM48" i="6"/>
  <c r="AI48" i="6"/>
  <c r="AE48" i="6"/>
  <c r="AA48" i="6"/>
  <c r="W48" i="6"/>
  <c r="S48" i="6"/>
  <c r="O48" i="6"/>
  <c r="K48" i="6"/>
  <c r="BJ47" i="6"/>
  <c r="BF47" i="6"/>
  <c r="BB47" i="6"/>
  <c r="AX47" i="6"/>
  <c r="AT47" i="6"/>
  <c r="AP47" i="6"/>
  <c r="AL47" i="6"/>
  <c r="AH47" i="6"/>
  <c r="AD47" i="6"/>
  <c r="Z47" i="6"/>
  <c r="V47" i="6"/>
  <c r="R47" i="6"/>
  <c r="N47" i="6"/>
  <c r="J47" i="6"/>
  <c r="BI46" i="6"/>
  <c r="BE46" i="6"/>
  <c r="BA46" i="6"/>
  <c r="AW46" i="6"/>
  <c r="AS46" i="6"/>
  <c r="AO46" i="6"/>
  <c r="AK46" i="6"/>
  <c r="AG46" i="6"/>
  <c r="AC46" i="6"/>
  <c r="Y46" i="6"/>
  <c r="U46" i="6"/>
  <c r="Q46" i="6"/>
  <c r="M46" i="6"/>
  <c r="I46" i="6"/>
  <c r="BH45" i="6"/>
  <c r="BD45" i="6"/>
  <c r="AZ45" i="6"/>
  <c r="AV45" i="6"/>
  <c r="AR45" i="6"/>
  <c r="AN45" i="6"/>
  <c r="AJ45" i="6"/>
  <c r="AF45" i="6"/>
  <c r="AB45" i="6"/>
  <c r="X45" i="6"/>
  <c r="T45" i="6"/>
  <c r="P45" i="6"/>
  <c r="L45" i="6"/>
  <c r="H45" i="6"/>
  <c r="BG44" i="6"/>
  <c r="BC44" i="6"/>
  <c r="AY44" i="6"/>
  <c r="AU44" i="6"/>
  <c r="AQ44" i="6"/>
  <c r="AM44" i="6"/>
  <c r="AI44" i="6"/>
  <c r="AE44" i="6"/>
  <c r="AA44" i="6"/>
  <c r="W44" i="6"/>
  <c r="S44" i="6"/>
  <c r="O44" i="6"/>
  <c r="K44" i="6"/>
  <c r="BJ43" i="6"/>
  <c r="BF43" i="6"/>
  <c r="BB43" i="6"/>
  <c r="AX43" i="6"/>
  <c r="AT43" i="6"/>
  <c r="AP43" i="6"/>
  <c r="AL43" i="6"/>
  <c r="AH43" i="6"/>
  <c r="AD43" i="6"/>
  <c r="Z43" i="6"/>
  <c r="V43" i="6"/>
  <c r="R43" i="6"/>
  <c r="N43" i="6"/>
  <c r="J43" i="6"/>
  <c r="BI42" i="6"/>
  <c r="BE42" i="6"/>
  <c r="BA42" i="6"/>
  <c r="AW42" i="6"/>
  <c r="AS42" i="6"/>
  <c r="AO42" i="6"/>
  <c r="AK42" i="6"/>
  <c r="AG42" i="6"/>
  <c r="AC42" i="6"/>
  <c r="Y42" i="6"/>
  <c r="U42" i="6"/>
  <c r="Q42" i="6"/>
  <c r="M42" i="6"/>
  <c r="I42" i="6"/>
  <c r="BH41" i="6"/>
  <c r="BD41" i="6"/>
  <c r="AZ41" i="6"/>
  <c r="AV41" i="6"/>
  <c r="AR41" i="6"/>
  <c r="AN41" i="6"/>
  <c r="AJ41" i="6"/>
  <c r="AF41" i="6"/>
  <c r="AB41" i="6"/>
  <c r="X41" i="6"/>
  <c r="T41" i="6"/>
  <c r="P41" i="6"/>
  <c r="L41" i="6"/>
  <c r="H41" i="6"/>
  <c r="BG40" i="6"/>
  <c r="BC40" i="6"/>
  <c r="AY40" i="6"/>
  <c r="AU40" i="6"/>
  <c r="AQ40" i="6"/>
  <c r="AM40" i="6"/>
  <c r="AI40" i="6"/>
  <c r="AE40" i="6"/>
  <c r="AA40" i="6"/>
  <c r="W40" i="6"/>
  <c r="S40" i="6"/>
  <c r="O40" i="6"/>
  <c r="K40" i="6"/>
  <c r="BJ39" i="6"/>
  <c r="BF39" i="6"/>
  <c r="BB39" i="6"/>
  <c r="AX39" i="6"/>
  <c r="AT39" i="6"/>
  <c r="AP39" i="6"/>
  <c r="AL39" i="6"/>
  <c r="AH39" i="6"/>
  <c r="AD39" i="6"/>
  <c r="Z39" i="6"/>
  <c r="V39" i="6"/>
  <c r="R39" i="6"/>
  <c r="N39" i="6"/>
  <c r="J39" i="6"/>
  <c r="BI38" i="6"/>
  <c r="BE38" i="6"/>
  <c r="BA38" i="6"/>
  <c r="AW38" i="6"/>
  <c r="AS38" i="6"/>
  <c r="AO38" i="6"/>
  <c r="AK38" i="6"/>
  <c r="AG38" i="6"/>
  <c r="AC38" i="6"/>
  <c r="Y38" i="6"/>
  <c r="U38" i="6"/>
  <c r="Q38" i="6"/>
  <c r="M38" i="6"/>
  <c r="I38" i="6"/>
  <c r="BH37" i="6"/>
  <c r="BD37" i="6"/>
  <c r="AZ37" i="6"/>
  <c r="AV37" i="6"/>
  <c r="AR37" i="6"/>
  <c r="AN37" i="6"/>
  <c r="AJ37" i="6"/>
  <c r="AF37" i="6"/>
  <c r="AB37" i="6"/>
  <c r="X37" i="6"/>
  <c r="T37" i="6"/>
  <c r="P37" i="6"/>
  <c r="L37" i="6"/>
  <c r="H37" i="6"/>
  <c r="BG36" i="6"/>
  <c r="BC36" i="6"/>
  <c r="AY36" i="6"/>
  <c r="AU36" i="6"/>
  <c r="AQ36" i="6"/>
  <c r="AM36" i="6"/>
  <c r="AI36" i="6"/>
  <c r="AE36" i="6"/>
  <c r="AA36" i="6"/>
  <c r="W36" i="6"/>
  <c r="S36" i="6"/>
  <c r="O36" i="6"/>
  <c r="K36" i="6"/>
  <c r="BJ35" i="6"/>
  <c r="BF35" i="6"/>
  <c r="BB35" i="6"/>
  <c r="AX35" i="6"/>
  <c r="AT35" i="6"/>
  <c r="AQ77" i="6"/>
  <c r="AI77" i="6"/>
  <c r="AA77" i="6"/>
  <c r="S77" i="6"/>
  <c r="K77" i="6"/>
  <c r="BF76" i="6"/>
  <c r="AX76" i="6"/>
  <c r="AP76" i="6"/>
  <c r="AH76" i="6"/>
  <c r="Z76" i="6"/>
  <c r="R76" i="6"/>
  <c r="J76" i="6"/>
  <c r="BE75" i="6"/>
  <c r="AW75" i="6"/>
  <c r="AO75" i="6"/>
  <c r="AG75" i="6"/>
  <c r="Y75" i="6"/>
  <c r="Q75" i="6"/>
  <c r="I75" i="6"/>
  <c r="BD74" i="6"/>
  <c r="AV74" i="6"/>
  <c r="AN74" i="6"/>
  <c r="AF74" i="6"/>
  <c r="X74" i="6"/>
  <c r="P74" i="6"/>
  <c r="H74" i="6"/>
  <c r="BC73" i="6"/>
  <c r="AU73" i="6"/>
  <c r="AM73" i="6"/>
  <c r="AE73" i="6"/>
  <c r="W73" i="6"/>
  <c r="O73" i="6"/>
  <c r="BJ72" i="6"/>
  <c r="BB72" i="6"/>
  <c r="AT72" i="6"/>
  <c r="AL72" i="6"/>
  <c r="AD72" i="6"/>
  <c r="V72" i="6"/>
  <c r="N72" i="6"/>
  <c r="BI71" i="6"/>
  <c r="BA71" i="6"/>
  <c r="AS71" i="6"/>
  <c r="AK71" i="6"/>
  <c r="AC71" i="6"/>
  <c r="Y71" i="6"/>
  <c r="U71" i="6"/>
  <c r="Q71" i="6"/>
  <c r="M71" i="6"/>
  <c r="I71" i="6"/>
  <c r="BH70" i="6"/>
  <c r="BD70" i="6"/>
  <c r="AZ70" i="6"/>
  <c r="AV70" i="6"/>
  <c r="AR70" i="6"/>
  <c r="AN70" i="6"/>
  <c r="AJ70" i="6"/>
  <c r="AF70" i="6"/>
  <c r="AB70" i="6"/>
  <c r="X70" i="6"/>
  <c r="T70" i="6"/>
  <c r="P70" i="6"/>
  <c r="L70" i="6"/>
  <c r="H70" i="6"/>
  <c r="BG69" i="6"/>
  <c r="BC69" i="6"/>
  <c r="AY69" i="6"/>
  <c r="AU69" i="6"/>
  <c r="AQ69" i="6"/>
  <c r="AM69" i="6"/>
  <c r="AI69" i="6"/>
  <c r="AE69" i="6"/>
  <c r="AA69" i="6"/>
  <c r="W69" i="6"/>
  <c r="S69" i="6"/>
  <c r="O69" i="6"/>
  <c r="K69" i="6"/>
  <c r="BJ68" i="6"/>
  <c r="BF68" i="6"/>
  <c r="BB68" i="6"/>
  <c r="AX68" i="6"/>
  <c r="AT68" i="6"/>
  <c r="AP68" i="6"/>
  <c r="AL68" i="6"/>
  <c r="AH68" i="6"/>
  <c r="AD68" i="6"/>
  <c r="Z68" i="6"/>
  <c r="V68" i="6"/>
  <c r="R68" i="6"/>
  <c r="N68" i="6"/>
  <c r="J68" i="6"/>
  <c r="BI67" i="6"/>
  <c r="BE67" i="6"/>
  <c r="BA67" i="6"/>
  <c r="AW67" i="6"/>
  <c r="AS67" i="6"/>
  <c r="AO67" i="6"/>
  <c r="AK67" i="6"/>
  <c r="AG67" i="6"/>
  <c r="AC67" i="6"/>
  <c r="Y67" i="6"/>
  <c r="U67" i="6"/>
  <c r="Q67" i="6"/>
  <c r="M67" i="6"/>
  <c r="I67" i="6"/>
  <c r="BH66" i="6"/>
  <c r="BD66" i="6"/>
  <c r="AZ66" i="6"/>
  <c r="AV66" i="6"/>
  <c r="AR66" i="6"/>
  <c r="AN66" i="6"/>
  <c r="AJ66" i="6"/>
  <c r="AF66" i="6"/>
  <c r="AB66" i="6"/>
  <c r="X66" i="6"/>
  <c r="T66" i="6"/>
  <c r="P66" i="6"/>
  <c r="L66" i="6"/>
  <c r="H66" i="6"/>
  <c r="BG65" i="6"/>
  <c r="BC65" i="6"/>
  <c r="AY65" i="6"/>
  <c r="AU65" i="6"/>
  <c r="AQ65" i="6"/>
  <c r="AM65" i="6"/>
  <c r="AI65" i="6"/>
  <c r="AE65" i="6"/>
  <c r="AA65" i="6"/>
  <c r="W65" i="6"/>
  <c r="S65" i="6"/>
  <c r="O65" i="6"/>
  <c r="K65" i="6"/>
  <c r="BJ64" i="6"/>
  <c r="BF64" i="6"/>
  <c r="BB64" i="6"/>
  <c r="AX64" i="6"/>
  <c r="AT64" i="6"/>
  <c r="AP64" i="6"/>
  <c r="AL64" i="6"/>
  <c r="AH64" i="6"/>
  <c r="AD64" i="6"/>
  <c r="Z64" i="6"/>
  <c r="V64" i="6"/>
  <c r="R64" i="6"/>
  <c r="N64" i="6"/>
  <c r="J64" i="6"/>
  <c r="BI63" i="6"/>
  <c r="BE63" i="6"/>
  <c r="BA63" i="6"/>
  <c r="AW63" i="6"/>
  <c r="AS63" i="6"/>
  <c r="AO63" i="6"/>
  <c r="AK63" i="6"/>
  <c r="AG63" i="6"/>
  <c r="AC63" i="6"/>
  <c r="Y63" i="6"/>
  <c r="U63" i="6"/>
  <c r="Q63" i="6"/>
  <c r="M63" i="6"/>
  <c r="I63" i="6"/>
  <c r="BH62" i="6"/>
  <c r="BD62" i="6"/>
  <c r="AZ62" i="6"/>
  <c r="AV62" i="6"/>
  <c r="AR62" i="6"/>
  <c r="AN62" i="6"/>
  <c r="AJ62" i="6"/>
  <c r="AF62" i="6"/>
  <c r="AB62" i="6"/>
  <c r="X62" i="6"/>
  <c r="T62" i="6"/>
  <c r="P62" i="6"/>
  <c r="L62" i="6"/>
  <c r="H62" i="6"/>
  <c r="BG61" i="6"/>
  <c r="BC61" i="6"/>
  <c r="AY61" i="6"/>
  <c r="AU61" i="6"/>
  <c r="AQ61" i="6"/>
  <c r="AM61" i="6"/>
  <c r="AI61" i="6"/>
  <c r="AE61" i="6"/>
  <c r="AA61" i="6"/>
  <c r="W61" i="6"/>
  <c r="S61" i="6"/>
  <c r="O61" i="6"/>
  <c r="K61" i="6"/>
  <c r="BJ60" i="6"/>
  <c r="BF60" i="6"/>
  <c r="BB60" i="6"/>
  <c r="AX60" i="6"/>
  <c r="AT60" i="6"/>
  <c r="AP60" i="6"/>
  <c r="AL60" i="6"/>
  <c r="AH60" i="6"/>
  <c r="AD60" i="6"/>
  <c r="Z60" i="6"/>
  <c r="V60" i="6"/>
  <c r="R60" i="6"/>
  <c r="N60" i="6"/>
  <c r="J60" i="6"/>
  <c r="BI59" i="6"/>
  <c r="BE59" i="6"/>
  <c r="BA59" i="6"/>
  <c r="AW59" i="6"/>
  <c r="AS59" i="6"/>
  <c r="AO59" i="6"/>
  <c r="AK59" i="6"/>
  <c r="AG59" i="6"/>
  <c r="AC59" i="6"/>
  <c r="Y59" i="6"/>
  <c r="U59" i="6"/>
  <c r="Q59" i="6"/>
  <c r="M59" i="6"/>
  <c r="I59" i="6"/>
  <c r="BH58" i="6"/>
  <c r="BD58" i="6"/>
  <c r="AZ58" i="6"/>
  <c r="AV58" i="6"/>
  <c r="AR58" i="6"/>
  <c r="AN58" i="6"/>
  <c r="AJ58" i="6"/>
  <c r="AF58" i="6"/>
  <c r="AB58" i="6"/>
  <c r="X58" i="6"/>
  <c r="T58" i="6"/>
  <c r="P58" i="6"/>
  <c r="L58" i="6"/>
  <c r="H58" i="6"/>
  <c r="BG57" i="6"/>
  <c r="BC57" i="6"/>
  <c r="AY57" i="6"/>
  <c r="AU57" i="6"/>
  <c r="AQ57" i="6"/>
  <c r="AM57" i="6"/>
  <c r="AI57" i="6"/>
  <c r="AE57" i="6"/>
  <c r="AA57" i="6"/>
  <c r="W57" i="6"/>
  <c r="S57" i="6"/>
  <c r="O57" i="6"/>
  <c r="K57" i="6"/>
  <c r="BJ56" i="6"/>
  <c r="BF56" i="6"/>
  <c r="BB56" i="6"/>
  <c r="AX56" i="6"/>
  <c r="AT56" i="6"/>
  <c r="AP56" i="6"/>
  <c r="AL56" i="6"/>
  <c r="AH56" i="6"/>
  <c r="AD56" i="6"/>
  <c r="Z56" i="6"/>
  <c r="V56" i="6"/>
  <c r="R56" i="6"/>
  <c r="N56" i="6"/>
  <c r="J56" i="6"/>
  <c r="BI55" i="6"/>
  <c r="BE55" i="6"/>
  <c r="BA55" i="6"/>
  <c r="AW55" i="6"/>
  <c r="AS55" i="6"/>
  <c r="AO55" i="6"/>
  <c r="AK55" i="6"/>
  <c r="AG55" i="6"/>
  <c r="AC55" i="6"/>
  <c r="Y55" i="6"/>
  <c r="U55" i="6"/>
  <c r="Q55" i="6"/>
  <c r="M55" i="6"/>
  <c r="I55" i="6"/>
  <c r="BH54" i="6"/>
  <c r="BD54" i="6"/>
  <c r="AZ54" i="6"/>
  <c r="AV54" i="6"/>
  <c r="AR54" i="6"/>
  <c r="AN54" i="6"/>
  <c r="AJ54" i="6"/>
  <c r="AF54" i="6"/>
  <c r="AB54" i="6"/>
  <c r="X54" i="6"/>
  <c r="T54" i="6"/>
  <c r="P54" i="6"/>
  <c r="L54" i="6"/>
  <c r="H54" i="6"/>
  <c r="BG53" i="6"/>
  <c r="BC53" i="6"/>
  <c r="AY53" i="6"/>
  <c r="AU53" i="6"/>
  <c r="AQ53" i="6"/>
  <c r="AM53" i="6"/>
  <c r="AI53" i="6"/>
  <c r="AE53" i="6"/>
  <c r="AA53" i="6"/>
  <c r="W53" i="6"/>
  <c r="S53" i="6"/>
  <c r="O53" i="6"/>
  <c r="K53" i="6"/>
  <c r="BJ52" i="6"/>
  <c r="BF52" i="6"/>
  <c r="BB52" i="6"/>
  <c r="AX52" i="6"/>
  <c r="AT52" i="6"/>
  <c r="AP52" i="6"/>
  <c r="AL52" i="6"/>
  <c r="AH52" i="6"/>
  <c r="AD52" i="6"/>
  <c r="Z52" i="6"/>
  <c r="V52" i="6"/>
  <c r="R52" i="6"/>
  <c r="N52" i="6"/>
  <c r="J52" i="6"/>
  <c r="BI51" i="6"/>
  <c r="BE51" i="6"/>
  <c r="BA51" i="6"/>
  <c r="AW51" i="6"/>
  <c r="AS51" i="6"/>
  <c r="AO51" i="6"/>
  <c r="AK51" i="6"/>
  <c r="AG51" i="6"/>
  <c r="AC51" i="6"/>
  <c r="Y51" i="6"/>
  <c r="U51" i="6"/>
  <c r="Q51" i="6"/>
  <c r="M51" i="6"/>
  <c r="I51" i="6"/>
  <c r="BH50" i="6"/>
  <c r="BD50" i="6"/>
  <c r="AZ50" i="6"/>
  <c r="AV50" i="6"/>
  <c r="AR50" i="6"/>
  <c r="AN50" i="6"/>
  <c r="AJ50" i="6"/>
  <c r="AF50" i="6"/>
  <c r="AB50" i="6"/>
  <c r="X50" i="6"/>
  <c r="T50" i="6"/>
  <c r="P50" i="6"/>
  <c r="L50" i="6"/>
  <c r="H50" i="6"/>
  <c r="BG49" i="6"/>
  <c r="BC49" i="6"/>
  <c r="AY49" i="6"/>
  <c r="AU49" i="6"/>
  <c r="AQ49" i="6"/>
  <c r="AM49" i="6"/>
  <c r="AI49" i="6"/>
  <c r="AE49" i="6"/>
  <c r="AA49" i="6"/>
  <c r="W49" i="6"/>
  <c r="S49" i="6"/>
  <c r="O49" i="6"/>
  <c r="K49" i="6"/>
  <c r="BJ48" i="6"/>
  <c r="BF48" i="6"/>
  <c r="BB48" i="6"/>
  <c r="AX48" i="6"/>
  <c r="AT48" i="6"/>
  <c r="AP48" i="6"/>
  <c r="AL48" i="6"/>
  <c r="AH48" i="6"/>
  <c r="AD48" i="6"/>
  <c r="Z48" i="6"/>
  <c r="V48" i="6"/>
  <c r="R48" i="6"/>
  <c r="N48" i="6"/>
  <c r="J48" i="6"/>
  <c r="BI47" i="6"/>
  <c r="BE47" i="6"/>
  <c r="BA47" i="6"/>
  <c r="AW47" i="6"/>
  <c r="AS47" i="6"/>
  <c r="AO47" i="6"/>
  <c r="AK47" i="6"/>
  <c r="AG47" i="6"/>
  <c r="AC47" i="6"/>
  <c r="Y47" i="6"/>
  <c r="U47" i="6"/>
  <c r="Q47" i="6"/>
  <c r="M47" i="6"/>
  <c r="I47" i="6"/>
  <c r="BH46" i="6"/>
  <c r="BD46" i="6"/>
  <c r="AZ46" i="6"/>
  <c r="AV46" i="6"/>
  <c r="AR46" i="6"/>
  <c r="AN46" i="6"/>
  <c r="AJ46" i="6"/>
  <c r="AF46" i="6"/>
  <c r="AB46" i="6"/>
  <c r="X46" i="6"/>
  <c r="T46" i="6"/>
  <c r="P46" i="6"/>
  <c r="L46" i="6"/>
  <c r="H46" i="6"/>
  <c r="BG45" i="6"/>
  <c r="BC45" i="6"/>
  <c r="AY45" i="6"/>
  <c r="AU45" i="6"/>
  <c r="AQ45" i="6"/>
  <c r="AM45" i="6"/>
  <c r="AI45" i="6"/>
  <c r="AE45" i="6"/>
  <c r="AA45" i="6"/>
  <c r="W45" i="6"/>
  <c r="S45" i="6"/>
  <c r="O45" i="6"/>
  <c r="K45" i="6"/>
  <c r="BJ44" i="6"/>
  <c r="BF44" i="6"/>
  <c r="BB44" i="6"/>
  <c r="AX44" i="6"/>
  <c r="AT44" i="6"/>
  <c r="AP44" i="6"/>
  <c r="AL44" i="6"/>
  <c r="AH44" i="6"/>
  <c r="AD44" i="6"/>
  <c r="Z44" i="6"/>
  <c r="V44" i="6"/>
  <c r="R44" i="6"/>
  <c r="N44" i="6"/>
  <c r="J44" i="6"/>
  <c r="BI43" i="6"/>
  <c r="BE43" i="6"/>
  <c r="BA43" i="6"/>
  <c r="AW43" i="6"/>
  <c r="AS43" i="6"/>
  <c r="AO43" i="6"/>
  <c r="AK43" i="6"/>
  <c r="AG43" i="6"/>
  <c r="AC43" i="6"/>
  <c r="Y43" i="6"/>
  <c r="U43" i="6"/>
  <c r="Q43" i="6"/>
  <c r="M43" i="6"/>
  <c r="I43" i="6"/>
  <c r="BH42" i="6"/>
  <c r="BD42" i="6"/>
  <c r="AZ42" i="6"/>
  <c r="AV42" i="6"/>
  <c r="AR42" i="6"/>
  <c r="AN42" i="6"/>
  <c r="AJ42" i="6"/>
  <c r="AF42" i="6"/>
  <c r="AB42" i="6"/>
  <c r="X42" i="6"/>
  <c r="T42" i="6"/>
  <c r="P42" i="6"/>
  <c r="L42" i="6"/>
  <c r="H42" i="6"/>
  <c r="BG41" i="6"/>
  <c r="BC41" i="6"/>
  <c r="AY41" i="6"/>
  <c r="AU41" i="6"/>
  <c r="AQ41" i="6"/>
  <c r="AM41" i="6"/>
  <c r="AI41" i="6"/>
  <c r="AE41" i="6"/>
  <c r="AA41" i="6"/>
  <c r="W41" i="6"/>
  <c r="S41" i="6"/>
  <c r="O41" i="6"/>
  <c r="K41" i="6"/>
  <c r="BJ40" i="6"/>
  <c r="BF40" i="6"/>
  <c r="BB40" i="6"/>
  <c r="AX40" i="6"/>
  <c r="AT40" i="6"/>
  <c r="AP40" i="6"/>
  <c r="AL40" i="6"/>
  <c r="AH40" i="6"/>
  <c r="AD40" i="6"/>
  <c r="Z40" i="6"/>
  <c r="V40" i="6"/>
  <c r="R40" i="6"/>
  <c r="N40" i="6"/>
  <c r="J40" i="6"/>
  <c r="BI39" i="6"/>
  <c r="BE39" i="6"/>
  <c r="BA39" i="6"/>
  <c r="AW39" i="6"/>
  <c r="AS39" i="6"/>
  <c r="AO39" i="6"/>
  <c r="AK39" i="6"/>
  <c r="AG39" i="6"/>
  <c r="AC39" i="6"/>
  <c r="Y39" i="6"/>
  <c r="U39" i="6"/>
  <c r="Q39" i="6"/>
  <c r="M39" i="6"/>
  <c r="I39" i="6"/>
  <c r="BH38" i="6"/>
  <c r="BD38" i="6"/>
  <c r="AZ38" i="6"/>
  <c r="AV38" i="6"/>
  <c r="AR38" i="6"/>
  <c r="AN38" i="6"/>
  <c r="AJ38" i="6"/>
  <c r="AF38" i="6"/>
  <c r="AB38" i="6"/>
  <c r="X38" i="6"/>
  <c r="T38" i="6"/>
  <c r="P38" i="6"/>
  <c r="L38" i="6"/>
  <c r="H38" i="6"/>
  <c r="BG37" i="6"/>
  <c r="BC37" i="6"/>
  <c r="AY37" i="6"/>
  <c r="AU37" i="6"/>
  <c r="AQ37" i="6"/>
  <c r="AM37" i="6"/>
  <c r="AI37" i="6"/>
  <c r="AE37" i="6"/>
  <c r="AA37" i="6"/>
  <c r="S37" i="6"/>
  <c r="K37" i="6"/>
  <c r="BF36" i="6"/>
  <c r="AX36" i="6"/>
  <c r="AP36" i="6"/>
  <c r="AH36" i="6"/>
  <c r="Z36" i="6"/>
  <c r="R36" i="6"/>
  <c r="J36" i="6"/>
  <c r="BE35" i="6"/>
  <c r="AW35" i="6"/>
  <c r="AQ35" i="6"/>
  <c r="AM35" i="6"/>
  <c r="AI35" i="6"/>
  <c r="AE35" i="6"/>
  <c r="AA35" i="6"/>
  <c r="W35" i="6"/>
  <c r="S35" i="6"/>
  <c r="O35" i="6"/>
  <c r="K35" i="6"/>
  <c r="BJ34" i="6"/>
  <c r="BF34" i="6"/>
  <c r="BB34" i="6"/>
  <c r="AX34" i="6"/>
  <c r="AT34" i="6"/>
  <c r="AP34" i="6"/>
  <c r="AL34" i="6"/>
  <c r="AH34" i="6"/>
  <c r="AD34" i="6"/>
  <c r="Z34" i="6"/>
  <c r="V34" i="6"/>
  <c r="R34" i="6"/>
  <c r="N34" i="6"/>
  <c r="J34" i="6"/>
  <c r="BI33" i="6"/>
  <c r="BE33" i="6"/>
  <c r="BA33" i="6"/>
  <c r="AW33" i="6"/>
  <c r="AS33" i="6"/>
  <c r="AO33" i="6"/>
  <c r="AK33" i="6"/>
  <c r="AG33" i="6"/>
  <c r="AC33" i="6"/>
  <c r="Y33" i="6"/>
  <c r="U33" i="6"/>
  <c r="Q33" i="6"/>
  <c r="M33" i="6"/>
  <c r="I33" i="6"/>
  <c r="BH32" i="6"/>
  <c r="BD32" i="6"/>
  <c r="AZ32" i="6"/>
  <c r="AV32" i="6"/>
  <c r="AR32" i="6"/>
  <c r="AN32" i="6"/>
  <c r="AJ32" i="6"/>
  <c r="AF32" i="6"/>
  <c r="AB32" i="6"/>
  <c r="X32" i="6"/>
  <c r="T32" i="6"/>
  <c r="P32" i="6"/>
  <c r="L32" i="6"/>
  <c r="H32" i="6"/>
  <c r="BG31" i="6"/>
  <c r="BC31" i="6"/>
  <c r="AY31" i="6"/>
  <c r="AU31" i="6"/>
  <c r="AQ31" i="6"/>
  <c r="AM31" i="6"/>
  <c r="AI31" i="6"/>
  <c r="AE31" i="6"/>
  <c r="AA31" i="6"/>
  <c r="W31" i="6"/>
  <c r="S31" i="6"/>
  <c r="O31" i="6"/>
  <c r="K31" i="6"/>
  <c r="BJ30" i="6"/>
  <c r="BF30" i="6"/>
  <c r="BB30" i="6"/>
  <c r="AX30" i="6"/>
  <c r="AT30" i="6"/>
  <c r="AP30" i="6"/>
  <c r="AL30" i="6"/>
  <c r="AH30" i="6"/>
  <c r="AD30" i="6"/>
  <c r="Z30" i="6"/>
  <c r="V30" i="6"/>
  <c r="R30" i="6"/>
  <c r="N30" i="6"/>
  <c r="J30" i="6"/>
  <c r="BI29" i="6"/>
  <c r="BE29" i="6"/>
  <c r="BA29" i="6"/>
  <c r="AW29" i="6"/>
  <c r="AS29" i="6"/>
  <c r="AO29" i="6"/>
  <c r="AK29" i="6"/>
  <c r="AG29" i="6"/>
  <c r="AC29" i="6"/>
  <c r="Y29" i="6"/>
  <c r="U29" i="6"/>
  <c r="Q29" i="6"/>
  <c r="M29" i="6"/>
  <c r="I29" i="6"/>
  <c r="BH28" i="6"/>
  <c r="BD28" i="6"/>
  <c r="AZ28" i="6"/>
  <c r="AV28" i="6"/>
  <c r="AR28" i="6"/>
  <c r="AN28" i="6"/>
  <c r="AJ28" i="6"/>
  <c r="AF28" i="6"/>
  <c r="AB28" i="6"/>
  <c r="X28" i="6"/>
  <c r="T28" i="6"/>
  <c r="P28" i="6"/>
  <c r="L28" i="6"/>
  <c r="H28" i="6"/>
  <c r="BG27" i="6"/>
  <c r="BC27" i="6"/>
  <c r="AY27" i="6"/>
  <c r="AU27" i="6"/>
  <c r="AQ27" i="6"/>
  <c r="AM27" i="6"/>
  <c r="AI27" i="6"/>
  <c r="AE27" i="6"/>
  <c r="AA27" i="6"/>
  <c r="W27" i="6"/>
  <c r="S27" i="6"/>
  <c r="O27" i="6"/>
  <c r="K27" i="6"/>
  <c r="BJ26" i="6"/>
  <c r="BF26" i="6"/>
  <c r="BB26" i="6"/>
  <c r="AX26" i="6"/>
  <c r="AT26" i="6"/>
  <c r="AP26" i="6"/>
  <c r="AL26" i="6"/>
  <c r="AH26" i="6"/>
  <c r="AD26" i="6"/>
  <c r="Z26" i="6"/>
  <c r="V26" i="6"/>
  <c r="R26" i="6"/>
  <c r="N26" i="6"/>
  <c r="J26" i="6"/>
  <c r="BI25" i="6"/>
  <c r="BE25" i="6"/>
  <c r="BA25" i="6"/>
  <c r="AW25" i="6"/>
  <c r="AS25" i="6"/>
  <c r="AO25" i="6"/>
  <c r="AK25" i="6"/>
  <c r="AG25" i="6"/>
  <c r="AC25" i="6"/>
  <c r="Y25" i="6"/>
  <c r="U25" i="6"/>
  <c r="Q25" i="6"/>
  <c r="M25" i="6"/>
  <c r="I25" i="6"/>
  <c r="BH24" i="6"/>
  <c r="BD24" i="6"/>
  <c r="AZ24" i="6"/>
  <c r="AV24" i="6"/>
  <c r="AR24" i="6"/>
  <c r="AN24" i="6"/>
  <c r="AJ24" i="6"/>
  <c r="AF24" i="6"/>
  <c r="AB24" i="6"/>
  <c r="X24" i="6"/>
  <c r="T24" i="6"/>
  <c r="P24" i="6"/>
  <c r="L24" i="6"/>
  <c r="H24" i="6"/>
  <c r="BG23" i="6"/>
  <c r="BC23" i="6"/>
  <c r="AY23" i="6"/>
  <c r="AU23" i="6"/>
  <c r="AQ23" i="6"/>
  <c r="AM23" i="6"/>
  <c r="AI23" i="6"/>
  <c r="AE23" i="6"/>
  <c r="AA23" i="6"/>
  <c r="W23" i="6"/>
  <c r="S23" i="6"/>
  <c r="O23" i="6"/>
  <c r="K23" i="6"/>
  <c r="BJ22" i="6"/>
  <c r="BF22" i="6"/>
  <c r="BB22" i="6"/>
  <c r="AX22" i="6"/>
  <c r="AT22" i="6"/>
  <c r="AP22" i="6"/>
  <c r="AL22" i="6"/>
  <c r="AH22" i="6"/>
  <c r="AD22" i="6"/>
  <c r="Z22" i="6"/>
  <c r="V22" i="6"/>
  <c r="R22" i="6"/>
  <c r="N22" i="6"/>
  <c r="J22" i="6"/>
  <c r="BI21" i="6"/>
  <c r="BE21" i="6"/>
  <c r="BA21" i="6"/>
  <c r="AW21" i="6"/>
  <c r="AS21" i="6"/>
  <c r="AO21" i="6"/>
  <c r="AK21" i="6"/>
  <c r="AG21" i="6"/>
  <c r="AC21" i="6"/>
  <c r="Y21" i="6"/>
  <c r="U21" i="6"/>
  <c r="Q21" i="6"/>
  <c r="M21" i="6"/>
  <c r="I21" i="6"/>
  <c r="BH20" i="6"/>
  <c r="BD20" i="6"/>
  <c r="AZ20" i="6"/>
  <c r="AV20" i="6"/>
  <c r="AR20" i="6"/>
  <c r="AN20" i="6"/>
  <c r="AJ20" i="6"/>
  <c r="AF20" i="6"/>
  <c r="AB20" i="6"/>
  <c r="X20" i="6"/>
  <c r="T20" i="6"/>
  <c r="P20" i="6"/>
  <c r="L20" i="6"/>
  <c r="H20" i="6"/>
  <c r="BG19" i="6"/>
  <c r="BC19" i="6"/>
  <c r="AY19" i="6"/>
  <c r="AU19" i="6"/>
  <c r="AQ19" i="6"/>
  <c r="AM19" i="6"/>
  <c r="AI19" i="6"/>
  <c r="AE19" i="6"/>
  <c r="AA19" i="6"/>
  <c r="W19" i="6"/>
  <c r="S19" i="6"/>
  <c r="O19" i="6"/>
  <c r="K19" i="6"/>
  <c r="BJ18" i="6"/>
  <c r="BF18" i="6"/>
  <c r="BB18" i="6"/>
  <c r="AX18" i="6"/>
  <c r="AT18" i="6"/>
  <c r="AP18" i="6"/>
  <c r="AL18" i="6"/>
  <c r="AH18" i="6"/>
  <c r="AD18" i="6"/>
  <c r="Z18" i="6"/>
  <c r="V18" i="6"/>
  <c r="R18" i="6"/>
  <c r="N18" i="6"/>
  <c r="J18" i="6"/>
  <c r="BI17" i="6"/>
  <c r="BE17" i="6"/>
  <c r="BA17" i="6"/>
  <c r="AW17" i="6"/>
  <c r="AS17" i="6"/>
  <c r="AO17" i="6"/>
  <c r="AK17" i="6"/>
  <c r="AG17" i="6"/>
  <c r="AC17" i="6"/>
  <c r="Y17" i="6"/>
  <c r="U17" i="6"/>
  <c r="Q17" i="6"/>
  <c r="M17" i="6"/>
  <c r="I17" i="6"/>
  <c r="BH16" i="6"/>
  <c r="BD16" i="6"/>
  <c r="AZ16" i="6"/>
  <c r="AV16" i="6"/>
  <c r="AR16" i="6"/>
  <c r="AN16" i="6"/>
  <c r="AJ16" i="6"/>
  <c r="AF16" i="6"/>
  <c r="AB16" i="6"/>
  <c r="X16" i="6"/>
  <c r="T16" i="6"/>
  <c r="P16" i="6"/>
  <c r="L16" i="6"/>
  <c r="H16" i="6"/>
  <c r="BG15" i="6"/>
  <c r="BC15" i="6"/>
  <c r="AY15" i="6"/>
  <c r="AU15" i="6"/>
  <c r="AQ15" i="6"/>
  <c r="AM15" i="6"/>
  <c r="AI15" i="6"/>
  <c r="AE15" i="6"/>
  <c r="AA15" i="6"/>
  <c r="W15" i="6"/>
  <c r="S15" i="6"/>
  <c r="O15" i="6"/>
  <c r="K15" i="6"/>
  <c r="BJ14" i="6"/>
  <c r="BF14" i="6"/>
  <c r="BB14" i="6"/>
  <c r="AX14" i="6"/>
  <c r="AT14" i="6"/>
  <c r="AP14" i="6"/>
  <c r="AL14" i="6"/>
  <c r="AH14" i="6"/>
  <c r="AD14" i="6"/>
  <c r="Z14" i="6"/>
  <c r="V14" i="6"/>
  <c r="R14" i="6"/>
  <c r="N14" i="6"/>
  <c r="J14" i="6"/>
  <c r="BJ13" i="6"/>
  <c r="BF13" i="6"/>
  <c r="BB13" i="6"/>
  <c r="AX13" i="6"/>
  <c r="AT13" i="6"/>
  <c r="AP13" i="6"/>
  <c r="AW15" i="6"/>
  <c r="AO15" i="6"/>
  <c r="AG15" i="6"/>
  <c r="Y15" i="6"/>
  <c r="Q15" i="6"/>
  <c r="I15" i="6"/>
  <c r="BD14" i="6"/>
  <c r="AV14" i="6"/>
  <c r="AN14" i="6"/>
  <c r="AF14" i="6"/>
  <c r="X14" i="6"/>
  <c r="P14" i="6"/>
  <c r="H14" i="6"/>
  <c r="BD13" i="6"/>
  <c r="AV13" i="6"/>
  <c r="AN13" i="6"/>
  <c r="AJ13" i="6"/>
  <c r="AF13" i="6"/>
  <c r="AB13" i="6"/>
  <c r="X13" i="6"/>
  <c r="BH12" i="6"/>
  <c r="BD12" i="6"/>
  <c r="AZ12" i="6"/>
  <c r="AV12" i="6"/>
  <c r="AR12" i="6"/>
  <c r="AN12" i="6"/>
  <c r="AJ12" i="6"/>
  <c r="AF12" i="6"/>
  <c r="AB12" i="6"/>
  <c r="X12" i="6"/>
  <c r="BH11" i="6"/>
  <c r="BD11" i="6"/>
  <c r="AZ11" i="6"/>
  <c r="AV11" i="6"/>
  <c r="AR11" i="6"/>
  <c r="AN11" i="6"/>
  <c r="AJ11" i="6"/>
  <c r="AF11" i="6"/>
  <c r="AB11" i="6"/>
  <c r="X11" i="6"/>
  <c r="BH10" i="6"/>
  <c r="BD10" i="6"/>
  <c r="AZ10" i="6"/>
  <c r="AV10" i="6"/>
  <c r="AR10" i="6"/>
  <c r="AN10" i="6"/>
  <c r="AJ10" i="6"/>
  <c r="AF10" i="6"/>
  <c r="AB10" i="6"/>
  <c r="X10" i="6"/>
  <c r="U37" i="6"/>
  <c r="M37" i="6"/>
  <c r="BH36" i="6"/>
  <c r="AZ36" i="6"/>
  <c r="AR36" i="6"/>
  <c r="AJ36" i="6"/>
  <c r="AB36" i="6"/>
  <c r="T36" i="6"/>
  <c r="L36" i="6"/>
  <c r="BG35" i="6"/>
  <c r="AY35" i="6"/>
  <c r="AR35" i="6"/>
  <c r="AN35" i="6"/>
  <c r="AJ35" i="6"/>
  <c r="AF35" i="6"/>
  <c r="AB35" i="6"/>
  <c r="X35" i="6"/>
  <c r="T35" i="6"/>
  <c r="P35" i="6"/>
  <c r="L35" i="6"/>
  <c r="H35" i="6"/>
  <c r="BG34" i="6"/>
  <c r="BC34" i="6"/>
  <c r="AY34" i="6"/>
  <c r="AU34" i="6"/>
  <c r="AQ34" i="6"/>
  <c r="AM34" i="6"/>
  <c r="AI34" i="6"/>
  <c r="AE34" i="6"/>
  <c r="AA34" i="6"/>
  <c r="W34" i="6"/>
  <c r="S34" i="6"/>
  <c r="O34" i="6"/>
  <c r="K34" i="6"/>
  <c r="BJ33" i="6"/>
  <c r="BF33" i="6"/>
  <c r="BB33" i="6"/>
  <c r="AX33" i="6"/>
  <c r="AT33" i="6"/>
  <c r="AP33" i="6"/>
  <c r="AL33" i="6"/>
  <c r="AH33" i="6"/>
  <c r="AD33" i="6"/>
  <c r="Z33" i="6"/>
  <c r="V33" i="6"/>
  <c r="R33" i="6"/>
  <c r="N33" i="6"/>
  <c r="J33" i="6"/>
  <c r="BI32" i="6"/>
  <c r="BE32" i="6"/>
  <c r="BA32" i="6"/>
  <c r="AW32" i="6"/>
  <c r="AS32" i="6"/>
  <c r="AO32" i="6"/>
  <c r="AK32" i="6"/>
  <c r="AG32" i="6"/>
  <c r="AC32" i="6"/>
  <c r="Y32" i="6"/>
  <c r="U32" i="6"/>
  <c r="Q32" i="6"/>
  <c r="M32" i="6"/>
  <c r="I32" i="6"/>
  <c r="BH31" i="6"/>
  <c r="BD31" i="6"/>
  <c r="AZ31" i="6"/>
  <c r="AV31" i="6"/>
  <c r="AR31" i="6"/>
  <c r="AN31" i="6"/>
  <c r="AJ31" i="6"/>
  <c r="AF31" i="6"/>
  <c r="AB31" i="6"/>
  <c r="X31" i="6"/>
  <c r="T31" i="6"/>
  <c r="P31" i="6"/>
  <c r="L31" i="6"/>
  <c r="H31" i="6"/>
  <c r="BG30" i="6"/>
  <c r="BC30" i="6"/>
  <c r="AY30" i="6"/>
  <c r="AU30" i="6"/>
  <c r="AQ30" i="6"/>
  <c r="AM30" i="6"/>
  <c r="AI30" i="6"/>
  <c r="AE30" i="6"/>
  <c r="AA30" i="6"/>
  <c r="W30" i="6"/>
  <c r="S30" i="6"/>
  <c r="O30" i="6"/>
  <c r="K30" i="6"/>
  <c r="BJ29" i="6"/>
  <c r="BF29" i="6"/>
  <c r="BB29" i="6"/>
  <c r="AX29" i="6"/>
  <c r="AT29" i="6"/>
  <c r="AP29" i="6"/>
  <c r="AL29" i="6"/>
  <c r="AH29" i="6"/>
  <c r="AD29" i="6"/>
  <c r="Z29" i="6"/>
  <c r="V29" i="6"/>
  <c r="R29" i="6"/>
  <c r="N29" i="6"/>
  <c r="J29" i="6"/>
  <c r="BI28" i="6"/>
  <c r="BE28" i="6"/>
  <c r="BA28" i="6"/>
  <c r="AW28" i="6"/>
  <c r="AS28" i="6"/>
  <c r="AO28" i="6"/>
  <c r="AK28" i="6"/>
  <c r="AG28" i="6"/>
  <c r="AC28" i="6"/>
  <c r="Y28" i="6"/>
  <c r="U28" i="6"/>
  <c r="Q28" i="6"/>
  <c r="M28" i="6"/>
  <c r="I28" i="6"/>
  <c r="BH27" i="6"/>
  <c r="BD27" i="6"/>
  <c r="AZ27" i="6"/>
  <c r="AV27" i="6"/>
  <c r="AR27" i="6"/>
  <c r="AN27" i="6"/>
  <c r="AJ27" i="6"/>
  <c r="AF27" i="6"/>
  <c r="AB27" i="6"/>
  <c r="X27" i="6"/>
  <c r="T27" i="6"/>
  <c r="P27" i="6"/>
  <c r="L27" i="6"/>
  <c r="H27" i="6"/>
  <c r="BG26" i="6"/>
  <c r="BC26" i="6"/>
  <c r="AY26" i="6"/>
  <c r="AU26" i="6"/>
  <c r="AQ26" i="6"/>
  <c r="AM26" i="6"/>
  <c r="AI26" i="6"/>
  <c r="AE26" i="6"/>
  <c r="AA26" i="6"/>
  <c r="W26" i="6"/>
  <c r="S26" i="6"/>
  <c r="O26" i="6"/>
  <c r="K26" i="6"/>
  <c r="BJ25" i="6"/>
  <c r="BF25" i="6"/>
  <c r="BB25" i="6"/>
  <c r="AX25" i="6"/>
  <c r="AT25" i="6"/>
  <c r="AP25" i="6"/>
  <c r="AL25" i="6"/>
  <c r="AH25" i="6"/>
  <c r="AD25" i="6"/>
  <c r="Z25" i="6"/>
  <c r="V25" i="6"/>
  <c r="R25" i="6"/>
  <c r="N25" i="6"/>
  <c r="J25" i="6"/>
  <c r="BI24" i="6"/>
  <c r="BE24" i="6"/>
  <c r="BA24" i="6"/>
  <c r="AW24" i="6"/>
  <c r="AS24" i="6"/>
  <c r="AO24" i="6"/>
  <c r="AK24" i="6"/>
  <c r="AG24" i="6"/>
  <c r="AC24" i="6"/>
  <c r="Y24" i="6"/>
  <c r="U24" i="6"/>
  <c r="Q24" i="6"/>
  <c r="M24" i="6"/>
  <c r="I24" i="6"/>
  <c r="BH23" i="6"/>
  <c r="BD23" i="6"/>
  <c r="AZ23" i="6"/>
  <c r="AV23" i="6"/>
  <c r="AR23" i="6"/>
  <c r="AN23" i="6"/>
  <c r="AJ23" i="6"/>
  <c r="AF23" i="6"/>
  <c r="AB23" i="6"/>
  <c r="X23" i="6"/>
  <c r="T23" i="6"/>
  <c r="P23" i="6"/>
  <c r="L23" i="6"/>
  <c r="H23" i="6"/>
  <c r="BG22" i="6"/>
  <c r="BC22" i="6"/>
  <c r="AY22" i="6"/>
  <c r="AU22" i="6"/>
  <c r="AQ22" i="6"/>
  <c r="AM22" i="6"/>
  <c r="AI22" i="6"/>
  <c r="AE22" i="6"/>
  <c r="AA22" i="6"/>
  <c r="W22" i="6"/>
  <c r="S22" i="6"/>
  <c r="O22" i="6"/>
  <c r="K22" i="6"/>
  <c r="BJ21" i="6"/>
  <c r="BF21" i="6"/>
  <c r="BB21" i="6"/>
  <c r="AX21" i="6"/>
  <c r="AT21" i="6"/>
  <c r="AP21" i="6"/>
  <c r="AL21" i="6"/>
  <c r="AH21" i="6"/>
  <c r="AD21" i="6"/>
  <c r="Z21" i="6"/>
  <c r="V21" i="6"/>
  <c r="R21" i="6"/>
  <c r="N21" i="6"/>
  <c r="J21" i="6"/>
  <c r="BI20" i="6"/>
  <c r="BE20" i="6"/>
  <c r="BA20" i="6"/>
  <c r="AW20" i="6"/>
  <c r="AS20" i="6"/>
  <c r="AO20" i="6"/>
  <c r="AK20" i="6"/>
  <c r="AG20" i="6"/>
  <c r="AC20" i="6"/>
  <c r="Y20" i="6"/>
  <c r="U20" i="6"/>
  <c r="Q20" i="6"/>
  <c r="M20" i="6"/>
  <c r="I20" i="6"/>
  <c r="BH19" i="6"/>
  <c r="BD19" i="6"/>
  <c r="AZ19" i="6"/>
  <c r="AV19" i="6"/>
  <c r="AR19" i="6"/>
  <c r="AN19" i="6"/>
  <c r="AJ19" i="6"/>
  <c r="AF19" i="6"/>
  <c r="AB19" i="6"/>
  <c r="X19" i="6"/>
  <c r="T19" i="6"/>
  <c r="P19" i="6"/>
  <c r="L19" i="6"/>
  <c r="H19" i="6"/>
  <c r="BG18" i="6"/>
  <c r="BC18" i="6"/>
  <c r="AY18" i="6"/>
  <c r="AU18" i="6"/>
  <c r="AQ18" i="6"/>
  <c r="AM18" i="6"/>
  <c r="AI18" i="6"/>
  <c r="AE18" i="6"/>
  <c r="AA18" i="6"/>
  <c r="W18" i="6"/>
  <c r="S18" i="6"/>
  <c r="O18" i="6"/>
  <c r="K18" i="6"/>
  <c r="BJ17" i="6"/>
  <c r="BF17" i="6"/>
  <c r="BB17" i="6"/>
  <c r="AX17" i="6"/>
  <c r="AT17" i="6"/>
  <c r="AP17" i="6"/>
  <c r="AL17" i="6"/>
  <c r="AH17" i="6"/>
  <c r="AD17" i="6"/>
  <c r="Z17" i="6"/>
  <c r="V17" i="6"/>
  <c r="R17" i="6"/>
  <c r="N17" i="6"/>
  <c r="J17" i="6"/>
  <c r="BI16" i="6"/>
  <c r="BE16" i="6"/>
  <c r="BA16" i="6"/>
  <c r="AW16" i="6"/>
  <c r="AS16" i="6"/>
  <c r="AO16" i="6"/>
  <c r="AK16" i="6"/>
  <c r="AG16" i="6"/>
  <c r="AC16" i="6"/>
  <c r="Y16" i="6"/>
  <c r="U16" i="6"/>
  <c r="Q16" i="6"/>
  <c r="M16" i="6"/>
  <c r="I16" i="6"/>
  <c r="BH15" i="6"/>
  <c r="BD15" i="6"/>
  <c r="AZ15" i="6"/>
  <c r="AV15" i="6"/>
  <c r="AR15" i="6"/>
  <c r="AN15" i="6"/>
  <c r="AJ15" i="6"/>
  <c r="AF15" i="6"/>
  <c r="AB15" i="6"/>
  <c r="X15" i="6"/>
  <c r="T15" i="6"/>
  <c r="P15" i="6"/>
  <c r="L15" i="6"/>
  <c r="H15" i="6"/>
  <c r="BG14" i="6"/>
  <c r="BC14" i="6"/>
  <c r="AY14" i="6"/>
  <c r="AU14" i="6"/>
  <c r="AQ14" i="6"/>
  <c r="AM14" i="6"/>
  <c r="AI14" i="6"/>
  <c r="AE14" i="6"/>
  <c r="AA14" i="6"/>
  <c r="W14" i="6"/>
  <c r="S14" i="6"/>
  <c r="O14" i="6"/>
  <c r="K14" i="6"/>
  <c r="BI13" i="6"/>
  <c r="BE13" i="6"/>
  <c r="BA13" i="6"/>
  <c r="AW13" i="6"/>
  <c r="AS13" i="6"/>
  <c r="AO13" i="6"/>
  <c r="AK13" i="6"/>
  <c r="AG13" i="6"/>
  <c r="AC13" i="6"/>
  <c r="Y13" i="6"/>
  <c r="BG12" i="6"/>
  <c r="BC12" i="6"/>
  <c r="AY12" i="6"/>
  <c r="AU12" i="6"/>
  <c r="AQ12" i="6"/>
  <c r="AM12" i="6"/>
  <c r="AI12" i="6"/>
  <c r="AE12" i="6"/>
  <c r="AA12" i="6"/>
  <c r="W12" i="6"/>
  <c r="BI11" i="6"/>
  <c r="BE11" i="6"/>
  <c r="BA11" i="6"/>
  <c r="AW11" i="6"/>
  <c r="AS11" i="6"/>
  <c r="AO11" i="6"/>
  <c r="AG11" i="6"/>
  <c r="Y11" i="6"/>
  <c r="BC10" i="6"/>
  <c r="AU10" i="6"/>
  <c r="AM10" i="6"/>
  <c r="AA10" i="6"/>
  <c r="AS15" i="6"/>
  <c r="AK15" i="6"/>
  <c r="AC15" i="6"/>
  <c r="U15" i="6"/>
  <c r="M15" i="6"/>
  <c r="BH14" i="6"/>
  <c r="AZ14" i="6"/>
  <c r="AR14" i="6"/>
  <c r="AJ14" i="6"/>
  <c r="AB14" i="6"/>
  <c r="T14" i="6"/>
  <c r="L14" i="6"/>
  <c r="BH13" i="6"/>
  <c r="AZ13" i="6"/>
  <c r="AR13" i="6"/>
  <c r="AL13" i="6"/>
  <c r="AH13" i="6"/>
  <c r="AD13" i="6"/>
  <c r="Z13" i="6"/>
  <c r="BJ12" i="6"/>
  <c r="BF12" i="6"/>
  <c r="BB12" i="6"/>
  <c r="AX12" i="6"/>
  <c r="AT12" i="6"/>
  <c r="AP12" i="6"/>
  <c r="AL12" i="6"/>
  <c r="AH12" i="6"/>
  <c r="AD12" i="6"/>
  <c r="Z12" i="6"/>
  <c r="BJ11" i="6"/>
  <c r="BF11" i="6"/>
  <c r="BB11" i="6"/>
  <c r="AX11" i="6"/>
  <c r="AT11" i="6"/>
  <c r="AP11" i="6"/>
  <c r="AL11" i="6"/>
  <c r="AH11" i="6"/>
  <c r="AD11" i="6"/>
  <c r="Z11" i="6"/>
  <c r="BJ10" i="6"/>
  <c r="BF10" i="6"/>
  <c r="BB10" i="6"/>
  <c r="AX10" i="6"/>
  <c r="AT10" i="6"/>
  <c r="AP10" i="6"/>
  <c r="AL10" i="6"/>
  <c r="AH10" i="6"/>
  <c r="AD10" i="6"/>
  <c r="Z10" i="6"/>
  <c r="Y37" i="6"/>
  <c r="Q37" i="6"/>
  <c r="I37" i="6"/>
  <c r="BD36" i="6"/>
  <c r="AV36" i="6"/>
  <c r="AN36" i="6"/>
  <c r="AF36" i="6"/>
  <c r="X36" i="6"/>
  <c r="P36" i="6"/>
  <c r="H36" i="6"/>
  <c r="BC35" i="6"/>
  <c r="AU35" i="6"/>
  <c r="AP35" i="6"/>
  <c r="AL35" i="6"/>
  <c r="AH35" i="6"/>
  <c r="AD35" i="6"/>
  <c r="Z35" i="6"/>
  <c r="V35" i="6"/>
  <c r="R35" i="6"/>
  <c r="N35" i="6"/>
  <c r="J35" i="6"/>
  <c r="BI34" i="6"/>
  <c r="BE34" i="6"/>
  <c r="BA34" i="6"/>
  <c r="AW34" i="6"/>
  <c r="AS34" i="6"/>
  <c r="AO34" i="6"/>
  <c r="AK34" i="6"/>
  <c r="AG34" i="6"/>
  <c r="AC34" i="6"/>
  <c r="Y34" i="6"/>
  <c r="U34" i="6"/>
  <c r="Q34" i="6"/>
  <c r="M34" i="6"/>
  <c r="I34" i="6"/>
  <c r="BH33" i="6"/>
  <c r="BD33" i="6"/>
  <c r="AZ33" i="6"/>
  <c r="AV33" i="6"/>
  <c r="AR33" i="6"/>
  <c r="AN33" i="6"/>
  <c r="AJ33" i="6"/>
  <c r="AF33" i="6"/>
  <c r="AB33" i="6"/>
  <c r="X33" i="6"/>
  <c r="T33" i="6"/>
  <c r="P33" i="6"/>
  <c r="L33" i="6"/>
  <c r="H33" i="6"/>
  <c r="BG32" i="6"/>
  <c r="BC32" i="6"/>
  <c r="AY32" i="6"/>
  <c r="AU32" i="6"/>
  <c r="AQ32" i="6"/>
  <c r="AM32" i="6"/>
  <c r="AI32" i="6"/>
  <c r="AE32" i="6"/>
  <c r="AA32" i="6"/>
  <c r="W32" i="6"/>
  <c r="S32" i="6"/>
  <c r="O32" i="6"/>
  <c r="K32" i="6"/>
  <c r="BJ31" i="6"/>
  <c r="BF31" i="6"/>
  <c r="BB31" i="6"/>
  <c r="AX31" i="6"/>
  <c r="AT31" i="6"/>
  <c r="AP31" i="6"/>
  <c r="AL31" i="6"/>
  <c r="AH31" i="6"/>
  <c r="AD31" i="6"/>
  <c r="Z31" i="6"/>
  <c r="V31" i="6"/>
  <c r="R31" i="6"/>
  <c r="N31" i="6"/>
  <c r="J31" i="6"/>
  <c r="BI30" i="6"/>
  <c r="BE30" i="6"/>
  <c r="BA30" i="6"/>
  <c r="AW30" i="6"/>
  <c r="AS30" i="6"/>
  <c r="AO30" i="6"/>
  <c r="AK30" i="6"/>
  <c r="AG30" i="6"/>
  <c r="AC30" i="6"/>
  <c r="Y30" i="6"/>
  <c r="U30" i="6"/>
  <c r="Q30" i="6"/>
  <c r="M30" i="6"/>
  <c r="I30" i="6"/>
  <c r="BH29" i="6"/>
  <c r="BD29" i="6"/>
  <c r="AZ29" i="6"/>
  <c r="AV29" i="6"/>
  <c r="AR29" i="6"/>
  <c r="AN29" i="6"/>
  <c r="AJ29" i="6"/>
  <c r="AF29" i="6"/>
  <c r="AB29" i="6"/>
  <c r="X29" i="6"/>
  <c r="T29" i="6"/>
  <c r="P29" i="6"/>
  <c r="L29" i="6"/>
  <c r="H29" i="6"/>
  <c r="BG28" i="6"/>
  <c r="BC28" i="6"/>
  <c r="AY28" i="6"/>
  <c r="AU28" i="6"/>
  <c r="AQ28" i="6"/>
  <c r="AM28" i="6"/>
  <c r="AI28" i="6"/>
  <c r="AE28" i="6"/>
  <c r="AA28" i="6"/>
  <c r="W28" i="6"/>
  <c r="S28" i="6"/>
  <c r="O28" i="6"/>
  <c r="K28" i="6"/>
  <c r="BJ27" i="6"/>
  <c r="BF27" i="6"/>
  <c r="BB27" i="6"/>
  <c r="AX27" i="6"/>
  <c r="AT27" i="6"/>
  <c r="AP27" i="6"/>
  <c r="AL27" i="6"/>
  <c r="AH27" i="6"/>
  <c r="AD27" i="6"/>
  <c r="Z27" i="6"/>
  <c r="V27" i="6"/>
  <c r="R27" i="6"/>
  <c r="N27" i="6"/>
  <c r="J27" i="6"/>
  <c r="BI26" i="6"/>
  <c r="BE26" i="6"/>
  <c r="BA26" i="6"/>
  <c r="AW26" i="6"/>
  <c r="AS26" i="6"/>
  <c r="AO26" i="6"/>
  <c r="AK26" i="6"/>
  <c r="AG26" i="6"/>
  <c r="AC26" i="6"/>
  <c r="Y26" i="6"/>
  <c r="U26" i="6"/>
  <c r="Q26" i="6"/>
  <c r="M26" i="6"/>
  <c r="I26" i="6"/>
  <c r="BH25" i="6"/>
  <c r="BD25" i="6"/>
  <c r="AZ25" i="6"/>
  <c r="AV25" i="6"/>
  <c r="AR25" i="6"/>
  <c r="AN25" i="6"/>
  <c r="AJ25" i="6"/>
  <c r="AF25" i="6"/>
  <c r="AB25" i="6"/>
  <c r="X25" i="6"/>
  <c r="T25" i="6"/>
  <c r="P25" i="6"/>
  <c r="L25" i="6"/>
  <c r="H25" i="6"/>
  <c r="BG24" i="6"/>
  <c r="BC24" i="6"/>
  <c r="AY24" i="6"/>
  <c r="AU24" i="6"/>
  <c r="AQ24" i="6"/>
  <c r="AM24" i="6"/>
  <c r="AI24" i="6"/>
  <c r="AE24" i="6"/>
  <c r="AA24" i="6"/>
  <c r="W24" i="6"/>
  <c r="S24" i="6"/>
  <c r="O24" i="6"/>
  <c r="K24" i="6"/>
  <c r="BJ23" i="6"/>
  <c r="BF23" i="6"/>
  <c r="BB23" i="6"/>
  <c r="AX23" i="6"/>
  <c r="AT23" i="6"/>
  <c r="AP23" i="6"/>
  <c r="AL23" i="6"/>
  <c r="AH23" i="6"/>
  <c r="AD23" i="6"/>
  <c r="Z23" i="6"/>
  <c r="V23" i="6"/>
  <c r="R23" i="6"/>
  <c r="N23" i="6"/>
  <c r="J23" i="6"/>
  <c r="BI22" i="6"/>
  <c r="BE22" i="6"/>
  <c r="BA22" i="6"/>
  <c r="AW22" i="6"/>
  <c r="AS22" i="6"/>
  <c r="AO22" i="6"/>
  <c r="AK22" i="6"/>
  <c r="AG22" i="6"/>
  <c r="AC22" i="6"/>
  <c r="Y22" i="6"/>
  <c r="U22" i="6"/>
  <c r="Q22" i="6"/>
  <c r="M22" i="6"/>
  <c r="I22" i="6"/>
  <c r="BH21" i="6"/>
  <c r="BD21" i="6"/>
  <c r="AZ21" i="6"/>
  <c r="AV21" i="6"/>
  <c r="AR21" i="6"/>
  <c r="AN21" i="6"/>
  <c r="AJ21" i="6"/>
  <c r="AF21" i="6"/>
  <c r="AB21" i="6"/>
  <c r="X21" i="6"/>
  <c r="T21" i="6"/>
  <c r="P21" i="6"/>
  <c r="L21" i="6"/>
  <c r="H21" i="6"/>
  <c r="BG20" i="6"/>
  <c r="BC20" i="6"/>
  <c r="AY20" i="6"/>
  <c r="AU20" i="6"/>
  <c r="AQ20" i="6"/>
  <c r="AM20" i="6"/>
  <c r="AI20" i="6"/>
  <c r="AE20" i="6"/>
  <c r="AA20" i="6"/>
  <c r="W20" i="6"/>
  <c r="S20" i="6"/>
  <c r="O20" i="6"/>
  <c r="K20" i="6"/>
  <c r="BJ19" i="6"/>
  <c r="BF19" i="6"/>
  <c r="BB19" i="6"/>
  <c r="AX19" i="6"/>
  <c r="AT19" i="6"/>
  <c r="AP19" i="6"/>
  <c r="AL19" i="6"/>
  <c r="AH19" i="6"/>
  <c r="AD19" i="6"/>
  <c r="Z19" i="6"/>
  <c r="V19" i="6"/>
  <c r="R19" i="6"/>
  <c r="N19" i="6"/>
  <c r="J19" i="6"/>
  <c r="BI18" i="6"/>
  <c r="BE18" i="6"/>
  <c r="BA18" i="6"/>
  <c r="AW18" i="6"/>
  <c r="AS18" i="6"/>
  <c r="AO18" i="6"/>
  <c r="AK18" i="6"/>
  <c r="AG18" i="6"/>
  <c r="AC18" i="6"/>
  <c r="Y18" i="6"/>
  <c r="U18" i="6"/>
  <c r="Q18" i="6"/>
  <c r="M18" i="6"/>
  <c r="I18" i="6"/>
  <c r="BH17" i="6"/>
  <c r="BD17" i="6"/>
  <c r="AZ17" i="6"/>
  <c r="AV17" i="6"/>
  <c r="AR17" i="6"/>
  <c r="AN17" i="6"/>
  <c r="AJ17" i="6"/>
  <c r="AF17" i="6"/>
  <c r="AB17" i="6"/>
  <c r="X17" i="6"/>
  <c r="T17" i="6"/>
  <c r="P17" i="6"/>
  <c r="L17" i="6"/>
  <c r="H17" i="6"/>
  <c r="BG16" i="6"/>
  <c r="BC16" i="6"/>
  <c r="AY16" i="6"/>
  <c r="AU16" i="6"/>
  <c r="AQ16" i="6"/>
  <c r="AM16" i="6"/>
  <c r="AI16" i="6"/>
  <c r="AE16" i="6"/>
  <c r="AA16" i="6"/>
  <c r="W16" i="6"/>
  <c r="S16" i="6"/>
  <c r="O16" i="6"/>
  <c r="K16" i="6"/>
  <c r="BJ15" i="6"/>
  <c r="BF15" i="6"/>
  <c r="BB15" i="6"/>
  <c r="AX15" i="6"/>
  <c r="AT15" i="6"/>
  <c r="AP15" i="6"/>
  <c r="AL15" i="6"/>
  <c r="AH15" i="6"/>
  <c r="AD15" i="6"/>
  <c r="Z15" i="6"/>
  <c r="V15" i="6"/>
  <c r="R15" i="6"/>
  <c r="N15" i="6"/>
  <c r="J15" i="6"/>
  <c r="BI14" i="6"/>
  <c r="BE14" i="6"/>
  <c r="BA14" i="6"/>
  <c r="AW14" i="6"/>
  <c r="AS14" i="6"/>
  <c r="AO14" i="6"/>
  <c r="AK14" i="6"/>
  <c r="AG14" i="6"/>
  <c r="AC14" i="6"/>
  <c r="Y14" i="6"/>
  <c r="U14" i="6"/>
  <c r="Q14" i="6"/>
  <c r="M14" i="6"/>
  <c r="I14" i="6"/>
  <c r="BG13" i="6"/>
  <c r="BC13" i="6"/>
  <c r="AY13" i="6"/>
  <c r="AU13" i="6"/>
  <c r="AQ13" i="6"/>
  <c r="AM13" i="6"/>
  <c r="AI13" i="6"/>
  <c r="AE13" i="6"/>
  <c r="AA13" i="6"/>
  <c r="W13" i="6"/>
  <c r="BI12" i="6"/>
  <c r="BE12" i="6"/>
  <c r="BA12" i="6"/>
  <c r="AW12" i="6"/>
  <c r="AS12" i="6"/>
  <c r="AO12" i="6"/>
  <c r="AK12" i="6"/>
  <c r="AG12" i="6"/>
  <c r="AC12" i="6"/>
  <c r="Y12" i="6"/>
  <c r="BG11" i="6"/>
  <c r="BC11" i="6"/>
  <c r="AY11" i="6"/>
  <c r="AU11" i="6"/>
  <c r="AQ11" i="6"/>
  <c r="AM11" i="6"/>
  <c r="AI11" i="6"/>
  <c r="AE11" i="6"/>
  <c r="AA11" i="6"/>
  <c r="W11" i="6"/>
  <c r="BI10" i="6"/>
  <c r="BE10" i="6"/>
  <c r="BA10" i="6"/>
  <c r="AW10" i="6"/>
  <c r="AS10" i="6"/>
  <c r="AO10" i="6"/>
  <c r="AK10" i="6"/>
  <c r="AG10" i="6"/>
  <c r="AC10" i="6"/>
  <c r="Y10" i="6"/>
  <c r="AK11" i="6"/>
  <c r="AC11" i="6"/>
  <c r="BG10" i="6"/>
  <c r="AY10" i="6"/>
  <c r="AQ10" i="6"/>
  <c r="AI10" i="6"/>
  <c r="AE10" i="6"/>
  <c r="W10" i="6"/>
  <c r="AK14" i="4"/>
  <c r="AL14" i="4"/>
  <c r="AG15" i="4"/>
  <c r="AO15" i="4"/>
  <c r="AL15" i="4"/>
  <c r="AM14" i="4"/>
  <c r="AN14" i="4"/>
  <c r="AI15" i="4"/>
  <c r="AQ15" i="4"/>
  <c r="AN15" i="4"/>
  <c r="AG14" i="4"/>
  <c r="AO14" i="4"/>
  <c r="AH14" i="4"/>
  <c r="AP14" i="4"/>
  <c r="AK15" i="4"/>
  <c r="AH15" i="4"/>
  <c r="AP15" i="4"/>
  <c r="AI14" i="4"/>
  <c r="AQ14" i="4"/>
  <c r="AJ14" i="4"/>
  <c r="AR14" i="4"/>
  <c r="AM15" i="4"/>
  <c r="AJ15" i="4"/>
  <c r="AR15" i="4"/>
  <c r="DS10" i="2"/>
  <c r="BL11" i="2"/>
  <c r="P13" i="6"/>
  <c r="H13" i="6"/>
  <c r="P12" i="6"/>
  <c r="H12" i="6"/>
  <c r="P11" i="6"/>
  <c r="H11" i="6"/>
  <c r="P10" i="6"/>
  <c r="H10" i="6"/>
  <c r="U13" i="6"/>
  <c r="M13" i="6"/>
  <c r="S12" i="6"/>
  <c r="K12" i="6"/>
  <c r="I11" i="6"/>
  <c r="K10" i="6"/>
  <c r="V13" i="6"/>
  <c r="N13" i="6"/>
  <c r="V12" i="6"/>
  <c r="N12" i="6"/>
  <c r="V11" i="6"/>
  <c r="N11" i="6"/>
  <c r="V10" i="6"/>
  <c r="N10" i="6"/>
  <c r="S13" i="6"/>
  <c r="K13" i="6"/>
  <c r="Q12" i="6"/>
  <c r="I12" i="6"/>
  <c r="O11" i="6"/>
  <c r="U10" i="6"/>
  <c r="M10" i="6"/>
  <c r="U11" i="6"/>
  <c r="O10" i="6"/>
  <c r="AO11" i="4"/>
  <c r="AG13" i="4"/>
  <c r="AP11" i="4"/>
  <c r="AH13" i="4"/>
  <c r="AI10" i="4"/>
  <c r="AU13" i="4"/>
  <c r="AI11" i="4"/>
  <c r="AM12" i="4"/>
  <c r="AQ13" i="4"/>
  <c r="AJ11" i="4"/>
  <c r="AN12" i="4"/>
  <c r="AR13" i="4"/>
  <c r="AJ10" i="4"/>
  <c r="AR10" i="4"/>
  <c r="AU11" i="4"/>
  <c r="AT10" i="4"/>
  <c r="AK11" i="4"/>
  <c r="AO12" i="4"/>
  <c r="AL11" i="4"/>
  <c r="AP12" i="4"/>
  <c r="AL10" i="4"/>
  <c r="AO10" i="4"/>
  <c r="AT12" i="4"/>
  <c r="AS10" i="4"/>
  <c r="AI12" i="4"/>
  <c r="AM13" i="4"/>
  <c r="AJ12" i="4"/>
  <c r="AN13" i="4"/>
  <c r="AG10" i="4"/>
  <c r="AU10" i="4"/>
  <c r="BL10" i="2"/>
  <c r="BL12" i="2"/>
  <c r="T13" i="6"/>
  <c r="L13" i="6"/>
  <c r="T12" i="6"/>
  <c r="L12" i="6"/>
  <c r="T11" i="6"/>
  <c r="L11" i="6"/>
  <c r="T10" i="6"/>
  <c r="L10" i="6"/>
  <c r="Q13" i="6"/>
  <c r="I13" i="6"/>
  <c r="O12" i="6"/>
  <c r="Q11" i="6"/>
  <c r="S10" i="6"/>
  <c r="R13" i="6"/>
  <c r="J13" i="6"/>
  <c r="R12" i="6"/>
  <c r="J12" i="6"/>
  <c r="R11" i="6"/>
  <c r="J11" i="6"/>
  <c r="R10" i="6"/>
  <c r="J10" i="6"/>
  <c r="O13" i="6"/>
  <c r="U12" i="6"/>
  <c r="M12" i="6"/>
  <c r="S11" i="6"/>
  <c r="K11" i="6"/>
  <c r="Q10" i="6"/>
  <c r="I10" i="6"/>
  <c r="M11" i="6"/>
  <c r="AG11" i="4"/>
  <c r="AK12" i="4"/>
  <c r="AO13" i="4"/>
  <c r="AH11" i="4"/>
  <c r="AL12" i="4"/>
  <c r="AP13" i="4"/>
  <c r="AH10" i="4"/>
  <c r="AP10" i="4"/>
  <c r="AS11" i="4"/>
  <c r="AT13" i="4"/>
  <c r="AQ11" i="4"/>
  <c r="AI13" i="4"/>
  <c r="AR11" i="4"/>
  <c r="AJ13" i="4"/>
  <c r="AK10" i="4"/>
  <c r="AT11" i="4"/>
  <c r="AU12" i="4"/>
  <c r="AG12" i="4"/>
  <c r="AK13" i="4"/>
  <c r="AH12" i="4"/>
  <c r="AL13" i="4"/>
  <c r="AM10" i="4"/>
  <c r="AS12" i="4"/>
  <c r="AM11" i="4"/>
  <c r="AQ12" i="4"/>
  <c r="AN11" i="4"/>
  <c r="AR12" i="4"/>
  <c r="AN10" i="4"/>
  <c r="AQ10" i="4"/>
  <c r="AS13" i="4"/>
  <c r="G17" i="6" l="1"/>
  <c r="G21" i="6"/>
  <c r="G25" i="6"/>
  <c r="G29" i="6"/>
  <c r="G33" i="6"/>
  <c r="G36" i="6"/>
  <c r="G15" i="6"/>
  <c r="G19" i="6"/>
  <c r="G23" i="6"/>
  <c r="G27" i="6"/>
  <c r="G31" i="6"/>
  <c r="G35" i="6"/>
  <c r="G14" i="6"/>
  <c r="G16" i="6"/>
  <c r="G20" i="6"/>
  <c r="G24" i="6"/>
  <c r="G28" i="6"/>
  <c r="G32" i="6"/>
  <c r="G38" i="6"/>
  <c r="G42" i="6"/>
  <c r="G46" i="6"/>
  <c r="G50" i="6"/>
  <c r="G54" i="6"/>
  <c r="G62" i="6"/>
  <c r="G66" i="6"/>
  <c r="G70" i="6"/>
  <c r="G74" i="6"/>
  <c r="G37" i="6"/>
  <c r="G41" i="6"/>
  <c r="G45" i="6"/>
  <c r="G49" i="6"/>
  <c r="G53" i="6"/>
  <c r="G18" i="6"/>
  <c r="G22" i="6"/>
  <c r="G26" i="6"/>
  <c r="G30" i="6"/>
  <c r="G34" i="6"/>
  <c r="G40" i="6"/>
  <c r="G44" i="6"/>
  <c r="G48" i="6"/>
  <c r="G52" i="6"/>
  <c r="G56" i="6"/>
  <c r="G64" i="6"/>
  <c r="G68" i="6"/>
  <c r="G39" i="6"/>
  <c r="G43" i="6"/>
  <c r="G47" i="6"/>
  <c r="G51" i="6"/>
  <c r="G55" i="6"/>
  <c r="G63" i="6"/>
  <c r="G67" i="6"/>
  <c r="G71" i="6"/>
  <c r="G76" i="6"/>
  <c r="G85" i="6"/>
  <c r="G93" i="6"/>
  <c r="G101" i="6"/>
  <c r="G109" i="6"/>
  <c r="G73" i="6"/>
  <c r="G77" i="6"/>
  <c r="G79" i="6"/>
  <c r="G87" i="6"/>
  <c r="G95" i="6"/>
  <c r="G103" i="6"/>
  <c r="G111" i="6"/>
  <c r="G114" i="6"/>
  <c r="G80" i="6"/>
  <c r="G84" i="6"/>
  <c r="G61" i="6"/>
  <c r="G65" i="6"/>
  <c r="G69" i="6"/>
  <c r="G72" i="6"/>
  <c r="G81" i="6"/>
  <c r="G89" i="6"/>
  <c r="G97" i="6"/>
  <c r="G105" i="6"/>
  <c r="G75" i="6"/>
  <c r="G83" i="6"/>
  <c r="G91" i="6"/>
  <c r="G99" i="6"/>
  <c r="G107" i="6"/>
  <c r="G78" i="6"/>
  <c r="G82" i="6"/>
  <c r="G86" i="6"/>
  <c r="G90" i="6"/>
  <c r="G94" i="6"/>
  <c r="G98" i="6"/>
  <c r="G102" i="6"/>
  <c r="G106" i="6"/>
  <c r="G110" i="6"/>
  <c r="G120" i="6"/>
  <c r="G88" i="6"/>
  <c r="G92" i="6"/>
  <c r="G96" i="6"/>
  <c r="G100" i="6"/>
  <c r="G104" i="6"/>
  <c r="G108" i="6"/>
  <c r="G112" i="6"/>
  <c r="G116" i="6"/>
  <c r="G124" i="6"/>
  <c r="G122" i="6"/>
  <c r="G130" i="6"/>
  <c r="G139" i="6"/>
  <c r="G148" i="6"/>
  <c r="G115" i="6"/>
  <c r="G119" i="6"/>
  <c r="G123" i="6"/>
  <c r="G127" i="6"/>
  <c r="G128" i="6"/>
  <c r="G135" i="6"/>
  <c r="G118" i="6"/>
  <c r="G126" i="6"/>
  <c r="G143" i="6"/>
  <c r="G113" i="6"/>
  <c r="G117" i="6"/>
  <c r="G121" i="6"/>
  <c r="G125" i="6"/>
  <c r="G129" i="6"/>
  <c r="G131" i="6"/>
  <c r="G137" i="6"/>
  <c r="G145" i="6"/>
  <c r="G132" i="6"/>
  <c r="G136" i="6"/>
  <c r="G133" i="6"/>
  <c r="G141" i="6"/>
  <c r="G152" i="6"/>
  <c r="G134" i="6"/>
  <c r="G138" i="6"/>
  <c r="G142" i="6"/>
  <c r="G146" i="6"/>
  <c r="G153" i="6"/>
  <c r="G149" i="6"/>
  <c r="G151" i="6"/>
  <c r="G140" i="6"/>
  <c r="G144" i="6"/>
  <c r="G150" i="6"/>
  <c r="G147" i="6"/>
  <c r="G155" i="6"/>
  <c r="G154" i="6"/>
  <c r="G156" i="6"/>
  <c r="BM183" i="7"/>
  <c r="BM181" i="7"/>
  <c r="BM182" i="7"/>
  <c r="BM180" i="7"/>
  <c r="BN164" i="2"/>
  <c r="BN163" i="2"/>
  <c r="BN10" i="2"/>
  <c r="BN165" i="2"/>
  <c r="BO7" i="6"/>
  <c r="G10" i="2"/>
  <c r="H7" i="6"/>
  <c r="G11" i="2"/>
  <c r="F11" i="2" s="1"/>
  <c r="AL7" i="4"/>
  <c r="AR7" i="4"/>
  <c r="AG7" i="4"/>
  <c r="AH7" i="4"/>
  <c r="AJ7" i="4"/>
  <c r="AN7" i="4"/>
  <c r="AP7" i="4"/>
  <c r="AT7" i="4"/>
  <c r="AI7" i="4"/>
  <c r="AK7" i="4"/>
  <c r="AM7" i="4"/>
  <c r="AO7" i="4"/>
  <c r="AQ7" i="4"/>
  <c r="AS7" i="4"/>
  <c r="AU7" i="4"/>
  <c r="CN7" i="4"/>
  <c r="G12" i="2"/>
  <c r="F12" i="2" s="1"/>
  <c r="G13" i="2"/>
  <c r="F13" i="2" s="1"/>
  <c r="F173" i="2"/>
  <c r="F56" i="2"/>
  <c r="F54" i="2"/>
  <c r="F52" i="2"/>
  <c r="F48" i="2"/>
  <c r="F46" i="2"/>
  <c r="F44" i="2"/>
  <c r="F42" i="2"/>
  <c r="F40" i="2"/>
  <c r="F38" i="2"/>
  <c r="F36" i="2"/>
  <c r="F32" i="2"/>
  <c r="F30" i="2"/>
  <c r="F28" i="2"/>
  <c r="F26" i="2"/>
  <c r="F24" i="2"/>
  <c r="F22" i="2"/>
  <c r="F20" i="2"/>
  <c r="F16" i="2"/>
  <c r="F14" i="2"/>
  <c r="F174" i="2"/>
  <c r="F55" i="2"/>
  <c r="F51" i="2"/>
  <c r="F47" i="2"/>
  <c r="F43" i="2"/>
  <c r="F39" i="2"/>
  <c r="F35" i="2"/>
  <c r="F31" i="2"/>
  <c r="F27" i="2"/>
  <c r="F23" i="2"/>
  <c r="F19" i="2"/>
  <c r="F15" i="2"/>
  <c r="F171" i="2"/>
  <c r="F53" i="2"/>
  <c r="F49" i="2"/>
  <c r="F45" i="2"/>
  <c r="F41" i="2"/>
  <c r="F37" i="2"/>
  <c r="F33" i="2"/>
  <c r="F29" i="2"/>
  <c r="F25" i="2"/>
  <c r="F21" i="2"/>
  <c r="F17" i="2"/>
  <c r="F50" i="2"/>
  <c r="F34" i="2"/>
  <c r="F18" i="2"/>
  <c r="U10" i="4"/>
  <c r="T10" i="4"/>
  <c r="S10" i="4"/>
  <c r="R10" i="4"/>
  <c r="Q10" i="4"/>
  <c r="V10" i="4" s="1"/>
  <c r="W10" i="4" s="1"/>
  <c r="N10" i="4"/>
  <c r="O10" i="4"/>
  <c r="M10" i="4"/>
  <c r="L10" i="4"/>
  <c r="K10" i="4"/>
  <c r="DR10" i="2" l="1"/>
  <c r="F10" i="2"/>
  <c r="G60" i="6"/>
  <c r="G59" i="6"/>
  <c r="G58" i="6"/>
  <c r="G57" i="6"/>
  <c r="G12" i="6"/>
  <c r="G13" i="6"/>
  <c r="G11" i="6"/>
  <c r="G10" i="6"/>
  <c r="P10" i="4"/>
  <c r="F10" i="6" l="1"/>
  <c r="BI11" i="4"/>
  <c r="BY11" i="4"/>
  <c r="BB12" i="4"/>
  <c r="BR12" i="4"/>
  <c r="CH12" i="4"/>
  <c r="BK13" i="4"/>
  <c r="CA13" i="4"/>
  <c r="AZ14" i="4"/>
  <c r="BP14" i="4"/>
  <c r="CF14" i="4"/>
  <c r="BE15" i="4"/>
  <c r="BJ11" i="4"/>
  <c r="BC12" i="4"/>
  <c r="CI12" i="4"/>
  <c r="BT13" i="4"/>
  <c r="BM14" i="4"/>
  <c r="BF15" i="4"/>
  <c r="BZ15" i="4"/>
  <c r="AM16" i="4"/>
  <c r="BC16" i="4"/>
  <c r="BS16" i="4"/>
  <c r="BX11" i="4"/>
  <c r="BQ12" i="4"/>
  <c r="BK11" i="4"/>
  <c r="AV12" i="4"/>
  <c r="CB12" i="4"/>
  <c r="BU13" i="4"/>
  <c r="BN14" i="4"/>
  <c r="BG15" i="4"/>
  <c r="BG12" i="4"/>
  <c r="CF13" i="4"/>
  <c r="BB15" i="4"/>
  <c r="AK16" i="4"/>
  <c r="BQ16" i="4"/>
  <c r="BM12" i="4"/>
  <c r="BR13" i="4"/>
  <c r="BC14" i="4"/>
  <c r="CI14" i="4"/>
  <c r="BQ15" i="4"/>
  <c r="CG15" i="4"/>
  <c r="AT16" i="4"/>
  <c r="BJ16" i="4"/>
  <c r="BZ16" i="4"/>
  <c r="AM17" i="4"/>
  <c r="BC17" i="4"/>
  <c r="BS17" i="4"/>
  <c r="CA16" i="4"/>
  <c r="BD17" i="4"/>
  <c r="CH17" i="4"/>
  <c r="AU18" i="4"/>
  <c r="BK18" i="4"/>
  <c r="CA18" i="4"/>
  <c r="AN19" i="4"/>
  <c r="BD19" i="4"/>
  <c r="BT19" i="4"/>
  <c r="AG20" i="4"/>
  <c r="AW20" i="4"/>
  <c r="BM20" i="4"/>
  <c r="CC20" i="4"/>
  <c r="AP21" i="4"/>
  <c r="BF21" i="4"/>
  <c r="BV21" i="4"/>
  <c r="AI22" i="4"/>
  <c r="AW11" i="4"/>
  <c r="BM11" i="4"/>
  <c r="CC11" i="4"/>
  <c r="BF12" i="4"/>
  <c r="BV12" i="4"/>
  <c r="AY13" i="4"/>
  <c r="BO13" i="4"/>
  <c r="CE13" i="4"/>
  <c r="BD14" i="4"/>
  <c r="BT14" i="4"/>
  <c r="AS15" i="4"/>
  <c r="BI15" i="4"/>
  <c r="BR11" i="4"/>
  <c r="BK12" i="4"/>
  <c r="AV13" i="4"/>
  <c r="CB13" i="4"/>
  <c r="BU14" i="4"/>
  <c r="BN15" i="4"/>
  <c r="CD15" i="4"/>
  <c r="AQ16" i="4"/>
  <c r="BG16" i="4"/>
  <c r="AZ11" i="4"/>
  <c r="CF11" i="4"/>
  <c r="BY12" i="4"/>
  <c r="BS11" i="4"/>
  <c r="BD12" i="4"/>
  <c r="AW13" i="4"/>
  <c r="CC13" i="4"/>
  <c r="AX11" i="4"/>
  <c r="AS14" i="4"/>
  <c r="AS16" i="4"/>
  <c r="CC12" i="4"/>
  <c r="BK14" i="4"/>
  <c r="BU15" i="4"/>
  <c r="AX16" i="4"/>
  <c r="CD16" i="4"/>
  <c r="BG17" i="4"/>
  <c r="CI16" i="4"/>
  <c r="AI18" i="4"/>
  <c r="BO18" i="4"/>
  <c r="AR19" i="4"/>
  <c r="BX19" i="4"/>
  <c r="BA20" i="4"/>
  <c r="CG20" i="4"/>
  <c r="BJ21" i="4"/>
  <c r="AM22" i="4"/>
  <c r="BG22" i="4"/>
  <c r="BW22" i="4"/>
  <c r="AJ23" i="4"/>
  <c r="AZ23" i="4"/>
  <c r="BP23" i="4"/>
  <c r="CF23" i="4"/>
  <c r="AS24" i="4"/>
  <c r="BI24" i="4"/>
  <c r="BY24" i="4"/>
  <c r="AL25" i="4"/>
  <c r="BB25" i="4"/>
  <c r="BR25" i="4"/>
  <c r="CH25" i="4"/>
  <c r="CC16" i="4"/>
  <c r="BF17" i="4"/>
  <c r="CI17" i="4"/>
  <c r="AV18" i="4"/>
  <c r="BL18" i="4"/>
  <c r="CB18" i="4"/>
  <c r="CE11" i="4"/>
  <c r="BQ13" i="4"/>
  <c r="BZ14" i="4"/>
  <c r="CE12" i="4"/>
  <c r="BT15" i="4"/>
  <c r="AV11" i="4"/>
  <c r="BV13" i="4"/>
  <c r="BH15" i="4"/>
  <c r="AN16" i="4"/>
  <c r="BT16" i="4"/>
  <c r="AW17" i="4"/>
  <c r="CC17" i="4"/>
  <c r="BX17" i="4"/>
  <c r="BE18" i="4"/>
  <c r="AH19" i="4"/>
  <c r="BN19" i="4"/>
  <c r="AQ20" i="4"/>
  <c r="BW20" i="4"/>
  <c r="AZ21" i="4"/>
  <c r="CF21" i="4"/>
  <c r="BI22" i="4"/>
  <c r="AL23" i="4"/>
  <c r="BR23" i="4"/>
  <c r="AU24" i="4"/>
  <c r="CA24" i="4"/>
  <c r="BD25" i="4"/>
  <c r="AG26" i="4"/>
  <c r="BJ17" i="4"/>
  <c r="AX18" i="4"/>
  <c r="CD18" i="4"/>
  <c r="AS19" i="4"/>
  <c r="BI19" i="4"/>
  <c r="BY19" i="4"/>
  <c r="AL20" i="4"/>
  <c r="BB20" i="4"/>
  <c r="BR20" i="4"/>
  <c r="CH20" i="4"/>
  <c r="AU21" i="4"/>
  <c r="BK21" i="4"/>
  <c r="CA21" i="4"/>
  <c r="AN22" i="4"/>
  <c r="BD22" i="4"/>
  <c r="BT22" i="4"/>
  <c r="AG23" i="4"/>
  <c r="AW23" i="4"/>
  <c r="BM23" i="4"/>
  <c r="CC23" i="4"/>
  <c r="AP24" i="4"/>
  <c r="BF24" i="4"/>
  <c r="BV24" i="4"/>
  <c r="AI25" i="4"/>
  <c r="AY25" i="4"/>
  <c r="BO25" i="4"/>
  <c r="CE25" i="4"/>
  <c r="AR26" i="4"/>
  <c r="BH26" i="4"/>
  <c r="BI26" i="4"/>
  <c r="CB26" i="4"/>
  <c r="AO27" i="4"/>
  <c r="BE27" i="4"/>
  <c r="BU27" i="4"/>
  <c r="AH28" i="4"/>
  <c r="AX28" i="4"/>
  <c r="BN28" i="4"/>
  <c r="CD28" i="4"/>
  <c r="AQ29" i="4"/>
  <c r="BG29" i="4"/>
  <c r="BW29" i="4"/>
  <c r="AJ30" i="4"/>
  <c r="AZ30" i="4"/>
  <c r="BP30" i="4"/>
  <c r="CF30" i="4"/>
  <c r="AS31" i="4"/>
  <c r="BI31" i="4"/>
  <c r="BY31" i="4"/>
  <c r="AL32" i="4"/>
  <c r="BB32" i="4"/>
  <c r="BR32" i="4"/>
  <c r="CH32" i="4"/>
  <c r="AU33" i="4"/>
  <c r="BK33" i="4"/>
  <c r="CA33" i="4"/>
  <c r="AN34" i="4"/>
  <c r="BD34" i="4"/>
  <c r="BT34" i="4"/>
  <c r="AG35" i="4"/>
  <c r="AW35" i="4"/>
  <c r="BM35" i="4"/>
  <c r="BO26" i="4"/>
  <c r="CE26" i="4"/>
  <c r="AY15" i="4"/>
  <c r="BP13" i="4"/>
  <c r="CF15" i="4"/>
  <c r="AW12" i="4"/>
  <c r="AU14" i="4"/>
  <c r="BL15" i="4"/>
  <c r="AP16" i="4"/>
  <c r="BV16" i="4"/>
  <c r="AY17" i="4"/>
  <c r="CE17" i="4"/>
  <c r="CB17" i="4"/>
  <c r="BG18" i="4"/>
  <c r="AJ19" i="4"/>
  <c r="BP19" i="4"/>
  <c r="AS20" i="4"/>
  <c r="BY20" i="4"/>
  <c r="BB21" i="4"/>
  <c r="CH21" i="4"/>
  <c r="BC22" i="4"/>
  <c r="BS22" i="4"/>
  <c r="CI22" i="4"/>
  <c r="AV23" i="4"/>
  <c r="BL23" i="4"/>
  <c r="CB23" i="4"/>
  <c r="AO24" i="4"/>
  <c r="BE24" i="4"/>
  <c r="BU24" i="4"/>
  <c r="AH25" i="4"/>
  <c r="AX25" i="4"/>
  <c r="BN25" i="4"/>
  <c r="CD25" i="4"/>
  <c r="AQ26" i="4"/>
  <c r="AX17" i="4"/>
  <c r="CD17" i="4"/>
  <c r="AR18" i="4"/>
  <c r="BH18" i="4"/>
  <c r="BX18" i="4"/>
  <c r="BO11" i="4"/>
  <c r="BA13" i="4"/>
  <c r="BJ14" i="4"/>
  <c r="AY12" i="4"/>
  <c r="AT15" i="4"/>
  <c r="CB11" i="4"/>
  <c r="BS15" i="4"/>
  <c r="CB16" i="4"/>
  <c r="CE16" i="4"/>
  <c r="BM18" i="4"/>
  <c r="BV19" i="4"/>
  <c r="CE20" i="4"/>
  <c r="AK22" i="4"/>
  <c r="AT23" i="4"/>
  <c r="BC24" i="4"/>
  <c r="BL25" i="4"/>
  <c r="BZ17" i="4"/>
  <c r="AG19" i="4"/>
  <c r="BM19" i="4"/>
  <c r="AP20" i="4"/>
  <c r="BV20" i="4"/>
  <c r="AY21" i="4"/>
  <c r="CE21" i="4"/>
  <c r="BH22" i="4"/>
  <c r="AK23" i="4"/>
  <c r="BQ23" i="4"/>
  <c r="AT24" i="4"/>
  <c r="BZ24" i="4"/>
  <c r="BC25" i="4"/>
  <c r="CI25" i="4"/>
  <c r="BL26" i="4"/>
  <c r="CF26" i="4"/>
  <c r="BI27" i="4"/>
  <c r="AL28" i="4"/>
  <c r="BR28" i="4"/>
  <c r="AU29" i="4"/>
  <c r="CA29" i="4"/>
  <c r="BD30" i="4"/>
  <c r="AG31" i="4"/>
  <c r="BM31" i="4"/>
  <c r="AP32" i="4"/>
  <c r="BV32" i="4"/>
  <c r="AY33" i="4"/>
  <c r="CE33" i="4"/>
  <c r="BH34" i="4"/>
  <c r="AK35" i="4"/>
  <c r="BQ35" i="4"/>
  <c r="CI26" i="4"/>
  <c r="AV27" i="4"/>
  <c r="BL27" i="4"/>
  <c r="CB27" i="4"/>
  <c r="AO28" i="4"/>
  <c r="BE28" i="4"/>
  <c r="BU28" i="4"/>
  <c r="AH29" i="4"/>
  <c r="AX29" i="4"/>
  <c r="BN29" i="4"/>
  <c r="BG11" i="4"/>
  <c r="CF12" i="4"/>
  <c r="BR14" i="4"/>
  <c r="BF11" i="4"/>
  <c r="CG14" i="4"/>
  <c r="BE16" i="4"/>
  <c r="AX13" i="4"/>
  <c r="BW14" i="4"/>
  <c r="CE15" i="4"/>
  <c r="BH16" i="4"/>
  <c r="AK17" i="4"/>
  <c r="BQ17" i="4"/>
  <c r="AZ17" i="4"/>
  <c r="AS18" i="4"/>
  <c r="BY18" i="4"/>
  <c r="BB19" i="4"/>
  <c r="CH19" i="4"/>
  <c r="BK20" i="4"/>
  <c r="AN21" i="4"/>
  <c r="BT21" i="4"/>
  <c r="AW22" i="4"/>
  <c r="CC22" i="4"/>
  <c r="BF23" i="4"/>
  <c r="AI24" i="4"/>
  <c r="BO24" i="4"/>
  <c r="AR25" i="4"/>
  <c r="BX25" i="4"/>
  <c r="AL17" i="4"/>
  <c r="AL18" i="4"/>
  <c r="BR18" i="4"/>
  <c r="AU19" i="4"/>
  <c r="CA19" i="4"/>
  <c r="BD20" i="4"/>
  <c r="BM16" i="4"/>
  <c r="CE14" i="4"/>
  <c r="BL16" i="4"/>
  <c r="BU17" i="4"/>
  <c r="AW18" i="4"/>
  <c r="BF19" i="4"/>
  <c r="BO20" i="4"/>
  <c r="BX21" i="4"/>
  <c r="CG22" i="4"/>
  <c r="AM24" i="4"/>
  <c r="AV25" i="4"/>
  <c r="AT17" i="4"/>
  <c r="BV18" i="4"/>
  <c r="BE19" i="4"/>
  <c r="AH20" i="4"/>
  <c r="BN20" i="4"/>
  <c r="AQ21" i="4"/>
  <c r="BW21" i="4"/>
  <c r="AZ22" i="4"/>
  <c r="CF22" i="4"/>
  <c r="BI23" i="4"/>
  <c r="AL24" i="4"/>
  <c r="BR24" i="4"/>
  <c r="AU25" i="4"/>
  <c r="CA25" i="4"/>
  <c r="BD26" i="4"/>
  <c r="BX26" i="4"/>
  <c r="BA27" i="4"/>
  <c r="CG27" i="4"/>
  <c r="BJ28" i="4"/>
  <c r="AM29" i="4"/>
  <c r="BS29" i="4"/>
  <c r="AV30" i="4"/>
  <c r="CB30" i="4"/>
  <c r="BE31" i="4"/>
  <c r="AH32" i="4"/>
  <c r="BN32" i="4"/>
  <c r="AQ33" i="4"/>
  <c r="BW33" i="4"/>
  <c r="AZ34" i="4"/>
  <c r="CF34" i="4"/>
  <c r="BI35" i="4"/>
  <c r="CA26" i="4"/>
  <c r="AR27" i="4"/>
  <c r="BH27" i="4"/>
  <c r="BX27" i="4"/>
  <c r="AK28" i="4"/>
  <c r="BA28" i="4"/>
  <c r="BQ28" i="4"/>
  <c r="CG28" i="4"/>
  <c r="AT29" i="4"/>
  <c r="BJ29" i="4"/>
  <c r="BZ29" i="4"/>
  <c r="BP12" i="4"/>
  <c r="BB14" i="4"/>
  <c r="BK15" i="4"/>
  <c r="BA14" i="4"/>
  <c r="AO16" i="4"/>
  <c r="BU12" i="4"/>
  <c r="BG14" i="4"/>
  <c r="BW15" i="4"/>
  <c r="AZ16" i="4"/>
  <c r="CF16" i="4"/>
  <c r="BI17" i="4"/>
  <c r="BP17" i="4"/>
  <c r="CG18" i="4"/>
  <c r="AM20" i="4"/>
  <c r="AV21" i="4"/>
  <c r="BE22" i="4"/>
  <c r="BN23" i="4"/>
  <c r="BW24" i="4"/>
  <c r="CF25" i="4"/>
  <c r="AT18" i="4"/>
  <c r="BC19" i="4"/>
  <c r="BL20" i="4"/>
  <c r="AW21" i="4"/>
  <c r="CC21" i="4"/>
  <c r="BF22" i="4"/>
  <c r="AI23" i="4"/>
  <c r="BO23" i="4"/>
  <c r="AR24" i="4"/>
  <c r="BX24" i="4"/>
  <c r="BA25" i="4"/>
  <c r="CG25" i="4"/>
  <c r="BJ26" i="4"/>
  <c r="CD26" i="4"/>
  <c r="BG27" i="4"/>
  <c r="AJ28" i="4"/>
  <c r="BP28" i="4"/>
  <c r="AS29" i="4"/>
  <c r="BY29" i="4"/>
  <c r="BB30" i="4"/>
  <c r="CH30" i="4"/>
  <c r="BK31" i="4"/>
  <c r="AN32" i="4"/>
  <c r="BT32" i="4"/>
  <c r="AW33" i="4"/>
  <c r="CC33" i="4"/>
  <c r="BF34" i="4"/>
  <c r="AI35" i="4"/>
  <c r="BO35" i="4"/>
  <c r="CG26" i="4"/>
  <c r="BJ27" i="4"/>
  <c r="AM28" i="4"/>
  <c r="BS28" i="4"/>
  <c r="AV29" i="4"/>
  <c r="CB29" i="4"/>
  <c r="AO30" i="4"/>
  <c r="BE30" i="4"/>
  <c r="BU30" i="4"/>
  <c r="AH31" i="4"/>
  <c r="AX31" i="4"/>
  <c r="BN31" i="4"/>
  <c r="CD31" i="4"/>
  <c r="AQ32" i="4"/>
  <c r="BG32" i="4"/>
  <c r="BW32" i="4"/>
  <c r="AJ33" i="4"/>
  <c r="AZ33" i="4"/>
  <c r="BP33" i="4"/>
  <c r="CF33" i="4"/>
  <c r="AS34" i="4"/>
  <c r="BI34" i="4"/>
  <c r="BY34" i="4"/>
  <c r="AL35" i="4"/>
  <c r="AY19" i="4"/>
  <c r="CE19" i="4"/>
  <c r="BH20" i="4"/>
  <c r="AK21" i="4"/>
  <c r="BQ21" i="4"/>
  <c r="AT22" i="4"/>
  <c r="BZ22" i="4"/>
  <c r="BC23" i="4"/>
  <c r="CI23" i="4"/>
  <c r="BL24" i="4"/>
  <c r="AO25" i="4"/>
  <c r="BU25" i="4"/>
  <c r="AX26" i="4"/>
  <c r="BR26" i="4"/>
  <c r="AU27" i="4"/>
  <c r="CA27" i="4"/>
  <c r="BD28" i="4"/>
  <c r="AG29" i="4"/>
  <c r="BM29" i="4"/>
  <c r="AP30" i="4"/>
  <c r="BV30" i="4"/>
  <c r="AY31" i="4"/>
  <c r="CE31" i="4"/>
  <c r="BH32" i="4"/>
  <c r="AK33" i="4"/>
  <c r="BQ33" i="4"/>
  <c r="AT34" i="4"/>
  <c r="BZ34" i="4"/>
  <c r="BC35" i="4"/>
  <c r="BU26" i="4"/>
  <c r="AX27" i="4"/>
  <c r="CD27" i="4"/>
  <c r="BG28" i="4"/>
  <c r="AJ29" i="4"/>
  <c r="BP29" i="4"/>
  <c r="AI30" i="4"/>
  <c r="AY30" i="4"/>
  <c r="BO30" i="4"/>
  <c r="CE30" i="4"/>
  <c r="AR31" i="4"/>
  <c r="BH31" i="4"/>
  <c r="BX31" i="4"/>
  <c r="AK32" i="4"/>
  <c r="BA32" i="4"/>
  <c r="BQ32" i="4"/>
  <c r="CG32" i="4"/>
  <c r="AT33" i="4"/>
  <c r="BJ33" i="4"/>
  <c r="BZ33" i="4"/>
  <c r="AM34" i="4"/>
  <c r="BC34" i="4"/>
  <c r="BS34" i="4"/>
  <c r="CI34" i="4"/>
  <c r="AV35" i="4"/>
  <c r="BL35" i="4"/>
  <c r="CB35" i="4"/>
  <c r="AO36" i="4"/>
  <c r="BE36" i="4"/>
  <c r="BU36" i="4"/>
  <c r="AH37" i="4"/>
  <c r="BW35" i="4"/>
  <c r="AZ36" i="4"/>
  <c r="CF36" i="4"/>
  <c r="BB37" i="4"/>
  <c r="BR35" i="4"/>
  <c r="AJ17" i="4"/>
  <c r="BQ18" i="4"/>
  <c r="BZ19" i="4"/>
  <c r="CI20" i="4"/>
  <c r="AO22" i="4"/>
  <c r="AX23" i="4"/>
  <c r="BG24" i="4"/>
  <c r="BP25" i="4"/>
  <c r="CG17" i="4"/>
  <c r="AM19" i="4"/>
  <c r="AV20" i="4"/>
  <c r="AO21" i="4"/>
  <c r="BU21" i="4"/>
  <c r="AX22" i="4"/>
  <c r="CD22" i="4"/>
  <c r="BG23" i="4"/>
  <c r="AJ24" i="4"/>
  <c r="BP24" i="4"/>
  <c r="AS25" i="4"/>
  <c r="BY25" i="4"/>
  <c r="BB26" i="4"/>
  <c r="BV26" i="4"/>
  <c r="AY27" i="4"/>
  <c r="CE27" i="4"/>
  <c r="BH28" i="4"/>
  <c r="AK29" i="4"/>
  <c r="BQ29" i="4"/>
  <c r="AT30" i="4"/>
  <c r="BZ30" i="4"/>
  <c r="BC31" i="4"/>
  <c r="CI31" i="4"/>
  <c r="BL32" i="4"/>
  <c r="AO33" i="4"/>
  <c r="BU33" i="4"/>
  <c r="AX34" i="4"/>
  <c r="CD34" i="4"/>
  <c r="BG35" i="4"/>
  <c r="BY26" i="4"/>
  <c r="BB27" i="4"/>
  <c r="CH27" i="4"/>
  <c r="BK28" i="4"/>
  <c r="AN29" i="4"/>
  <c r="BT29" i="4"/>
  <c r="AK30" i="4"/>
  <c r="BA30" i="4"/>
  <c r="BQ30" i="4"/>
  <c r="CG30" i="4"/>
  <c r="AT31" i="4"/>
  <c r="BJ31" i="4"/>
  <c r="BZ31" i="4"/>
  <c r="AM32" i="4"/>
  <c r="BC32" i="4"/>
  <c r="BS32" i="4"/>
  <c r="CI32" i="4"/>
  <c r="AV33" i="4"/>
  <c r="BL33" i="4"/>
  <c r="CB33" i="4"/>
  <c r="AO34" i="4"/>
  <c r="BE34" i="4"/>
  <c r="BU34" i="4"/>
  <c r="AH35" i="4"/>
  <c r="AQ19" i="4"/>
  <c r="BW19" i="4"/>
  <c r="AZ20" i="4"/>
  <c r="CF20" i="4"/>
  <c r="BI21" i="4"/>
  <c r="AL22" i="4"/>
  <c r="BR22" i="4"/>
  <c r="AU23" i="4"/>
  <c r="CA23" i="4"/>
  <c r="BD24" i="4"/>
  <c r="AG25" i="4"/>
  <c r="BM25" i="4"/>
  <c r="AP26" i="4"/>
  <c r="BE26" i="4"/>
  <c r="AM27" i="4"/>
  <c r="BS27" i="4"/>
  <c r="AV28" i="4"/>
  <c r="CB28" i="4"/>
  <c r="BE29" i="4"/>
  <c r="AH30" i="4"/>
  <c r="BN30" i="4"/>
  <c r="AQ31" i="4"/>
  <c r="BW31" i="4"/>
  <c r="AZ32" i="4"/>
  <c r="CF32" i="4"/>
  <c r="BI33" i="4"/>
  <c r="AL34" i="4"/>
  <c r="BR34" i="4"/>
  <c r="AU35" i="4"/>
  <c r="BK26" i="4"/>
  <c r="AP27" i="4"/>
  <c r="BV27" i="4"/>
  <c r="AY28" i="4"/>
  <c r="CE28" i="4"/>
  <c r="BH29" i="4"/>
  <c r="CH29" i="4"/>
  <c r="AU30" i="4"/>
  <c r="BK30" i="4"/>
  <c r="CA30" i="4"/>
  <c r="AN31" i="4"/>
  <c r="BD31" i="4"/>
  <c r="BT31" i="4"/>
  <c r="AG32" i="4"/>
  <c r="AW32" i="4"/>
  <c r="BM32" i="4"/>
  <c r="CC32" i="4"/>
  <c r="AP33" i="4"/>
  <c r="BF33" i="4"/>
  <c r="BV33" i="4"/>
  <c r="AI34" i="4"/>
  <c r="AY34" i="4"/>
  <c r="BO34" i="4"/>
  <c r="CE34" i="4"/>
  <c r="AR35" i="4"/>
  <c r="BH35" i="4"/>
  <c r="BX35" i="4"/>
  <c r="AK36" i="4"/>
  <c r="BA36" i="4"/>
  <c r="BQ36" i="4"/>
  <c r="CG36" i="4"/>
  <c r="AT37" i="4"/>
  <c r="AR36" i="4"/>
  <c r="BX36" i="4"/>
  <c r="AX37" i="4"/>
  <c r="BJ35" i="4"/>
  <c r="AM36" i="4"/>
  <c r="BS36" i="4"/>
  <c r="CA36" i="4"/>
  <c r="CI35" i="4"/>
  <c r="AO37" i="4"/>
  <c r="BN37" i="4"/>
  <c r="CD37" i="4"/>
  <c r="AQ38" i="4"/>
  <c r="BG38" i="4"/>
  <c r="BW38" i="4"/>
  <c r="AJ39" i="4"/>
  <c r="AZ39" i="4"/>
  <c r="BP39" i="4"/>
  <c r="CF39" i="4"/>
  <c r="AS40" i="4"/>
  <c r="BI40" i="4"/>
  <c r="BY40" i="4"/>
  <c r="AL41" i="4"/>
  <c r="BB41" i="4"/>
  <c r="BR41" i="4"/>
  <c r="CH41" i="4"/>
  <c r="AU42" i="4"/>
  <c r="BK42" i="4"/>
  <c r="CA42" i="4"/>
  <c r="AN43" i="4"/>
  <c r="BD43" i="4"/>
  <c r="BT43" i="4"/>
  <c r="AG44" i="4"/>
  <c r="AW44" i="4"/>
  <c r="BM44" i="4"/>
  <c r="CC44" i="4"/>
  <c r="AP45" i="4"/>
  <c r="BF45" i="4"/>
  <c r="BV45" i="4"/>
  <c r="AI46" i="4"/>
  <c r="AY46" i="4"/>
  <c r="BO46" i="4"/>
  <c r="CE46" i="4"/>
  <c r="AR47" i="4"/>
  <c r="BH47" i="4"/>
  <c r="BX47" i="4"/>
  <c r="AK48" i="4"/>
  <c r="BA48" i="4"/>
  <c r="BQ48" i="4"/>
  <c r="CG48" i="4"/>
  <c r="AT49" i="4"/>
  <c r="BJ49" i="4"/>
  <c r="BZ49" i="4"/>
  <c r="AM50" i="4"/>
  <c r="BC50" i="4"/>
  <c r="BS50" i="4"/>
  <c r="CI50" i="4"/>
  <c r="AV51" i="4"/>
  <c r="BL51" i="4"/>
  <c r="CB51" i="4"/>
  <c r="AO52" i="4"/>
  <c r="BE52" i="4"/>
  <c r="BU52" i="4"/>
  <c r="AH53" i="4"/>
  <c r="AP36" i="4"/>
  <c r="BV36" i="4"/>
  <c r="AW37" i="4"/>
  <c r="BM37" i="4"/>
  <c r="CC37" i="4"/>
  <c r="AP38" i="4"/>
  <c r="BF38" i="4"/>
  <c r="BV38" i="4"/>
  <c r="AI39" i="4"/>
  <c r="AY39" i="4"/>
  <c r="BO39" i="4"/>
  <c r="CE39" i="4"/>
  <c r="AR40" i="4"/>
  <c r="BH40" i="4"/>
  <c r="BX40" i="4"/>
  <c r="AK41" i="4"/>
  <c r="BA41" i="4"/>
  <c r="BQ41" i="4"/>
  <c r="CG41" i="4"/>
  <c r="AT42" i="4"/>
  <c r="BJ42" i="4"/>
  <c r="BZ42" i="4"/>
  <c r="AM43" i="4"/>
  <c r="BC43" i="4"/>
  <c r="BS43" i="4"/>
  <c r="CI43" i="4"/>
  <c r="AV44" i="4"/>
  <c r="BL44" i="4"/>
  <c r="CB44" i="4"/>
  <c r="AO45" i="4"/>
  <c r="BE45" i="4"/>
  <c r="BU45" i="4"/>
  <c r="AH46" i="4"/>
  <c r="AX46" i="4"/>
  <c r="BN46" i="4"/>
  <c r="CD46" i="4"/>
  <c r="AQ47" i="4"/>
  <c r="BG47" i="4"/>
  <c r="BW47" i="4"/>
  <c r="AJ48" i="4"/>
  <c r="AZ48" i="4"/>
  <c r="BP48" i="4"/>
  <c r="CF48" i="4"/>
  <c r="AS49" i="4"/>
  <c r="BI49" i="4"/>
  <c r="BY49" i="4"/>
  <c r="AL50" i="4"/>
  <c r="BB50" i="4"/>
  <c r="BR50" i="4"/>
  <c r="CH50" i="4"/>
  <c r="AU51" i="4"/>
  <c r="BK51" i="4"/>
  <c r="CA51" i="4"/>
  <c r="AN52" i="4"/>
  <c r="BD52" i="4"/>
  <c r="BT52" i="4"/>
  <c r="AG53" i="4"/>
  <c r="AW53" i="4"/>
  <c r="BM53" i="4"/>
  <c r="CC53" i="4"/>
  <c r="AP54" i="4"/>
  <c r="BF54" i="4"/>
  <c r="BV54" i="4"/>
  <c r="BV35" i="4"/>
  <c r="AY36" i="4"/>
  <c r="CE36" i="4"/>
  <c r="AN36" i="4"/>
  <c r="AV37" i="4"/>
  <c r="BP37" i="4"/>
  <c r="CF37" i="4"/>
  <c r="AS38" i="4"/>
  <c r="BI38" i="4"/>
  <c r="BY38" i="4"/>
  <c r="AL39" i="4"/>
  <c r="BB39" i="4"/>
  <c r="BR39" i="4"/>
  <c r="CH39" i="4"/>
  <c r="AU40" i="4"/>
  <c r="BK40" i="4"/>
  <c r="CA40" i="4"/>
  <c r="AN41" i="4"/>
  <c r="BD41" i="4"/>
  <c r="BT41" i="4"/>
  <c r="AG42" i="4"/>
  <c r="AW42" i="4"/>
  <c r="BM42" i="4"/>
  <c r="CC42" i="4"/>
  <c r="AP43" i="4"/>
  <c r="BF43" i="4"/>
  <c r="BV43" i="4"/>
  <c r="AI44" i="4"/>
  <c r="AY44" i="4"/>
  <c r="BO44" i="4"/>
  <c r="CE44" i="4"/>
  <c r="AR45" i="4"/>
  <c r="BH45" i="4"/>
  <c r="BX45" i="4"/>
  <c r="AK46" i="4"/>
  <c r="BA46" i="4"/>
  <c r="BQ46" i="4"/>
  <c r="CG46" i="4"/>
  <c r="AT47" i="4"/>
  <c r="BJ47" i="4"/>
  <c r="BZ47" i="4"/>
  <c r="AM48" i="4"/>
  <c r="BC48" i="4"/>
  <c r="BS48" i="4"/>
  <c r="CI48" i="4"/>
  <c r="AV49" i="4"/>
  <c r="BL49" i="4"/>
  <c r="CB49" i="4"/>
  <c r="AO50" i="4"/>
  <c r="BE50" i="4"/>
  <c r="BU50" i="4"/>
  <c r="AH51" i="4"/>
  <c r="AX51" i="4"/>
  <c r="BN51" i="4"/>
  <c r="CD51" i="4"/>
  <c r="AQ52" i="4"/>
  <c r="BG52" i="4"/>
  <c r="BW52" i="4"/>
  <c r="AJ53" i="4"/>
  <c r="AT36" i="4"/>
  <c r="BZ36" i="4"/>
  <c r="AY37" i="4"/>
  <c r="BO37" i="4"/>
  <c r="CE37" i="4"/>
  <c r="AR38" i="4"/>
  <c r="BH38" i="4"/>
  <c r="BX38" i="4"/>
  <c r="AK39" i="4"/>
  <c r="BA39" i="4"/>
  <c r="BQ39" i="4"/>
  <c r="CG39" i="4"/>
  <c r="AT40" i="4"/>
  <c r="BJ40" i="4"/>
  <c r="BZ40" i="4"/>
  <c r="AM41" i="4"/>
  <c r="BC41" i="4"/>
  <c r="BS41" i="4"/>
  <c r="CI41" i="4"/>
  <c r="AV42" i="4"/>
  <c r="BL42" i="4"/>
  <c r="CB42" i="4"/>
  <c r="AO43" i="4"/>
  <c r="BE43" i="4"/>
  <c r="BU43" i="4"/>
  <c r="AH44" i="4"/>
  <c r="AX44" i="4"/>
  <c r="BN44" i="4"/>
  <c r="CD44" i="4"/>
  <c r="AQ45" i="4"/>
  <c r="BG45" i="4"/>
  <c r="BW45" i="4"/>
  <c r="AJ46" i="4"/>
  <c r="AZ46" i="4"/>
  <c r="BP46" i="4"/>
  <c r="CF46" i="4"/>
  <c r="AS47" i="4"/>
  <c r="BI47" i="4"/>
  <c r="BY47" i="4"/>
  <c r="AL48" i="4"/>
  <c r="BB48" i="4"/>
  <c r="BR48" i="4"/>
  <c r="CH48" i="4"/>
  <c r="AU49" i="4"/>
  <c r="BK49" i="4"/>
  <c r="CA49" i="4"/>
  <c r="AN50" i="4"/>
  <c r="BD50" i="4"/>
  <c r="BT50" i="4"/>
  <c r="AG51" i="4"/>
  <c r="AW51" i="4"/>
  <c r="BM51" i="4"/>
  <c r="CC51" i="4"/>
  <c r="AP52" i="4"/>
  <c r="BF52" i="4"/>
  <c r="BV52" i="4"/>
  <c r="BK36" i="4"/>
  <c r="BS35" i="4"/>
  <c r="CB36" i="4"/>
  <c r="BJ37" i="4"/>
  <c r="BZ37" i="4"/>
  <c r="AM38" i="4"/>
  <c r="BC38" i="4"/>
  <c r="BS38" i="4"/>
  <c r="CI38" i="4"/>
  <c r="AV39" i="4"/>
  <c r="BL39" i="4"/>
  <c r="CB39" i="4"/>
  <c r="AO40" i="4"/>
  <c r="BE40" i="4"/>
  <c r="BU40" i="4"/>
  <c r="AH41" i="4"/>
  <c r="AX41" i="4"/>
  <c r="BN41" i="4"/>
  <c r="CD41" i="4"/>
  <c r="AQ42" i="4"/>
  <c r="BG42" i="4"/>
  <c r="BW42" i="4"/>
  <c r="AJ43" i="4"/>
  <c r="AZ43" i="4"/>
  <c r="BP43" i="4"/>
  <c r="CF43" i="4"/>
  <c r="AS44" i="4"/>
  <c r="BI44" i="4"/>
  <c r="BY44" i="4"/>
  <c r="AL45" i="4"/>
  <c r="BB45" i="4"/>
  <c r="BR45" i="4"/>
  <c r="CH45" i="4"/>
  <c r="AU46" i="4"/>
  <c r="BK46" i="4"/>
  <c r="CA46" i="4"/>
  <c r="AN47" i="4"/>
  <c r="BD47" i="4"/>
  <c r="BT47" i="4"/>
  <c r="AG48" i="4"/>
  <c r="AW48" i="4"/>
  <c r="BM48" i="4"/>
  <c r="CC48" i="4"/>
  <c r="AP49" i="4"/>
  <c r="BF49" i="4"/>
  <c r="BV49" i="4"/>
  <c r="AI50" i="4"/>
  <c r="AY50" i="4"/>
  <c r="BO50" i="4"/>
  <c r="CE50" i="4"/>
  <c r="AR51" i="4"/>
  <c r="BH51" i="4"/>
  <c r="BX51" i="4"/>
  <c r="AK52" i="4"/>
  <c r="BA52" i="4"/>
  <c r="BQ52" i="4"/>
  <c r="CG52" i="4"/>
  <c r="AH36" i="4"/>
  <c r="BN36" i="4"/>
  <c r="AQ37" i="4"/>
  <c r="BI37" i="4"/>
  <c r="BY37" i="4"/>
  <c r="AL38" i="4"/>
  <c r="BB38" i="4"/>
  <c r="BR38" i="4"/>
  <c r="CH38" i="4"/>
  <c r="AU39" i="4"/>
  <c r="BK39" i="4"/>
  <c r="CA39" i="4"/>
  <c r="AN40" i="4"/>
  <c r="BD40" i="4"/>
  <c r="BT40" i="4"/>
  <c r="AG41" i="4"/>
  <c r="AW41" i="4"/>
  <c r="BM41" i="4"/>
  <c r="CC41" i="4"/>
  <c r="AP42" i="4"/>
  <c r="BF42" i="4"/>
  <c r="BV42" i="4"/>
  <c r="AI43" i="4"/>
  <c r="AY43" i="4"/>
  <c r="BO43" i="4"/>
  <c r="CE43" i="4"/>
  <c r="AR44" i="4"/>
  <c r="BH44" i="4"/>
  <c r="BX44" i="4"/>
  <c r="AK45" i="4"/>
  <c r="BA45" i="4"/>
  <c r="BQ45" i="4"/>
  <c r="CG45" i="4"/>
  <c r="AT46" i="4"/>
  <c r="BJ46" i="4"/>
  <c r="BZ46" i="4"/>
  <c r="AM47" i="4"/>
  <c r="BC47" i="4"/>
  <c r="BS47" i="4"/>
  <c r="CI47" i="4"/>
  <c r="AV48" i="4"/>
  <c r="BL48" i="4"/>
  <c r="CB48" i="4"/>
  <c r="AO49" i="4"/>
  <c r="BE49" i="4"/>
  <c r="BU49" i="4"/>
  <c r="AH50" i="4"/>
  <c r="AX50" i="4"/>
  <c r="BN50" i="4"/>
  <c r="CD50" i="4"/>
  <c r="AQ51" i="4"/>
  <c r="BG51" i="4"/>
  <c r="BW51" i="4"/>
  <c r="AJ52" i="4"/>
  <c r="AZ52" i="4"/>
  <c r="BP52" i="4"/>
  <c r="CF52" i="4"/>
  <c r="AS53" i="4"/>
  <c r="BI53" i="4"/>
  <c r="BY53" i="4"/>
  <c r="AL54" i="4"/>
  <c r="BB54" i="4"/>
  <c r="BR54" i="4"/>
  <c r="BN35" i="4"/>
  <c r="AQ36" i="4"/>
  <c r="BW36" i="4"/>
  <c r="CA35" i="4"/>
  <c r="AG37" i="4"/>
  <c r="BL37" i="4"/>
  <c r="CB37" i="4"/>
  <c r="AO38" i="4"/>
  <c r="BE38" i="4"/>
  <c r="BU38" i="4"/>
  <c r="AH39" i="4"/>
  <c r="AX39" i="4"/>
  <c r="BN39" i="4"/>
  <c r="CD39" i="4"/>
  <c r="AQ40" i="4"/>
  <c r="BG40" i="4"/>
  <c r="BW40" i="4"/>
  <c r="AJ41" i="4"/>
  <c r="AZ41" i="4"/>
  <c r="BP41" i="4"/>
  <c r="CF41" i="4"/>
  <c r="AS42" i="4"/>
  <c r="BI42" i="4"/>
  <c r="BY42" i="4"/>
  <c r="AL43" i="4"/>
  <c r="BB43" i="4"/>
  <c r="BR43" i="4"/>
  <c r="CH43" i="4"/>
  <c r="AU44" i="4"/>
  <c r="BK44" i="4"/>
  <c r="CA44" i="4"/>
  <c r="AN45" i="4"/>
  <c r="BD45" i="4"/>
  <c r="BT45" i="4"/>
  <c r="AG46" i="4"/>
  <c r="AW46" i="4"/>
  <c r="BM46" i="4"/>
  <c r="CC46" i="4"/>
  <c r="AP47" i="4"/>
  <c r="BF47" i="4"/>
  <c r="BV47" i="4"/>
  <c r="AI48" i="4"/>
  <c r="AY48" i="4"/>
  <c r="BO48" i="4"/>
  <c r="CE48" i="4"/>
  <c r="AR49" i="4"/>
  <c r="BH49" i="4"/>
  <c r="BX49" i="4"/>
  <c r="AK50" i="4"/>
  <c r="BA50" i="4"/>
  <c r="BQ50" i="4"/>
  <c r="CG50" i="4"/>
  <c r="AT51" i="4"/>
  <c r="BJ51" i="4"/>
  <c r="BZ51" i="4"/>
  <c r="AM52" i="4"/>
  <c r="BC52" i="4"/>
  <c r="BS52" i="4"/>
  <c r="CI52" i="4"/>
  <c r="AL36" i="4"/>
  <c r="BR36" i="4"/>
  <c r="AU37" i="4"/>
  <c r="BK37" i="4"/>
  <c r="CA37" i="4"/>
  <c r="AN38" i="4"/>
  <c r="BD38" i="4"/>
  <c r="BT38" i="4"/>
  <c r="AG39" i="4"/>
  <c r="AW39" i="4"/>
  <c r="BM39" i="4"/>
  <c r="CC39" i="4"/>
  <c r="AP40" i="4"/>
  <c r="BF40" i="4"/>
  <c r="BV40" i="4"/>
  <c r="AI41" i="4"/>
  <c r="AY41" i="4"/>
  <c r="BO41" i="4"/>
  <c r="CE41" i="4"/>
  <c r="AR42" i="4"/>
  <c r="BH42" i="4"/>
  <c r="BX42" i="4"/>
  <c r="AK43" i="4"/>
  <c r="BA43" i="4"/>
  <c r="BQ43" i="4"/>
  <c r="CG43" i="4"/>
  <c r="AT44" i="4"/>
  <c r="BJ44" i="4"/>
  <c r="BZ44" i="4"/>
  <c r="AM45" i="4"/>
  <c r="BC45" i="4"/>
  <c r="BS45" i="4"/>
  <c r="CI45" i="4"/>
  <c r="AV46" i="4"/>
  <c r="BL46" i="4"/>
  <c r="CB46" i="4"/>
  <c r="AO47" i="4"/>
  <c r="BE47" i="4"/>
  <c r="BU47" i="4"/>
  <c r="AH48" i="4"/>
  <c r="AX48" i="4"/>
  <c r="BN48" i="4"/>
  <c r="CD48" i="4"/>
  <c r="AQ49" i="4"/>
  <c r="BG49" i="4"/>
  <c r="BW49" i="4"/>
  <c r="AJ50" i="4"/>
  <c r="AZ50" i="4"/>
  <c r="BP50" i="4"/>
  <c r="CF50" i="4"/>
  <c r="AS51" i="4"/>
  <c r="BI51" i="4"/>
  <c r="BY51" i="4"/>
  <c r="AL52" i="4"/>
  <c r="BB52" i="4"/>
  <c r="BR52" i="4"/>
  <c r="CH52" i="4"/>
  <c r="AU53" i="4"/>
  <c r="BK53" i="4"/>
  <c r="CA53" i="4"/>
  <c r="AN54" i="4"/>
  <c r="BD54" i="4"/>
  <c r="BT54" i="4"/>
  <c r="AG55" i="4"/>
  <c r="BJ53" i="4"/>
  <c r="AM54" i="4"/>
  <c r="BS54" i="4"/>
  <c r="AP55" i="4"/>
  <c r="BF55" i="4"/>
  <c r="BF53" i="4"/>
  <c r="BO54" i="4"/>
  <c r="BD55" i="4"/>
  <c r="BV55" i="4"/>
  <c r="AI56" i="4"/>
  <c r="AY56" i="4"/>
  <c r="BO56" i="4"/>
  <c r="CE56" i="4"/>
  <c r="AY53" i="4"/>
  <c r="CE53" i="4"/>
  <c r="BH54" i="4"/>
  <c r="AL53" i="4"/>
  <c r="AU54" i="4"/>
  <c r="AT55" i="4"/>
  <c r="BV53" i="4"/>
  <c r="BJ55" i="4"/>
  <c r="AM56" i="4"/>
  <c r="BS56" i="4"/>
  <c r="AN57" i="4"/>
  <c r="BD57" i="4"/>
  <c r="BT57" i="4"/>
  <c r="AG58" i="4"/>
  <c r="AW58" i="4"/>
  <c r="BM58" i="4"/>
  <c r="CC58" i="4"/>
  <c r="AP59" i="4"/>
  <c r="BF59" i="4"/>
  <c r="BV59" i="4"/>
  <c r="AI60" i="4"/>
  <c r="AY60" i="4"/>
  <c r="BO60" i="4"/>
  <c r="CE60" i="4"/>
  <c r="AR61" i="4"/>
  <c r="BH61" i="4"/>
  <c r="BX61" i="4"/>
  <c r="AK62" i="4"/>
  <c r="BA62" i="4"/>
  <c r="BQ62" i="4"/>
  <c r="CG62" i="4"/>
  <c r="AT63" i="4"/>
  <c r="BJ63" i="4"/>
  <c r="BZ63" i="4"/>
  <c r="AM64" i="4"/>
  <c r="BC64" i="4"/>
  <c r="BS64" i="4"/>
  <c r="CI64" i="4"/>
  <c r="AV65" i="4"/>
  <c r="BL65" i="4"/>
  <c r="CB65" i="4"/>
  <c r="AO66" i="4"/>
  <c r="BE66" i="4"/>
  <c r="BU66" i="4"/>
  <c r="AH67" i="4"/>
  <c r="AX67" i="4"/>
  <c r="BN67" i="4"/>
  <c r="CD67" i="4"/>
  <c r="AQ68" i="4"/>
  <c r="BG68" i="4"/>
  <c r="BW68" i="4"/>
  <c r="AJ69" i="4"/>
  <c r="AZ69" i="4"/>
  <c r="BP69" i="4"/>
  <c r="CF69" i="4"/>
  <c r="AS70" i="4"/>
  <c r="BI70" i="4"/>
  <c r="BY70" i="4"/>
  <c r="AL71" i="4"/>
  <c r="BB71" i="4"/>
  <c r="BR71" i="4"/>
  <c r="CH71" i="4"/>
  <c r="AU72" i="4"/>
  <c r="BK72" i="4"/>
  <c r="BH53" i="4"/>
  <c r="AK54" i="4"/>
  <c r="BQ54" i="4"/>
  <c r="AO55" i="4"/>
  <c r="BE55" i="4"/>
  <c r="BU55" i="4"/>
  <c r="AH56" i="4"/>
  <c r="AX56" i="4"/>
  <c r="BN56" i="4"/>
  <c r="CD56" i="4"/>
  <c r="AQ57" i="4"/>
  <c r="BG57" i="4"/>
  <c r="BW57" i="4"/>
  <c r="AJ58" i="4"/>
  <c r="AZ58" i="4"/>
  <c r="BP58" i="4"/>
  <c r="CF58" i="4"/>
  <c r="AS59" i="4"/>
  <c r="BI59" i="4"/>
  <c r="BY59" i="4"/>
  <c r="AL60" i="4"/>
  <c r="BB60" i="4"/>
  <c r="BR60" i="4"/>
  <c r="CH60" i="4"/>
  <c r="AU61" i="4"/>
  <c r="BK61" i="4"/>
  <c r="CA61" i="4"/>
  <c r="AN62" i="4"/>
  <c r="BD62" i="4"/>
  <c r="BT62" i="4"/>
  <c r="AG63" i="4"/>
  <c r="AW63" i="4"/>
  <c r="BM63" i="4"/>
  <c r="CC63" i="4"/>
  <c r="AP64" i="4"/>
  <c r="BF64" i="4"/>
  <c r="BV64" i="4"/>
  <c r="AI65" i="4"/>
  <c r="AY65" i="4"/>
  <c r="BO65" i="4"/>
  <c r="CE65" i="4"/>
  <c r="AR66" i="4"/>
  <c r="BH66" i="4"/>
  <c r="BX66" i="4"/>
  <c r="AK67" i="4"/>
  <c r="BA67" i="4"/>
  <c r="BQ67" i="4"/>
  <c r="CG67" i="4"/>
  <c r="AT68" i="4"/>
  <c r="BJ68" i="4"/>
  <c r="BZ68" i="4"/>
  <c r="AM69" i="4"/>
  <c r="BC69" i="4"/>
  <c r="BS69" i="4"/>
  <c r="CI69" i="4"/>
  <c r="AV70" i="4"/>
  <c r="BL70" i="4"/>
  <c r="CB70" i="4"/>
  <c r="AO71" i="4"/>
  <c r="BE71" i="4"/>
  <c r="BU71" i="4"/>
  <c r="AH72" i="4"/>
  <c r="AX72" i="4"/>
  <c r="BN72" i="4"/>
  <c r="CD72" i="4"/>
  <c r="AQ73" i="4"/>
  <c r="BN53" i="4"/>
  <c r="BW54" i="4"/>
  <c r="BH55" i="4"/>
  <c r="BX55" i="4"/>
  <c r="AK56" i="4"/>
  <c r="BA56" i="4"/>
  <c r="BQ56" i="4"/>
  <c r="CG56" i="4"/>
  <c r="AT57" i="4"/>
  <c r="BJ57" i="4"/>
  <c r="BZ57" i="4"/>
  <c r="AM58" i="4"/>
  <c r="BC58" i="4"/>
  <c r="BS58" i="4"/>
  <c r="CI58" i="4"/>
  <c r="AV59" i="4"/>
  <c r="BL59" i="4"/>
  <c r="CB59" i="4"/>
  <c r="AO60" i="4"/>
  <c r="BE60" i="4"/>
  <c r="BU60" i="4"/>
  <c r="AH61" i="4"/>
  <c r="AX61" i="4"/>
  <c r="BN61" i="4"/>
  <c r="CD61" i="4"/>
  <c r="AQ62" i="4"/>
  <c r="BG62" i="4"/>
  <c r="BW62" i="4"/>
  <c r="AJ63" i="4"/>
  <c r="AZ63" i="4"/>
  <c r="BP63" i="4"/>
  <c r="CF63" i="4"/>
  <c r="AS64" i="4"/>
  <c r="BI64" i="4"/>
  <c r="BY64" i="4"/>
  <c r="AL65" i="4"/>
  <c r="BB65" i="4"/>
  <c r="BR65" i="4"/>
  <c r="CH65" i="4"/>
  <c r="AU66" i="4"/>
  <c r="BK66" i="4"/>
  <c r="CA66" i="4"/>
  <c r="AN67" i="4"/>
  <c r="BD67" i="4"/>
  <c r="BT67" i="4"/>
  <c r="AG68" i="4"/>
  <c r="AW68" i="4"/>
  <c r="BM68" i="4"/>
  <c r="CC68" i="4"/>
  <c r="AP69" i="4"/>
  <c r="BF69" i="4"/>
  <c r="BV69" i="4"/>
  <c r="AI70" i="4"/>
  <c r="AY70" i="4"/>
  <c r="BO70" i="4"/>
  <c r="CE70" i="4"/>
  <c r="AR71" i="4"/>
  <c r="BH71" i="4"/>
  <c r="BX71" i="4"/>
  <c r="AK72" i="4"/>
  <c r="BA72" i="4"/>
  <c r="AN53" i="4"/>
  <c r="BT53" i="4"/>
  <c r="AW54" i="4"/>
  <c r="CC54" i="4"/>
  <c r="AU55" i="4"/>
  <c r="BK55" i="4"/>
  <c r="CA55" i="4"/>
  <c r="AN56" i="4"/>
  <c r="BD56" i="4"/>
  <c r="BT56" i="4"/>
  <c r="AG57" i="4"/>
  <c r="AW57" i="4"/>
  <c r="BM57" i="4"/>
  <c r="CC57" i="4"/>
  <c r="AP58" i="4"/>
  <c r="BF58" i="4"/>
  <c r="BV58" i="4"/>
  <c r="AI59" i="4"/>
  <c r="AY59" i="4"/>
  <c r="BO59" i="4"/>
  <c r="CE59" i="4"/>
  <c r="AR60" i="4"/>
  <c r="BH60" i="4"/>
  <c r="BX60" i="4"/>
  <c r="AK61" i="4"/>
  <c r="BA61" i="4"/>
  <c r="BQ61" i="4"/>
  <c r="CG61" i="4"/>
  <c r="AT62" i="4"/>
  <c r="BJ62" i="4"/>
  <c r="BZ62" i="4"/>
  <c r="AM63" i="4"/>
  <c r="BC63" i="4"/>
  <c r="BS63" i="4"/>
  <c r="CI63" i="4"/>
  <c r="AV64" i="4"/>
  <c r="BL64" i="4"/>
  <c r="CB64" i="4"/>
  <c r="AO65" i="4"/>
  <c r="BE65" i="4"/>
  <c r="BU65" i="4"/>
  <c r="AH66" i="4"/>
  <c r="AX66" i="4"/>
  <c r="BN66" i="4"/>
  <c r="CD66" i="4"/>
  <c r="AQ67" i="4"/>
  <c r="BG67" i="4"/>
  <c r="BW67" i="4"/>
  <c r="AJ68" i="4"/>
  <c r="AZ68" i="4"/>
  <c r="BP68" i="4"/>
  <c r="CF68" i="4"/>
  <c r="AS69" i="4"/>
  <c r="BI69" i="4"/>
  <c r="BY69" i="4"/>
  <c r="AL70" i="4"/>
  <c r="BB70" i="4"/>
  <c r="BR70" i="4"/>
  <c r="CH70" i="4"/>
  <c r="AU71" i="4"/>
  <c r="BK71" i="4"/>
  <c r="CA71" i="4"/>
  <c r="AN72" i="4"/>
  <c r="BD72" i="4"/>
  <c r="AQ53" i="4"/>
  <c r="AZ54" i="4"/>
  <c r="CH53" i="4"/>
  <c r="AP53" i="4"/>
  <c r="CH55" i="4"/>
  <c r="AJ57" i="4"/>
  <c r="BP57" i="4"/>
  <c r="AS58" i="4"/>
  <c r="BY58" i="4"/>
  <c r="BB59" i="4"/>
  <c r="CH59" i="4"/>
  <c r="BK60" i="4"/>
  <c r="AN61" i="4"/>
  <c r="BT61" i="4"/>
  <c r="AW62" i="4"/>
  <c r="CC62" i="4"/>
  <c r="BF63" i="4"/>
  <c r="AI64" i="4"/>
  <c r="BO64" i="4"/>
  <c r="AR65" i="4"/>
  <c r="BX65" i="4"/>
  <c r="BA66" i="4"/>
  <c r="CG66" i="4"/>
  <c r="BJ67" i="4"/>
  <c r="AM68" i="4"/>
  <c r="BS68" i="4"/>
  <c r="AV69" i="4"/>
  <c r="CB69" i="4"/>
  <c r="BE70" i="4"/>
  <c r="AH71" i="4"/>
  <c r="BN71" i="4"/>
  <c r="AQ72" i="4"/>
  <c r="AZ53" i="4"/>
  <c r="BI54" i="4"/>
  <c r="BA55" i="4"/>
  <c r="CG55" i="4"/>
  <c r="BJ56" i="4"/>
  <c r="AM57" i="4"/>
  <c r="BS57" i="4"/>
  <c r="AV58" i="4"/>
  <c r="CB58" i="4"/>
  <c r="BE59" i="4"/>
  <c r="AH60" i="4"/>
  <c r="BN60" i="4"/>
  <c r="AQ61" i="4"/>
  <c r="BW61" i="4"/>
  <c r="AZ62" i="4"/>
  <c r="CF62" i="4"/>
  <c r="BI63" i="4"/>
  <c r="AL64" i="4"/>
  <c r="BR64" i="4"/>
  <c r="AU65" i="4"/>
  <c r="CA65" i="4"/>
  <c r="BD66" i="4"/>
  <c r="AG67" i="4"/>
  <c r="BM67" i="4"/>
  <c r="AP68" i="4"/>
  <c r="BV68" i="4"/>
  <c r="AY69" i="4"/>
  <c r="CE69" i="4"/>
  <c r="BH70" i="4"/>
  <c r="AK71" i="4"/>
  <c r="BQ71" i="4"/>
  <c r="AT72" i="4"/>
  <c r="BZ72" i="4"/>
  <c r="AX53" i="4"/>
  <c r="AZ55" i="4"/>
  <c r="AG56" i="4"/>
  <c r="BM56" i="4"/>
  <c r="AP57" i="4"/>
  <c r="BV57" i="4"/>
  <c r="AY58" i="4"/>
  <c r="CE58" i="4"/>
  <c r="BH59" i="4"/>
  <c r="AK60" i="4"/>
  <c r="BQ60" i="4"/>
  <c r="AT61" i="4"/>
  <c r="BZ61" i="4"/>
  <c r="BC62" i="4"/>
  <c r="CI62" i="4"/>
  <c r="BL63" i="4"/>
  <c r="AO64" i="4"/>
  <c r="BU64" i="4"/>
  <c r="AX65" i="4"/>
  <c r="CD65" i="4"/>
  <c r="BG66" i="4"/>
  <c r="AJ67" i="4"/>
  <c r="BP67" i="4"/>
  <c r="AS68" i="4"/>
  <c r="BY68" i="4"/>
  <c r="BB69" i="4"/>
  <c r="CH69" i="4"/>
  <c r="BK70" i="4"/>
  <c r="AN71" i="4"/>
  <c r="BT71" i="4"/>
  <c r="AW72" i="4"/>
  <c r="BL53" i="4"/>
  <c r="BU54" i="4"/>
  <c r="BG55" i="4"/>
  <c r="AJ56" i="4"/>
  <c r="BP56" i="4"/>
  <c r="AS57" i="4"/>
  <c r="BY57" i="4"/>
  <c r="BB58" i="4"/>
  <c r="CH58" i="4"/>
  <c r="BK59" i="4"/>
  <c r="AN60" i="4"/>
  <c r="BT60" i="4"/>
  <c r="AW61" i="4"/>
  <c r="CC61" i="4"/>
  <c r="BF62" i="4"/>
  <c r="AI63" i="4"/>
  <c r="BO63" i="4"/>
  <c r="AR64" i="4"/>
  <c r="BX64" i="4"/>
  <c r="BA65" i="4"/>
  <c r="CG65" i="4"/>
  <c r="BJ66" i="4"/>
  <c r="AM67" i="4"/>
  <c r="BS67" i="4"/>
  <c r="AV68" i="4"/>
  <c r="CB68" i="4"/>
  <c r="BE69" i="4"/>
  <c r="AH70" i="4"/>
  <c r="BN70" i="4"/>
  <c r="AQ71" i="4"/>
  <c r="BW71" i="4"/>
  <c r="AZ72" i="4"/>
  <c r="BX72" i="4"/>
  <c r="AK73" i="4"/>
  <c r="BA73" i="4"/>
  <c r="BQ73" i="4"/>
  <c r="CG73" i="4"/>
  <c r="AT74" i="4"/>
  <c r="BJ74" i="4"/>
  <c r="BZ74" i="4"/>
  <c r="BY72" i="4"/>
  <c r="BB73" i="4"/>
  <c r="CH73" i="4"/>
  <c r="BK74" i="4"/>
  <c r="AK75" i="4"/>
  <c r="BA75" i="4"/>
  <c r="BQ75" i="4"/>
  <c r="CG75" i="4"/>
  <c r="AT76" i="4"/>
  <c r="BJ76" i="4"/>
  <c r="BZ76" i="4"/>
  <c r="AM77" i="4"/>
  <c r="BC77" i="4"/>
  <c r="BS77" i="4"/>
  <c r="CI77" i="4"/>
  <c r="AV78" i="4"/>
  <c r="BL78" i="4"/>
  <c r="CB78" i="4"/>
  <c r="AO79" i="4"/>
  <c r="BE79" i="4"/>
  <c r="BU79" i="4"/>
  <c r="AH80" i="4"/>
  <c r="AX80" i="4"/>
  <c r="BN80" i="4"/>
  <c r="CD80" i="4"/>
  <c r="AQ81" i="4"/>
  <c r="BG81" i="4"/>
  <c r="BW81" i="4"/>
  <c r="AJ82" i="4"/>
  <c r="AZ82" i="4"/>
  <c r="BP82" i="4"/>
  <c r="CF82" i="4"/>
  <c r="AS83" i="4"/>
  <c r="BI83" i="4"/>
  <c r="BY83" i="4"/>
  <c r="AL84" i="4"/>
  <c r="BB84" i="4"/>
  <c r="BR84" i="4"/>
  <c r="CH84" i="4"/>
  <c r="BS73" i="4"/>
  <c r="AV74" i="4"/>
  <c r="CB74" i="4"/>
  <c r="BF73" i="4"/>
  <c r="BO74" i="4"/>
  <c r="BC75" i="4"/>
  <c r="CI75" i="4"/>
  <c r="BL76" i="4"/>
  <c r="AO77" i="4"/>
  <c r="BU77" i="4"/>
  <c r="AX78" i="4"/>
  <c r="CD78" i="4"/>
  <c r="BG79" i="4"/>
  <c r="AJ80" i="4"/>
  <c r="BP80" i="4"/>
  <c r="AS81" i="4"/>
  <c r="BY81" i="4"/>
  <c r="BB82" i="4"/>
  <c r="CH82" i="4"/>
  <c r="BK83" i="4"/>
  <c r="AN84" i="4"/>
  <c r="BT84" i="4"/>
  <c r="AO85" i="4"/>
  <c r="BE85" i="4"/>
  <c r="BU85" i="4"/>
  <c r="AH86" i="4"/>
  <c r="AX86" i="4"/>
  <c r="BN86" i="4"/>
  <c r="CD86" i="4"/>
  <c r="AQ87" i="4"/>
  <c r="BG87" i="4"/>
  <c r="BW87" i="4"/>
  <c r="AJ88" i="4"/>
  <c r="AZ88" i="4"/>
  <c r="BP88" i="4"/>
  <c r="CF88" i="4"/>
  <c r="AS89" i="4"/>
  <c r="BI89" i="4"/>
  <c r="BY89" i="4"/>
  <c r="AL90" i="4"/>
  <c r="BB90" i="4"/>
  <c r="BR90" i="4"/>
  <c r="CH90" i="4"/>
  <c r="AU91" i="4"/>
  <c r="BK91" i="4"/>
  <c r="CA91" i="4"/>
  <c r="AN92" i="4"/>
  <c r="BD92" i="4"/>
  <c r="BT92" i="4"/>
  <c r="AG93" i="4"/>
  <c r="AW93" i="4"/>
  <c r="BM93" i="4"/>
  <c r="CC93" i="4"/>
  <c r="AP94" i="4"/>
  <c r="BF94" i="4"/>
  <c r="BV94" i="4"/>
  <c r="AI95" i="4"/>
  <c r="AY95" i="4"/>
  <c r="BO95" i="4"/>
  <c r="CE95" i="4"/>
  <c r="AR96" i="4"/>
  <c r="BH96" i="4"/>
  <c r="BX96" i="4"/>
  <c r="AK97" i="4"/>
  <c r="BA97" i="4"/>
  <c r="BQ97" i="4"/>
  <c r="CG97" i="4"/>
  <c r="AT98" i="4"/>
  <c r="BJ98" i="4"/>
  <c r="BZ98" i="4"/>
  <c r="AM99" i="4"/>
  <c r="BC99" i="4"/>
  <c r="BS99" i="4"/>
  <c r="CI99" i="4"/>
  <c r="AV100" i="4"/>
  <c r="BL100" i="4"/>
  <c r="CB100" i="4"/>
  <c r="AO101" i="4"/>
  <c r="BE101" i="4"/>
  <c r="BU101" i="4"/>
  <c r="AH102" i="4"/>
  <c r="AX102" i="4"/>
  <c r="BN102" i="4"/>
  <c r="CD102" i="4"/>
  <c r="AQ103" i="4"/>
  <c r="BG103" i="4"/>
  <c r="BW103" i="4"/>
  <c r="AJ104" i="4"/>
  <c r="AZ104" i="4"/>
  <c r="BP104" i="4"/>
  <c r="CF104" i="4"/>
  <c r="AS105" i="4"/>
  <c r="BI105" i="4"/>
  <c r="BY105" i="4"/>
  <c r="AL106" i="4"/>
  <c r="BB106" i="4"/>
  <c r="BR106" i="4"/>
  <c r="CH106" i="4"/>
  <c r="AU107" i="4"/>
  <c r="BK107" i="4"/>
  <c r="CA107" i="4"/>
  <c r="AN108" i="4"/>
  <c r="BD108" i="4"/>
  <c r="BT108" i="4"/>
  <c r="AG109" i="4"/>
  <c r="AW109" i="4"/>
  <c r="BM109" i="4"/>
  <c r="CC109" i="4"/>
  <c r="AP110" i="4"/>
  <c r="BF110" i="4"/>
  <c r="BV110" i="4"/>
  <c r="BS72" i="4"/>
  <c r="AV73" i="4"/>
  <c r="CB73" i="4"/>
  <c r="BE74" i="4"/>
  <c r="AH75" i="4"/>
  <c r="AX75" i="4"/>
  <c r="BN75" i="4"/>
  <c r="CD75" i="4"/>
  <c r="AQ76" i="4"/>
  <c r="BG76" i="4"/>
  <c r="BW76" i="4"/>
  <c r="AJ77" i="4"/>
  <c r="AZ77" i="4"/>
  <c r="BP77" i="4"/>
  <c r="CF77" i="4"/>
  <c r="AS78" i="4"/>
  <c r="BI78" i="4"/>
  <c r="BY78" i="4"/>
  <c r="AL79" i="4"/>
  <c r="BB79" i="4"/>
  <c r="BR79" i="4"/>
  <c r="CH79" i="4"/>
  <c r="AU80" i="4"/>
  <c r="BK80" i="4"/>
  <c r="CA80" i="4"/>
  <c r="AN81" i="4"/>
  <c r="BD81" i="4"/>
  <c r="BT81" i="4"/>
  <c r="AG82" i="4"/>
  <c r="AW82" i="4"/>
  <c r="BM82" i="4"/>
  <c r="CC82" i="4"/>
  <c r="AP83" i="4"/>
  <c r="BF83" i="4"/>
  <c r="BV83" i="4"/>
  <c r="AI84" i="4"/>
  <c r="AY84" i="4"/>
  <c r="BO84" i="4"/>
  <c r="CE84" i="4"/>
  <c r="AR85" i="4"/>
  <c r="BH85" i="4"/>
  <c r="BX85" i="4"/>
  <c r="AK86" i="4"/>
  <c r="BA86" i="4"/>
  <c r="BQ86" i="4"/>
  <c r="CG86" i="4"/>
  <c r="AT87" i="4"/>
  <c r="BJ87" i="4"/>
  <c r="BZ87" i="4"/>
  <c r="AM88" i="4"/>
  <c r="BC88" i="4"/>
  <c r="BS88" i="4"/>
  <c r="CI88" i="4"/>
  <c r="AV89" i="4"/>
  <c r="BL89" i="4"/>
  <c r="CB89" i="4"/>
  <c r="AO90" i="4"/>
  <c r="BE90" i="4"/>
  <c r="BU90" i="4"/>
  <c r="AH91" i="4"/>
  <c r="AX91" i="4"/>
  <c r="BN91" i="4"/>
  <c r="CD91" i="4"/>
  <c r="AQ92" i="4"/>
  <c r="BG92" i="4"/>
  <c r="BW92" i="4"/>
  <c r="AJ93" i="4"/>
  <c r="AZ93" i="4"/>
  <c r="BP93" i="4"/>
  <c r="CF93" i="4"/>
  <c r="AS94" i="4"/>
  <c r="BI94" i="4"/>
  <c r="BY94" i="4"/>
  <c r="AL95" i="4"/>
  <c r="BB95" i="4"/>
  <c r="BR95" i="4"/>
  <c r="CH95" i="4"/>
  <c r="AU96" i="4"/>
  <c r="BK96" i="4"/>
  <c r="CA96" i="4"/>
  <c r="AN97" i="4"/>
  <c r="BD97" i="4"/>
  <c r="BT97" i="4"/>
  <c r="AG98" i="4"/>
  <c r="AW98" i="4"/>
  <c r="BM98" i="4"/>
  <c r="CC98" i="4"/>
  <c r="AP99" i="4"/>
  <c r="BF99" i="4"/>
  <c r="BV99" i="4"/>
  <c r="AI100" i="4"/>
  <c r="AY100" i="4"/>
  <c r="BO100" i="4"/>
  <c r="CE100" i="4"/>
  <c r="AR101" i="4"/>
  <c r="BH101" i="4"/>
  <c r="BX101" i="4"/>
  <c r="AK102" i="4"/>
  <c r="BA102" i="4"/>
  <c r="BQ102" i="4"/>
  <c r="CG102" i="4"/>
  <c r="AT103" i="4"/>
  <c r="BJ103" i="4"/>
  <c r="BZ103" i="4"/>
  <c r="AM104" i="4"/>
  <c r="BI104" i="4"/>
  <c r="AL105" i="4"/>
  <c r="BR105" i="4"/>
  <c r="AU106" i="4"/>
  <c r="CA106" i="4"/>
  <c r="BD107" i="4"/>
  <c r="AG108" i="4"/>
  <c r="BM108" i="4"/>
  <c r="AP109" i="4"/>
  <c r="BV109" i="4"/>
  <c r="AY110" i="4"/>
  <c r="CE110" i="4"/>
  <c r="AU111" i="4"/>
  <c r="BK111" i="4"/>
  <c r="CA111" i="4"/>
  <c r="AN112" i="4"/>
  <c r="BD112" i="4"/>
  <c r="BT112" i="4"/>
  <c r="AG113" i="4"/>
  <c r="AW113" i="4"/>
  <c r="BM113" i="4"/>
  <c r="CC113" i="4"/>
  <c r="AP114" i="4"/>
  <c r="BF114" i="4"/>
  <c r="BV114" i="4"/>
  <c r="AI115" i="4"/>
  <c r="AY115" i="4"/>
  <c r="BO115" i="4"/>
  <c r="CE115" i="4"/>
  <c r="AR116" i="4"/>
  <c r="BH116" i="4"/>
  <c r="BX116" i="4"/>
  <c r="AK117" i="4"/>
  <c r="BA117" i="4"/>
  <c r="BQ117" i="4"/>
  <c r="CG117" i="4"/>
  <c r="AT118" i="4"/>
  <c r="BJ118" i="4"/>
  <c r="BZ118" i="4"/>
  <c r="AY73" i="4"/>
  <c r="BH74" i="4"/>
  <c r="CD73" i="4"/>
  <c r="BO75" i="4"/>
  <c r="BX76" i="4"/>
  <c r="CG77" i="4"/>
  <c r="AM79" i="4"/>
  <c r="AV80" i="4"/>
  <c r="BE81" i="4"/>
  <c r="BN82" i="4"/>
  <c r="BW83" i="4"/>
  <c r="CF84" i="4"/>
  <c r="BK85" i="4"/>
  <c r="AN86" i="4"/>
  <c r="BT86" i="4"/>
  <c r="AW87" i="4"/>
  <c r="CC87" i="4"/>
  <c r="BF88" i="4"/>
  <c r="AI89" i="4"/>
  <c r="BO89" i="4"/>
  <c r="AR90" i="4"/>
  <c r="BX90" i="4"/>
  <c r="BA91" i="4"/>
  <c r="CG91" i="4"/>
  <c r="BJ92" i="4"/>
  <c r="AM93" i="4"/>
  <c r="BS93" i="4"/>
  <c r="AV94" i="4"/>
  <c r="CB94" i="4"/>
  <c r="BE95" i="4"/>
  <c r="AH96" i="4"/>
  <c r="BN96" i="4"/>
  <c r="AQ97" i="4"/>
  <c r="BW97" i="4"/>
  <c r="AZ98" i="4"/>
  <c r="CF98" i="4"/>
  <c r="BI99" i="4"/>
  <c r="AL100" i="4"/>
  <c r="BR100" i="4"/>
  <c r="AU101" i="4"/>
  <c r="CA101" i="4"/>
  <c r="BD102" i="4"/>
  <c r="AG103" i="4"/>
  <c r="BM103" i="4"/>
  <c r="AP104" i="4"/>
  <c r="BV104" i="4"/>
  <c r="AY105" i="4"/>
  <c r="CE105" i="4"/>
  <c r="BH106" i="4"/>
  <c r="AK107" i="4"/>
  <c r="BQ107" i="4"/>
  <c r="AT108" i="4"/>
  <c r="BZ108" i="4"/>
  <c r="BC109" i="4"/>
  <c r="CI109" i="4"/>
  <c r="BL110" i="4"/>
  <c r="CE72" i="4"/>
  <c r="AK74" i="4"/>
  <c r="AN75" i="4"/>
  <c r="BT75" i="4"/>
  <c r="AW76" i="4"/>
  <c r="CC76" i="4"/>
  <c r="BF77" i="4"/>
  <c r="AI78" i="4"/>
  <c r="BO78" i="4"/>
  <c r="AR79" i="4"/>
  <c r="BX79" i="4"/>
  <c r="BA80" i="4"/>
  <c r="CG80" i="4"/>
  <c r="BJ81" i="4"/>
  <c r="AM82" i="4"/>
  <c r="BS82" i="4"/>
  <c r="AV83" i="4"/>
  <c r="CB83" i="4"/>
  <c r="BE84" i="4"/>
  <c r="AH85" i="4"/>
  <c r="BN85" i="4"/>
  <c r="AQ86" i="4"/>
  <c r="BW86" i="4"/>
  <c r="AZ87" i="4"/>
  <c r="CF87" i="4"/>
  <c r="BI88" i="4"/>
  <c r="AJ54" i="4"/>
  <c r="BB53" i="4"/>
  <c r="BB55" i="4"/>
  <c r="BR55" i="4"/>
  <c r="CA56" i="4"/>
  <c r="BH57" i="4"/>
  <c r="AK58" i="4"/>
  <c r="BQ58" i="4"/>
  <c r="AT59" i="4"/>
  <c r="BZ59" i="4"/>
  <c r="BC60" i="4"/>
  <c r="CI60" i="4"/>
  <c r="BL61" i="4"/>
  <c r="AO62" i="4"/>
  <c r="BU62" i="4"/>
  <c r="AX63" i="4"/>
  <c r="CD63" i="4"/>
  <c r="BG64" i="4"/>
  <c r="AJ65" i="4"/>
  <c r="BP65" i="4"/>
  <c r="AS66" i="4"/>
  <c r="BY66" i="4"/>
  <c r="BB67" i="4"/>
  <c r="CH67" i="4"/>
  <c r="BK68" i="4"/>
  <c r="AN69" i="4"/>
  <c r="BT69" i="4"/>
  <c r="AW70" i="4"/>
  <c r="CC70" i="4"/>
  <c r="BF71" i="4"/>
  <c r="AI72" i="4"/>
  <c r="BO72" i="4"/>
  <c r="AS54" i="4"/>
  <c r="AS55" i="4"/>
  <c r="BY55" i="4"/>
  <c r="BB56" i="4"/>
  <c r="CH56" i="4"/>
  <c r="BK57" i="4"/>
  <c r="AN58" i="4"/>
  <c r="BT58" i="4"/>
  <c r="AW59" i="4"/>
  <c r="CC59" i="4"/>
  <c r="BF60" i="4"/>
  <c r="AI61" i="4"/>
  <c r="BO61" i="4"/>
  <c r="AR62" i="4"/>
  <c r="BX62" i="4"/>
  <c r="BA63" i="4"/>
  <c r="CG63" i="4"/>
  <c r="BJ64" i="4"/>
  <c r="AM65" i="4"/>
  <c r="BS65" i="4"/>
  <c r="AV66" i="4"/>
  <c r="CB66" i="4"/>
  <c r="BE67" i="4"/>
  <c r="AH68" i="4"/>
  <c r="BN68" i="4"/>
  <c r="AQ69" i="4"/>
  <c r="BW69" i="4"/>
  <c r="AZ70" i="4"/>
  <c r="CF70" i="4"/>
  <c r="BI71" i="4"/>
  <c r="AL72" i="4"/>
  <c r="BR72" i="4"/>
  <c r="CD54" i="4"/>
  <c r="AJ55" i="4"/>
  <c r="CB55" i="4"/>
  <c r="BE56" i="4"/>
  <c r="AH57" i="4"/>
  <c r="BN57" i="4"/>
  <c r="AQ58" i="4"/>
  <c r="BW58" i="4"/>
  <c r="AZ59" i="4"/>
  <c r="CF59" i="4"/>
  <c r="BI60" i="4"/>
  <c r="AL61" i="4"/>
  <c r="BR61" i="4"/>
  <c r="AU62" i="4"/>
  <c r="CA62" i="4"/>
  <c r="BD63" i="4"/>
  <c r="AG64" i="4"/>
  <c r="BM64" i="4"/>
  <c r="AP65" i="4"/>
  <c r="BV65" i="4"/>
  <c r="AY66" i="4"/>
  <c r="CE66" i="4"/>
  <c r="BH67" i="4"/>
  <c r="AK68" i="4"/>
  <c r="BQ68" i="4"/>
  <c r="AT69" i="4"/>
  <c r="BZ69" i="4"/>
  <c r="BC70" i="4"/>
  <c r="CI70" i="4"/>
  <c r="BL71" i="4"/>
  <c r="AO72" i="4"/>
  <c r="AV53" i="4"/>
  <c r="BE54" i="4"/>
  <c r="AY55" i="4"/>
  <c r="CE55" i="4"/>
  <c r="BH56" i="4"/>
  <c r="AK57" i="4"/>
  <c r="BQ57" i="4"/>
  <c r="AT58" i="4"/>
  <c r="BZ58" i="4"/>
  <c r="BC59" i="4"/>
  <c r="CI59" i="4"/>
  <c r="BL60" i="4"/>
  <c r="AO61" i="4"/>
  <c r="BU61" i="4"/>
  <c r="AX62" i="4"/>
  <c r="CD62" i="4"/>
  <c r="BG63" i="4"/>
  <c r="AJ64" i="4"/>
  <c r="BP64" i="4"/>
  <c r="AS65" i="4"/>
  <c r="BY65" i="4"/>
  <c r="BB66" i="4"/>
  <c r="CH66" i="4"/>
  <c r="BK67" i="4"/>
  <c r="AN68" i="4"/>
  <c r="BT68" i="4"/>
  <c r="AW69" i="4"/>
  <c r="CC69" i="4"/>
  <c r="BF70" i="4"/>
  <c r="AI71" i="4"/>
  <c r="BO71" i="4"/>
  <c r="BA11" i="4"/>
  <c r="BQ11" i="4"/>
  <c r="CG11" i="4"/>
  <c r="BJ12" i="4"/>
  <c r="BZ12" i="4"/>
  <c r="BC13" i="4"/>
  <c r="BS13" i="4"/>
  <c r="CI13" i="4"/>
  <c r="BH14" i="4"/>
  <c r="BX14" i="4"/>
  <c r="AW15" i="4"/>
  <c r="BM15" i="4"/>
  <c r="BZ11" i="4"/>
  <c r="BS12" i="4"/>
  <c r="BD13" i="4"/>
  <c r="AW14" i="4"/>
  <c r="CC14" i="4"/>
  <c r="BR15" i="4"/>
  <c r="CH15" i="4"/>
  <c r="AU16" i="4"/>
  <c r="BK16" i="4"/>
  <c r="BH11" i="4"/>
  <c r="BA12" i="4"/>
  <c r="CG12" i="4"/>
  <c r="CA11" i="4"/>
  <c r="BL12" i="4"/>
  <c r="BE13" i="4"/>
  <c r="AX14" i="4"/>
  <c r="CD14" i="4"/>
  <c r="BN11" i="4"/>
  <c r="AZ13" i="4"/>
  <c r="BI14" i="4"/>
  <c r="BX15" i="4"/>
  <c r="BA16" i="4"/>
  <c r="BT11" i="4"/>
  <c r="BB13" i="4"/>
  <c r="CH13" i="4"/>
  <c r="BS14" i="4"/>
  <c r="BD15" i="4"/>
  <c r="BY15" i="4"/>
  <c r="AL16" i="4"/>
  <c r="BB16" i="4"/>
  <c r="BR16" i="4"/>
  <c r="CH16" i="4"/>
  <c r="AU17" i="4"/>
  <c r="BK17" i="4"/>
  <c r="CA17" i="4"/>
  <c r="AN17" i="4"/>
  <c r="BT17" i="4"/>
  <c r="AM18" i="4"/>
  <c r="BC18" i="4"/>
  <c r="BS18" i="4"/>
  <c r="CI18" i="4"/>
  <c r="AV19" i="4"/>
  <c r="BL19" i="4"/>
  <c r="CB19" i="4"/>
  <c r="AO20" i="4"/>
  <c r="BE20" i="4"/>
  <c r="BU20" i="4"/>
  <c r="AH21" i="4"/>
  <c r="AX21" i="4"/>
  <c r="BN21" i="4"/>
  <c r="CD21" i="4"/>
  <c r="AQ22" i="4"/>
  <c r="BE11" i="4"/>
  <c r="BU11" i="4"/>
  <c r="AX12" i="4"/>
  <c r="BN12" i="4"/>
  <c r="CD12" i="4"/>
  <c r="BG13" i="4"/>
  <c r="BW13" i="4"/>
  <c r="AV14" i="4"/>
  <c r="BL14" i="4"/>
  <c r="CB14" i="4"/>
  <c r="BA15" i="4"/>
  <c r="BB11" i="4"/>
  <c r="CH11" i="4"/>
  <c r="CA12" i="4"/>
  <c r="BL13" i="4"/>
  <c r="BE14" i="4"/>
  <c r="AX15" i="4"/>
  <c r="BV15" i="4"/>
  <c r="AI16" i="4"/>
  <c r="AY16" i="4"/>
  <c r="BO16" i="4"/>
  <c r="BP11" i="4"/>
  <c r="BI12" i="4"/>
  <c r="BC11" i="4"/>
  <c r="CI11" i="4"/>
  <c r="BT12" i="4"/>
  <c r="BM13" i="4"/>
  <c r="BV14" i="4"/>
  <c r="BW12" i="4"/>
  <c r="BP15" i="4"/>
  <c r="BD11" i="4"/>
  <c r="BZ13" i="4"/>
  <c r="AV15" i="4"/>
  <c r="AH16" i="4"/>
  <c r="BN16" i="4"/>
  <c r="AQ17" i="4"/>
  <c r="BW17" i="4"/>
  <c r="BL17" i="4"/>
  <c r="AY18" i="4"/>
  <c r="CE18" i="4"/>
  <c r="BH19" i="4"/>
  <c r="AK20" i="4"/>
  <c r="BQ20" i="4"/>
  <c r="AT21" i="4"/>
  <c r="BZ21" i="4"/>
  <c r="AY22" i="4"/>
  <c r="BO22" i="4"/>
  <c r="CE22" i="4"/>
  <c r="AR23" i="4"/>
  <c r="BH23" i="4"/>
  <c r="BX23" i="4"/>
  <c r="AK24" i="4"/>
  <c r="BA24" i="4"/>
  <c r="BQ24" i="4"/>
  <c r="CG24" i="4"/>
  <c r="AT25" i="4"/>
  <c r="BJ25" i="4"/>
  <c r="BZ25" i="4"/>
  <c r="AM26" i="4"/>
  <c r="AP17" i="4"/>
  <c r="BV17" i="4"/>
  <c r="AN18" i="4"/>
  <c r="BD18" i="4"/>
  <c r="BT18" i="4"/>
  <c r="AY11" i="4"/>
  <c r="BX12" i="4"/>
  <c r="AT14" i="4"/>
  <c r="BV11" i="4"/>
  <c r="BQ14" i="4"/>
  <c r="AW16" i="4"/>
  <c r="BE12" i="4"/>
  <c r="BO14" i="4"/>
  <c r="CA15" i="4"/>
  <c r="BD16" i="4"/>
  <c r="AG17" i="4"/>
  <c r="BM17" i="4"/>
  <c r="AR17" i="4"/>
  <c r="AO18" i="4"/>
  <c r="BU18" i="4"/>
  <c r="AX19" i="4"/>
  <c r="CD19" i="4"/>
  <c r="BG20" i="4"/>
  <c r="AJ21" i="4"/>
  <c r="BP21" i="4"/>
  <c r="AS22" i="4"/>
  <c r="BY22" i="4"/>
  <c r="BB23" i="4"/>
  <c r="CH23" i="4"/>
  <c r="BK24" i="4"/>
  <c r="AN25" i="4"/>
  <c r="BT25" i="4"/>
  <c r="CG16" i="4"/>
  <c r="AH18" i="4"/>
  <c r="BN18" i="4"/>
  <c r="AK19" i="4"/>
  <c r="BA19" i="4"/>
  <c r="BQ19" i="4"/>
  <c r="CG19" i="4"/>
  <c r="AT20" i="4"/>
  <c r="BJ20" i="4"/>
  <c r="BZ20" i="4"/>
  <c r="AM21" i="4"/>
  <c r="BC21" i="4"/>
  <c r="BS21" i="4"/>
  <c r="CI21" i="4"/>
  <c r="AV22" i="4"/>
  <c r="BL22" i="4"/>
  <c r="CB22" i="4"/>
  <c r="AO23" i="4"/>
  <c r="BE23" i="4"/>
  <c r="BU23" i="4"/>
  <c r="AH24" i="4"/>
  <c r="AX24" i="4"/>
  <c r="BN24" i="4"/>
  <c r="CD24" i="4"/>
  <c r="AQ25" i="4"/>
  <c r="BG25" i="4"/>
  <c r="BW25" i="4"/>
  <c r="AJ26" i="4"/>
  <c r="AZ26" i="4"/>
  <c r="AS26" i="4"/>
  <c r="BT26" i="4"/>
  <c r="AG27" i="4"/>
  <c r="AW27" i="4"/>
  <c r="BM27" i="4"/>
  <c r="CC27" i="4"/>
  <c r="AP28" i="4"/>
  <c r="BF28" i="4"/>
  <c r="BV28" i="4"/>
  <c r="AI29" i="4"/>
  <c r="AY29" i="4"/>
  <c r="BO29" i="4"/>
  <c r="CE29" i="4"/>
  <c r="AR30" i="4"/>
  <c r="BH30" i="4"/>
  <c r="BX30" i="4"/>
  <c r="AK31" i="4"/>
  <c r="BA31" i="4"/>
  <c r="BQ31" i="4"/>
  <c r="CG31" i="4"/>
  <c r="AT32" i="4"/>
  <c r="BJ32" i="4"/>
  <c r="BZ32" i="4"/>
  <c r="AM33" i="4"/>
  <c r="BC33" i="4"/>
  <c r="BS33" i="4"/>
  <c r="CI33" i="4"/>
  <c r="AV34" i="4"/>
  <c r="BL34" i="4"/>
  <c r="CB34" i="4"/>
  <c r="AO35" i="4"/>
  <c r="BE35" i="4"/>
  <c r="AY26" i="4"/>
  <c r="BW26" i="4"/>
  <c r="BF14" i="4"/>
  <c r="CD11" i="4"/>
  <c r="BY14" i="4"/>
  <c r="BI16" i="4"/>
  <c r="BJ13" i="4"/>
  <c r="CA14" i="4"/>
  <c r="CC15" i="4"/>
  <c r="BF16" i="4"/>
  <c r="AI17" i="4"/>
  <c r="BO17" i="4"/>
  <c r="AV17" i="4"/>
  <c r="AQ18" i="4"/>
  <c r="BW18" i="4"/>
  <c r="AZ19" i="4"/>
  <c r="CF19" i="4"/>
  <c r="BI20" i="4"/>
  <c r="AL21" i="4"/>
  <c r="BR21" i="4"/>
  <c r="AU22" i="4"/>
  <c r="BK22" i="4"/>
  <c r="CA22" i="4"/>
  <c r="AN23" i="4"/>
  <c r="BD23" i="4"/>
  <c r="BT23" i="4"/>
  <c r="AG24" i="4"/>
  <c r="AW24" i="4"/>
  <c r="BM24" i="4"/>
  <c r="CC24" i="4"/>
  <c r="AP25" i="4"/>
  <c r="BF25" i="4"/>
  <c r="BV25" i="4"/>
  <c r="AI26" i="4"/>
  <c r="AH17" i="4"/>
  <c r="BN17" i="4"/>
  <c r="AJ18" i="4"/>
  <c r="AZ18" i="4"/>
  <c r="BP18" i="4"/>
  <c r="CF18" i="4"/>
  <c r="BH12" i="4"/>
  <c r="CG13" i="4"/>
  <c r="BC15" i="4"/>
  <c r="BH13" i="4"/>
  <c r="AG16" i="4"/>
  <c r="AY14" i="4"/>
  <c r="AV16" i="4"/>
  <c r="BE17" i="4"/>
  <c r="AG18" i="4"/>
  <c r="AP19" i="4"/>
  <c r="AY20" i="4"/>
  <c r="BH21" i="4"/>
  <c r="BQ22" i="4"/>
  <c r="BZ23" i="4"/>
  <c r="CI24" i="4"/>
  <c r="AO26" i="4"/>
  <c r="BF18" i="4"/>
  <c r="AW19" i="4"/>
  <c r="CC19" i="4"/>
  <c r="BF20" i="4"/>
  <c r="AI21" i="4"/>
  <c r="BO21" i="4"/>
  <c r="AR22" i="4"/>
  <c r="BX22" i="4"/>
  <c r="BA23" i="4"/>
  <c r="CG23" i="4"/>
  <c r="BJ24" i="4"/>
  <c r="AM25" i="4"/>
  <c r="BS25" i="4"/>
  <c r="AV26" i="4"/>
  <c r="BP26" i="4"/>
  <c r="AS27" i="4"/>
  <c r="BY27" i="4"/>
  <c r="BB28" i="4"/>
  <c r="CH28" i="4"/>
  <c r="BK29" i="4"/>
  <c r="AN30" i="4"/>
  <c r="BT30" i="4"/>
  <c r="AW31" i="4"/>
  <c r="CC31" i="4"/>
  <c r="BF32" i="4"/>
  <c r="AI33" i="4"/>
  <c r="BO33" i="4"/>
  <c r="AR34" i="4"/>
  <c r="BX34" i="4"/>
  <c r="BA35" i="4"/>
  <c r="BS26" i="4"/>
  <c r="AN27" i="4"/>
  <c r="BD27" i="4"/>
  <c r="BT27" i="4"/>
  <c r="AG28" i="4"/>
  <c r="AW28" i="4"/>
  <c r="BM28" i="4"/>
  <c r="CC28" i="4"/>
  <c r="AP29" i="4"/>
  <c r="BF29" i="4"/>
  <c r="BV29" i="4"/>
  <c r="AZ12" i="4"/>
  <c r="BY13" i="4"/>
  <c r="AU15" i="4"/>
  <c r="BX13" i="4"/>
  <c r="CB15" i="4"/>
  <c r="BL11" i="4"/>
  <c r="CD13" i="4"/>
  <c r="BO15" i="4"/>
  <c r="AR16" i="4"/>
  <c r="BX16" i="4"/>
  <c r="BA17" i="4"/>
  <c r="BW16" i="4"/>
  <c r="CF17" i="4"/>
  <c r="BI18" i="4"/>
  <c r="AL19" i="4"/>
  <c r="BR19" i="4"/>
  <c r="AU20" i="4"/>
  <c r="CA20" i="4"/>
  <c r="BD21" i="4"/>
  <c r="AG22" i="4"/>
  <c r="BM22" i="4"/>
  <c r="AP23" i="4"/>
  <c r="BV23" i="4"/>
  <c r="AY24" i="4"/>
  <c r="CE24" i="4"/>
  <c r="BH25" i="4"/>
  <c r="AK26" i="4"/>
  <c r="BR17" i="4"/>
  <c r="BB18" i="4"/>
  <c r="CH18" i="4"/>
  <c r="BK19" i="4"/>
  <c r="AN20" i="4"/>
  <c r="BT20" i="4"/>
  <c r="BF13" i="4"/>
  <c r="CI15" i="4"/>
  <c r="AO17" i="4"/>
  <c r="BH17" i="4"/>
  <c r="CC18" i="4"/>
  <c r="AI20" i="4"/>
  <c r="AR21" i="4"/>
  <c r="BA22" i="4"/>
  <c r="BJ23" i="4"/>
  <c r="BS24" i="4"/>
  <c r="CB25" i="4"/>
  <c r="AP18" i="4"/>
  <c r="AO19" i="4"/>
  <c r="BU19" i="4"/>
  <c r="AX20" i="4"/>
  <c r="CD20" i="4"/>
  <c r="BG21" i="4"/>
  <c r="AJ22" i="4"/>
  <c r="BP22" i="4"/>
  <c r="AS23" i="4"/>
  <c r="BY23" i="4"/>
  <c r="BB24" i="4"/>
  <c r="CH24" i="4"/>
  <c r="BK25" i="4"/>
  <c r="AN26" i="4"/>
  <c r="BA26" i="4"/>
  <c r="AK27" i="4"/>
  <c r="BQ27" i="4"/>
  <c r="AT28" i="4"/>
  <c r="BZ28" i="4"/>
  <c r="BC29" i="4"/>
  <c r="CI29" i="4"/>
  <c r="BL30" i="4"/>
  <c r="AO31" i="4"/>
  <c r="BU31" i="4"/>
  <c r="AX32" i="4"/>
  <c r="CD32" i="4"/>
  <c r="BG33" i="4"/>
  <c r="AJ34" i="4"/>
  <c r="BP34" i="4"/>
  <c r="AS35" i="4"/>
  <c r="BG26" i="4"/>
  <c r="AJ27" i="4"/>
  <c r="AZ27" i="4"/>
  <c r="BP27" i="4"/>
  <c r="CF27" i="4"/>
  <c r="AS28" i="4"/>
  <c r="BI28" i="4"/>
  <c r="BY28" i="4"/>
  <c r="AL29" i="4"/>
  <c r="BB29" i="4"/>
  <c r="BR29" i="4"/>
  <c r="BW11" i="4"/>
  <c r="BI13" i="4"/>
  <c r="CH14" i="4"/>
  <c r="BO12" i="4"/>
  <c r="BJ15" i="4"/>
  <c r="BU16" i="4"/>
  <c r="BN13" i="4"/>
  <c r="AZ15" i="4"/>
  <c r="AJ16" i="4"/>
  <c r="BP16" i="4"/>
  <c r="AS17" i="4"/>
  <c r="BY17" i="4"/>
  <c r="BA18" i="4"/>
  <c r="BJ19" i="4"/>
  <c r="BS20" i="4"/>
  <c r="CB21" i="4"/>
  <c r="AH23" i="4"/>
  <c r="AQ24" i="4"/>
  <c r="AZ25" i="4"/>
  <c r="BB17" i="4"/>
  <c r="BZ18" i="4"/>
  <c r="CI19" i="4"/>
  <c r="AG21" i="4"/>
  <c r="BM21" i="4"/>
  <c r="AP22" i="4"/>
  <c r="BV22" i="4"/>
  <c r="AY23" i="4"/>
  <c r="CE23" i="4"/>
  <c r="BH24" i="4"/>
  <c r="AK25" i="4"/>
  <c r="BQ25" i="4"/>
  <c r="AT26" i="4"/>
  <c r="BM26" i="4"/>
  <c r="AQ27" i="4"/>
  <c r="BW27" i="4"/>
  <c r="AZ28" i="4"/>
  <c r="CF28" i="4"/>
  <c r="BI29" i="4"/>
  <c r="AL30" i="4"/>
  <c r="BR30" i="4"/>
  <c r="AU31" i="4"/>
  <c r="CA31" i="4"/>
  <c r="BD32" i="4"/>
  <c r="AG33" i="4"/>
  <c r="BM33" i="4"/>
  <c r="AP34" i="4"/>
  <c r="BV34" i="4"/>
  <c r="AY35" i="4"/>
  <c r="BQ26" i="4"/>
  <c r="AT27" i="4"/>
  <c r="BZ27" i="4"/>
  <c r="BC28" i="4"/>
  <c r="CI28" i="4"/>
  <c r="BL29" i="4"/>
  <c r="AG30" i="4"/>
  <c r="AW30" i="4"/>
  <c r="BM30" i="4"/>
  <c r="CC30" i="4"/>
  <c r="AP31" i="4"/>
  <c r="BF31" i="4"/>
  <c r="BV31" i="4"/>
  <c r="AI32" i="4"/>
  <c r="AY32" i="4"/>
  <c r="BO32" i="4"/>
  <c r="CE32" i="4"/>
  <c r="AR33" i="4"/>
  <c r="BH33" i="4"/>
  <c r="BX33" i="4"/>
  <c r="AK34" i="4"/>
  <c r="BA34" i="4"/>
  <c r="BQ34" i="4"/>
  <c r="CG34" i="4"/>
  <c r="AI19" i="4"/>
  <c r="BO19" i="4"/>
  <c r="AR20" i="4"/>
  <c r="BX20" i="4"/>
  <c r="BA21" i="4"/>
  <c r="CG21" i="4"/>
  <c r="BJ22" i="4"/>
  <c r="AM23" i="4"/>
  <c r="BS23" i="4"/>
  <c r="AV24" i="4"/>
  <c r="CB24" i="4"/>
  <c r="BE25" i="4"/>
  <c r="AH26" i="4"/>
  <c r="BN26" i="4"/>
  <c r="CH26" i="4"/>
  <c r="BK27" i="4"/>
  <c r="AN28" i="4"/>
  <c r="BT28" i="4"/>
  <c r="AW29" i="4"/>
  <c r="CC29" i="4"/>
  <c r="BF30" i="4"/>
  <c r="AI31" i="4"/>
  <c r="BO31" i="4"/>
  <c r="AR32" i="4"/>
  <c r="BX32" i="4"/>
  <c r="BA33" i="4"/>
  <c r="CG33" i="4"/>
  <c r="BJ34" i="4"/>
  <c r="AM35" i="4"/>
  <c r="AU26" i="4"/>
  <c r="AH27" i="4"/>
  <c r="BN27" i="4"/>
  <c r="AQ28" i="4"/>
  <c r="BW28" i="4"/>
  <c r="AZ29" i="4"/>
  <c r="CD29" i="4"/>
  <c r="AQ30" i="4"/>
  <c r="BG30" i="4"/>
  <c r="BW30" i="4"/>
  <c r="AJ31" i="4"/>
  <c r="AZ31" i="4"/>
  <c r="BP31" i="4"/>
  <c r="CF31" i="4"/>
  <c r="AS32" i="4"/>
  <c r="BI32" i="4"/>
  <c r="BY32" i="4"/>
  <c r="AL33" i="4"/>
  <c r="BB33" i="4"/>
  <c r="BR33" i="4"/>
  <c r="CH33" i="4"/>
  <c r="AU34" i="4"/>
  <c r="BK34" i="4"/>
  <c r="CA34" i="4"/>
  <c r="AN35" i="4"/>
  <c r="BD35" i="4"/>
  <c r="BT35" i="4"/>
  <c r="AG36" i="4"/>
  <c r="AW36" i="4"/>
  <c r="BM36" i="4"/>
  <c r="CC36" i="4"/>
  <c r="AP37" i="4"/>
  <c r="AJ36" i="4"/>
  <c r="BP36" i="4"/>
  <c r="AS37" i="4"/>
  <c r="BB35" i="4"/>
  <c r="CH35" i="4"/>
  <c r="AK18" i="4"/>
  <c r="AT19" i="4"/>
  <c r="BC20" i="4"/>
  <c r="BL21" i="4"/>
  <c r="BU22" i="4"/>
  <c r="CD23" i="4"/>
  <c r="AJ25" i="4"/>
  <c r="BY16" i="4"/>
  <c r="BJ18" i="4"/>
  <c r="BS19" i="4"/>
  <c r="CB20" i="4"/>
  <c r="BE21" i="4"/>
  <c r="AH22" i="4"/>
  <c r="BN22" i="4"/>
  <c r="AQ23" i="4"/>
  <c r="BW23" i="4"/>
  <c r="AZ24" i="4"/>
  <c r="CF24" i="4"/>
  <c r="BI25" i="4"/>
  <c r="AL26" i="4"/>
  <c r="AW26" i="4"/>
  <c r="AI27" i="4"/>
  <c r="BO27" i="4"/>
  <c r="AR28" i="4"/>
  <c r="BX28" i="4"/>
  <c r="BA29" i="4"/>
  <c r="CG29" i="4"/>
  <c r="BJ30" i="4"/>
  <c r="AM31" i="4"/>
  <c r="BS31" i="4"/>
  <c r="AV32" i="4"/>
  <c r="CB32" i="4"/>
  <c r="BE33" i="4"/>
  <c r="AH34" i="4"/>
  <c r="BN34" i="4"/>
  <c r="AQ35" i="4"/>
  <c r="BC26" i="4"/>
  <c r="AL27" i="4"/>
  <c r="BR27" i="4"/>
  <c r="AU28" i="4"/>
  <c r="CA28" i="4"/>
  <c r="BD29" i="4"/>
  <c r="CF29" i="4"/>
  <c r="AS30" i="4"/>
  <c r="BI30" i="4"/>
  <c r="BY30" i="4"/>
  <c r="AL31" i="4"/>
  <c r="BB31" i="4"/>
  <c r="BR31" i="4"/>
  <c r="CH31" i="4"/>
  <c r="AU32" i="4"/>
  <c r="BK32" i="4"/>
  <c r="CA32" i="4"/>
  <c r="AN33" i="4"/>
  <c r="BD33" i="4"/>
  <c r="BT33" i="4"/>
  <c r="AG34" i="4"/>
  <c r="AW34" i="4"/>
  <c r="BM34" i="4"/>
  <c r="CC34" i="4"/>
  <c r="AP35" i="4"/>
  <c r="BG19" i="4"/>
  <c r="AJ20" i="4"/>
  <c r="BP20" i="4"/>
  <c r="AS21" i="4"/>
  <c r="BY21" i="4"/>
  <c r="BB22" i="4"/>
  <c r="CH22" i="4"/>
  <c r="BK23" i="4"/>
  <c r="AN24" i="4"/>
  <c r="BT24" i="4"/>
  <c r="AW25" i="4"/>
  <c r="CC25" i="4"/>
  <c r="BF26" i="4"/>
  <c r="BZ26" i="4"/>
  <c r="BC27" i="4"/>
  <c r="CI27" i="4"/>
  <c r="BL28" i="4"/>
  <c r="AO29" i="4"/>
  <c r="BU29" i="4"/>
  <c r="AX30" i="4"/>
  <c r="CD30" i="4"/>
  <c r="BG31" i="4"/>
  <c r="AJ32" i="4"/>
  <c r="BP32" i="4"/>
  <c r="AS33" i="4"/>
  <c r="BY33" i="4"/>
  <c r="BB34" i="4"/>
  <c r="CH34" i="4"/>
  <c r="BK35" i="4"/>
  <c r="CC26" i="4"/>
  <c r="BF27" i="4"/>
  <c r="AI28" i="4"/>
  <c r="BO28" i="4"/>
  <c r="AR29" i="4"/>
  <c r="BX29" i="4"/>
  <c r="AM30" i="4"/>
  <c r="BC30" i="4"/>
  <c r="BS30" i="4"/>
  <c r="CI30" i="4"/>
  <c r="AV31" i="4"/>
  <c r="BL31" i="4"/>
  <c r="CB31" i="4"/>
  <c r="AO32" i="4"/>
  <c r="BE32" i="4"/>
  <c r="BU32" i="4"/>
  <c r="AH33" i="4"/>
  <c r="AX33" i="4"/>
  <c r="BN33" i="4"/>
  <c r="CD33" i="4"/>
  <c r="AQ34" i="4"/>
  <c r="BG34" i="4"/>
  <c r="BW34" i="4"/>
  <c r="AJ35" i="4"/>
  <c r="AZ35" i="4"/>
  <c r="BP35" i="4"/>
  <c r="CF35" i="4"/>
  <c r="AS36" i="4"/>
  <c r="BI36" i="4"/>
  <c r="BY36" i="4"/>
  <c r="AL37" i="4"/>
  <c r="CE35" i="4"/>
  <c r="BH36" i="4"/>
  <c r="AK37" i="4"/>
  <c r="AT35" i="4"/>
  <c r="BZ35" i="4"/>
  <c r="BC36" i="4"/>
  <c r="AU36" i="4"/>
  <c r="AN37" i="4"/>
  <c r="BL36" i="4"/>
  <c r="BF37" i="4"/>
  <c r="BV37" i="4"/>
  <c r="AI38" i="4"/>
  <c r="AY38" i="4"/>
  <c r="BO38" i="4"/>
  <c r="CE38" i="4"/>
  <c r="AR39" i="4"/>
  <c r="BH39" i="4"/>
  <c r="BX39" i="4"/>
  <c r="AK40" i="4"/>
  <c r="BA40" i="4"/>
  <c r="BQ40" i="4"/>
  <c r="CG40" i="4"/>
  <c r="AT41" i="4"/>
  <c r="BJ41" i="4"/>
  <c r="BZ41" i="4"/>
  <c r="AM42" i="4"/>
  <c r="BC42" i="4"/>
  <c r="BS42" i="4"/>
  <c r="CI42" i="4"/>
  <c r="AV43" i="4"/>
  <c r="BL43" i="4"/>
  <c r="CB43" i="4"/>
  <c r="AO44" i="4"/>
  <c r="BE44" i="4"/>
  <c r="BU44" i="4"/>
  <c r="AH45" i="4"/>
  <c r="AX45" i="4"/>
  <c r="BN45" i="4"/>
  <c r="CD45" i="4"/>
  <c r="AQ46" i="4"/>
  <c r="BG46" i="4"/>
  <c r="BW46" i="4"/>
  <c r="AJ47" i="4"/>
  <c r="AZ47" i="4"/>
  <c r="BP47" i="4"/>
  <c r="CF47" i="4"/>
  <c r="AS48" i="4"/>
  <c r="BI48" i="4"/>
  <c r="BY48" i="4"/>
  <c r="AL49" i="4"/>
  <c r="BB49" i="4"/>
  <c r="BR49" i="4"/>
  <c r="CH49" i="4"/>
  <c r="AU50" i="4"/>
  <c r="BK50" i="4"/>
  <c r="CA50" i="4"/>
  <c r="AN51" i="4"/>
  <c r="BD51" i="4"/>
  <c r="BT51" i="4"/>
  <c r="AG52" i="4"/>
  <c r="AW52" i="4"/>
  <c r="BM52" i="4"/>
  <c r="CC52" i="4"/>
  <c r="CC35" i="4"/>
  <c r="BF36" i="4"/>
  <c r="AI37" i="4"/>
  <c r="BE37" i="4"/>
  <c r="BU37" i="4"/>
  <c r="AH38" i="4"/>
  <c r="AX38" i="4"/>
  <c r="BN38" i="4"/>
  <c r="CD38" i="4"/>
  <c r="AQ39" i="4"/>
  <c r="BG39" i="4"/>
  <c r="BW39" i="4"/>
  <c r="AJ40" i="4"/>
  <c r="AZ40" i="4"/>
  <c r="BP40" i="4"/>
  <c r="CF40" i="4"/>
  <c r="AS41" i="4"/>
  <c r="BI41" i="4"/>
  <c r="BY41" i="4"/>
  <c r="AL42" i="4"/>
  <c r="BB42" i="4"/>
  <c r="BR42" i="4"/>
  <c r="CH42" i="4"/>
  <c r="AU43" i="4"/>
  <c r="BK43" i="4"/>
  <c r="CA43" i="4"/>
  <c r="AN44" i="4"/>
  <c r="BD44" i="4"/>
  <c r="BT44" i="4"/>
  <c r="AG45" i="4"/>
  <c r="AW45" i="4"/>
  <c r="BM45" i="4"/>
  <c r="CC45" i="4"/>
  <c r="AP46" i="4"/>
  <c r="BF46" i="4"/>
  <c r="BV46" i="4"/>
  <c r="AI47" i="4"/>
  <c r="AY47" i="4"/>
  <c r="BO47" i="4"/>
  <c r="CE47" i="4"/>
  <c r="AR48" i="4"/>
  <c r="BH48" i="4"/>
  <c r="BX48" i="4"/>
  <c r="AK49" i="4"/>
  <c r="BA49" i="4"/>
  <c r="BQ49" i="4"/>
  <c r="CG49" i="4"/>
  <c r="AT50" i="4"/>
  <c r="BJ50" i="4"/>
  <c r="BZ50" i="4"/>
  <c r="AM51" i="4"/>
  <c r="BC51" i="4"/>
  <c r="BS51" i="4"/>
  <c r="CI51" i="4"/>
  <c r="AV52" i="4"/>
  <c r="BL52" i="4"/>
  <c r="CB52" i="4"/>
  <c r="AO53" i="4"/>
  <c r="BE53" i="4"/>
  <c r="BU53" i="4"/>
  <c r="AH54" i="4"/>
  <c r="AX54" i="4"/>
  <c r="BN54" i="4"/>
  <c r="BF35" i="4"/>
  <c r="AI36" i="4"/>
  <c r="BO36" i="4"/>
  <c r="AR37" i="4"/>
  <c r="BT36" i="4"/>
  <c r="BH37" i="4"/>
  <c r="BX37" i="4"/>
  <c r="AK38" i="4"/>
  <c r="BA38" i="4"/>
  <c r="BQ38" i="4"/>
  <c r="CG38" i="4"/>
  <c r="AT39" i="4"/>
  <c r="BJ39" i="4"/>
  <c r="BZ39" i="4"/>
  <c r="AM40" i="4"/>
  <c r="BC40" i="4"/>
  <c r="BS40" i="4"/>
  <c r="CI40" i="4"/>
  <c r="AV41" i="4"/>
  <c r="BL41" i="4"/>
  <c r="CB41" i="4"/>
  <c r="AO42" i="4"/>
  <c r="BE42" i="4"/>
  <c r="BU42" i="4"/>
  <c r="AH43" i="4"/>
  <c r="AX43" i="4"/>
  <c r="BN43" i="4"/>
  <c r="CD43" i="4"/>
  <c r="AQ44" i="4"/>
  <c r="BG44" i="4"/>
  <c r="BW44" i="4"/>
  <c r="AJ45" i="4"/>
  <c r="AZ45" i="4"/>
  <c r="BP45" i="4"/>
  <c r="CF45" i="4"/>
  <c r="AS46" i="4"/>
  <c r="BI46" i="4"/>
  <c r="BY46" i="4"/>
  <c r="AL47" i="4"/>
  <c r="BB47" i="4"/>
  <c r="BR47" i="4"/>
  <c r="CH47" i="4"/>
  <c r="AU48" i="4"/>
  <c r="BK48" i="4"/>
  <c r="CA48" i="4"/>
  <c r="AN49" i="4"/>
  <c r="BD49" i="4"/>
  <c r="BT49" i="4"/>
  <c r="AG50" i="4"/>
  <c r="AW50" i="4"/>
  <c r="BM50" i="4"/>
  <c r="CC50" i="4"/>
  <c r="AP51" i="4"/>
  <c r="BF51" i="4"/>
  <c r="BV51" i="4"/>
  <c r="AI52" i="4"/>
  <c r="AY52" i="4"/>
  <c r="BO52" i="4"/>
  <c r="CE52" i="4"/>
  <c r="CG35" i="4"/>
  <c r="BJ36" i="4"/>
  <c r="AM37" i="4"/>
  <c r="BG37" i="4"/>
  <c r="BW37" i="4"/>
  <c r="AJ38" i="4"/>
  <c r="AZ38" i="4"/>
  <c r="BP38" i="4"/>
  <c r="CF38" i="4"/>
  <c r="AS39" i="4"/>
  <c r="BI39" i="4"/>
  <c r="BY39" i="4"/>
  <c r="AL40" i="4"/>
  <c r="BB40" i="4"/>
  <c r="BR40" i="4"/>
  <c r="CH40" i="4"/>
  <c r="AU41" i="4"/>
  <c r="BK41" i="4"/>
  <c r="CA41" i="4"/>
  <c r="AN42" i="4"/>
  <c r="BD42" i="4"/>
  <c r="BT42" i="4"/>
  <c r="AG43" i="4"/>
  <c r="AW43" i="4"/>
  <c r="BM43" i="4"/>
  <c r="CC43" i="4"/>
  <c r="AP44" i="4"/>
  <c r="BF44" i="4"/>
  <c r="BV44" i="4"/>
  <c r="AI45" i="4"/>
  <c r="AY45" i="4"/>
  <c r="BO45" i="4"/>
  <c r="CE45" i="4"/>
  <c r="AR46" i="4"/>
  <c r="BH46" i="4"/>
  <c r="BX46" i="4"/>
  <c r="AK47" i="4"/>
  <c r="BA47" i="4"/>
  <c r="BQ47" i="4"/>
  <c r="CG47" i="4"/>
  <c r="AT48" i="4"/>
  <c r="BJ48" i="4"/>
  <c r="BZ48" i="4"/>
  <c r="AM49" i="4"/>
  <c r="BC49" i="4"/>
  <c r="BS49" i="4"/>
  <c r="CI49" i="4"/>
  <c r="AV50" i="4"/>
  <c r="BL50" i="4"/>
  <c r="CB50" i="4"/>
  <c r="AO51" i="4"/>
  <c r="BE51" i="4"/>
  <c r="BU51" i="4"/>
  <c r="AH52" i="4"/>
  <c r="AX52" i="4"/>
  <c r="BN52" i="4"/>
  <c r="CD52" i="4"/>
  <c r="CI36" i="4"/>
  <c r="AV36" i="4"/>
  <c r="AZ37" i="4"/>
  <c r="BR37" i="4"/>
  <c r="CH37" i="4"/>
  <c r="AU38" i="4"/>
  <c r="BK38" i="4"/>
  <c r="CA38" i="4"/>
  <c r="AN39" i="4"/>
  <c r="BD39" i="4"/>
  <c r="BT39" i="4"/>
  <c r="AG40" i="4"/>
  <c r="AW40" i="4"/>
  <c r="BM40" i="4"/>
  <c r="CC40" i="4"/>
  <c r="AP41" i="4"/>
  <c r="BF41" i="4"/>
  <c r="BV41" i="4"/>
  <c r="AI42" i="4"/>
  <c r="AY42" i="4"/>
  <c r="BO42" i="4"/>
  <c r="CE42" i="4"/>
  <c r="AR43" i="4"/>
  <c r="BH43" i="4"/>
  <c r="BX43" i="4"/>
  <c r="AK44" i="4"/>
  <c r="BA44" i="4"/>
  <c r="BQ44" i="4"/>
  <c r="CG44" i="4"/>
  <c r="AT45" i="4"/>
  <c r="BJ45" i="4"/>
  <c r="BZ45" i="4"/>
  <c r="AM46" i="4"/>
  <c r="BC46" i="4"/>
  <c r="BS46" i="4"/>
  <c r="CI46" i="4"/>
  <c r="AV47" i="4"/>
  <c r="BL47" i="4"/>
  <c r="CB47" i="4"/>
  <c r="AO48" i="4"/>
  <c r="BE48" i="4"/>
  <c r="BU48" i="4"/>
  <c r="AH49" i="4"/>
  <c r="AX49" i="4"/>
  <c r="BN49" i="4"/>
  <c r="CD49" i="4"/>
  <c r="AQ50" i="4"/>
  <c r="BG50" i="4"/>
  <c r="BW50" i="4"/>
  <c r="AJ51" i="4"/>
  <c r="AZ51" i="4"/>
  <c r="BP51" i="4"/>
  <c r="CF51" i="4"/>
  <c r="AS52" i="4"/>
  <c r="BI52" i="4"/>
  <c r="BY52" i="4"/>
  <c r="BU35" i="4"/>
  <c r="AX36" i="4"/>
  <c r="CD36" i="4"/>
  <c r="BA37" i="4"/>
  <c r="BQ37" i="4"/>
  <c r="CG37" i="4"/>
  <c r="AT38" i="4"/>
  <c r="BJ38" i="4"/>
  <c r="BZ38" i="4"/>
  <c r="AM39" i="4"/>
  <c r="BC39" i="4"/>
  <c r="BS39" i="4"/>
  <c r="CI39" i="4"/>
  <c r="AV40" i="4"/>
  <c r="BL40" i="4"/>
  <c r="CB40" i="4"/>
  <c r="AO41" i="4"/>
  <c r="BE41" i="4"/>
  <c r="BU41" i="4"/>
  <c r="AH42" i="4"/>
  <c r="AX42" i="4"/>
  <c r="BN42" i="4"/>
  <c r="CD42" i="4"/>
  <c r="AQ43" i="4"/>
  <c r="BG43" i="4"/>
  <c r="BW43" i="4"/>
  <c r="AJ44" i="4"/>
  <c r="AZ44" i="4"/>
  <c r="BP44" i="4"/>
  <c r="CF44" i="4"/>
  <c r="AS45" i="4"/>
  <c r="BI45" i="4"/>
  <c r="BY45" i="4"/>
  <c r="AL46" i="4"/>
  <c r="BB46" i="4"/>
  <c r="BR46" i="4"/>
  <c r="CH46" i="4"/>
  <c r="AU47" i="4"/>
  <c r="BK47" i="4"/>
  <c r="CA47" i="4"/>
  <c r="AN48" i="4"/>
  <c r="BD48" i="4"/>
  <c r="BT48" i="4"/>
  <c r="AG49" i="4"/>
  <c r="AW49" i="4"/>
  <c r="BM49" i="4"/>
  <c r="CC49" i="4"/>
  <c r="AP50" i="4"/>
  <c r="BF50" i="4"/>
  <c r="BV50" i="4"/>
  <c r="AI51" i="4"/>
  <c r="AY51" i="4"/>
  <c r="BO51" i="4"/>
  <c r="CE51" i="4"/>
  <c r="AR52" i="4"/>
  <c r="BH52" i="4"/>
  <c r="BX52" i="4"/>
  <c r="AK53" i="4"/>
  <c r="BA53" i="4"/>
  <c r="BQ53" i="4"/>
  <c r="CG53" i="4"/>
  <c r="AT54" i="4"/>
  <c r="BJ54" i="4"/>
  <c r="AX35" i="4"/>
  <c r="CD35" i="4"/>
  <c r="BG36" i="4"/>
  <c r="AJ37" i="4"/>
  <c r="BD36" i="4"/>
  <c r="BD37" i="4"/>
  <c r="BT37" i="4"/>
  <c r="AG38" i="4"/>
  <c r="AW38" i="4"/>
  <c r="BM38" i="4"/>
  <c r="CC38" i="4"/>
  <c r="AP39" i="4"/>
  <c r="BF39" i="4"/>
  <c r="BV39" i="4"/>
  <c r="AI40" i="4"/>
  <c r="AY40" i="4"/>
  <c r="BO40" i="4"/>
  <c r="CE40" i="4"/>
  <c r="AR41" i="4"/>
  <c r="BH41" i="4"/>
  <c r="BX41" i="4"/>
  <c r="AK42" i="4"/>
  <c r="BA42" i="4"/>
  <c r="BQ42" i="4"/>
  <c r="CG42" i="4"/>
  <c r="AT43" i="4"/>
  <c r="BJ43" i="4"/>
  <c r="BZ43" i="4"/>
  <c r="AM44" i="4"/>
  <c r="BC44" i="4"/>
  <c r="BS44" i="4"/>
  <c r="CI44" i="4"/>
  <c r="AV45" i="4"/>
  <c r="BL45" i="4"/>
  <c r="CB45" i="4"/>
  <c r="AO46" i="4"/>
  <c r="BE46" i="4"/>
  <c r="BU46" i="4"/>
  <c r="AH47" i="4"/>
  <c r="AX47" i="4"/>
  <c r="BN47" i="4"/>
  <c r="CD47" i="4"/>
  <c r="AQ48" i="4"/>
  <c r="BG48" i="4"/>
  <c r="BW48" i="4"/>
  <c r="AJ49" i="4"/>
  <c r="AZ49" i="4"/>
  <c r="BP49" i="4"/>
  <c r="CF49" i="4"/>
  <c r="AS50" i="4"/>
  <c r="BI50" i="4"/>
  <c r="BY50" i="4"/>
  <c r="AL51" i="4"/>
  <c r="BB51" i="4"/>
  <c r="BR51" i="4"/>
  <c r="CH51" i="4"/>
  <c r="AU52" i="4"/>
  <c r="BK52" i="4"/>
  <c r="CA52" i="4"/>
  <c r="BY35" i="4"/>
  <c r="BB36" i="4"/>
  <c r="CH36" i="4"/>
  <c r="BC37" i="4"/>
  <c r="BS37" i="4"/>
  <c r="CI37" i="4"/>
  <c r="AV38" i="4"/>
  <c r="BL38" i="4"/>
  <c r="CB38" i="4"/>
  <c r="AO39" i="4"/>
  <c r="BE39" i="4"/>
  <c r="BU39" i="4"/>
  <c r="AH40" i="4"/>
  <c r="AX40" i="4"/>
  <c r="BN40" i="4"/>
  <c r="CD40" i="4"/>
  <c r="AQ41" i="4"/>
  <c r="BG41" i="4"/>
  <c r="BW41" i="4"/>
  <c r="AJ42" i="4"/>
  <c r="AZ42" i="4"/>
  <c r="BP42" i="4"/>
  <c r="CF42" i="4"/>
  <c r="AS43" i="4"/>
  <c r="BI43" i="4"/>
  <c r="BY43" i="4"/>
  <c r="AL44" i="4"/>
  <c r="BB44" i="4"/>
  <c r="BR44" i="4"/>
  <c r="CH44" i="4"/>
  <c r="AU45" i="4"/>
  <c r="BK45" i="4"/>
  <c r="CA45" i="4"/>
  <c r="AN46" i="4"/>
  <c r="BD46" i="4"/>
  <c r="BT46" i="4"/>
  <c r="AG47" i="4"/>
  <c r="AW47" i="4"/>
  <c r="BM47" i="4"/>
  <c r="CC47" i="4"/>
  <c r="AP48" i="4"/>
  <c r="BF48" i="4"/>
  <c r="BV48" i="4"/>
  <c r="AI49" i="4"/>
  <c r="AY49" i="4"/>
  <c r="BO49" i="4"/>
  <c r="CE49" i="4"/>
  <c r="AR50" i="4"/>
  <c r="BH50" i="4"/>
  <c r="BX50" i="4"/>
  <c r="AK51" i="4"/>
  <c r="BA51" i="4"/>
  <c r="BQ51" i="4"/>
  <c r="CG51" i="4"/>
  <c r="AT52" i="4"/>
  <c r="BJ52" i="4"/>
  <c r="BZ52" i="4"/>
  <c r="AM53" i="4"/>
  <c r="BC53" i="4"/>
  <c r="BS53" i="4"/>
  <c r="CI53" i="4"/>
  <c r="AV54" i="4"/>
  <c r="BL54" i="4"/>
  <c r="CB54" i="4"/>
  <c r="AT53" i="4"/>
  <c r="BZ53" i="4"/>
  <c r="BC54" i="4"/>
  <c r="CI54" i="4"/>
  <c r="AX55" i="4"/>
  <c r="CH54" i="4"/>
  <c r="AI54" i="4"/>
  <c r="AN55" i="4"/>
  <c r="BN55" i="4"/>
  <c r="CD55" i="4"/>
  <c r="AQ56" i="4"/>
  <c r="BG56" i="4"/>
  <c r="BW56" i="4"/>
  <c r="AI53" i="4"/>
  <c r="BO53" i="4"/>
  <c r="AR54" i="4"/>
  <c r="BX54" i="4"/>
  <c r="BR53" i="4"/>
  <c r="CA54" i="4"/>
  <c r="BZ54" i="4"/>
  <c r="CE54" i="4"/>
  <c r="BZ55" i="4"/>
  <c r="BC56" i="4"/>
  <c r="CI56" i="4"/>
  <c r="AV57" i="4"/>
  <c r="BL57" i="4"/>
  <c r="CB57" i="4"/>
  <c r="AO58" i="4"/>
  <c r="BE58" i="4"/>
  <c r="BU58" i="4"/>
  <c r="AH59" i="4"/>
  <c r="AX59" i="4"/>
  <c r="BN59" i="4"/>
  <c r="CD59" i="4"/>
  <c r="AQ60" i="4"/>
  <c r="BG60" i="4"/>
  <c r="BW60" i="4"/>
  <c r="AJ61" i="4"/>
  <c r="AZ61" i="4"/>
  <c r="BP61" i="4"/>
  <c r="CF61" i="4"/>
  <c r="AS62" i="4"/>
  <c r="BI62" i="4"/>
  <c r="BY62" i="4"/>
  <c r="AL63" i="4"/>
  <c r="BB63" i="4"/>
  <c r="BR63" i="4"/>
  <c r="CH63" i="4"/>
  <c r="AU64" i="4"/>
  <c r="BK64" i="4"/>
  <c r="CA64" i="4"/>
  <c r="AN65" i="4"/>
  <c r="BD65" i="4"/>
  <c r="BT65" i="4"/>
  <c r="AG66" i="4"/>
  <c r="AW66" i="4"/>
  <c r="BM66" i="4"/>
  <c r="CC66" i="4"/>
  <c r="AP67" i="4"/>
  <c r="BF67" i="4"/>
  <c r="BV67" i="4"/>
  <c r="AI68" i="4"/>
  <c r="AY68" i="4"/>
  <c r="BO68" i="4"/>
  <c r="CE68" i="4"/>
  <c r="AR69" i="4"/>
  <c r="BH69" i="4"/>
  <c r="BX69" i="4"/>
  <c r="AK70" i="4"/>
  <c r="BA70" i="4"/>
  <c r="BQ70" i="4"/>
  <c r="CG70" i="4"/>
  <c r="AT71" i="4"/>
  <c r="BJ71" i="4"/>
  <c r="BZ71" i="4"/>
  <c r="AM72" i="4"/>
  <c r="BC72" i="4"/>
  <c r="AR53" i="4"/>
  <c r="BX53" i="4"/>
  <c r="BA54" i="4"/>
  <c r="CG54" i="4"/>
  <c r="AW55" i="4"/>
  <c r="BM55" i="4"/>
  <c r="CC55" i="4"/>
  <c r="AP56" i="4"/>
  <c r="BF56" i="4"/>
  <c r="BV56" i="4"/>
  <c r="AI57" i="4"/>
  <c r="AY57" i="4"/>
  <c r="BO57" i="4"/>
  <c r="CE57" i="4"/>
  <c r="AR58" i="4"/>
  <c r="BH58" i="4"/>
  <c r="BX58" i="4"/>
  <c r="AK59" i="4"/>
  <c r="BA59" i="4"/>
  <c r="BQ59" i="4"/>
  <c r="CG59" i="4"/>
  <c r="AT60" i="4"/>
  <c r="BJ60" i="4"/>
  <c r="BZ60" i="4"/>
  <c r="AM61" i="4"/>
  <c r="BC61" i="4"/>
  <c r="BS61" i="4"/>
  <c r="CI61" i="4"/>
  <c r="AV62" i="4"/>
  <c r="BL62" i="4"/>
  <c r="CB62" i="4"/>
  <c r="AO63" i="4"/>
  <c r="BE63" i="4"/>
  <c r="BU63" i="4"/>
  <c r="AH64" i="4"/>
  <c r="AX64" i="4"/>
  <c r="BN64" i="4"/>
  <c r="CD64" i="4"/>
  <c r="AQ65" i="4"/>
  <c r="BG65" i="4"/>
  <c r="BW65" i="4"/>
  <c r="AJ66" i="4"/>
  <c r="AZ66" i="4"/>
  <c r="BP66" i="4"/>
  <c r="CF66" i="4"/>
  <c r="AS67" i="4"/>
  <c r="BI67" i="4"/>
  <c r="BY67" i="4"/>
  <c r="AL68" i="4"/>
  <c r="BB68" i="4"/>
  <c r="BR68" i="4"/>
  <c r="CH68" i="4"/>
  <c r="AU69" i="4"/>
  <c r="BK69" i="4"/>
  <c r="CA69" i="4"/>
  <c r="AN70" i="4"/>
  <c r="BD70" i="4"/>
  <c r="BT70" i="4"/>
  <c r="AG71" i="4"/>
  <c r="AW71" i="4"/>
  <c r="BM71" i="4"/>
  <c r="CC71" i="4"/>
  <c r="AP72" i="4"/>
  <c r="BF72" i="4"/>
  <c r="BV72" i="4"/>
  <c r="AI73" i="4"/>
  <c r="AI55" i="4"/>
  <c r="AQ54" i="4"/>
  <c r="AR55" i="4"/>
  <c r="BP55" i="4"/>
  <c r="CF55" i="4"/>
  <c r="AS56" i="4"/>
  <c r="BI56" i="4"/>
  <c r="BY56" i="4"/>
  <c r="AL57" i="4"/>
  <c r="BB57" i="4"/>
  <c r="BR57" i="4"/>
  <c r="CH57" i="4"/>
  <c r="AU58" i="4"/>
  <c r="BK58" i="4"/>
  <c r="CA58" i="4"/>
  <c r="AN59" i="4"/>
  <c r="BD59" i="4"/>
  <c r="BT59" i="4"/>
  <c r="AG60" i="4"/>
  <c r="AW60" i="4"/>
  <c r="BM60" i="4"/>
  <c r="CC60" i="4"/>
  <c r="AP61" i="4"/>
  <c r="BF61" i="4"/>
  <c r="BV61" i="4"/>
  <c r="AI62" i="4"/>
  <c r="AY62" i="4"/>
  <c r="BO62" i="4"/>
  <c r="CE62" i="4"/>
  <c r="AR63" i="4"/>
  <c r="BH63" i="4"/>
  <c r="BX63" i="4"/>
  <c r="AK64" i="4"/>
  <c r="BA64" i="4"/>
  <c r="BQ64" i="4"/>
  <c r="CG64" i="4"/>
  <c r="AT65" i="4"/>
  <c r="BJ65" i="4"/>
  <c r="BZ65" i="4"/>
  <c r="AM66" i="4"/>
  <c r="BC66" i="4"/>
  <c r="BS66" i="4"/>
  <c r="CI66" i="4"/>
  <c r="AV67" i="4"/>
  <c r="BL67" i="4"/>
  <c r="CB67" i="4"/>
  <c r="AO68" i="4"/>
  <c r="BE68" i="4"/>
  <c r="BU68" i="4"/>
  <c r="AH69" i="4"/>
  <c r="AX69" i="4"/>
  <c r="BN69" i="4"/>
  <c r="CD69" i="4"/>
  <c r="AQ70" i="4"/>
  <c r="BG70" i="4"/>
  <c r="BW70" i="4"/>
  <c r="AJ71" i="4"/>
  <c r="AZ71" i="4"/>
  <c r="BP71" i="4"/>
  <c r="CF71" i="4"/>
  <c r="AS72" i="4"/>
  <c r="BI72" i="4"/>
  <c r="BD53" i="4"/>
  <c r="AG54" i="4"/>
  <c r="BM54" i="4"/>
  <c r="AM55" i="4"/>
  <c r="BC55" i="4"/>
  <c r="BS55" i="4"/>
  <c r="CI55" i="4"/>
  <c r="AV56" i="4"/>
  <c r="BL56" i="4"/>
  <c r="CB56" i="4"/>
  <c r="AO57" i="4"/>
  <c r="BE57" i="4"/>
  <c r="BU57" i="4"/>
  <c r="AH58" i="4"/>
  <c r="AX58" i="4"/>
  <c r="BN58" i="4"/>
  <c r="CD58" i="4"/>
  <c r="AQ59" i="4"/>
  <c r="BG59" i="4"/>
  <c r="BW59" i="4"/>
  <c r="AJ60" i="4"/>
  <c r="AZ60" i="4"/>
  <c r="BP60" i="4"/>
  <c r="CF60" i="4"/>
  <c r="AS61" i="4"/>
  <c r="BI61" i="4"/>
  <c r="BY61" i="4"/>
  <c r="AL62" i="4"/>
  <c r="BB62" i="4"/>
  <c r="BR62" i="4"/>
  <c r="CH62" i="4"/>
  <c r="AU63" i="4"/>
  <c r="BK63" i="4"/>
  <c r="CA63" i="4"/>
  <c r="AN64" i="4"/>
  <c r="BD64" i="4"/>
  <c r="BT64" i="4"/>
  <c r="AG65" i="4"/>
  <c r="AW65" i="4"/>
  <c r="BM65" i="4"/>
  <c r="CC65" i="4"/>
  <c r="AP66" i="4"/>
  <c r="BF66" i="4"/>
  <c r="BV66" i="4"/>
  <c r="AI67" i="4"/>
  <c r="AY67" i="4"/>
  <c r="BO67" i="4"/>
  <c r="CE67" i="4"/>
  <c r="AR68" i="4"/>
  <c r="BH68" i="4"/>
  <c r="BX68" i="4"/>
  <c r="AK69" i="4"/>
  <c r="BA69" i="4"/>
  <c r="BQ69" i="4"/>
  <c r="CG69" i="4"/>
  <c r="AT70" i="4"/>
  <c r="BJ70" i="4"/>
  <c r="BZ70" i="4"/>
  <c r="AM71" i="4"/>
  <c r="BC71" i="4"/>
  <c r="BS71" i="4"/>
  <c r="CI71" i="4"/>
  <c r="AV72" i="4"/>
  <c r="BL72" i="4"/>
  <c r="BW53" i="4"/>
  <c r="CF54" i="4"/>
  <c r="AL55" i="4"/>
  <c r="AV55" i="4"/>
  <c r="BK56" i="4"/>
  <c r="AZ57" i="4"/>
  <c r="CF57" i="4"/>
  <c r="BI58" i="4"/>
  <c r="AL59" i="4"/>
  <c r="BR59" i="4"/>
  <c r="AU60" i="4"/>
  <c r="CA60" i="4"/>
  <c r="BD61" i="4"/>
  <c r="AG62" i="4"/>
  <c r="BM62" i="4"/>
  <c r="AP63" i="4"/>
  <c r="BV63" i="4"/>
  <c r="AY64" i="4"/>
  <c r="CE64" i="4"/>
  <c r="BH65" i="4"/>
  <c r="AK66" i="4"/>
  <c r="BQ66" i="4"/>
  <c r="AT67" i="4"/>
  <c r="BZ67" i="4"/>
  <c r="BC68" i="4"/>
  <c r="CI68" i="4"/>
  <c r="BL69" i="4"/>
  <c r="AO70" i="4"/>
  <c r="BU70" i="4"/>
  <c r="AX71" i="4"/>
  <c r="CD71" i="4"/>
  <c r="BG72" i="4"/>
  <c r="CF53" i="4"/>
  <c r="AK55" i="4"/>
  <c r="BQ55" i="4"/>
  <c r="AT56" i="4"/>
  <c r="BZ56" i="4"/>
  <c r="BC57" i="4"/>
  <c r="CI57" i="4"/>
  <c r="BL58" i="4"/>
  <c r="AO59" i="4"/>
  <c r="BU59" i="4"/>
  <c r="AX60" i="4"/>
  <c r="CD60" i="4"/>
  <c r="BG61" i="4"/>
  <c r="AJ62" i="4"/>
  <c r="BP62" i="4"/>
  <c r="AS63" i="4"/>
  <c r="BY63" i="4"/>
  <c r="BB64" i="4"/>
  <c r="CH64" i="4"/>
  <c r="BK65" i="4"/>
  <c r="AN66" i="4"/>
  <c r="BT66" i="4"/>
  <c r="AW67" i="4"/>
  <c r="CC67" i="4"/>
  <c r="BF68" i="4"/>
  <c r="AI69" i="4"/>
  <c r="BO69" i="4"/>
  <c r="AR70" i="4"/>
  <c r="BX70" i="4"/>
  <c r="BA71" i="4"/>
  <c r="CG71" i="4"/>
  <c r="BJ72" i="4"/>
  <c r="AM73" i="4"/>
  <c r="BG54" i="4"/>
  <c r="BT55" i="4"/>
  <c r="AW56" i="4"/>
  <c r="CC56" i="4"/>
  <c r="BF57" i="4"/>
  <c r="AI58" i="4"/>
  <c r="BO58" i="4"/>
  <c r="AR59" i="4"/>
  <c r="BX59" i="4"/>
  <c r="BA60" i="4"/>
  <c r="CG60" i="4"/>
  <c r="BJ61" i="4"/>
  <c r="AM62" i="4"/>
  <c r="BS62" i="4"/>
  <c r="AV63" i="4"/>
  <c r="CB63" i="4"/>
  <c r="BE64" i="4"/>
  <c r="AH65" i="4"/>
  <c r="BN65" i="4"/>
  <c r="AQ66" i="4"/>
  <c r="BW66" i="4"/>
  <c r="AZ67" i="4"/>
  <c r="CF67" i="4"/>
  <c r="BI68" i="4"/>
  <c r="AL69" i="4"/>
  <c r="BR69" i="4"/>
  <c r="AU70" i="4"/>
  <c r="CA70" i="4"/>
  <c r="BD71" i="4"/>
  <c r="AG72" i="4"/>
  <c r="BM72" i="4"/>
  <c r="AO54" i="4"/>
  <c r="AQ55" i="4"/>
  <c r="BW55" i="4"/>
  <c r="AZ56" i="4"/>
  <c r="CF56" i="4"/>
  <c r="BI57" i="4"/>
  <c r="AL58" i="4"/>
  <c r="BR58" i="4"/>
  <c r="AU59" i="4"/>
  <c r="CA59" i="4"/>
  <c r="BD60" i="4"/>
  <c r="AG61" i="4"/>
  <c r="BM61" i="4"/>
  <c r="AP62" i="4"/>
  <c r="BV62" i="4"/>
  <c r="AY63" i="4"/>
  <c r="CE63" i="4"/>
  <c r="BH64" i="4"/>
  <c r="AK65" i="4"/>
  <c r="BQ65" i="4"/>
  <c r="AT66" i="4"/>
  <c r="BZ66" i="4"/>
  <c r="BC67" i="4"/>
  <c r="CI67" i="4"/>
  <c r="BL68" i="4"/>
  <c r="AO69" i="4"/>
  <c r="BU69" i="4"/>
  <c r="AX70" i="4"/>
  <c r="CD70" i="4"/>
  <c r="BG71" i="4"/>
  <c r="AJ72" i="4"/>
  <c r="BP72" i="4"/>
  <c r="CF72" i="4"/>
  <c r="AS73" i="4"/>
  <c r="BI73" i="4"/>
  <c r="BY73" i="4"/>
  <c r="AL74" i="4"/>
  <c r="BB74" i="4"/>
  <c r="BR74" i="4"/>
  <c r="CH74" i="4"/>
  <c r="AL73" i="4"/>
  <c r="BR73" i="4"/>
  <c r="AU74" i="4"/>
  <c r="CA74" i="4"/>
  <c r="AS75" i="4"/>
  <c r="BI75" i="4"/>
  <c r="BY75" i="4"/>
  <c r="AL76" i="4"/>
  <c r="BB76" i="4"/>
  <c r="BR76" i="4"/>
  <c r="CH76" i="4"/>
  <c r="AU77" i="4"/>
  <c r="BK77" i="4"/>
  <c r="CA77" i="4"/>
  <c r="AN78" i="4"/>
  <c r="BD78" i="4"/>
  <c r="BT78" i="4"/>
  <c r="AG79" i="4"/>
  <c r="AW79" i="4"/>
  <c r="BM79" i="4"/>
  <c r="CC79" i="4"/>
  <c r="AP80" i="4"/>
  <c r="BF80" i="4"/>
  <c r="BV80" i="4"/>
  <c r="AI81" i="4"/>
  <c r="AY81" i="4"/>
  <c r="BO81" i="4"/>
  <c r="CE81" i="4"/>
  <c r="AR82" i="4"/>
  <c r="BH82" i="4"/>
  <c r="BX82" i="4"/>
  <c r="AK83" i="4"/>
  <c r="BA83" i="4"/>
  <c r="BQ83" i="4"/>
  <c r="CG83" i="4"/>
  <c r="AT84" i="4"/>
  <c r="BJ84" i="4"/>
  <c r="BZ84" i="4"/>
  <c r="BC73" i="4"/>
  <c r="CI73" i="4"/>
  <c r="BL74" i="4"/>
  <c r="CC72" i="4"/>
  <c r="AI74" i="4"/>
  <c r="AM75" i="4"/>
  <c r="BS75" i="4"/>
  <c r="AV76" i="4"/>
  <c r="CB76" i="4"/>
  <c r="BE77" i="4"/>
  <c r="AH78" i="4"/>
  <c r="BN78" i="4"/>
  <c r="AQ79" i="4"/>
  <c r="BW79" i="4"/>
  <c r="AZ80" i="4"/>
  <c r="CF80" i="4"/>
  <c r="BI81" i="4"/>
  <c r="AL82" i="4"/>
  <c r="BR82" i="4"/>
  <c r="AU83" i="4"/>
  <c r="CA83" i="4"/>
  <c r="BD84" i="4"/>
  <c r="AG85" i="4"/>
  <c r="AW85" i="4"/>
  <c r="BM85" i="4"/>
  <c r="CC85" i="4"/>
  <c r="AP86" i="4"/>
  <c r="BF86" i="4"/>
  <c r="BV86" i="4"/>
  <c r="AI87" i="4"/>
  <c r="AY87" i="4"/>
  <c r="BO87" i="4"/>
  <c r="CE87" i="4"/>
  <c r="AR88" i="4"/>
  <c r="BH88" i="4"/>
  <c r="BX88" i="4"/>
  <c r="AK89" i="4"/>
  <c r="BA89" i="4"/>
  <c r="BQ89" i="4"/>
  <c r="CG89" i="4"/>
  <c r="AT90" i="4"/>
  <c r="BJ90" i="4"/>
  <c r="BZ90" i="4"/>
  <c r="AM91" i="4"/>
  <c r="BC91" i="4"/>
  <c r="BS91" i="4"/>
  <c r="CI91" i="4"/>
  <c r="AV92" i="4"/>
  <c r="BL92" i="4"/>
  <c r="CB92" i="4"/>
  <c r="AO93" i="4"/>
  <c r="BE93" i="4"/>
  <c r="BU93" i="4"/>
  <c r="AH94" i="4"/>
  <c r="AX94" i="4"/>
  <c r="BN94" i="4"/>
  <c r="CD94" i="4"/>
  <c r="AQ95" i="4"/>
  <c r="BG95" i="4"/>
  <c r="BW95" i="4"/>
  <c r="AJ96" i="4"/>
  <c r="AZ96" i="4"/>
  <c r="BP96" i="4"/>
  <c r="CF96" i="4"/>
  <c r="AS97" i="4"/>
  <c r="BI97" i="4"/>
  <c r="BY97" i="4"/>
  <c r="AL98" i="4"/>
  <c r="BB98" i="4"/>
  <c r="BR98" i="4"/>
  <c r="CH98" i="4"/>
  <c r="AU99" i="4"/>
  <c r="BK99" i="4"/>
  <c r="CA99" i="4"/>
  <c r="AN100" i="4"/>
  <c r="BD100" i="4"/>
  <c r="BT100" i="4"/>
  <c r="AG101" i="4"/>
  <c r="AW101" i="4"/>
  <c r="BM101" i="4"/>
  <c r="CC101" i="4"/>
  <c r="AP102" i="4"/>
  <c r="BF102" i="4"/>
  <c r="BV102" i="4"/>
  <c r="AI103" i="4"/>
  <c r="AY103" i="4"/>
  <c r="BO103" i="4"/>
  <c r="CE103" i="4"/>
  <c r="AR104" i="4"/>
  <c r="BH104" i="4"/>
  <c r="BX104" i="4"/>
  <c r="AK105" i="4"/>
  <c r="BA105" i="4"/>
  <c r="BQ105" i="4"/>
  <c r="CG105" i="4"/>
  <c r="AT106" i="4"/>
  <c r="BJ106" i="4"/>
  <c r="BZ106" i="4"/>
  <c r="AM107" i="4"/>
  <c r="BC107" i="4"/>
  <c r="BS107" i="4"/>
  <c r="CI107" i="4"/>
  <c r="AV108" i="4"/>
  <c r="BL108" i="4"/>
  <c r="CB108" i="4"/>
  <c r="AO109" i="4"/>
  <c r="BE109" i="4"/>
  <c r="BU109" i="4"/>
  <c r="AH110" i="4"/>
  <c r="AX110" i="4"/>
  <c r="BN110" i="4"/>
  <c r="CD110" i="4"/>
  <c r="CI72" i="4"/>
  <c r="BL73" i="4"/>
  <c r="AO74" i="4"/>
  <c r="BU74" i="4"/>
  <c r="AP75" i="4"/>
  <c r="BF75" i="4"/>
  <c r="BV75" i="4"/>
  <c r="AI76" i="4"/>
  <c r="AY76" i="4"/>
  <c r="BO76" i="4"/>
  <c r="CE76" i="4"/>
  <c r="AR77" i="4"/>
  <c r="BH77" i="4"/>
  <c r="BX77" i="4"/>
  <c r="AK78" i="4"/>
  <c r="BA78" i="4"/>
  <c r="BQ78" i="4"/>
  <c r="CG78" i="4"/>
  <c r="AT79" i="4"/>
  <c r="BJ79" i="4"/>
  <c r="BZ79" i="4"/>
  <c r="AM80" i="4"/>
  <c r="BC80" i="4"/>
  <c r="BS80" i="4"/>
  <c r="CI80" i="4"/>
  <c r="AV81" i="4"/>
  <c r="BL81" i="4"/>
  <c r="CB81" i="4"/>
  <c r="AO82" i="4"/>
  <c r="BE82" i="4"/>
  <c r="BU82" i="4"/>
  <c r="AH83" i="4"/>
  <c r="AX83" i="4"/>
  <c r="BN83" i="4"/>
  <c r="CD83" i="4"/>
  <c r="AQ84" i="4"/>
  <c r="BG84" i="4"/>
  <c r="BW84" i="4"/>
  <c r="AJ85" i="4"/>
  <c r="AZ85" i="4"/>
  <c r="BP85" i="4"/>
  <c r="CF85" i="4"/>
  <c r="AS86" i="4"/>
  <c r="BI86" i="4"/>
  <c r="BY86" i="4"/>
  <c r="AL87" i="4"/>
  <c r="BB87" i="4"/>
  <c r="BR87" i="4"/>
  <c r="CH87" i="4"/>
  <c r="AU88" i="4"/>
  <c r="BK88" i="4"/>
  <c r="CA88" i="4"/>
  <c r="AN89" i="4"/>
  <c r="BD89" i="4"/>
  <c r="BT89" i="4"/>
  <c r="AG90" i="4"/>
  <c r="AW90" i="4"/>
  <c r="BM90" i="4"/>
  <c r="CC90" i="4"/>
  <c r="AP91" i="4"/>
  <c r="BF91" i="4"/>
  <c r="BV91" i="4"/>
  <c r="AI92" i="4"/>
  <c r="AY92" i="4"/>
  <c r="BO92" i="4"/>
  <c r="CE92" i="4"/>
  <c r="AR93" i="4"/>
  <c r="BH93" i="4"/>
  <c r="BX93" i="4"/>
  <c r="AK94" i="4"/>
  <c r="BA94" i="4"/>
  <c r="BQ94" i="4"/>
  <c r="CG94" i="4"/>
  <c r="AT95" i="4"/>
  <c r="BJ95" i="4"/>
  <c r="BZ95" i="4"/>
  <c r="AM96" i="4"/>
  <c r="BC96" i="4"/>
  <c r="BS96" i="4"/>
  <c r="CI96" i="4"/>
  <c r="AV97" i="4"/>
  <c r="BL97" i="4"/>
  <c r="CB97" i="4"/>
  <c r="AO98" i="4"/>
  <c r="BE98" i="4"/>
  <c r="BU98" i="4"/>
  <c r="AH99" i="4"/>
  <c r="AX99" i="4"/>
  <c r="BN99" i="4"/>
  <c r="CD99" i="4"/>
  <c r="AQ100" i="4"/>
  <c r="BG100" i="4"/>
  <c r="BW100" i="4"/>
  <c r="AJ101" i="4"/>
  <c r="AZ101" i="4"/>
  <c r="BP101" i="4"/>
  <c r="CF101" i="4"/>
  <c r="AS102" i="4"/>
  <c r="BI102" i="4"/>
  <c r="BY102" i="4"/>
  <c r="AL103" i="4"/>
  <c r="BB103" i="4"/>
  <c r="BR103" i="4"/>
  <c r="CH103" i="4"/>
  <c r="AU104" i="4"/>
  <c r="BY104" i="4"/>
  <c r="BB105" i="4"/>
  <c r="CH105" i="4"/>
  <c r="BK106" i="4"/>
  <c r="AN107" i="4"/>
  <c r="BT107" i="4"/>
  <c r="AW108" i="4"/>
  <c r="CC108" i="4"/>
  <c r="BF109" i="4"/>
  <c r="AI110" i="4"/>
  <c r="BO110" i="4"/>
  <c r="AM111" i="4"/>
  <c r="BC111" i="4"/>
  <c r="BS111" i="4"/>
  <c r="CI111" i="4"/>
  <c r="AV112" i="4"/>
  <c r="BL112" i="4"/>
  <c r="CB112" i="4"/>
  <c r="AO113" i="4"/>
  <c r="BE113" i="4"/>
  <c r="BU113" i="4"/>
  <c r="AH114" i="4"/>
  <c r="AX114" i="4"/>
  <c r="BN114" i="4"/>
  <c r="CD114" i="4"/>
  <c r="AQ115" i="4"/>
  <c r="BG115" i="4"/>
  <c r="BW115" i="4"/>
  <c r="AJ116" i="4"/>
  <c r="AZ116" i="4"/>
  <c r="BP116" i="4"/>
  <c r="CF116" i="4"/>
  <c r="AS117" i="4"/>
  <c r="BI117" i="4"/>
  <c r="BY117" i="4"/>
  <c r="AL118" i="4"/>
  <c r="BB118" i="4"/>
  <c r="BR118" i="4"/>
  <c r="CH118" i="4"/>
  <c r="CE73" i="4"/>
  <c r="BU72" i="4"/>
  <c r="AI75" i="4"/>
  <c r="AR76" i="4"/>
  <c r="BA77" i="4"/>
  <c r="BJ78" i="4"/>
  <c r="BS79" i="4"/>
  <c r="CB80" i="4"/>
  <c r="AH82" i="4"/>
  <c r="AQ83" i="4"/>
  <c r="AZ84" i="4"/>
  <c r="AU85" i="4"/>
  <c r="CA85" i="4"/>
  <c r="BD86" i="4"/>
  <c r="AG87" i="4"/>
  <c r="BM87" i="4"/>
  <c r="AP88" i="4"/>
  <c r="BV88" i="4"/>
  <c r="AY89" i="4"/>
  <c r="CE89" i="4"/>
  <c r="AK91" i="4"/>
  <c r="AT92" i="4"/>
  <c r="BC93" i="4"/>
  <c r="BL94" i="4"/>
  <c r="BU95" i="4"/>
  <c r="CD96" i="4"/>
  <c r="AJ98" i="4"/>
  <c r="AS99" i="4"/>
  <c r="BB100" i="4"/>
  <c r="BK101" i="4"/>
  <c r="BT102" i="4"/>
  <c r="CC103" i="4"/>
  <c r="AI105" i="4"/>
  <c r="AR106" i="4"/>
  <c r="BA107" i="4"/>
  <c r="BJ108" i="4"/>
  <c r="BS109" i="4"/>
  <c r="CB110" i="4"/>
  <c r="BQ74" i="4"/>
  <c r="AG76" i="4"/>
  <c r="AP77" i="4"/>
  <c r="AY78" i="4"/>
  <c r="BH79" i="4"/>
  <c r="BQ80" i="4"/>
  <c r="BZ81" i="4"/>
  <c r="CI82" i="4"/>
  <c r="AO84" i="4"/>
  <c r="AX85" i="4"/>
  <c r="BG86" i="4"/>
  <c r="BP87" i="4"/>
  <c r="BG53" i="4"/>
  <c r="BK54" i="4"/>
  <c r="AU56" i="4"/>
  <c r="BX57" i="4"/>
  <c r="CG58" i="4"/>
  <c r="AM60" i="4"/>
  <c r="AV61" i="4"/>
  <c r="BE62" i="4"/>
  <c r="BN63" i="4"/>
  <c r="BW64" i="4"/>
  <c r="CF65" i="4"/>
  <c r="AL67" i="4"/>
  <c r="AU68" i="4"/>
  <c r="BD69" i="4"/>
  <c r="BM70" i="4"/>
  <c r="BV71" i="4"/>
  <c r="BP53" i="4"/>
  <c r="BI55" i="4"/>
  <c r="BR56" i="4"/>
  <c r="CA57" i="4"/>
  <c r="AG59" i="4"/>
  <c r="AP60" i="4"/>
  <c r="AY61" i="4"/>
  <c r="BH62" i="4"/>
  <c r="BQ63" i="4"/>
  <c r="BZ64" i="4"/>
  <c r="CI65" i="4"/>
  <c r="AO67" i="4"/>
  <c r="AX68" i="4"/>
  <c r="BG69" i="4"/>
  <c r="BP70" i="4"/>
  <c r="BY71" i="4"/>
  <c r="CH72" i="4"/>
  <c r="BL55" i="4"/>
  <c r="BU56" i="4"/>
  <c r="CD57" i="4"/>
  <c r="AJ59" i="4"/>
  <c r="AS60" i="4"/>
  <c r="BB61" i="4"/>
  <c r="BK62" i="4"/>
  <c r="BT63" i="4"/>
  <c r="CC64" i="4"/>
  <c r="AI66" i="4"/>
  <c r="AR67" i="4"/>
  <c r="BA68" i="4"/>
  <c r="BJ69" i="4"/>
  <c r="BS70" i="4"/>
  <c r="CB71" i="4"/>
  <c r="CB53" i="4"/>
  <c r="BO55" i="4"/>
  <c r="BX56" i="4"/>
  <c r="CG57" i="4"/>
  <c r="AM59" i="4"/>
  <c r="AV60" i="4"/>
  <c r="BE61" i="4"/>
  <c r="BN62" i="4"/>
  <c r="BW63" i="4"/>
  <c r="CF64" i="4"/>
  <c r="AL66" i="4"/>
  <c r="AU67" i="4"/>
  <c r="BD68" i="4"/>
  <c r="BM69" i="4"/>
  <c r="BV70" i="4"/>
  <c r="CE71" i="4"/>
  <c r="BH72" i="4"/>
  <c r="CB72" i="4"/>
  <c r="AO73" i="4"/>
  <c r="BE73" i="4"/>
  <c r="BU73" i="4"/>
  <c r="AH74" i="4"/>
  <c r="AX74" i="4"/>
  <c r="BN74" i="4"/>
  <c r="CD74" i="4"/>
  <c r="CG72" i="4"/>
  <c r="BJ73" i="4"/>
  <c r="AM74" i="4"/>
  <c r="BS74" i="4"/>
  <c r="AO75" i="4"/>
  <c r="BE75" i="4"/>
  <c r="BU75" i="4"/>
  <c r="AH76" i="4"/>
  <c r="AX76" i="4"/>
  <c r="BN76" i="4"/>
  <c r="CD76" i="4"/>
  <c r="AQ77" i="4"/>
  <c r="BG77" i="4"/>
  <c r="BW77" i="4"/>
  <c r="AJ78" i="4"/>
  <c r="AZ78" i="4"/>
  <c r="BP78" i="4"/>
  <c r="CF78" i="4"/>
  <c r="AS79" i="4"/>
  <c r="BI79" i="4"/>
  <c r="BY79" i="4"/>
  <c r="AL80" i="4"/>
  <c r="BB80" i="4"/>
  <c r="BR80" i="4"/>
  <c r="CH80" i="4"/>
  <c r="AU81" i="4"/>
  <c r="BK81" i="4"/>
  <c r="CA81" i="4"/>
  <c r="AN82" i="4"/>
  <c r="BD82" i="4"/>
  <c r="BT82" i="4"/>
  <c r="AG83" i="4"/>
  <c r="AW83" i="4"/>
  <c r="BM83" i="4"/>
  <c r="CC83" i="4"/>
  <c r="AP84" i="4"/>
  <c r="BF84" i="4"/>
  <c r="BV84" i="4"/>
  <c r="AU73" i="4"/>
  <c r="CA73" i="4"/>
  <c r="BD74" i="4"/>
  <c r="AG75" i="4"/>
  <c r="BV73" i="4"/>
  <c r="CE74" i="4"/>
  <c r="BK75" i="4"/>
  <c r="AN76" i="4"/>
  <c r="BT76" i="4"/>
  <c r="AW77" i="4"/>
  <c r="CC77" i="4"/>
  <c r="BF78" i="4"/>
  <c r="AI79" i="4"/>
  <c r="BO79" i="4"/>
  <c r="AR80" i="4"/>
  <c r="BX80" i="4"/>
  <c r="BA81" i="4"/>
  <c r="CG81" i="4"/>
  <c r="BJ82" i="4"/>
  <c r="AM83" i="4"/>
  <c r="BS83" i="4"/>
  <c r="AV84" i="4"/>
  <c r="CB84" i="4"/>
  <c r="AS85" i="4"/>
  <c r="BI85" i="4"/>
  <c r="BY85" i="4"/>
  <c r="AL86" i="4"/>
  <c r="BB86" i="4"/>
  <c r="BR86" i="4"/>
  <c r="CH86" i="4"/>
  <c r="AU87" i="4"/>
  <c r="BK87" i="4"/>
  <c r="CA87" i="4"/>
  <c r="AN88" i="4"/>
  <c r="BD88" i="4"/>
  <c r="BT88" i="4"/>
  <c r="AG89" i="4"/>
  <c r="AW89" i="4"/>
  <c r="BM89" i="4"/>
  <c r="CC89" i="4"/>
  <c r="AP90" i="4"/>
  <c r="BF90" i="4"/>
  <c r="BV90" i="4"/>
  <c r="AI91" i="4"/>
  <c r="AY91" i="4"/>
  <c r="BO91" i="4"/>
  <c r="CE91" i="4"/>
  <c r="AR92" i="4"/>
  <c r="BH92" i="4"/>
  <c r="BX92" i="4"/>
  <c r="AK93" i="4"/>
  <c r="BA93" i="4"/>
  <c r="BQ93" i="4"/>
  <c r="CG93" i="4"/>
  <c r="AT94" i="4"/>
  <c r="BJ94" i="4"/>
  <c r="BZ94" i="4"/>
  <c r="AM95" i="4"/>
  <c r="BC95" i="4"/>
  <c r="BS95" i="4"/>
  <c r="CI95" i="4"/>
  <c r="AV96" i="4"/>
  <c r="BL96" i="4"/>
  <c r="CB96" i="4"/>
  <c r="AO97" i="4"/>
  <c r="BE97" i="4"/>
  <c r="BU97" i="4"/>
  <c r="AH98" i="4"/>
  <c r="AX98" i="4"/>
  <c r="BN98" i="4"/>
  <c r="CD98" i="4"/>
  <c r="AQ99" i="4"/>
  <c r="BG99" i="4"/>
  <c r="BW99" i="4"/>
  <c r="AJ100" i="4"/>
  <c r="AZ100" i="4"/>
  <c r="BP100" i="4"/>
  <c r="CF100" i="4"/>
  <c r="AS101" i="4"/>
  <c r="BI101" i="4"/>
  <c r="BY101" i="4"/>
  <c r="AL102" i="4"/>
  <c r="BB102" i="4"/>
  <c r="BR102" i="4"/>
  <c r="CH102" i="4"/>
  <c r="AU103" i="4"/>
  <c r="BK103" i="4"/>
  <c r="CA103" i="4"/>
  <c r="AN104" i="4"/>
  <c r="BD104" i="4"/>
  <c r="BT104" i="4"/>
  <c r="AG105" i="4"/>
  <c r="AW105" i="4"/>
  <c r="BM105" i="4"/>
  <c r="CC105" i="4"/>
  <c r="AP106" i="4"/>
  <c r="BF106" i="4"/>
  <c r="BV106" i="4"/>
  <c r="AI107" i="4"/>
  <c r="AY107" i="4"/>
  <c r="BO107" i="4"/>
  <c r="CE107" i="4"/>
  <c r="AR108" i="4"/>
  <c r="BH108" i="4"/>
  <c r="BX108" i="4"/>
  <c r="AK109" i="4"/>
  <c r="BA109" i="4"/>
  <c r="BQ109" i="4"/>
  <c r="CG109" i="4"/>
  <c r="AT110" i="4"/>
  <c r="BJ110" i="4"/>
  <c r="BZ110" i="4"/>
  <c r="CA72" i="4"/>
  <c r="BD73" i="4"/>
  <c r="AG74" i="4"/>
  <c r="BM74" i="4"/>
  <c r="AL75" i="4"/>
  <c r="BB75" i="4"/>
  <c r="BR75" i="4"/>
  <c r="CH75" i="4"/>
  <c r="AU76" i="4"/>
  <c r="BK76" i="4"/>
  <c r="CA76" i="4"/>
  <c r="AN77" i="4"/>
  <c r="BD77" i="4"/>
  <c r="BT77" i="4"/>
  <c r="AG78" i="4"/>
  <c r="AW78" i="4"/>
  <c r="BM78" i="4"/>
  <c r="CC78" i="4"/>
  <c r="AP79" i="4"/>
  <c r="BF79" i="4"/>
  <c r="BV79" i="4"/>
  <c r="AI80" i="4"/>
  <c r="AY80" i="4"/>
  <c r="BO80" i="4"/>
  <c r="CE80" i="4"/>
  <c r="AR81" i="4"/>
  <c r="BH81" i="4"/>
  <c r="BX81" i="4"/>
  <c r="AK82" i="4"/>
  <c r="BA82" i="4"/>
  <c r="BQ82" i="4"/>
  <c r="CG82" i="4"/>
  <c r="AT83" i="4"/>
  <c r="BJ83" i="4"/>
  <c r="BZ83" i="4"/>
  <c r="AM84" i="4"/>
  <c r="BC84" i="4"/>
  <c r="BS84" i="4"/>
  <c r="CI84" i="4"/>
  <c r="AV85" i="4"/>
  <c r="BL85" i="4"/>
  <c r="CB85" i="4"/>
  <c r="AO86" i="4"/>
  <c r="BE86" i="4"/>
  <c r="BU86" i="4"/>
  <c r="AH87" i="4"/>
  <c r="AX87" i="4"/>
  <c r="BN87" i="4"/>
  <c r="CD87" i="4"/>
  <c r="AQ88" i="4"/>
  <c r="BG88" i="4"/>
  <c r="BW88" i="4"/>
  <c r="AJ89" i="4"/>
  <c r="AZ89" i="4"/>
  <c r="BP89" i="4"/>
  <c r="CF89" i="4"/>
  <c r="AS90" i="4"/>
  <c r="BI90" i="4"/>
  <c r="BY90" i="4"/>
  <c r="AL91" i="4"/>
  <c r="BB91" i="4"/>
  <c r="BR91" i="4"/>
  <c r="CH91" i="4"/>
  <c r="AU92" i="4"/>
  <c r="BK92" i="4"/>
  <c r="CA92" i="4"/>
  <c r="AN93" i="4"/>
  <c r="BD93" i="4"/>
  <c r="BT93" i="4"/>
  <c r="AG94" i="4"/>
  <c r="AW94" i="4"/>
  <c r="BM94" i="4"/>
  <c r="CC94" i="4"/>
  <c r="AP95" i="4"/>
  <c r="BF95" i="4"/>
  <c r="BV95" i="4"/>
  <c r="AI96" i="4"/>
  <c r="AY96" i="4"/>
  <c r="BO96" i="4"/>
  <c r="CE96" i="4"/>
  <c r="AR97" i="4"/>
  <c r="BH97" i="4"/>
  <c r="BX97" i="4"/>
  <c r="AK98" i="4"/>
  <c r="BA98" i="4"/>
  <c r="BQ98" i="4"/>
  <c r="CG98" i="4"/>
  <c r="AT99" i="4"/>
  <c r="BJ99" i="4"/>
  <c r="BZ99" i="4"/>
  <c r="AM100" i="4"/>
  <c r="BC100" i="4"/>
  <c r="BS100" i="4"/>
  <c r="CI100" i="4"/>
  <c r="AV101" i="4"/>
  <c r="BL101" i="4"/>
  <c r="CB101" i="4"/>
  <c r="AO102" i="4"/>
  <c r="BE102" i="4"/>
  <c r="BU102" i="4"/>
  <c r="AH103" i="4"/>
  <c r="AX103" i="4"/>
  <c r="BN103" i="4"/>
  <c r="CD103" i="4"/>
  <c r="BQ104" i="4"/>
  <c r="BZ105" i="4"/>
  <c r="CI106" i="4"/>
  <c r="AO108" i="4"/>
  <c r="AX109" i="4"/>
  <c r="BG110" i="4"/>
  <c r="AY111" i="4"/>
  <c r="CE111" i="4"/>
  <c r="BH112" i="4"/>
  <c r="AK113" i="4"/>
  <c r="BQ113" i="4"/>
  <c r="AT114" i="4"/>
  <c r="BZ114" i="4"/>
  <c r="BC115" i="4"/>
  <c r="CI115" i="4"/>
  <c r="BL116" i="4"/>
  <c r="AO117" i="4"/>
  <c r="BU117" i="4"/>
  <c r="AX118" i="4"/>
  <c r="CD118" i="4"/>
  <c r="BX74" i="4"/>
  <c r="CE75" i="4"/>
  <c r="AT78" i="4"/>
  <c r="BL80" i="4"/>
  <c r="CD82" i="4"/>
  <c r="AM85" i="4"/>
  <c r="AV86" i="4"/>
  <c r="BE87" i="4"/>
  <c r="BN88" i="4"/>
  <c r="BW89" i="4"/>
  <c r="CF90" i="4"/>
  <c r="AL92" i="4"/>
  <c r="AU93" i="4"/>
  <c r="BD94" i="4"/>
  <c r="BM95" i="4"/>
  <c r="BV96" i="4"/>
  <c r="CE97" i="4"/>
  <c r="AK99" i="4"/>
  <c r="AT100" i="4"/>
  <c r="BC101" i="4"/>
  <c r="BL102" i="4"/>
  <c r="BU103" i="4"/>
  <c r="CD104" i="4"/>
  <c r="AJ106" i="4"/>
  <c r="AS107" i="4"/>
  <c r="BB108" i="4"/>
  <c r="BK109" i="4"/>
  <c r="BT110" i="4"/>
  <c r="BA74" i="4"/>
  <c r="CB75" i="4"/>
  <c r="AH77" i="4"/>
  <c r="AQ78" i="4"/>
  <c r="AZ79" i="4"/>
  <c r="BI80" i="4"/>
  <c r="BR81" i="4"/>
  <c r="CA82" i="4"/>
  <c r="AG84" i="4"/>
  <c r="AP85" i="4"/>
  <c r="AY86" i="4"/>
  <c r="BH87" i="4"/>
  <c r="BQ88" i="4"/>
  <c r="AT89" i="4"/>
  <c r="BZ89" i="4"/>
  <c r="BC90" i="4"/>
  <c r="CI90" i="4"/>
  <c r="BL91" i="4"/>
  <c r="AO92" i="4"/>
  <c r="BU92" i="4"/>
  <c r="AX93" i="4"/>
  <c r="CD93" i="4"/>
  <c r="BG94" i="4"/>
  <c r="AJ95" i="4"/>
  <c r="BP95" i="4"/>
  <c r="AS96" i="4"/>
  <c r="BY96" i="4"/>
  <c r="BB97" i="4"/>
  <c r="CH97" i="4"/>
  <c r="BK98" i="4"/>
  <c r="AN99" i="4"/>
  <c r="BT99" i="4"/>
  <c r="AW100" i="4"/>
  <c r="CC100" i="4"/>
  <c r="BF101" i="4"/>
  <c r="AI102" i="4"/>
  <c r="BO102" i="4"/>
  <c r="AR103" i="4"/>
  <c r="BX103" i="4"/>
  <c r="BE104" i="4"/>
  <c r="BN105" i="4"/>
  <c r="BW106" i="4"/>
  <c r="CF107" i="4"/>
  <c r="AL109" i="4"/>
  <c r="AU110" i="4"/>
  <c r="AS111" i="4"/>
  <c r="BY111" i="4"/>
  <c r="BB112" i="4"/>
  <c r="CH112" i="4"/>
  <c r="BK113" i="4"/>
  <c r="AN114" i="4"/>
  <c r="BT114" i="4"/>
  <c r="AW115" i="4"/>
  <c r="CC115" i="4"/>
  <c r="BF116" i="4"/>
  <c r="AI117" i="4"/>
  <c r="BO117" i="4"/>
  <c r="AR118" i="4"/>
  <c r="BX118" i="4"/>
  <c r="AS119" i="4"/>
  <c r="BI119" i="4"/>
  <c r="BY119" i="4"/>
  <c r="AL120" i="4"/>
  <c r="BB120" i="4"/>
  <c r="BR120" i="4"/>
  <c r="CH120" i="4"/>
  <c r="AU121" i="4"/>
  <c r="BK121" i="4"/>
  <c r="CA121" i="4"/>
  <c r="AN122" i="4"/>
  <c r="BD122" i="4"/>
  <c r="BT122" i="4"/>
  <c r="AG123" i="4"/>
  <c r="AW123" i="4"/>
  <c r="BM123" i="4"/>
  <c r="CC123" i="4"/>
  <c r="AP124" i="4"/>
  <c r="BF124" i="4"/>
  <c r="BV124" i="4"/>
  <c r="AI125" i="4"/>
  <c r="AY125" i="4"/>
  <c r="BO125" i="4"/>
  <c r="CE125" i="4"/>
  <c r="AR126" i="4"/>
  <c r="BH126" i="4"/>
  <c r="BX126" i="4"/>
  <c r="AK127" i="4"/>
  <c r="BA127" i="4"/>
  <c r="BQ127" i="4"/>
  <c r="CG127" i="4"/>
  <c r="AT128" i="4"/>
  <c r="BJ128" i="4"/>
  <c r="BZ128" i="4"/>
  <c r="AM129" i="4"/>
  <c r="BC129" i="4"/>
  <c r="BS129" i="4"/>
  <c r="CI129" i="4"/>
  <c r="AV130" i="4"/>
  <c r="BL130" i="4"/>
  <c r="CB130" i="4"/>
  <c r="AO131" i="4"/>
  <c r="BE131" i="4"/>
  <c r="BU131" i="4"/>
  <c r="AH132" i="4"/>
  <c r="AX132" i="4"/>
  <c r="BN132" i="4"/>
  <c r="CD132" i="4"/>
  <c r="AQ133" i="4"/>
  <c r="BG133" i="4"/>
  <c r="BW133" i="4"/>
  <c r="AJ134" i="4"/>
  <c r="AZ134" i="4"/>
  <c r="BP134" i="4"/>
  <c r="CF134" i="4"/>
  <c r="AS135" i="4"/>
  <c r="BI135" i="4"/>
  <c r="BY135" i="4"/>
  <c r="AL136" i="4"/>
  <c r="BB136" i="4"/>
  <c r="BR136" i="4"/>
  <c r="CH136" i="4"/>
  <c r="AU137" i="4"/>
  <c r="BK137" i="4"/>
  <c r="CA137" i="4"/>
  <c r="AN138" i="4"/>
  <c r="BD138" i="4"/>
  <c r="BT138" i="4"/>
  <c r="AG139" i="4"/>
  <c r="AW139" i="4"/>
  <c r="BM139" i="4"/>
  <c r="CC139" i="4"/>
  <c r="AP140" i="4"/>
  <c r="BF140" i="4"/>
  <c r="BV140" i="4"/>
  <c r="AI141" i="4"/>
  <c r="AY141" i="4"/>
  <c r="BO141" i="4"/>
  <c r="CE141" i="4"/>
  <c r="AR142" i="4"/>
  <c r="BH142" i="4"/>
  <c r="BX142" i="4"/>
  <c r="AK143" i="4"/>
  <c r="BA143" i="4"/>
  <c r="BQ143" i="4"/>
  <c r="CG143" i="4"/>
  <c r="AT144" i="4"/>
  <c r="BJ144" i="4"/>
  <c r="BZ144" i="4"/>
  <c r="AM145" i="4"/>
  <c r="BC145" i="4"/>
  <c r="BS145" i="4"/>
  <c r="CI145" i="4"/>
  <c r="AV146" i="4"/>
  <c r="BL146" i="4"/>
  <c r="CB146" i="4"/>
  <c r="AO147" i="4"/>
  <c r="BE147" i="4"/>
  <c r="BU147" i="4"/>
  <c r="AH148" i="4"/>
  <c r="AX148" i="4"/>
  <c r="BN148" i="4"/>
  <c r="CD148" i="4"/>
  <c r="AQ149" i="4"/>
  <c r="BG149" i="4"/>
  <c r="BW149" i="4"/>
  <c r="AJ150" i="4"/>
  <c r="BG73" i="4"/>
  <c r="BP74" i="4"/>
  <c r="AQ74" i="4"/>
  <c r="BW75" i="4"/>
  <c r="CF76" i="4"/>
  <c r="AL78" i="4"/>
  <c r="AU79" i="4"/>
  <c r="BD80" i="4"/>
  <c r="BM81" i="4"/>
  <c r="BV82" i="4"/>
  <c r="CE83" i="4"/>
  <c r="AI85" i="4"/>
  <c r="BO85" i="4"/>
  <c r="AR86" i="4"/>
  <c r="BX86" i="4"/>
  <c r="BA87" i="4"/>
  <c r="CG87" i="4"/>
  <c r="BJ88" i="4"/>
  <c r="AM89" i="4"/>
  <c r="BS89" i="4"/>
  <c r="AV90" i="4"/>
  <c r="CB90" i="4"/>
  <c r="BE91" i="4"/>
  <c r="AH92" i="4"/>
  <c r="BN92" i="4"/>
  <c r="AQ93" i="4"/>
  <c r="BW93" i="4"/>
  <c r="AZ94" i="4"/>
  <c r="CF94" i="4"/>
  <c r="BI95" i="4"/>
  <c r="AL96" i="4"/>
  <c r="BR96" i="4"/>
  <c r="AU97" i="4"/>
  <c r="CA97" i="4"/>
  <c r="BD98" i="4"/>
  <c r="AG99" i="4"/>
  <c r="BM99" i="4"/>
  <c r="AP100" i="4"/>
  <c r="BV100" i="4"/>
  <c r="AY101" i="4"/>
  <c r="CE101" i="4"/>
  <c r="BH102" i="4"/>
  <c r="AK103" i="4"/>
  <c r="BQ103" i="4"/>
  <c r="AT104" i="4"/>
  <c r="BZ104" i="4"/>
  <c r="BC105" i="4"/>
  <c r="CI105" i="4"/>
  <c r="BL106" i="4"/>
  <c r="AO107" i="4"/>
  <c r="BU107" i="4"/>
  <c r="AX108" i="4"/>
  <c r="CD108" i="4"/>
  <c r="BG109" i="4"/>
  <c r="AJ110" i="4"/>
  <c r="BP110" i="4"/>
  <c r="AJ73" i="4"/>
  <c r="AS74" i="4"/>
  <c r="AR75" i="4"/>
  <c r="BX75" i="4"/>
  <c r="BA76" i="4"/>
  <c r="CG76" i="4"/>
  <c r="BJ77" i="4"/>
  <c r="AM78" i="4"/>
  <c r="BS78" i="4"/>
  <c r="AV79" i="4"/>
  <c r="CB79" i="4"/>
  <c r="BE80" i="4"/>
  <c r="AH81" i="4"/>
  <c r="BN81" i="4"/>
  <c r="AQ82" i="4"/>
  <c r="BW82" i="4"/>
  <c r="AZ83" i="4"/>
  <c r="CF83" i="4"/>
  <c r="BI84" i="4"/>
  <c r="AL85" i="4"/>
  <c r="BR85" i="4"/>
  <c r="AU86" i="4"/>
  <c r="CA86" i="4"/>
  <c r="BD87" i="4"/>
  <c r="AG88" i="4"/>
  <c r="BM88" i="4"/>
  <c r="AP89" i="4"/>
  <c r="BV89" i="4"/>
  <c r="AY90" i="4"/>
  <c r="CE90" i="4"/>
  <c r="BH91" i="4"/>
  <c r="AK92" i="4"/>
  <c r="BQ92" i="4"/>
  <c r="AT93" i="4"/>
  <c r="BZ93" i="4"/>
  <c r="BC94" i="4"/>
  <c r="CI94" i="4"/>
  <c r="BL95" i="4"/>
  <c r="AO96" i="4"/>
  <c r="BU96" i="4"/>
  <c r="AX97" i="4"/>
  <c r="CD97" i="4"/>
  <c r="BG98" i="4"/>
  <c r="AJ99" i="4"/>
  <c r="BP99" i="4"/>
  <c r="AS100" i="4"/>
  <c r="BY100" i="4"/>
  <c r="BB101" i="4"/>
  <c r="CH101" i="4"/>
  <c r="BK102" i="4"/>
  <c r="AN103" i="4"/>
  <c r="BT103" i="4"/>
  <c r="AW104" i="4"/>
  <c r="BF105" i="4"/>
  <c r="BO106" i="4"/>
  <c r="BX107" i="4"/>
  <c r="CG108" i="4"/>
  <c r="AM110" i="4"/>
  <c r="AO111" i="4"/>
  <c r="BU111" i="4"/>
  <c r="AX112" i="4"/>
  <c r="CD112" i="4"/>
  <c r="BG113" i="4"/>
  <c r="AJ114" i="4"/>
  <c r="BP114" i="4"/>
  <c r="AS115" i="4"/>
  <c r="BY115" i="4"/>
  <c r="BB116" i="4"/>
  <c r="CH116" i="4"/>
  <c r="BK117" i="4"/>
  <c r="AN118" i="4"/>
  <c r="BT118" i="4"/>
  <c r="AQ119" i="4"/>
  <c r="BG119" i="4"/>
  <c r="BW119" i="4"/>
  <c r="AJ120" i="4"/>
  <c r="AZ120" i="4"/>
  <c r="BP120" i="4"/>
  <c r="CF120" i="4"/>
  <c r="AS121" i="4"/>
  <c r="BI121" i="4"/>
  <c r="BY121" i="4"/>
  <c r="AL122" i="4"/>
  <c r="BB122" i="4"/>
  <c r="BR122" i="4"/>
  <c r="CH122" i="4"/>
  <c r="AU123" i="4"/>
  <c r="BK123" i="4"/>
  <c r="CA123" i="4"/>
  <c r="AN124" i="4"/>
  <c r="BD124" i="4"/>
  <c r="BT124" i="4"/>
  <c r="AG125" i="4"/>
  <c r="AW125" i="4"/>
  <c r="BM125" i="4"/>
  <c r="CC125" i="4"/>
  <c r="AP126" i="4"/>
  <c r="BF126" i="4"/>
  <c r="BV126" i="4"/>
  <c r="AI127" i="4"/>
  <c r="AY127" i="4"/>
  <c r="BO127" i="4"/>
  <c r="CE127" i="4"/>
  <c r="AR128" i="4"/>
  <c r="BH128" i="4"/>
  <c r="BX128" i="4"/>
  <c r="AK129" i="4"/>
  <c r="BA129" i="4"/>
  <c r="BQ129" i="4"/>
  <c r="CG129" i="4"/>
  <c r="AT130" i="4"/>
  <c r="BJ130" i="4"/>
  <c r="BZ130" i="4"/>
  <c r="AM131" i="4"/>
  <c r="BC131" i="4"/>
  <c r="BS131" i="4"/>
  <c r="CI131" i="4"/>
  <c r="AV132" i="4"/>
  <c r="BL132" i="4"/>
  <c r="CB132" i="4"/>
  <c r="AO133" i="4"/>
  <c r="BE133" i="4"/>
  <c r="BU133" i="4"/>
  <c r="AH134" i="4"/>
  <c r="AX134" i="4"/>
  <c r="BN134" i="4"/>
  <c r="CD134" i="4"/>
  <c r="AQ135" i="4"/>
  <c r="BG135" i="4"/>
  <c r="BW135" i="4"/>
  <c r="AJ136" i="4"/>
  <c r="AZ136" i="4"/>
  <c r="BP136" i="4"/>
  <c r="CF136" i="4"/>
  <c r="AS137" i="4"/>
  <c r="BI137" i="4"/>
  <c r="BY137" i="4"/>
  <c r="AL138" i="4"/>
  <c r="BB138" i="4"/>
  <c r="BR138" i="4"/>
  <c r="CH138" i="4"/>
  <c r="AU139" i="4"/>
  <c r="BK139" i="4"/>
  <c r="CA139" i="4"/>
  <c r="AN140" i="4"/>
  <c r="BD140" i="4"/>
  <c r="BT140" i="4"/>
  <c r="AG141" i="4"/>
  <c r="AW141" i="4"/>
  <c r="BM141" i="4"/>
  <c r="CC141" i="4"/>
  <c r="AP142" i="4"/>
  <c r="BF142" i="4"/>
  <c r="BV142" i="4"/>
  <c r="AI143" i="4"/>
  <c r="AY143" i="4"/>
  <c r="BO143" i="4"/>
  <c r="CE143" i="4"/>
  <c r="AR144" i="4"/>
  <c r="BH144" i="4"/>
  <c r="BX144" i="4"/>
  <c r="AK145" i="4"/>
  <c r="BA145" i="4"/>
  <c r="BQ145" i="4"/>
  <c r="CG145" i="4"/>
  <c r="AT146" i="4"/>
  <c r="BJ146" i="4"/>
  <c r="BZ146" i="4"/>
  <c r="AM147" i="4"/>
  <c r="BC147" i="4"/>
  <c r="BS147" i="4"/>
  <c r="CI147" i="4"/>
  <c r="AV148" i="4"/>
  <c r="BL148" i="4"/>
  <c r="CB148" i="4"/>
  <c r="AO149" i="4"/>
  <c r="BE149" i="4"/>
  <c r="BU149" i="4"/>
  <c r="AH150" i="4"/>
  <c r="AX150" i="4"/>
  <c r="BN150" i="4"/>
  <c r="CD150" i="4"/>
  <c r="AQ151" i="4"/>
  <c r="BG151" i="4"/>
  <c r="BW151" i="4"/>
  <c r="AJ152" i="4"/>
  <c r="AZ152" i="4"/>
  <c r="BP152" i="4"/>
  <c r="CF152" i="4"/>
  <c r="AS153" i="4"/>
  <c r="BI153" i="4"/>
  <c r="BY153" i="4"/>
  <c r="AL154" i="4"/>
  <c r="BB154" i="4"/>
  <c r="BR154" i="4"/>
  <c r="CH154" i="4"/>
  <c r="AU155" i="4"/>
  <c r="BK155" i="4"/>
  <c r="CA155" i="4"/>
  <c r="AN156" i="4"/>
  <c r="BH150" i="4"/>
  <c r="AK151" i="4"/>
  <c r="BQ151" i="4"/>
  <c r="AT152" i="4"/>
  <c r="BZ152" i="4"/>
  <c r="BA104" i="4"/>
  <c r="BJ105" i="4"/>
  <c r="BS106" i="4"/>
  <c r="CB107" i="4"/>
  <c r="AH109" i="4"/>
  <c r="AQ110" i="4"/>
  <c r="AQ111" i="4"/>
  <c r="BW111" i="4"/>
  <c r="AZ112" i="4"/>
  <c r="CF112" i="4"/>
  <c r="BI113" i="4"/>
  <c r="AL114" i="4"/>
  <c r="BR114" i="4"/>
  <c r="AU115" i="4"/>
  <c r="CA115" i="4"/>
  <c r="BD116" i="4"/>
  <c r="AG117" i="4"/>
  <c r="BM117" i="4"/>
  <c r="AP118" i="4"/>
  <c r="BV118" i="4"/>
  <c r="AR74" i="4"/>
  <c r="AY75" i="4"/>
  <c r="BQ77" i="4"/>
  <c r="CI79" i="4"/>
  <c r="AX82" i="4"/>
  <c r="BP84" i="4"/>
  <c r="CI85" i="4"/>
  <c r="AO87" i="4"/>
  <c r="AX88" i="4"/>
  <c r="BG89" i="4"/>
  <c r="BP90" i="4"/>
  <c r="BY91" i="4"/>
  <c r="CH92" i="4"/>
  <c r="AN94" i="4"/>
  <c r="AW95" i="4"/>
  <c r="BF96" i="4"/>
  <c r="BO97" i="4"/>
  <c r="BX98" i="4"/>
  <c r="CG99" i="4"/>
  <c r="AM101" i="4"/>
  <c r="AV102" i="4"/>
  <c r="BE103" i="4"/>
  <c r="BN104" i="4"/>
  <c r="BW105" i="4"/>
  <c r="CF106" i="4"/>
  <c r="AL108" i="4"/>
  <c r="AU109" i="4"/>
  <c r="BD110" i="4"/>
  <c r="BX73" i="4"/>
  <c r="BL75" i="4"/>
  <c r="BU76" i="4"/>
  <c r="CD77" i="4"/>
  <c r="AJ79" i="4"/>
  <c r="AS80" i="4"/>
  <c r="BB81" i="4"/>
  <c r="BK82" i="4"/>
  <c r="BT83" i="4"/>
  <c r="CC84" i="4"/>
  <c r="AI86" i="4"/>
  <c r="AR87" i="4"/>
  <c r="BA88" i="4"/>
  <c r="AL89" i="4"/>
  <c r="BR89" i="4"/>
  <c r="AU90" i="4"/>
  <c r="CA90" i="4"/>
  <c r="BD91" i="4"/>
  <c r="AG92" i="4"/>
  <c r="BM92" i="4"/>
  <c r="AP93" i="4"/>
  <c r="BV93" i="4"/>
  <c r="AY94" i="4"/>
  <c r="CE94" i="4"/>
  <c r="BH95" i="4"/>
  <c r="AK96" i="4"/>
  <c r="BQ96" i="4"/>
  <c r="AT97" i="4"/>
  <c r="BZ97" i="4"/>
  <c r="BC98" i="4"/>
  <c r="CI98" i="4"/>
  <c r="BL99" i="4"/>
  <c r="AO100" i="4"/>
  <c r="BU100" i="4"/>
  <c r="AX101" i="4"/>
  <c r="CD101" i="4"/>
  <c r="BG102" i="4"/>
  <c r="AJ103" i="4"/>
  <c r="BP103" i="4"/>
  <c r="AS104" i="4"/>
  <c r="AX105" i="4"/>
  <c r="BG106" i="4"/>
  <c r="BP107" i="4"/>
  <c r="BY108" i="4"/>
  <c r="CH109" i="4"/>
  <c r="AK111" i="4"/>
  <c r="BQ111" i="4"/>
  <c r="AT112" i="4"/>
  <c r="BZ112" i="4"/>
  <c r="BC113" i="4"/>
  <c r="CI113" i="4"/>
  <c r="BL114" i="4"/>
  <c r="AO115" i="4"/>
  <c r="BU115" i="4"/>
  <c r="AX116" i="4"/>
  <c r="CD116" i="4"/>
  <c r="BG117" i="4"/>
  <c r="AJ118" i="4"/>
  <c r="BP118" i="4"/>
  <c r="AO119" i="4"/>
  <c r="BE119" i="4"/>
  <c r="BU119" i="4"/>
  <c r="AH120" i="4"/>
  <c r="AX120" i="4"/>
  <c r="BN120" i="4"/>
  <c r="CD120" i="4"/>
  <c r="AQ121" i="4"/>
  <c r="BG121" i="4"/>
  <c r="BW121" i="4"/>
  <c r="AJ122" i="4"/>
  <c r="AZ122" i="4"/>
  <c r="BP122" i="4"/>
  <c r="CF122" i="4"/>
  <c r="AS123" i="4"/>
  <c r="BI123" i="4"/>
  <c r="BY123" i="4"/>
  <c r="AL124" i="4"/>
  <c r="BB124" i="4"/>
  <c r="BR124" i="4"/>
  <c r="CH124" i="4"/>
  <c r="AU125" i="4"/>
  <c r="BK125" i="4"/>
  <c r="CA125" i="4"/>
  <c r="AN126" i="4"/>
  <c r="BD126" i="4"/>
  <c r="BT126" i="4"/>
  <c r="AG127" i="4"/>
  <c r="AW127" i="4"/>
  <c r="BM127" i="4"/>
  <c r="CC127" i="4"/>
  <c r="AP128" i="4"/>
  <c r="BF128" i="4"/>
  <c r="BV128" i="4"/>
  <c r="AI129" i="4"/>
  <c r="AY129" i="4"/>
  <c r="BO129" i="4"/>
  <c r="CE129" i="4"/>
  <c r="AR130" i="4"/>
  <c r="BH130" i="4"/>
  <c r="BX130" i="4"/>
  <c r="AK131" i="4"/>
  <c r="BA131" i="4"/>
  <c r="BQ131" i="4"/>
  <c r="CG131" i="4"/>
  <c r="AT132" i="4"/>
  <c r="BJ132" i="4"/>
  <c r="BZ132" i="4"/>
  <c r="AM133" i="4"/>
  <c r="BC133" i="4"/>
  <c r="BS133" i="4"/>
  <c r="CI133" i="4"/>
  <c r="AV134" i="4"/>
  <c r="BL134" i="4"/>
  <c r="CB134" i="4"/>
  <c r="AO135" i="4"/>
  <c r="BE135" i="4"/>
  <c r="BU135" i="4"/>
  <c r="AH136" i="4"/>
  <c r="AX136" i="4"/>
  <c r="BN136" i="4"/>
  <c r="CD136" i="4"/>
  <c r="AQ137" i="4"/>
  <c r="BG137" i="4"/>
  <c r="BW137" i="4"/>
  <c r="AJ138" i="4"/>
  <c r="AZ138" i="4"/>
  <c r="BP138" i="4"/>
  <c r="CF138" i="4"/>
  <c r="AS139" i="4"/>
  <c r="BI139" i="4"/>
  <c r="BY139" i="4"/>
  <c r="AL140" i="4"/>
  <c r="BB140" i="4"/>
  <c r="BR140" i="4"/>
  <c r="CH140" i="4"/>
  <c r="AU141" i="4"/>
  <c r="BK141" i="4"/>
  <c r="CA141" i="4"/>
  <c r="AN142" i="4"/>
  <c r="BD142" i="4"/>
  <c r="BT142" i="4"/>
  <c r="AG143" i="4"/>
  <c r="AW143" i="4"/>
  <c r="BM143" i="4"/>
  <c r="CC143" i="4"/>
  <c r="AP144" i="4"/>
  <c r="BF144" i="4"/>
  <c r="BV144" i="4"/>
  <c r="AI145" i="4"/>
  <c r="AY145" i="4"/>
  <c r="BO145" i="4"/>
  <c r="CE145" i="4"/>
  <c r="AR146" i="4"/>
  <c r="BH146" i="4"/>
  <c r="BX146" i="4"/>
  <c r="AK147" i="4"/>
  <c r="BA147" i="4"/>
  <c r="BQ147" i="4"/>
  <c r="CG147" i="4"/>
  <c r="AT148" i="4"/>
  <c r="BJ148" i="4"/>
  <c r="BZ148" i="4"/>
  <c r="AM149" i="4"/>
  <c r="BC149" i="4"/>
  <c r="BS149" i="4"/>
  <c r="CI149" i="4"/>
  <c r="AV150" i="4"/>
  <c r="AZ74" i="4"/>
  <c r="BN73" i="4"/>
  <c r="BG75" i="4"/>
  <c r="BP76" i="4"/>
  <c r="BY77" i="4"/>
  <c r="CH78" i="4"/>
  <c r="AN80" i="4"/>
  <c r="AW81" i="4"/>
  <c r="BF82" i="4"/>
  <c r="BO83" i="4"/>
  <c r="BX84" i="4"/>
  <c r="BG85" i="4"/>
  <c r="AJ86" i="4"/>
  <c r="BP86" i="4"/>
  <c r="AS87" i="4"/>
  <c r="BY87" i="4"/>
  <c r="BB88" i="4"/>
  <c r="CH88" i="4"/>
  <c r="BK89" i="4"/>
  <c r="AN90" i="4"/>
  <c r="BT90" i="4"/>
  <c r="AW91" i="4"/>
  <c r="CC91" i="4"/>
  <c r="BF92" i="4"/>
  <c r="AI93" i="4"/>
  <c r="BO93" i="4"/>
  <c r="AR94" i="4"/>
  <c r="BX94" i="4"/>
  <c r="BA95" i="4"/>
  <c r="CG95" i="4"/>
  <c r="BJ96" i="4"/>
  <c r="AM97" i="4"/>
  <c r="BS97" i="4"/>
  <c r="AV98" i="4"/>
  <c r="CB98" i="4"/>
  <c r="BE99" i="4"/>
  <c r="AH100" i="4"/>
  <c r="BN100" i="4"/>
  <c r="AQ101" i="4"/>
  <c r="BW101" i="4"/>
  <c r="AZ102" i="4"/>
  <c r="CF102" i="4"/>
  <c r="BI103" i="4"/>
  <c r="AL104" i="4"/>
  <c r="BR104" i="4"/>
  <c r="AU105" i="4"/>
  <c r="CA105" i="4"/>
  <c r="BD106" i="4"/>
  <c r="AG107" i="4"/>
  <c r="BM107" i="4"/>
  <c r="AP108" i="4"/>
  <c r="BV108" i="4"/>
  <c r="AY109" i="4"/>
  <c r="CE109" i="4"/>
  <c r="BH110" i="4"/>
  <c r="BW72" i="4"/>
  <c r="CF73" i="4"/>
  <c r="AJ75" i="4"/>
  <c r="BP75" i="4"/>
  <c r="AS76" i="4"/>
  <c r="BY76" i="4"/>
  <c r="BB77" i="4"/>
  <c r="CH77" i="4"/>
  <c r="BK78" i="4"/>
  <c r="AN79" i="4"/>
  <c r="BT79" i="4"/>
  <c r="AW80" i="4"/>
  <c r="CC80" i="4"/>
  <c r="BF81" i="4"/>
  <c r="AI82" i="4"/>
  <c r="BO82" i="4"/>
  <c r="AR83" i="4"/>
  <c r="BX83" i="4"/>
  <c r="BA84" i="4"/>
  <c r="CG84" i="4"/>
  <c r="BJ85" i="4"/>
  <c r="AM86" i="4"/>
  <c r="BS86" i="4"/>
  <c r="AV87" i="4"/>
  <c r="CB87" i="4"/>
  <c r="BE88" i="4"/>
  <c r="AH89" i="4"/>
  <c r="BN89" i="4"/>
  <c r="AQ90" i="4"/>
  <c r="BW90" i="4"/>
  <c r="AZ91" i="4"/>
  <c r="CF91" i="4"/>
  <c r="BI92" i="4"/>
  <c r="AL93" i="4"/>
  <c r="BR93" i="4"/>
  <c r="AU94" i="4"/>
  <c r="CA94" i="4"/>
  <c r="BD95" i="4"/>
  <c r="AG96" i="4"/>
  <c r="BM96" i="4"/>
  <c r="AP97" i="4"/>
  <c r="BV97" i="4"/>
  <c r="AY98" i="4"/>
  <c r="CE98" i="4"/>
  <c r="BH99" i="4"/>
  <c r="AK100" i="4"/>
  <c r="BQ100" i="4"/>
  <c r="AT101" i="4"/>
  <c r="BZ101" i="4"/>
  <c r="BC102" i="4"/>
  <c r="CI102" i="4"/>
  <c r="BL103" i="4"/>
  <c r="AO104" i="4"/>
  <c r="AP105" i="4"/>
  <c r="AY106" i="4"/>
  <c r="BH107" i="4"/>
  <c r="BQ108" i="4"/>
  <c r="BZ109" i="4"/>
  <c r="CI110" i="4"/>
  <c r="BM111" i="4"/>
  <c r="AP112" i="4"/>
  <c r="BV112" i="4"/>
  <c r="AY113" i="4"/>
  <c r="CE113" i="4"/>
  <c r="BH114" i="4"/>
  <c r="AK115" i="4"/>
  <c r="BQ115" i="4"/>
  <c r="AT116" i="4"/>
  <c r="BZ116" i="4"/>
  <c r="BC117" i="4"/>
  <c r="CI117" i="4"/>
  <c r="BL118" i="4"/>
  <c r="AM119" i="4"/>
  <c r="BC119" i="4"/>
  <c r="BS119" i="4"/>
  <c r="CI119" i="4"/>
  <c r="AV120" i="4"/>
  <c r="BL120" i="4"/>
  <c r="CB120" i="4"/>
  <c r="AO121" i="4"/>
  <c r="BE121" i="4"/>
  <c r="BU121" i="4"/>
  <c r="AH122" i="4"/>
  <c r="AX122" i="4"/>
  <c r="BN122" i="4"/>
  <c r="CD122" i="4"/>
  <c r="AQ123" i="4"/>
  <c r="BG123" i="4"/>
  <c r="BW123" i="4"/>
  <c r="AJ124" i="4"/>
  <c r="AZ124" i="4"/>
  <c r="BP124" i="4"/>
  <c r="CF124" i="4"/>
  <c r="AS125" i="4"/>
  <c r="BI125" i="4"/>
  <c r="BY125" i="4"/>
  <c r="AL126" i="4"/>
  <c r="BB126" i="4"/>
  <c r="BR126" i="4"/>
  <c r="CH126" i="4"/>
  <c r="AU127" i="4"/>
  <c r="BK127" i="4"/>
  <c r="CA127" i="4"/>
  <c r="AN128" i="4"/>
  <c r="BD128" i="4"/>
  <c r="BT128" i="4"/>
  <c r="AG129" i="4"/>
  <c r="AW129" i="4"/>
  <c r="BM129" i="4"/>
  <c r="CC129" i="4"/>
  <c r="AP130" i="4"/>
  <c r="BF130" i="4"/>
  <c r="BV130" i="4"/>
  <c r="AI131" i="4"/>
  <c r="AY131" i="4"/>
  <c r="BO131" i="4"/>
  <c r="CE131" i="4"/>
  <c r="AR132" i="4"/>
  <c r="BH132" i="4"/>
  <c r="BX132" i="4"/>
  <c r="AK133" i="4"/>
  <c r="BA133" i="4"/>
  <c r="BQ133" i="4"/>
  <c r="CG133" i="4"/>
  <c r="AT134" i="4"/>
  <c r="BJ134" i="4"/>
  <c r="BZ134" i="4"/>
  <c r="AM135" i="4"/>
  <c r="BC135" i="4"/>
  <c r="BS135" i="4"/>
  <c r="CI135" i="4"/>
  <c r="AV136" i="4"/>
  <c r="BL136" i="4"/>
  <c r="CB136" i="4"/>
  <c r="AO137" i="4"/>
  <c r="BE137" i="4"/>
  <c r="BU137" i="4"/>
  <c r="AH138" i="4"/>
  <c r="AX138" i="4"/>
  <c r="BN138" i="4"/>
  <c r="CD138" i="4"/>
  <c r="AQ139" i="4"/>
  <c r="BG139" i="4"/>
  <c r="BW139" i="4"/>
  <c r="AJ140" i="4"/>
  <c r="AZ140" i="4"/>
  <c r="BP140" i="4"/>
  <c r="CF140" i="4"/>
  <c r="AS141" i="4"/>
  <c r="BI141" i="4"/>
  <c r="BY141" i="4"/>
  <c r="AL142" i="4"/>
  <c r="BB142" i="4"/>
  <c r="BR142" i="4"/>
  <c r="CH142" i="4"/>
  <c r="AU143" i="4"/>
  <c r="BK143" i="4"/>
  <c r="CA143" i="4"/>
  <c r="AN144" i="4"/>
  <c r="BD144" i="4"/>
  <c r="BT144" i="4"/>
  <c r="AG145" i="4"/>
  <c r="AW145" i="4"/>
  <c r="BM145" i="4"/>
  <c r="CC145" i="4"/>
  <c r="AP146" i="4"/>
  <c r="BF146" i="4"/>
  <c r="BV146" i="4"/>
  <c r="AI147" i="4"/>
  <c r="AY147" i="4"/>
  <c r="BO147" i="4"/>
  <c r="CE147" i="4"/>
  <c r="AR148" i="4"/>
  <c r="BH148" i="4"/>
  <c r="BX148" i="4"/>
  <c r="AK149" i="4"/>
  <c r="BA149" i="4"/>
  <c r="BQ149" i="4"/>
  <c r="CG149" i="4"/>
  <c r="AT150" i="4"/>
  <c r="BJ150" i="4"/>
  <c r="BZ150" i="4"/>
  <c r="AM151" i="4"/>
  <c r="BC151" i="4"/>
  <c r="BS151" i="4"/>
  <c r="CI151" i="4"/>
  <c r="AV152" i="4"/>
  <c r="BL152" i="4"/>
  <c r="CB152" i="4"/>
  <c r="AO153" i="4"/>
  <c r="BE153" i="4"/>
  <c r="BU153" i="4"/>
  <c r="AH154" i="4"/>
  <c r="AX154" i="4"/>
  <c r="BN154" i="4"/>
  <c r="CD154" i="4"/>
  <c r="AQ155" i="4"/>
  <c r="BG155" i="4"/>
  <c r="BW155" i="4"/>
  <c r="AJ156" i="4"/>
  <c r="AZ150" i="4"/>
  <c r="CF150" i="4"/>
  <c r="BI151" i="4"/>
  <c r="AL152" i="4"/>
  <c r="BR152" i="4"/>
  <c r="AU153" i="4"/>
  <c r="CA153" i="4"/>
  <c r="BD154" i="4"/>
  <c r="AG155" i="4"/>
  <c r="BM155" i="4"/>
  <c r="AP156" i="4"/>
  <c r="AY104" i="4"/>
  <c r="CE104" i="4"/>
  <c r="BH105" i="4"/>
  <c r="AK106" i="4"/>
  <c r="BQ106" i="4"/>
  <c r="AT107" i="4"/>
  <c r="BZ107" i="4"/>
  <c r="BC108" i="4"/>
  <c r="CI108" i="4"/>
  <c r="BL109" i="4"/>
  <c r="AO110" i="4"/>
  <c r="BU110" i="4"/>
  <c r="AP111" i="4"/>
  <c r="BF111" i="4"/>
  <c r="BV111" i="4"/>
  <c r="AI112" i="4"/>
  <c r="AY112" i="4"/>
  <c r="BO112" i="4"/>
  <c r="CE112" i="4"/>
  <c r="AR113" i="4"/>
  <c r="BH113" i="4"/>
  <c r="BX113" i="4"/>
  <c r="AK114" i="4"/>
  <c r="BA114" i="4"/>
  <c r="BQ114" i="4"/>
  <c r="CG114" i="4"/>
  <c r="AT115" i="4"/>
  <c r="BJ115" i="4"/>
  <c r="BZ115" i="4"/>
  <c r="AM116" i="4"/>
  <c r="AM153" i="4"/>
  <c r="AV154" i="4"/>
  <c r="BE155" i="4"/>
  <c r="BF156" i="4"/>
  <c r="AZ105" i="4"/>
  <c r="BI106" i="4"/>
  <c r="BR107" i="4"/>
  <c r="CA108" i="4"/>
  <c r="AG110" i="4"/>
  <c r="AL111" i="4"/>
  <c r="BR111" i="4"/>
  <c r="AU112" i="4"/>
  <c r="CA112" i="4"/>
  <c r="BD113" i="4"/>
  <c r="AG114" i="4"/>
  <c r="BM114" i="4"/>
  <c r="AP115" i="4"/>
  <c r="BV115" i="4"/>
  <c r="AY116" i="4"/>
  <c r="BO116" i="4"/>
  <c r="CE116" i="4"/>
  <c r="AR117" i="4"/>
  <c r="BH117" i="4"/>
  <c r="BX117" i="4"/>
  <c r="AK118" i="4"/>
  <c r="BA118" i="4"/>
  <c r="BQ118" i="4"/>
  <c r="CG118" i="4"/>
  <c r="AT119" i="4"/>
  <c r="BJ119" i="4"/>
  <c r="BZ119" i="4"/>
  <c r="AM120" i="4"/>
  <c r="BC120" i="4"/>
  <c r="BS120" i="4"/>
  <c r="CI120" i="4"/>
  <c r="AV121" i="4"/>
  <c r="BL121" i="4"/>
  <c r="CB121" i="4"/>
  <c r="AO122" i="4"/>
  <c r="BE122" i="4"/>
  <c r="BU122" i="4"/>
  <c r="AH123" i="4"/>
  <c r="AX123" i="4"/>
  <c r="BN123" i="4"/>
  <c r="CD123" i="4"/>
  <c r="AQ124" i="4"/>
  <c r="BG124" i="4"/>
  <c r="BW124" i="4"/>
  <c r="AJ125" i="4"/>
  <c r="AZ125" i="4"/>
  <c r="BP125" i="4"/>
  <c r="CF125" i="4"/>
  <c r="AS126" i="4"/>
  <c r="BI126" i="4"/>
  <c r="BY126" i="4"/>
  <c r="AL127" i="4"/>
  <c r="BB127" i="4"/>
  <c r="BR127" i="4"/>
  <c r="CH127" i="4"/>
  <c r="AU128" i="4"/>
  <c r="BK128" i="4"/>
  <c r="CA128" i="4"/>
  <c r="AN129" i="4"/>
  <c r="BD129" i="4"/>
  <c r="BT129" i="4"/>
  <c r="AG130" i="4"/>
  <c r="AW130" i="4"/>
  <c r="BM130" i="4"/>
  <c r="CC130" i="4"/>
  <c r="AP131" i="4"/>
  <c r="BF131" i="4"/>
  <c r="BV131" i="4"/>
  <c r="AI132" i="4"/>
  <c r="AY132" i="4"/>
  <c r="BO132" i="4"/>
  <c r="CE132" i="4"/>
  <c r="AR133" i="4"/>
  <c r="BH133" i="4"/>
  <c r="BX133" i="4"/>
  <c r="AK134" i="4"/>
  <c r="BA134" i="4"/>
  <c r="BQ134" i="4"/>
  <c r="CG134" i="4"/>
  <c r="AT135" i="4"/>
  <c r="BJ135" i="4"/>
  <c r="BZ135" i="4"/>
  <c r="AM136" i="4"/>
  <c r="BC136" i="4"/>
  <c r="BS136" i="4"/>
  <c r="CI136" i="4"/>
  <c r="AV137" i="4"/>
  <c r="BL137" i="4"/>
  <c r="CB137" i="4"/>
  <c r="AO138" i="4"/>
  <c r="BE138" i="4"/>
  <c r="BU138" i="4"/>
  <c r="AH139" i="4"/>
  <c r="AX139" i="4"/>
  <c r="BN139" i="4"/>
  <c r="CD139" i="4"/>
  <c r="AQ140" i="4"/>
  <c r="BG140" i="4"/>
  <c r="BW140" i="4"/>
  <c r="AJ141" i="4"/>
  <c r="AZ141" i="4"/>
  <c r="BP141" i="4"/>
  <c r="CF141" i="4"/>
  <c r="AS142" i="4"/>
  <c r="BI142" i="4"/>
  <c r="BY142" i="4"/>
  <c r="AL143" i="4"/>
  <c r="BB143" i="4"/>
  <c r="BR143" i="4"/>
  <c r="CH143" i="4"/>
  <c r="AU144" i="4"/>
  <c r="BK144" i="4"/>
  <c r="CA144" i="4"/>
  <c r="BB145" i="4"/>
  <c r="CH145" i="4"/>
  <c r="BK146" i="4"/>
  <c r="AN147" i="4"/>
  <c r="BT147" i="4"/>
  <c r="AW148" i="4"/>
  <c r="CC148" i="4"/>
  <c r="BF149" i="4"/>
  <c r="AI150" i="4"/>
  <c r="BO150" i="4"/>
  <c r="AR151" i="4"/>
  <c r="BX151" i="4"/>
  <c r="BA152" i="4"/>
  <c r="CG152" i="4"/>
  <c r="BJ153" i="4"/>
  <c r="AM154" i="4"/>
  <c r="BS154" i="4"/>
  <c r="AV155" i="4"/>
  <c r="CB155" i="4"/>
  <c r="BE156" i="4"/>
  <c r="BW156" i="4"/>
  <c r="CI144" i="4"/>
  <c r="BL145" i="4"/>
  <c r="AO146" i="4"/>
  <c r="BU146" i="4"/>
  <c r="AX147" i="4"/>
  <c r="CD147" i="4"/>
  <c r="BG148" i="4"/>
  <c r="AJ149" i="4"/>
  <c r="BP149" i="4"/>
  <c r="AS150" i="4"/>
  <c r="BY150" i="4"/>
  <c r="BB151" i="4"/>
  <c r="CH151" i="4"/>
  <c r="BK152" i="4"/>
  <c r="AN153" i="4"/>
  <c r="BT153" i="4"/>
  <c r="AW154" i="4"/>
  <c r="CC154" i="4"/>
  <c r="BF155" i="4"/>
  <c r="AI156" i="4"/>
  <c r="BL156" i="4"/>
  <c r="CB156" i="4"/>
  <c r="BF10" i="4"/>
  <c r="CH10" i="4"/>
  <c r="BY10" i="4"/>
  <c r="BT150" i="4"/>
  <c r="AW151" i="4"/>
  <c r="CC151" i="4"/>
  <c r="BF152" i="4"/>
  <c r="AI153" i="4"/>
  <c r="BO153" i="4"/>
  <c r="AR154" i="4"/>
  <c r="BX154" i="4"/>
  <c r="BA155" i="4"/>
  <c r="CG155" i="4"/>
  <c r="BD156" i="4"/>
  <c r="BS104" i="4"/>
  <c r="AV105" i="4"/>
  <c r="CB105" i="4"/>
  <c r="BE106" i="4"/>
  <c r="AH107" i="4"/>
  <c r="BN107" i="4"/>
  <c r="AQ108" i="4"/>
  <c r="BW108" i="4"/>
  <c r="AZ109" i="4"/>
  <c r="CF109" i="4"/>
  <c r="BI110" i="4"/>
  <c r="AJ111" i="4"/>
  <c r="AZ111" i="4"/>
  <c r="BP111" i="4"/>
  <c r="CF111" i="4"/>
  <c r="AS112" i="4"/>
  <c r="BI112" i="4"/>
  <c r="BY112" i="4"/>
  <c r="AL113" i="4"/>
  <c r="BB113" i="4"/>
  <c r="BR113" i="4"/>
  <c r="CH113" i="4"/>
  <c r="AU114" i="4"/>
  <c r="BK114" i="4"/>
  <c r="CA114" i="4"/>
  <c r="AN115" i="4"/>
  <c r="BD115" i="4"/>
  <c r="BT115" i="4"/>
  <c r="AG116" i="4"/>
  <c r="AW116" i="4"/>
  <c r="BM116" i="4"/>
  <c r="CC116" i="4"/>
  <c r="AP117" i="4"/>
  <c r="BF117" i="4"/>
  <c r="BV117" i="4"/>
  <c r="AI118" i="4"/>
  <c r="AY118" i="4"/>
  <c r="BO118" i="4"/>
  <c r="CE118" i="4"/>
  <c r="AR119" i="4"/>
  <c r="BH119" i="4"/>
  <c r="BX119" i="4"/>
  <c r="AK120" i="4"/>
  <c r="BA120" i="4"/>
  <c r="BQ120" i="4"/>
  <c r="CG120" i="4"/>
  <c r="AT121" i="4"/>
  <c r="BJ121" i="4"/>
  <c r="BZ121" i="4"/>
  <c r="AM122" i="4"/>
  <c r="BC122" i="4"/>
  <c r="BS122" i="4"/>
  <c r="CI122" i="4"/>
  <c r="AV123" i="4"/>
  <c r="BL123" i="4"/>
  <c r="CB123" i="4"/>
  <c r="AO124" i="4"/>
  <c r="BE124" i="4"/>
  <c r="BU124" i="4"/>
  <c r="AH125" i="4"/>
  <c r="AX125" i="4"/>
  <c r="BN125" i="4"/>
  <c r="CD125" i="4"/>
  <c r="AQ126" i="4"/>
  <c r="BG126" i="4"/>
  <c r="BW126" i="4"/>
  <c r="AJ127" i="4"/>
  <c r="AZ127" i="4"/>
  <c r="BP127" i="4"/>
  <c r="CF127" i="4"/>
  <c r="AS128" i="4"/>
  <c r="BI128" i="4"/>
  <c r="BY128" i="4"/>
  <c r="AL129" i="4"/>
  <c r="BB129" i="4"/>
  <c r="BR129" i="4"/>
  <c r="CH129" i="4"/>
  <c r="AU130" i="4"/>
  <c r="BK130" i="4"/>
  <c r="CA130" i="4"/>
  <c r="AN131" i="4"/>
  <c r="BD131" i="4"/>
  <c r="BT131" i="4"/>
  <c r="AG132" i="4"/>
  <c r="AW132" i="4"/>
  <c r="BM132" i="4"/>
  <c r="CC132" i="4"/>
  <c r="AP133" i="4"/>
  <c r="BF133" i="4"/>
  <c r="BV133" i="4"/>
  <c r="AI134" i="4"/>
  <c r="AY134" i="4"/>
  <c r="BO134" i="4"/>
  <c r="CE134" i="4"/>
  <c r="AR135" i="4"/>
  <c r="BH135" i="4"/>
  <c r="BX135" i="4"/>
  <c r="AK136" i="4"/>
  <c r="BA136" i="4"/>
  <c r="BQ136" i="4"/>
  <c r="CG136" i="4"/>
  <c r="AT137" i="4"/>
  <c r="BJ137" i="4"/>
  <c r="BZ137" i="4"/>
  <c r="AM138" i="4"/>
  <c r="BC138" i="4"/>
  <c r="BS138" i="4"/>
  <c r="CI138" i="4"/>
  <c r="AV139" i="4"/>
  <c r="BL139" i="4"/>
  <c r="CB139" i="4"/>
  <c r="AO140" i="4"/>
  <c r="BE140" i="4"/>
  <c r="BU140" i="4"/>
  <c r="AH141" i="4"/>
  <c r="AX141" i="4"/>
  <c r="BN141" i="4"/>
  <c r="CD141" i="4"/>
  <c r="AQ142" i="4"/>
  <c r="BG142" i="4"/>
  <c r="BW142" i="4"/>
  <c r="AJ143" i="4"/>
  <c r="AZ143" i="4"/>
  <c r="BP143" i="4"/>
  <c r="CF143" i="4"/>
  <c r="AS144" i="4"/>
  <c r="BQ144" i="4"/>
  <c r="AH145" i="4"/>
  <c r="CD145" i="4"/>
  <c r="AZ147" i="4"/>
  <c r="BI148" i="4"/>
  <c r="CH149" i="4"/>
  <c r="AN151" i="4"/>
  <c r="AW152" i="4"/>
  <c r="BV153" i="4"/>
  <c r="AR155" i="4"/>
  <c r="BM156" i="4"/>
  <c r="BH145" i="4"/>
  <c r="CG146" i="4"/>
  <c r="BC148" i="4"/>
  <c r="CB149" i="4"/>
  <c r="AX151" i="4"/>
  <c r="BW152" i="4"/>
  <c r="CF153" i="4"/>
  <c r="AL155" i="4"/>
  <c r="BJ156" i="4"/>
  <c r="BH10" i="4"/>
  <c r="BK10" i="4"/>
  <c r="BA10" i="4"/>
  <c r="BC153" i="4"/>
  <c r="BL154" i="4"/>
  <c r="BU155" i="4"/>
  <c r="BG104" i="4"/>
  <c r="BP105" i="4"/>
  <c r="BY106" i="4"/>
  <c r="CH107" i="4"/>
  <c r="AN109" i="4"/>
  <c r="AW110" i="4"/>
  <c r="AT111" i="4"/>
  <c r="BZ111" i="4"/>
  <c r="BC112" i="4"/>
  <c r="CI112" i="4"/>
  <c r="BL113" i="4"/>
  <c r="AO114" i="4"/>
  <c r="BU114" i="4"/>
  <c r="AX115" i="4"/>
  <c r="CD115" i="4"/>
  <c r="BC116" i="4"/>
  <c r="BS116" i="4"/>
  <c r="CI116" i="4"/>
  <c r="AV117" i="4"/>
  <c r="BL117" i="4"/>
  <c r="CB117" i="4"/>
  <c r="AO118" i="4"/>
  <c r="BE118" i="4"/>
  <c r="BU118" i="4"/>
  <c r="AH119" i="4"/>
  <c r="AX119" i="4"/>
  <c r="BN119" i="4"/>
  <c r="CD119" i="4"/>
  <c r="AQ120" i="4"/>
  <c r="BG120" i="4"/>
  <c r="BW120" i="4"/>
  <c r="AJ121" i="4"/>
  <c r="AZ121" i="4"/>
  <c r="BP121" i="4"/>
  <c r="CF121" i="4"/>
  <c r="AS122" i="4"/>
  <c r="BI122" i="4"/>
  <c r="BY122" i="4"/>
  <c r="AL123" i="4"/>
  <c r="BB123" i="4"/>
  <c r="BR123" i="4"/>
  <c r="CH123" i="4"/>
  <c r="AU124" i="4"/>
  <c r="BK124" i="4"/>
  <c r="CA124" i="4"/>
  <c r="AN125" i="4"/>
  <c r="BD125" i="4"/>
  <c r="BT125" i="4"/>
  <c r="AG126" i="4"/>
  <c r="AW126" i="4"/>
  <c r="BM126" i="4"/>
  <c r="CC126" i="4"/>
  <c r="AP127" i="4"/>
  <c r="BF127" i="4"/>
  <c r="BV127" i="4"/>
  <c r="AI128" i="4"/>
  <c r="AY128" i="4"/>
  <c r="BO128" i="4"/>
  <c r="CE128" i="4"/>
  <c r="AR129" i="4"/>
  <c r="BH129" i="4"/>
  <c r="BX129" i="4"/>
  <c r="AK130" i="4"/>
  <c r="BA130" i="4"/>
  <c r="BQ130" i="4"/>
  <c r="CG130" i="4"/>
  <c r="AT131" i="4"/>
  <c r="BJ131" i="4"/>
  <c r="BZ131" i="4"/>
  <c r="AM132" i="4"/>
  <c r="BC132" i="4"/>
  <c r="BS132" i="4"/>
  <c r="CI132" i="4"/>
  <c r="AV133" i="4"/>
  <c r="BL133" i="4"/>
  <c r="CB133" i="4"/>
  <c r="AO134" i="4"/>
  <c r="BE134" i="4"/>
  <c r="BU134" i="4"/>
  <c r="AH135" i="4"/>
  <c r="AX135" i="4"/>
  <c r="BN135" i="4"/>
  <c r="CD135" i="4"/>
  <c r="AQ136" i="4"/>
  <c r="BG136" i="4"/>
  <c r="BW136" i="4"/>
  <c r="AJ137" i="4"/>
  <c r="AZ137" i="4"/>
  <c r="BP137" i="4"/>
  <c r="CF137" i="4"/>
  <c r="AS138" i="4"/>
  <c r="BI138" i="4"/>
  <c r="BY138" i="4"/>
  <c r="AL139" i="4"/>
  <c r="BB139" i="4"/>
  <c r="BR139" i="4"/>
  <c r="CH139" i="4"/>
  <c r="AU140" i="4"/>
  <c r="BK140" i="4"/>
  <c r="CA140" i="4"/>
  <c r="AN141" i="4"/>
  <c r="BD141" i="4"/>
  <c r="BT141" i="4"/>
  <c r="AG142" i="4"/>
  <c r="AW142" i="4"/>
  <c r="BM142" i="4"/>
  <c r="CC142" i="4"/>
  <c r="AP143" i="4"/>
  <c r="BF143" i="4"/>
  <c r="BV143" i="4"/>
  <c r="AI144" i="4"/>
  <c r="AY144" i="4"/>
  <c r="BO144" i="4"/>
  <c r="CG144" i="4"/>
  <c r="BJ145" i="4"/>
  <c r="AM146" i="4"/>
  <c r="BS146" i="4"/>
  <c r="AV147" i="4"/>
  <c r="CB147" i="4"/>
  <c r="BE148" i="4"/>
  <c r="AH149" i="4"/>
  <c r="BN149" i="4"/>
  <c r="AQ150" i="4"/>
  <c r="BW150" i="4"/>
  <c r="AZ151" i="4"/>
  <c r="CF151" i="4"/>
  <c r="BI152" i="4"/>
  <c r="AL153" i="4"/>
  <c r="BR153" i="4"/>
  <c r="AU154" i="4"/>
  <c r="CA154" i="4"/>
  <c r="BD155" i="4"/>
  <c r="AG156" i="4"/>
  <c r="BK156" i="4"/>
  <c r="CA156" i="4"/>
  <c r="AN145" i="4"/>
  <c r="BT145" i="4"/>
  <c r="AW146" i="4"/>
  <c r="CC146" i="4"/>
  <c r="BF147" i="4"/>
  <c r="AI148" i="4"/>
  <c r="BO148" i="4"/>
  <c r="AR149" i="4"/>
  <c r="BX149" i="4"/>
  <c r="BA150" i="4"/>
  <c r="CG150" i="4"/>
  <c r="BJ151" i="4"/>
  <c r="AM152" i="4"/>
  <c r="BS152" i="4"/>
  <c r="AV153" i="4"/>
  <c r="CB153" i="4"/>
  <c r="BE154" i="4"/>
  <c r="AH155" i="4"/>
  <c r="BN155" i="4"/>
  <c r="AQ156" i="4"/>
  <c r="BP156" i="4"/>
  <c r="CF156" i="4"/>
  <c r="BJ10" i="4"/>
  <c r="AW10" i="4"/>
  <c r="CG10" i="4"/>
  <c r="CB150" i="4"/>
  <c r="BE151" i="4"/>
  <c r="AH152" i="4"/>
  <c r="BN152" i="4"/>
  <c r="AQ153" i="4"/>
  <c r="BW153" i="4"/>
  <c r="AZ154" i="4"/>
  <c r="CF154" i="4"/>
  <c r="BI155" i="4"/>
  <c r="AL156" i="4"/>
  <c r="BH156" i="4"/>
  <c r="CA104" i="4"/>
  <c r="BD105" i="4"/>
  <c r="AG106" i="4"/>
  <c r="BM106" i="4"/>
  <c r="AP107" i="4"/>
  <c r="BV107" i="4"/>
  <c r="AY108" i="4"/>
  <c r="CE108" i="4"/>
  <c r="BH109" i="4"/>
  <c r="AK110" i="4"/>
  <c r="BQ110" i="4"/>
  <c r="AN111" i="4"/>
  <c r="BD111" i="4"/>
  <c r="BT111" i="4"/>
  <c r="AG112" i="4"/>
  <c r="AW112" i="4"/>
  <c r="BM112" i="4"/>
  <c r="CC112" i="4"/>
  <c r="AP113" i="4"/>
  <c r="BF113" i="4"/>
  <c r="BV113" i="4"/>
  <c r="AI114" i="4"/>
  <c r="AY114" i="4"/>
  <c r="BO114" i="4"/>
  <c r="CE114" i="4"/>
  <c r="AR115" i="4"/>
  <c r="BH115" i="4"/>
  <c r="BX115" i="4"/>
  <c r="AK116" i="4"/>
  <c r="BA116" i="4"/>
  <c r="BQ116" i="4"/>
  <c r="CG116" i="4"/>
  <c r="AT117" i="4"/>
  <c r="BJ117" i="4"/>
  <c r="BZ117" i="4"/>
  <c r="AM118" i="4"/>
  <c r="BC118" i="4"/>
  <c r="BS118" i="4"/>
  <c r="CI118" i="4"/>
  <c r="AV119" i="4"/>
  <c r="BL119" i="4"/>
  <c r="CB119" i="4"/>
  <c r="AO120" i="4"/>
  <c r="BE120" i="4"/>
  <c r="BU120" i="4"/>
  <c r="AH121" i="4"/>
  <c r="AX121" i="4"/>
  <c r="BN121" i="4"/>
  <c r="CD121" i="4"/>
  <c r="AQ122" i="4"/>
  <c r="BG122" i="4"/>
  <c r="BW122" i="4"/>
  <c r="AJ123" i="4"/>
  <c r="AZ123" i="4"/>
  <c r="BP123" i="4"/>
  <c r="CF123" i="4"/>
  <c r="AS124" i="4"/>
  <c r="BI124" i="4"/>
  <c r="BY124" i="4"/>
  <c r="AL125" i="4"/>
  <c r="BB125" i="4"/>
  <c r="BR125" i="4"/>
  <c r="CH125" i="4"/>
  <c r="AU126" i="4"/>
  <c r="BK126" i="4"/>
  <c r="CA126" i="4"/>
  <c r="AN127" i="4"/>
  <c r="BD127" i="4"/>
  <c r="BT127" i="4"/>
  <c r="AG128" i="4"/>
  <c r="AW128" i="4"/>
  <c r="BM128" i="4"/>
  <c r="CC128" i="4"/>
  <c r="AP129" i="4"/>
  <c r="BF129" i="4"/>
  <c r="BV129" i="4"/>
  <c r="AI130" i="4"/>
  <c r="AY130" i="4"/>
  <c r="BO130" i="4"/>
  <c r="CE130" i="4"/>
  <c r="AR131" i="4"/>
  <c r="BH131" i="4"/>
  <c r="BX131" i="4"/>
  <c r="AK132" i="4"/>
  <c r="BA132" i="4"/>
  <c r="BQ132" i="4"/>
  <c r="CG132" i="4"/>
  <c r="AT133" i="4"/>
  <c r="BJ133" i="4"/>
  <c r="BZ133" i="4"/>
  <c r="AM134" i="4"/>
  <c r="BC134" i="4"/>
  <c r="BS134" i="4"/>
  <c r="CI134" i="4"/>
  <c r="AV135" i="4"/>
  <c r="BL135" i="4"/>
  <c r="CB135" i="4"/>
  <c r="AO136" i="4"/>
  <c r="BE136" i="4"/>
  <c r="BU136" i="4"/>
  <c r="AH137" i="4"/>
  <c r="AX137" i="4"/>
  <c r="BN137" i="4"/>
  <c r="CD137" i="4"/>
  <c r="AQ138" i="4"/>
  <c r="BG138" i="4"/>
  <c r="BW138" i="4"/>
  <c r="AJ139" i="4"/>
  <c r="AZ139" i="4"/>
  <c r="BP139" i="4"/>
  <c r="CF139" i="4"/>
  <c r="AS140" i="4"/>
  <c r="BI140" i="4"/>
  <c r="BY140" i="4"/>
  <c r="AL141" i="4"/>
  <c r="BB141" i="4"/>
  <c r="BR141" i="4"/>
  <c r="CH141" i="4"/>
  <c r="AU142" i="4"/>
  <c r="BK142" i="4"/>
  <c r="CA142" i="4"/>
  <c r="AN143" i="4"/>
  <c r="BD143" i="4"/>
  <c r="BT143" i="4"/>
  <c r="AG144" i="4"/>
  <c r="AW144" i="4"/>
  <c r="BM144" i="4"/>
  <c r="CC144" i="4"/>
  <c r="BF145" i="4"/>
  <c r="AI146" i="4"/>
  <c r="BO146" i="4"/>
  <c r="AR147" i="4"/>
  <c r="BX147" i="4"/>
  <c r="BA148" i="4"/>
  <c r="CG148" i="4"/>
  <c r="BJ149" i="4"/>
  <c r="AM150" i="4"/>
  <c r="BS150" i="4"/>
  <c r="AV151" i="4"/>
  <c r="CB151" i="4"/>
  <c r="BE152" i="4"/>
  <c r="AH153" i="4"/>
  <c r="BN153" i="4"/>
  <c r="AQ154" i="4"/>
  <c r="BW154" i="4"/>
  <c r="AZ155" i="4"/>
  <c r="CF155" i="4"/>
  <c r="BI156" i="4"/>
  <c r="BY156" i="4"/>
  <c r="AJ145" i="4"/>
  <c r="BP145" i="4"/>
  <c r="AS146" i="4"/>
  <c r="BY146" i="4"/>
  <c r="BB147" i="4"/>
  <c r="CH147" i="4"/>
  <c r="BK148" i="4"/>
  <c r="AN149" i="4"/>
  <c r="BT149" i="4"/>
  <c r="AW150" i="4"/>
  <c r="CC150" i="4"/>
  <c r="BF151" i="4"/>
  <c r="AI152" i="4"/>
  <c r="BO152" i="4"/>
  <c r="AR153" i="4"/>
  <c r="BX153" i="4"/>
  <c r="BA154" i="4"/>
  <c r="CG154" i="4"/>
  <c r="BJ155" i="4"/>
  <c r="AM156" i="4"/>
  <c r="BN156" i="4"/>
  <c r="CD156" i="4"/>
  <c r="BD10" i="4"/>
  <c r="BT10" i="4"/>
  <c r="AY10" i="4"/>
  <c r="BO10" i="4"/>
  <c r="CE10" i="4"/>
  <c r="CD10" i="4"/>
  <c r="BU10" i="4"/>
  <c r="AX145" i="4"/>
  <c r="BW146" i="4"/>
  <c r="BP147" i="4"/>
  <c r="BY148" i="4"/>
  <c r="BR149" i="4"/>
  <c r="CA150" i="4"/>
  <c r="AG152" i="4"/>
  <c r="CC152" i="4"/>
  <c r="AI154" i="4"/>
  <c r="CE154" i="4"/>
  <c r="AK156" i="4"/>
  <c r="BU156" i="4"/>
  <c r="AR145" i="4"/>
  <c r="BA146" i="4"/>
  <c r="AT147" i="4"/>
  <c r="AM148" i="4"/>
  <c r="CI148" i="4"/>
  <c r="AO150" i="4"/>
  <c r="AH151" i="4"/>
  <c r="AQ152" i="4"/>
  <c r="AJ153" i="4"/>
  <c r="AS154" i="4"/>
  <c r="BB155" i="4"/>
  <c r="AU156" i="4"/>
  <c r="CH156" i="4"/>
  <c r="BP10" i="4"/>
  <c r="BC10" i="4"/>
  <c r="CI10" i="4"/>
  <c r="BM10" i="4"/>
  <c r="AZ129" i="4"/>
  <c r="CA132" i="4"/>
  <c r="BD133" i="4"/>
  <c r="AG134" i="4"/>
  <c r="BM134" i="4"/>
  <c r="AP135" i="4"/>
  <c r="BV135" i="4"/>
  <c r="AY136" i="4"/>
  <c r="CE136" i="4"/>
  <c r="BH137" i="4"/>
  <c r="AK138" i="4"/>
  <c r="BA138" i="4"/>
  <c r="CG138" i="4"/>
  <c r="BJ139" i="4"/>
  <c r="AM140" i="4"/>
  <c r="BC140" i="4"/>
  <c r="CI140" i="4"/>
  <c r="BL141" i="4"/>
  <c r="AO142" i="4"/>
  <c r="BE142" i="4"/>
  <c r="AH143" i="4"/>
  <c r="BN143" i="4"/>
  <c r="AQ144" i="4"/>
  <c r="BG144" i="4"/>
  <c r="AT145" i="4"/>
  <c r="BC146" i="4"/>
  <c r="BL147" i="4"/>
  <c r="BU148" i="4"/>
  <c r="CD149" i="4"/>
  <c r="BG150" i="4"/>
  <c r="BP151" i="4"/>
  <c r="AS152" i="4"/>
  <c r="BB153" i="4"/>
  <c r="BK154" i="4"/>
  <c r="BT155" i="4"/>
  <c r="BS156" i="4"/>
  <c r="BD145" i="4"/>
  <c r="AG146" i="4"/>
  <c r="AP147" i="4"/>
  <c r="AY148" i="4"/>
  <c r="BH149" i="4"/>
  <c r="BQ150" i="4"/>
  <c r="BZ151" i="4"/>
  <c r="CI152" i="4"/>
  <c r="BL153" i="4"/>
  <c r="BU154" i="4"/>
  <c r="CD155" i="4"/>
  <c r="BX156" i="4"/>
  <c r="BB10" i="4"/>
  <c r="BQ10" i="4"/>
  <c r="AO151" i="4"/>
  <c r="BU151" i="4"/>
  <c r="CD152" i="4"/>
  <c r="AJ154" i="4"/>
  <c r="BP154" i="4"/>
  <c r="BY155" i="4"/>
  <c r="BK104" i="4"/>
  <c r="BT105" i="4"/>
  <c r="AW106" i="4"/>
  <c r="BF107" i="4"/>
  <c r="BO108" i="4"/>
  <c r="BX109" i="4"/>
  <c r="CG110" i="4"/>
  <c r="AV111" i="4"/>
  <c r="CB111" i="4"/>
  <c r="BE112" i="4"/>
  <c r="AH113" i="4"/>
  <c r="AX113" i="4"/>
  <c r="CD113" i="4"/>
  <c r="BG114" i="4"/>
  <c r="AJ115" i="4"/>
  <c r="BP115" i="4"/>
  <c r="AS116" i="4"/>
  <c r="BI116" i="4"/>
  <c r="AL117" i="4"/>
  <c r="BR117" i="4"/>
  <c r="CH117" i="4"/>
  <c r="BK118" i="4"/>
  <c r="AN119" i="4"/>
  <c r="BT119" i="4"/>
  <c r="AG120" i="4"/>
  <c r="BM120" i="4"/>
  <c r="AP121" i="4"/>
  <c r="BV121" i="4"/>
  <c r="AI122" i="4"/>
  <c r="BO122" i="4"/>
  <c r="AR123" i="4"/>
  <c r="BX123" i="4"/>
  <c r="AK124" i="4"/>
  <c r="BQ124" i="4"/>
  <c r="AT125" i="4"/>
  <c r="BZ125" i="4"/>
  <c r="AM126" i="4"/>
  <c r="BS126" i="4"/>
  <c r="AV127" i="4"/>
  <c r="CB127" i="4"/>
  <c r="AO128" i="4"/>
  <c r="BU128" i="4"/>
  <c r="AX129" i="4"/>
  <c r="BN129" i="4"/>
  <c r="AQ130" i="4"/>
  <c r="BW130" i="4"/>
  <c r="AZ131" i="4"/>
  <c r="BP131" i="4"/>
  <c r="AS132" i="4"/>
  <c r="BY132" i="4"/>
  <c r="BB133" i="4"/>
  <c r="BR133" i="4"/>
  <c r="AU134" i="4"/>
  <c r="CA134" i="4"/>
  <c r="BD135" i="4"/>
  <c r="BT135" i="4"/>
  <c r="AW136" i="4"/>
  <c r="CC136" i="4"/>
  <c r="AP137" i="4"/>
  <c r="BV137" i="4"/>
  <c r="AY138" i="4"/>
  <c r="BO138" i="4"/>
  <c r="AR139" i="4"/>
  <c r="BX139" i="4"/>
  <c r="AK140" i="4"/>
  <c r="BQ140" i="4"/>
  <c r="AT141" i="4"/>
  <c r="BZ141" i="4"/>
  <c r="AM142" i="4"/>
  <c r="BS142" i="4"/>
  <c r="AV143" i="4"/>
  <c r="CB143" i="4"/>
  <c r="BE144" i="4"/>
  <c r="BU144" i="4"/>
  <c r="BV145" i="4"/>
  <c r="CE146" i="4"/>
  <c r="AK148" i="4"/>
  <c r="BQ148" i="4"/>
  <c r="BZ149" i="4"/>
  <c r="CI150" i="4"/>
  <c r="AO152" i="4"/>
  <c r="AX153" i="4"/>
  <c r="BG154" i="4"/>
  <c r="BP155" i="4"/>
  <c r="BQ156" i="4"/>
  <c r="AZ145" i="4"/>
  <c r="CF145" i="4"/>
  <c r="AL147" i="4"/>
  <c r="AU148" i="4"/>
  <c r="BD149" i="4"/>
  <c r="AG150" i="4"/>
  <c r="AP151" i="4"/>
  <c r="AY152" i="4"/>
  <c r="BH153" i="4"/>
  <c r="BQ154" i="4"/>
  <c r="AT155" i="4"/>
  <c r="BC156" i="4"/>
  <c r="AV10" i="4"/>
  <c r="CB10" i="4"/>
  <c r="BG10" i="4"/>
  <c r="BN10" i="4"/>
  <c r="BI10" i="4"/>
  <c r="AQ146" i="4"/>
  <c r="AS148" i="4"/>
  <c r="AU150" i="4"/>
  <c r="BD151" i="4"/>
  <c r="BF153" i="4"/>
  <c r="BH155" i="4"/>
  <c r="CE144" i="4"/>
  <c r="BQ146" i="4"/>
  <c r="BS148" i="4"/>
  <c r="BE150" i="4"/>
  <c r="BN151" i="4"/>
  <c r="BP153" i="4"/>
  <c r="BR155" i="4"/>
  <c r="AZ10" i="4"/>
  <c r="BS10" i="4"/>
  <c r="BV10" i="4"/>
  <c r="BH90" i="4"/>
  <c r="BQ91" i="4"/>
  <c r="BZ92" i="4"/>
  <c r="CI93" i="4"/>
  <c r="AO95" i="4"/>
  <c r="AX96" i="4"/>
  <c r="BG97" i="4"/>
  <c r="BP98" i="4"/>
  <c r="BY99" i="4"/>
  <c r="CH100" i="4"/>
  <c r="AN102" i="4"/>
  <c r="AW103" i="4"/>
  <c r="BF104" i="4"/>
  <c r="BO105" i="4"/>
  <c r="BX106" i="4"/>
  <c r="CG107" i="4"/>
  <c r="AM109" i="4"/>
  <c r="AV110" i="4"/>
  <c r="BH73" i="4"/>
  <c r="BD75" i="4"/>
  <c r="BM76" i="4"/>
  <c r="BV77" i="4"/>
  <c r="CE78" i="4"/>
  <c r="AK80" i="4"/>
  <c r="AT81" i="4"/>
  <c r="BC82" i="4"/>
  <c r="BL83" i="4"/>
  <c r="BU84" i="4"/>
  <c r="CD85" i="4"/>
  <c r="AJ87" i="4"/>
  <c r="AS88" i="4"/>
  <c r="BP54" i="4"/>
  <c r="AY54" i="4"/>
  <c r="AR57" i="4"/>
  <c r="BA58" i="4"/>
  <c r="BJ59" i="4"/>
  <c r="BS60" i="4"/>
  <c r="CB61" i="4"/>
  <c r="AH63" i="4"/>
  <c r="AQ64" i="4"/>
  <c r="AZ65" i="4"/>
  <c r="BI66" i="4"/>
  <c r="BR67" i="4"/>
  <c r="CA68" i="4"/>
  <c r="AG70" i="4"/>
  <c r="AP71" i="4"/>
  <c r="AY72" i="4"/>
  <c r="BY54" i="4"/>
  <c r="AL56" i="4"/>
  <c r="AU57" i="4"/>
  <c r="BD58" i="4"/>
  <c r="BM59" i="4"/>
  <c r="BV60" i="4"/>
  <c r="CE61" i="4"/>
  <c r="AK63" i="4"/>
  <c r="AT64" i="4"/>
  <c r="BC65" i="4"/>
  <c r="BL66" i="4"/>
  <c r="BU67" i="4"/>
  <c r="CD68" i="4"/>
  <c r="AJ70" i="4"/>
  <c r="AS71" i="4"/>
  <c r="BB72" i="4"/>
  <c r="CD53" i="4"/>
  <c r="AO56" i="4"/>
  <c r="AX57" i="4"/>
  <c r="BG58" i="4"/>
  <c r="BP59" i="4"/>
  <c r="BY60" i="4"/>
  <c r="CH61" i="4"/>
  <c r="AN63" i="4"/>
  <c r="AW64" i="4"/>
  <c r="BF65" i="4"/>
  <c r="BO66" i="4"/>
  <c r="BX67" i="4"/>
  <c r="CG68" i="4"/>
  <c r="AM70" i="4"/>
  <c r="AV71" i="4"/>
  <c r="BE72" i="4"/>
  <c r="AH55" i="4"/>
  <c r="AR56" i="4"/>
  <c r="BA57" i="4"/>
  <c r="BJ58" i="4"/>
  <c r="BS59" i="4"/>
  <c r="CB60" i="4"/>
  <c r="AH62" i="4"/>
  <c r="AQ63" i="4"/>
  <c r="AZ64" i="4"/>
  <c r="BI65" i="4"/>
  <c r="BR66" i="4"/>
  <c r="CA67" i="4"/>
  <c r="AG69" i="4"/>
  <c r="AP70" i="4"/>
  <c r="AY71" i="4"/>
  <c r="AR72" i="4"/>
  <c r="BT72" i="4"/>
  <c r="AG73" i="4"/>
  <c r="AW73" i="4"/>
  <c r="BM73" i="4"/>
  <c r="CC73" i="4"/>
  <c r="AP74" i="4"/>
  <c r="BF74" i="4"/>
  <c r="BV74" i="4"/>
  <c r="BQ72" i="4"/>
  <c r="AT73" i="4"/>
  <c r="BZ73" i="4"/>
  <c r="BC74" i="4"/>
  <c r="CI74" i="4"/>
  <c r="AW75" i="4"/>
  <c r="BM75" i="4"/>
  <c r="CC75" i="4"/>
  <c r="AP76" i="4"/>
  <c r="BF76" i="4"/>
  <c r="BV76" i="4"/>
  <c r="AI77" i="4"/>
  <c r="AY77" i="4"/>
  <c r="BO77" i="4"/>
  <c r="CE77" i="4"/>
  <c r="AR78" i="4"/>
  <c r="BH78" i="4"/>
  <c r="BX78" i="4"/>
  <c r="AK79" i="4"/>
  <c r="BA79" i="4"/>
  <c r="BQ79" i="4"/>
  <c r="CG79" i="4"/>
  <c r="AT80" i="4"/>
  <c r="BJ80" i="4"/>
  <c r="BZ80" i="4"/>
  <c r="AM81" i="4"/>
  <c r="BC81" i="4"/>
  <c r="BS81" i="4"/>
  <c r="CI81" i="4"/>
  <c r="AV82" i="4"/>
  <c r="BL82" i="4"/>
  <c r="CB82" i="4"/>
  <c r="AO83" i="4"/>
  <c r="BE83" i="4"/>
  <c r="BU83" i="4"/>
  <c r="AH84" i="4"/>
  <c r="AX84" i="4"/>
  <c r="BN84" i="4"/>
  <c r="CD84" i="4"/>
  <c r="BK73" i="4"/>
  <c r="AN74" i="4"/>
  <c r="BT74" i="4"/>
  <c r="AP73" i="4"/>
  <c r="AY74" i="4"/>
  <c r="AU75" i="4"/>
  <c r="CA75" i="4"/>
  <c r="BD76" i="4"/>
  <c r="AG77" i="4"/>
  <c r="BM77" i="4"/>
  <c r="AP78" i="4"/>
  <c r="BV78" i="4"/>
  <c r="AY79" i="4"/>
  <c r="CE79" i="4"/>
  <c r="BH80" i="4"/>
  <c r="AK81" i="4"/>
  <c r="BQ81" i="4"/>
  <c r="AT82" i="4"/>
  <c r="BZ82" i="4"/>
  <c r="BC83" i="4"/>
  <c r="CI83" i="4"/>
  <c r="BL84" i="4"/>
  <c r="AK85" i="4"/>
  <c r="BA85" i="4"/>
  <c r="BQ85" i="4"/>
  <c r="CG85" i="4"/>
  <c r="AT86" i="4"/>
  <c r="BJ86" i="4"/>
  <c r="BZ86" i="4"/>
  <c r="AM87" i="4"/>
  <c r="BC87" i="4"/>
  <c r="BS87" i="4"/>
  <c r="CI87" i="4"/>
  <c r="AV88" i="4"/>
  <c r="BL88" i="4"/>
  <c r="CB88" i="4"/>
  <c r="AO89" i="4"/>
  <c r="BE89" i="4"/>
  <c r="BU89" i="4"/>
  <c r="AH90" i="4"/>
  <c r="AX90" i="4"/>
  <c r="BN90" i="4"/>
  <c r="CD90" i="4"/>
  <c r="AQ91" i="4"/>
  <c r="BG91" i="4"/>
  <c r="BW91" i="4"/>
  <c r="AJ92" i="4"/>
  <c r="AZ92" i="4"/>
  <c r="BP92" i="4"/>
  <c r="CF92" i="4"/>
  <c r="AS93" i="4"/>
  <c r="BI93" i="4"/>
  <c r="BY93" i="4"/>
  <c r="AL94" i="4"/>
  <c r="BB94" i="4"/>
  <c r="BR94" i="4"/>
  <c r="CH94" i="4"/>
  <c r="AU95" i="4"/>
  <c r="BK95" i="4"/>
  <c r="CA95" i="4"/>
  <c r="AN96" i="4"/>
  <c r="BD96" i="4"/>
  <c r="BT96" i="4"/>
  <c r="AG97" i="4"/>
  <c r="AW97" i="4"/>
  <c r="BM97" i="4"/>
  <c r="CC97" i="4"/>
  <c r="AP98" i="4"/>
  <c r="BF98" i="4"/>
  <c r="BV98" i="4"/>
  <c r="AI99" i="4"/>
  <c r="AY99" i="4"/>
  <c r="BO99" i="4"/>
  <c r="CE99" i="4"/>
  <c r="AR100" i="4"/>
  <c r="BH100" i="4"/>
  <c r="BX100" i="4"/>
  <c r="AK101" i="4"/>
  <c r="BA101" i="4"/>
  <c r="BQ101" i="4"/>
  <c r="CG101" i="4"/>
  <c r="AT102" i="4"/>
  <c r="BJ102" i="4"/>
  <c r="BZ102" i="4"/>
  <c r="AM103" i="4"/>
  <c r="BC103" i="4"/>
  <c r="BS103" i="4"/>
  <c r="CI103" i="4"/>
  <c r="AV104" i="4"/>
  <c r="BL104" i="4"/>
  <c r="CB104" i="4"/>
  <c r="AO105" i="4"/>
  <c r="BE105" i="4"/>
  <c r="BU105" i="4"/>
  <c r="AH106" i="4"/>
  <c r="AX106" i="4"/>
  <c r="BN106" i="4"/>
  <c r="CD106" i="4"/>
  <c r="AQ107" i="4"/>
  <c r="BG107" i="4"/>
  <c r="BW107" i="4"/>
  <c r="AJ108" i="4"/>
  <c r="AZ108" i="4"/>
  <c r="BP108" i="4"/>
  <c r="CF108" i="4"/>
  <c r="AS109" i="4"/>
  <c r="BI109" i="4"/>
  <c r="BY109" i="4"/>
  <c r="AL110" i="4"/>
  <c r="BB110" i="4"/>
  <c r="BR110" i="4"/>
  <c r="CH110" i="4"/>
  <c r="AN73" i="4"/>
  <c r="BT73" i="4"/>
  <c r="AW74" i="4"/>
  <c r="CC74" i="4"/>
  <c r="AT75" i="4"/>
  <c r="BJ75" i="4"/>
  <c r="BZ75" i="4"/>
  <c r="AM76" i="4"/>
  <c r="BC76" i="4"/>
  <c r="BS76" i="4"/>
  <c r="CI76" i="4"/>
  <c r="AV77" i="4"/>
  <c r="BL77" i="4"/>
  <c r="CB77" i="4"/>
  <c r="AO78" i="4"/>
  <c r="BE78" i="4"/>
  <c r="BU78" i="4"/>
  <c r="AH79" i="4"/>
  <c r="AX79" i="4"/>
  <c r="BN79" i="4"/>
  <c r="CD79" i="4"/>
  <c r="AQ80" i="4"/>
  <c r="BG80" i="4"/>
  <c r="BW80" i="4"/>
  <c r="AJ81" i="4"/>
  <c r="AZ81" i="4"/>
  <c r="BP81" i="4"/>
  <c r="CF81" i="4"/>
  <c r="AS82" i="4"/>
  <c r="BI82" i="4"/>
  <c r="BY82" i="4"/>
  <c r="AL83" i="4"/>
  <c r="BB83" i="4"/>
  <c r="BR83" i="4"/>
  <c r="CH83" i="4"/>
  <c r="AU84" i="4"/>
  <c r="BK84" i="4"/>
  <c r="CA84" i="4"/>
  <c r="AN85" i="4"/>
  <c r="BD85" i="4"/>
  <c r="BT85" i="4"/>
  <c r="AG86" i="4"/>
  <c r="AW86" i="4"/>
  <c r="BM86" i="4"/>
  <c r="CC86" i="4"/>
  <c r="AP87" i="4"/>
  <c r="BF87" i="4"/>
  <c r="BV87" i="4"/>
  <c r="AI88" i="4"/>
  <c r="AY88" i="4"/>
  <c r="BO88" i="4"/>
  <c r="CE88" i="4"/>
  <c r="AR89" i="4"/>
  <c r="BH89" i="4"/>
  <c r="BX89" i="4"/>
  <c r="AK90" i="4"/>
  <c r="BA90" i="4"/>
  <c r="BQ90" i="4"/>
  <c r="CG90" i="4"/>
  <c r="AT91" i="4"/>
  <c r="BJ91" i="4"/>
  <c r="BZ91" i="4"/>
  <c r="AM92" i="4"/>
  <c r="BC92" i="4"/>
  <c r="BS92" i="4"/>
  <c r="CI92" i="4"/>
  <c r="AV93" i="4"/>
  <c r="BL93" i="4"/>
  <c r="CB93" i="4"/>
  <c r="AO94" i="4"/>
  <c r="BE94" i="4"/>
  <c r="BU94" i="4"/>
  <c r="AH95" i="4"/>
  <c r="AX95" i="4"/>
  <c r="BN95" i="4"/>
  <c r="CD95" i="4"/>
  <c r="AQ96" i="4"/>
  <c r="BG96" i="4"/>
  <c r="BW96" i="4"/>
  <c r="AJ97" i="4"/>
  <c r="AZ97" i="4"/>
  <c r="BP97" i="4"/>
  <c r="CF97" i="4"/>
  <c r="AS98" i="4"/>
  <c r="BI98" i="4"/>
  <c r="BY98" i="4"/>
  <c r="AL99" i="4"/>
  <c r="BB99" i="4"/>
  <c r="BR99" i="4"/>
  <c r="CH99" i="4"/>
  <c r="AU100" i="4"/>
  <c r="BK100" i="4"/>
  <c r="CA100" i="4"/>
  <c r="AN101" i="4"/>
  <c r="BD101" i="4"/>
  <c r="BT101" i="4"/>
  <c r="AG102" i="4"/>
  <c r="AW102" i="4"/>
  <c r="BM102" i="4"/>
  <c r="CC102" i="4"/>
  <c r="AP103" i="4"/>
  <c r="BF103" i="4"/>
  <c r="BV103" i="4"/>
  <c r="AQ104" i="4"/>
  <c r="AT105" i="4"/>
  <c r="BC106" i="4"/>
  <c r="BL107" i="4"/>
  <c r="BU108" i="4"/>
  <c r="CD109" i="4"/>
  <c r="AI111" i="4"/>
  <c r="BO111" i="4"/>
  <c r="AR112" i="4"/>
  <c r="BX112" i="4"/>
  <c r="BA113" i="4"/>
  <c r="CG113" i="4"/>
  <c r="BJ114" i="4"/>
  <c r="AM115" i="4"/>
  <c r="BS115" i="4"/>
  <c r="AV116" i="4"/>
  <c r="CB116" i="4"/>
  <c r="BE117" i="4"/>
  <c r="AH118" i="4"/>
  <c r="BN118" i="4"/>
  <c r="BO73" i="4"/>
  <c r="BG74" i="4"/>
  <c r="AK77" i="4"/>
  <c r="BC79" i="4"/>
  <c r="BU81" i="4"/>
  <c r="AJ84" i="4"/>
  <c r="BS85" i="4"/>
  <c r="CB86" i="4"/>
  <c r="AH88" i="4"/>
  <c r="AQ89" i="4"/>
  <c r="AZ90" i="4"/>
  <c r="BI91" i="4"/>
  <c r="BR92" i="4"/>
  <c r="CA93" i="4"/>
  <c r="AG95" i="4"/>
  <c r="AP96" i="4"/>
  <c r="AY97" i="4"/>
  <c r="BH98" i="4"/>
  <c r="BQ99" i="4"/>
  <c r="BZ100" i="4"/>
  <c r="CI101" i="4"/>
  <c r="AO103" i="4"/>
  <c r="AX104" i="4"/>
  <c r="BG105" i="4"/>
  <c r="BP106" i="4"/>
  <c r="BY107" i="4"/>
  <c r="CH108" i="4"/>
  <c r="AN110" i="4"/>
  <c r="AR73" i="4"/>
  <c r="AV75" i="4"/>
  <c r="BE76" i="4"/>
  <c r="BN77" i="4"/>
  <c r="BW78" i="4"/>
  <c r="CF79" i="4"/>
  <c r="AL81" i="4"/>
  <c r="AU82" i="4"/>
  <c r="BD83" i="4"/>
  <c r="BM84" i="4"/>
  <c r="BV85" i="4"/>
  <c r="CE86" i="4"/>
  <c r="AK88" i="4"/>
  <c r="CG88" i="4"/>
  <c r="BJ89" i="4"/>
  <c r="AM90" i="4"/>
  <c r="BS90" i="4"/>
  <c r="AV91" i="4"/>
  <c r="CB91" i="4"/>
  <c r="BE92" i="4"/>
  <c r="AH93" i="4"/>
  <c r="BN93" i="4"/>
  <c r="AQ94" i="4"/>
  <c r="BW94" i="4"/>
  <c r="AZ95" i="4"/>
  <c r="CF95" i="4"/>
  <c r="BI96" i="4"/>
  <c r="AL97" i="4"/>
  <c r="BR97" i="4"/>
  <c r="AU98" i="4"/>
  <c r="CA98" i="4"/>
  <c r="BD99" i="4"/>
  <c r="AG100" i="4"/>
  <c r="BM100" i="4"/>
  <c r="AP101" i="4"/>
  <c r="BV101" i="4"/>
  <c r="AY102" i="4"/>
  <c r="CE102" i="4"/>
  <c r="BH103" i="4"/>
  <c r="AK104" i="4"/>
  <c r="AH105" i="4"/>
  <c r="AQ106" i="4"/>
  <c r="AZ107" i="4"/>
  <c r="BI108" i="4"/>
  <c r="BR109" i="4"/>
  <c r="CA110" i="4"/>
  <c r="BI111" i="4"/>
  <c r="AL112" i="4"/>
  <c r="BR112" i="4"/>
  <c r="AU113" i="4"/>
  <c r="CA113" i="4"/>
  <c r="BD114" i="4"/>
  <c r="AG115" i="4"/>
  <c r="BM115" i="4"/>
  <c r="AP116" i="4"/>
  <c r="BV116" i="4"/>
  <c r="AY117" i="4"/>
  <c r="CE117" i="4"/>
  <c r="BH118" i="4"/>
  <c r="AK119" i="4"/>
  <c r="BA119" i="4"/>
  <c r="BQ119" i="4"/>
  <c r="CG119" i="4"/>
  <c r="AT120" i="4"/>
  <c r="BJ120" i="4"/>
  <c r="BZ120" i="4"/>
  <c r="AM121" i="4"/>
  <c r="BC121" i="4"/>
  <c r="BS121" i="4"/>
  <c r="CI121" i="4"/>
  <c r="AV122" i="4"/>
  <c r="BL122" i="4"/>
  <c r="CB122" i="4"/>
  <c r="AO123" i="4"/>
  <c r="BE123" i="4"/>
  <c r="BU123" i="4"/>
  <c r="AH124" i="4"/>
  <c r="AX124" i="4"/>
  <c r="BN124" i="4"/>
  <c r="CD124" i="4"/>
  <c r="AQ125" i="4"/>
  <c r="BG125" i="4"/>
  <c r="BW125" i="4"/>
  <c r="AJ126" i="4"/>
  <c r="AZ126" i="4"/>
  <c r="BP126" i="4"/>
  <c r="CF126" i="4"/>
  <c r="AS127" i="4"/>
  <c r="BI127" i="4"/>
  <c r="BY127" i="4"/>
  <c r="AL128" i="4"/>
  <c r="BB128" i="4"/>
  <c r="BR128" i="4"/>
  <c r="CH128" i="4"/>
  <c r="AU129" i="4"/>
  <c r="BK129" i="4"/>
  <c r="CA129" i="4"/>
  <c r="AN130" i="4"/>
  <c r="BD130" i="4"/>
  <c r="BT130" i="4"/>
  <c r="AG131" i="4"/>
  <c r="AW131" i="4"/>
  <c r="BM131" i="4"/>
  <c r="CC131" i="4"/>
  <c r="AP132" i="4"/>
  <c r="BF132" i="4"/>
  <c r="BV132" i="4"/>
  <c r="AI133" i="4"/>
  <c r="AY133" i="4"/>
  <c r="BO133" i="4"/>
  <c r="CE133" i="4"/>
  <c r="AR134" i="4"/>
  <c r="BH134" i="4"/>
  <c r="BX134" i="4"/>
  <c r="AK135" i="4"/>
  <c r="BA135" i="4"/>
  <c r="BQ135" i="4"/>
  <c r="CG135" i="4"/>
  <c r="AT136" i="4"/>
  <c r="BJ136" i="4"/>
  <c r="BZ136" i="4"/>
  <c r="AM137" i="4"/>
  <c r="BC137" i="4"/>
  <c r="BS137" i="4"/>
  <c r="CI137" i="4"/>
  <c r="AV138" i="4"/>
  <c r="BL138" i="4"/>
  <c r="CB138" i="4"/>
  <c r="AO139" i="4"/>
  <c r="BE139" i="4"/>
  <c r="BU139" i="4"/>
  <c r="AH140" i="4"/>
  <c r="AX140" i="4"/>
  <c r="BN140" i="4"/>
  <c r="CD140" i="4"/>
  <c r="AQ141" i="4"/>
  <c r="BG141" i="4"/>
  <c r="BW141" i="4"/>
  <c r="AJ142" i="4"/>
  <c r="AZ142" i="4"/>
  <c r="BP142" i="4"/>
  <c r="CF142" i="4"/>
  <c r="AS143" i="4"/>
  <c r="BI143" i="4"/>
  <c r="BY143" i="4"/>
  <c r="AL144" i="4"/>
  <c r="BB144" i="4"/>
  <c r="BR144" i="4"/>
  <c r="CH144" i="4"/>
  <c r="AU145" i="4"/>
  <c r="BK145" i="4"/>
  <c r="CA145" i="4"/>
  <c r="AN146" i="4"/>
  <c r="BD146" i="4"/>
  <c r="BT146" i="4"/>
  <c r="AG147" i="4"/>
  <c r="AW147" i="4"/>
  <c r="BM147" i="4"/>
  <c r="CC147" i="4"/>
  <c r="AP148" i="4"/>
  <c r="BF148" i="4"/>
  <c r="BV148" i="4"/>
  <c r="AI149" i="4"/>
  <c r="AY149" i="4"/>
  <c r="BO149" i="4"/>
  <c r="CE149" i="4"/>
  <c r="AR150" i="4"/>
  <c r="AJ74" i="4"/>
  <c r="AH73" i="4"/>
  <c r="AQ75" i="4"/>
  <c r="AZ76" i="4"/>
  <c r="BI77" i="4"/>
  <c r="BR78" i="4"/>
  <c r="CA79" i="4"/>
  <c r="AG81" i="4"/>
  <c r="AP82" i="4"/>
  <c r="AY83" i="4"/>
  <c r="BH84" i="4"/>
  <c r="AY85" i="4"/>
  <c r="CE85" i="4"/>
  <c r="BH86" i="4"/>
  <c r="AK87" i="4"/>
  <c r="BQ87" i="4"/>
  <c r="AT88" i="4"/>
  <c r="BZ88" i="4"/>
  <c r="BC89" i="4"/>
  <c r="CI89" i="4"/>
  <c r="BL90" i="4"/>
  <c r="AO91" i="4"/>
  <c r="BU91" i="4"/>
  <c r="AX92" i="4"/>
  <c r="CD92" i="4"/>
  <c r="BG93" i="4"/>
  <c r="AJ94" i="4"/>
  <c r="BP94" i="4"/>
  <c r="AS95" i="4"/>
  <c r="BY95" i="4"/>
  <c r="BB96" i="4"/>
  <c r="CH96" i="4"/>
  <c r="BK97" i="4"/>
  <c r="AN98" i="4"/>
  <c r="BT98" i="4"/>
  <c r="AW99" i="4"/>
  <c r="CC99" i="4"/>
  <c r="BF100" i="4"/>
  <c r="AI101" i="4"/>
  <c r="BO101" i="4"/>
  <c r="AR102" i="4"/>
  <c r="BX102" i="4"/>
  <c r="BA103" i="4"/>
  <c r="CG103" i="4"/>
  <c r="BJ104" i="4"/>
  <c r="AM105" i="4"/>
  <c r="BS105" i="4"/>
  <c r="AV106" i="4"/>
  <c r="CB106" i="4"/>
  <c r="BE107" i="4"/>
  <c r="AH108" i="4"/>
  <c r="BN108" i="4"/>
  <c r="AQ109" i="4"/>
  <c r="BW109" i="4"/>
  <c r="AZ110" i="4"/>
  <c r="CF110" i="4"/>
  <c r="BP73" i="4"/>
  <c r="BY74" i="4"/>
  <c r="BH75" i="4"/>
  <c r="AK76" i="4"/>
  <c r="BQ76" i="4"/>
  <c r="AT77" i="4"/>
  <c r="BZ77" i="4"/>
  <c r="BC78" i="4"/>
  <c r="CI78" i="4"/>
  <c r="BL79" i="4"/>
  <c r="AO80" i="4"/>
  <c r="BU80" i="4"/>
  <c r="AX81" i="4"/>
  <c r="CD81" i="4"/>
  <c r="BG82" i="4"/>
  <c r="AJ83" i="4"/>
  <c r="BP83" i="4"/>
  <c r="AS84" i="4"/>
  <c r="BY84" i="4"/>
  <c r="BB85" i="4"/>
  <c r="CH85" i="4"/>
  <c r="BK86" i="4"/>
  <c r="AN87" i="4"/>
  <c r="BT87" i="4"/>
  <c r="AW88" i="4"/>
  <c r="CC88" i="4"/>
  <c r="BF89" i="4"/>
  <c r="AI90" i="4"/>
  <c r="BO90" i="4"/>
  <c r="AR91" i="4"/>
  <c r="BX91" i="4"/>
  <c r="BA92" i="4"/>
  <c r="CG92" i="4"/>
  <c r="BJ93" i="4"/>
  <c r="AM94" i="4"/>
  <c r="BS94" i="4"/>
  <c r="AV95" i="4"/>
  <c r="CB95" i="4"/>
  <c r="BE96" i="4"/>
  <c r="AH97" i="4"/>
  <c r="BN97" i="4"/>
  <c r="AQ98" i="4"/>
  <c r="BW98" i="4"/>
  <c r="AZ99" i="4"/>
  <c r="CF99" i="4"/>
  <c r="BI100" i="4"/>
  <c r="AL101" i="4"/>
  <c r="BR101" i="4"/>
  <c r="AU102" i="4"/>
  <c r="CA102" i="4"/>
  <c r="BD103" i="4"/>
  <c r="AG104" i="4"/>
  <c r="CC104" i="4"/>
  <c r="AI106" i="4"/>
  <c r="AR107" i="4"/>
  <c r="BA108" i="4"/>
  <c r="BJ109" i="4"/>
  <c r="BS110" i="4"/>
  <c r="BE111" i="4"/>
  <c r="AH112" i="4"/>
  <c r="BN112" i="4"/>
  <c r="AQ113" i="4"/>
  <c r="BW113" i="4"/>
  <c r="AZ114" i="4"/>
  <c r="CF114" i="4"/>
  <c r="BI115" i="4"/>
  <c r="AL116" i="4"/>
  <c r="BR116" i="4"/>
  <c r="AU117" i="4"/>
  <c r="CA117" i="4"/>
  <c r="BD118" i="4"/>
  <c r="AG119" i="4"/>
  <c r="AY119" i="4"/>
  <c r="BO119" i="4"/>
  <c r="CE119" i="4"/>
  <c r="AR120" i="4"/>
  <c r="BH120" i="4"/>
  <c r="BX120" i="4"/>
  <c r="AK121" i="4"/>
  <c r="BA121" i="4"/>
  <c r="BQ121" i="4"/>
  <c r="CG121" i="4"/>
  <c r="AT122" i="4"/>
  <c r="BJ122" i="4"/>
  <c r="BZ122" i="4"/>
  <c r="AM123" i="4"/>
  <c r="BC123" i="4"/>
  <c r="BS123" i="4"/>
  <c r="CI123" i="4"/>
  <c r="AV124" i="4"/>
  <c r="BL124" i="4"/>
  <c r="CB124" i="4"/>
  <c r="AO125" i="4"/>
  <c r="BE125" i="4"/>
  <c r="BU125" i="4"/>
  <c r="AH126" i="4"/>
  <c r="AX126" i="4"/>
  <c r="BN126" i="4"/>
  <c r="CD126" i="4"/>
  <c r="AQ127" i="4"/>
  <c r="BG127" i="4"/>
  <c r="BW127" i="4"/>
  <c r="AJ128" i="4"/>
  <c r="AZ128" i="4"/>
  <c r="BP128" i="4"/>
  <c r="CF128" i="4"/>
  <c r="AS129" i="4"/>
  <c r="BI129" i="4"/>
  <c r="BY129" i="4"/>
  <c r="AL130" i="4"/>
  <c r="BB130" i="4"/>
  <c r="BR130" i="4"/>
  <c r="CH130" i="4"/>
  <c r="AU131" i="4"/>
  <c r="BK131" i="4"/>
  <c r="CA131" i="4"/>
  <c r="AN132" i="4"/>
  <c r="BD132" i="4"/>
  <c r="BT132" i="4"/>
  <c r="AG133" i="4"/>
  <c r="AW133" i="4"/>
  <c r="BM133" i="4"/>
  <c r="CC133" i="4"/>
  <c r="AP134" i="4"/>
  <c r="BF134" i="4"/>
  <c r="BV134" i="4"/>
  <c r="AI135" i="4"/>
  <c r="AY135" i="4"/>
  <c r="BO135" i="4"/>
  <c r="CE135" i="4"/>
  <c r="AR136" i="4"/>
  <c r="BH136" i="4"/>
  <c r="BX136" i="4"/>
  <c r="AK137" i="4"/>
  <c r="BA137" i="4"/>
  <c r="BQ137" i="4"/>
  <c r="CG137" i="4"/>
  <c r="AT138" i="4"/>
  <c r="BJ138" i="4"/>
  <c r="BZ138" i="4"/>
  <c r="AM139" i="4"/>
  <c r="BC139" i="4"/>
  <c r="BS139" i="4"/>
  <c r="CI139" i="4"/>
  <c r="AV140" i="4"/>
  <c r="BL140" i="4"/>
  <c r="CB140" i="4"/>
  <c r="AO141" i="4"/>
  <c r="BE141" i="4"/>
  <c r="BU141" i="4"/>
  <c r="AH142" i="4"/>
  <c r="AX142" i="4"/>
  <c r="BN142" i="4"/>
  <c r="CD142" i="4"/>
  <c r="AQ143" i="4"/>
  <c r="BG143" i="4"/>
  <c r="BW143" i="4"/>
  <c r="AJ144" i="4"/>
  <c r="AZ144" i="4"/>
  <c r="BP144" i="4"/>
  <c r="CF144" i="4"/>
  <c r="AS145" i="4"/>
  <c r="BI145" i="4"/>
  <c r="BY145" i="4"/>
  <c r="AL146" i="4"/>
  <c r="BB146" i="4"/>
  <c r="BR146" i="4"/>
  <c r="CH146" i="4"/>
  <c r="AU147" i="4"/>
  <c r="BK147" i="4"/>
  <c r="CA147" i="4"/>
  <c r="AN148" i="4"/>
  <c r="BD148" i="4"/>
  <c r="BT148" i="4"/>
  <c r="AG149" i="4"/>
  <c r="AW149" i="4"/>
  <c r="BM149" i="4"/>
  <c r="CC149" i="4"/>
  <c r="AP150" i="4"/>
  <c r="BF150" i="4"/>
  <c r="BV150" i="4"/>
  <c r="AI151" i="4"/>
  <c r="AY151" i="4"/>
  <c r="BO151" i="4"/>
  <c r="CE151" i="4"/>
  <c r="AR152" i="4"/>
  <c r="BH152" i="4"/>
  <c r="BX152" i="4"/>
  <c r="AK153" i="4"/>
  <c r="BA153" i="4"/>
  <c r="BQ153" i="4"/>
  <c r="CG153" i="4"/>
  <c r="AT154" i="4"/>
  <c r="BJ154" i="4"/>
  <c r="BZ154" i="4"/>
  <c r="AM155" i="4"/>
  <c r="BC155" i="4"/>
  <c r="BS155" i="4"/>
  <c r="CI155" i="4"/>
  <c r="AV156" i="4"/>
  <c r="BX150" i="4"/>
  <c r="BA151" i="4"/>
  <c r="CG151" i="4"/>
  <c r="BJ152" i="4"/>
  <c r="AI104" i="4"/>
  <c r="CG104" i="4"/>
  <c r="AM106" i="4"/>
  <c r="AV107" i="4"/>
  <c r="BE108" i="4"/>
  <c r="BN109" i="4"/>
  <c r="BW110" i="4"/>
  <c r="BG111" i="4"/>
  <c r="AJ112" i="4"/>
  <c r="BP112" i="4"/>
  <c r="AS113" i="4"/>
  <c r="BY113" i="4"/>
  <c r="BB114" i="4"/>
  <c r="CH114" i="4"/>
  <c r="BK115" i="4"/>
  <c r="AN116" i="4"/>
  <c r="BT116" i="4"/>
  <c r="AW117" i="4"/>
  <c r="CC117" i="4"/>
  <c r="BF118" i="4"/>
  <c r="AI119" i="4"/>
  <c r="AX73" i="4"/>
  <c r="BH76" i="4"/>
  <c r="BZ78" i="4"/>
  <c r="AO81" i="4"/>
  <c r="BG83" i="4"/>
  <c r="BC85" i="4"/>
  <c r="BL86" i="4"/>
  <c r="BU87" i="4"/>
  <c r="CD88" i="4"/>
  <c r="AJ90" i="4"/>
  <c r="AS91" i="4"/>
  <c r="BB92" i="4"/>
  <c r="BK93" i="4"/>
  <c r="BT94" i="4"/>
  <c r="CC95" i="4"/>
  <c r="AI97" i="4"/>
  <c r="AR98" i="4"/>
  <c r="BA99" i="4"/>
  <c r="BJ100" i="4"/>
  <c r="BS101" i="4"/>
  <c r="CB102" i="4"/>
  <c r="AH104" i="4"/>
  <c r="AQ105" i="4"/>
  <c r="AZ106" i="4"/>
  <c r="BI107" i="4"/>
  <c r="BR108" i="4"/>
  <c r="CA109" i="4"/>
  <c r="AG111" i="4"/>
  <c r="CG74" i="4"/>
  <c r="AO76" i="4"/>
  <c r="AX77" i="4"/>
  <c r="BG78" i="4"/>
  <c r="BP79" i="4"/>
  <c r="BY80" i="4"/>
  <c r="CH81" i="4"/>
  <c r="AN83" i="4"/>
  <c r="AW84" i="4"/>
  <c r="BF85" i="4"/>
  <c r="BO86" i="4"/>
  <c r="BX87" i="4"/>
  <c r="BY88" i="4"/>
  <c r="BB89" i="4"/>
  <c r="CH89" i="4"/>
  <c r="BK90" i="4"/>
  <c r="AN91" i="4"/>
  <c r="BT91" i="4"/>
  <c r="AW92" i="4"/>
  <c r="CC92" i="4"/>
  <c r="BF93" i="4"/>
  <c r="AI94" i="4"/>
  <c r="BO94" i="4"/>
  <c r="AR95" i="4"/>
  <c r="BX95" i="4"/>
  <c r="BA96" i="4"/>
  <c r="CG96" i="4"/>
  <c r="BJ97" i="4"/>
  <c r="AM98" i="4"/>
  <c r="BS98" i="4"/>
  <c r="AV99" i="4"/>
  <c r="CB99" i="4"/>
  <c r="BE100" i="4"/>
  <c r="AH101" i="4"/>
  <c r="BN101" i="4"/>
  <c r="AQ102" i="4"/>
  <c r="BW102" i="4"/>
  <c r="AZ103" i="4"/>
  <c r="CF103" i="4"/>
  <c r="BU104" i="4"/>
  <c r="CD105" i="4"/>
  <c r="AJ107" i="4"/>
  <c r="AS108" i="4"/>
  <c r="BB109" i="4"/>
  <c r="BK110" i="4"/>
  <c r="BA111" i="4"/>
  <c r="CG111" i="4"/>
  <c r="BJ112" i="4"/>
  <c r="AM113" i="4"/>
  <c r="BS113" i="4"/>
  <c r="AV114" i="4"/>
  <c r="CB114" i="4"/>
  <c r="BE115" i="4"/>
  <c r="AH116" i="4"/>
  <c r="BN116" i="4"/>
  <c r="AQ117" i="4"/>
  <c r="BW117" i="4"/>
  <c r="AZ118" i="4"/>
  <c r="CF118" i="4"/>
  <c r="AW119" i="4"/>
  <c r="BM119" i="4"/>
  <c r="CC119" i="4"/>
  <c r="AP120" i="4"/>
  <c r="BF120" i="4"/>
  <c r="BV120" i="4"/>
  <c r="AI121" i="4"/>
  <c r="AY121" i="4"/>
  <c r="BO121" i="4"/>
  <c r="CE121" i="4"/>
  <c r="AR122" i="4"/>
  <c r="BH122" i="4"/>
  <c r="BX122" i="4"/>
  <c r="AK123" i="4"/>
  <c r="BA123" i="4"/>
  <c r="BQ123" i="4"/>
  <c r="CG123" i="4"/>
  <c r="AT124" i="4"/>
  <c r="BJ124" i="4"/>
  <c r="BZ124" i="4"/>
  <c r="AM125" i="4"/>
  <c r="BC125" i="4"/>
  <c r="BS125" i="4"/>
  <c r="CI125" i="4"/>
  <c r="AV126" i="4"/>
  <c r="BL126" i="4"/>
  <c r="CB126" i="4"/>
  <c r="AO127" i="4"/>
  <c r="BE127" i="4"/>
  <c r="BU127" i="4"/>
  <c r="AH128" i="4"/>
  <c r="AX128" i="4"/>
  <c r="BN128" i="4"/>
  <c r="CD128" i="4"/>
  <c r="AQ129" i="4"/>
  <c r="BG129" i="4"/>
  <c r="BW129" i="4"/>
  <c r="AJ130" i="4"/>
  <c r="AZ130" i="4"/>
  <c r="BP130" i="4"/>
  <c r="CF130" i="4"/>
  <c r="AS131" i="4"/>
  <c r="BI131" i="4"/>
  <c r="BY131" i="4"/>
  <c r="AL132" i="4"/>
  <c r="BB132" i="4"/>
  <c r="BR132" i="4"/>
  <c r="CH132" i="4"/>
  <c r="AU133" i="4"/>
  <c r="BK133" i="4"/>
  <c r="CA133" i="4"/>
  <c r="AN134" i="4"/>
  <c r="BD134" i="4"/>
  <c r="BT134" i="4"/>
  <c r="AG135" i="4"/>
  <c r="AW135" i="4"/>
  <c r="BM135" i="4"/>
  <c r="CC135" i="4"/>
  <c r="AP136" i="4"/>
  <c r="BF136" i="4"/>
  <c r="BV136" i="4"/>
  <c r="AI137" i="4"/>
  <c r="AY137" i="4"/>
  <c r="BO137" i="4"/>
  <c r="CE137" i="4"/>
  <c r="AR138" i="4"/>
  <c r="BH138" i="4"/>
  <c r="BX138" i="4"/>
  <c r="AK139" i="4"/>
  <c r="BA139" i="4"/>
  <c r="BQ139" i="4"/>
  <c r="CG139" i="4"/>
  <c r="AT140" i="4"/>
  <c r="BJ140" i="4"/>
  <c r="BZ140" i="4"/>
  <c r="AM141" i="4"/>
  <c r="BC141" i="4"/>
  <c r="BS141" i="4"/>
  <c r="CI141" i="4"/>
  <c r="AV142" i="4"/>
  <c r="BL142" i="4"/>
  <c r="CB142" i="4"/>
  <c r="AO143" i="4"/>
  <c r="BE143" i="4"/>
  <c r="BU143" i="4"/>
  <c r="AH144" i="4"/>
  <c r="AX144" i="4"/>
  <c r="BN144" i="4"/>
  <c r="CD144" i="4"/>
  <c r="AQ145" i="4"/>
  <c r="BG145" i="4"/>
  <c r="BW145" i="4"/>
  <c r="AJ146" i="4"/>
  <c r="AZ146" i="4"/>
  <c r="BP146" i="4"/>
  <c r="CF146" i="4"/>
  <c r="AS147" i="4"/>
  <c r="BI147" i="4"/>
  <c r="BY147" i="4"/>
  <c r="AL148" i="4"/>
  <c r="BB148" i="4"/>
  <c r="BR148" i="4"/>
  <c r="CH148" i="4"/>
  <c r="AU149" i="4"/>
  <c r="BK149" i="4"/>
  <c r="CA149" i="4"/>
  <c r="AN150" i="4"/>
  <c r="BW73" i="4"/>
  <c r="CF74" i="4"/>
  <c r="BW74" i="4"/>
  <c r="AJ76" i="4"/>
  <c r="AS77" i="4"/>
  <c r="BB78" i="4"/>
  <c r="BK79" i="4"/>
  <c r="BT80" i="4"/>
  <c r="CC81" i="4"/>
  <c r="AI83" i="4"/>
  <c r="AR84" i="4"/>
  <c r="AQ85" i="4"/>
  <c r="BW85" i="4"/>
  <c r="AZ86" i="4"/>
  <c r="CF86" i="4"/>
  <c r="BI87" i="4"/>
  <c r="AL88" i="4"/>
  <c r="BR88" i="4"/>
  <c r="AU89" i="4"/>
  <c r="CA89" i="4"/>
  <c r="BD90" i="4"/>
  <c r="AG91" i="4"/>
  <c r="BM91" i="4"/>
  <c r="AP92" i="4"/>
  <c r="BV92" i="4"/>
  <c r="AY93" i="4"/>
  <c r="CE93" i="4"/>
  <c r="BH94" i="4"/>
  <c r="AK95" i="4"/>
  <c r="BQ95" i="4"/>
  <c r="AT96" i="4"/>
  <c r="BZ96" i="4"/>
  <c r="BC97" i="4"/>
  <c r="CI97" i="4"/>
  <c r="BL98" i="4"/>
  <c r="AO99" i="4"/>
  <c r="BU99" i="4"/>
  <c r="AX100" i="4"/>
  <c r="CD100" i="4"/>
  <c r="BG101" i="4"/>
  <c r="AJ102" i="4"/>
  <c r="BP102" i="4"/>
  <c r="AS103" i="4"/>
  <c r="BY103" i="4"/>
  <c r="BB104" i="4"/>
  <c r="CH104" i="4"/>
  <c r="BK105" i="4"/>
  <c r="AN106" i="4"/>
  <c r="BT106" i="4"/>
  <c r="AW107" i="4"/>
  <c r="CC107" i="4"/>
  <c r="BF108" i="4"/>
  <c r="AI109" i="4"/>
  <c r="BO109" i="4"/>
  <c r="AR110" i="4"/>
  <c r="BX110" i="4"/>
  <c r="AZ73" i="4"/>
  <c r="BI74" i="4"/>
  <c r="AZ75" i="4"/>
  <c r="CF75" i="4"/>
  <c r="BI76" i="4"/>
  <c r="AL77" i="4"/>
  <c r="BR77" i="4"/>
  <c r="AU78" i="4"/>
  <c r="CA78" i="4"/>
  <c r="BD79" i="4"/>
  <c r="AG80" i="4"/>
  <c r="BM80" i="4"/>
  <c r="AP81" i="4"/>
  <c r="BV81" i="4"/>
  <c r="AY82" i="4"/>
  <c r="CE82" i="4"/>
  <c r="BH83" i="4"/>
  <c r="AK84" i="4"/>
  <c r="BQ84" i="4"/>
  <c r="AT85" i="4"/>
  <c r="BZ85" i="4"/>
  <c r="BC86" i="4"/>
  <c r="CI86" i="4"/>
  <c r="BL87" i="4"/>
  <c r="AO88" i="4"/>
  <c r="BU88" i="4"/>
  <c r="AX89" i="4"/>
  <c r="CD89" i="4"/>
  <c r="BG90" i="4"/>
  <c r="AJ91" i="4"/>
  <c r="BP91" i="4"/>
  <c r="AS92" i="4"/>
  <c r="BY92" i="4"/>
  <c r="BB93" i="4"/>
  <c r="CH93" i="4"/>
  <c r="BK94" i="4"/>
  <c r="AN95" i="4"/>
  <c r="BT95" i="4"/>
  <c r="AW96" i="4"/>
  <c r="CC96" i="4"/>
  <c r="BF97" i="4"/>
  <c r="AI98" i="4"/>
  <c r="BO98" i="4"/>
  <c r="AR99" i="4"/>
  <c r="BX99" i="4"/>
  <c r="BA100" i="4"/>
  <c r="CG100" i="4"/>
  <c r="BJ101" i="4"/>
  <c r="AM102" i="4"/>
  <c r="BS102" i="4"/>
  <c r="AV103" i="4"/>
  <c r="CB103" i="4"/>
  <c r="BM104" i="4"/>
  <c r="BV105" i="4"/>
  <c r="CE106" i="4"/>
  <c r="AK108" i="4"/>
  <c r="AT109" i="4"/>
  <c r="BC110" i="4"/>
  <c r="AW111" i="4"/>
  <c r="CC111" i="4"/>
  <c r="BF112" i="4"/>
  <c r="AI113" i="4"/>
  <c r="BO113" i="4"/>
  <c r="AR114" i="4"/>
  <c r="BX114" i="4"/>
  <c r="BA115" i="4"/>
  <c r="CG115" i="4"/>
  <c r="BJ116" i="4"/>
  <c r="AM117" i="4"/>
  <c r="BS117" i="4"/>
  <c r="AV118" i="4"/>
  <c r="CB118" i="4"/>
  <c r="AU119" i="4"/>
  <c r="BK119" i="4"/>
  <c r="CA119" i="4"/>
  <c r="AN120" i="4"/>
  <c r="BD120" i="4"/>
  <c r="BT120" i="4"/>
  <c r="AG121" i="4"/>
  <c r="AW121" i="4"/>
  <c r="BM121" i="4"/>
  <c r="CC121" i="4"/>
  <c r="AP122" i="4"/>
  <c r="BF122" i="4"/>
  <c r="BV122" i="4"/>
  <c r="AI123" i="4"/>
  <c r="AY123" i="4"/>
  <c r="BO123" i="4"/>
  <c r="CE123" i="4"/>
  <c r="AR124" i="4"/>
  <c r="BH124" i="4"/>
  <c r="BX124" i="4"/>
  <c r="AK125" i="4"/>
  <c r="BA125" i="4"/>
  <c r="BQ125" i="4"/>
  <c r="CG125" i="4"/>
  <c r="AT126" i="4"/>
  <c r="BJ126" i="4"/>
  <c r="BZ126" i="4"/>
  <c r="AM127" i="4"/>
  <c r="BC127" i="4"/>
  <c r="BS127" i="4"/>
  <c r="CI127" i="4"/>
  <c r="AV128" i="4"/>
  <c r="BL128" i="4"/>
  <c r="CB128" i="4"/>
  <c r="AO129" i="4"/>
  <c r="BE129" i="4"/>
  <c r="BU129" i="4"/>
  <c r="AH130" i="4"/>
  <c r="AX130" i="4"/>
  <c r="BN130" i="4"/>
  <c r="CD130" i="4"/>
  <c r="AQ131" i="4"/>
  <c r="BG131" i="4"/>
  <c r="BW131" i="4"/>
  <c r="AJ132" i="4"/>
  <c r="AZ132" i="4"/>
  <c r="BP132" i="4"/>
  <c r="CF132" i="4"/>
  <c r="AS133" i="4"/>
  <c r="BI133" i="4"/>
  <c r="BY133" i="4"/>
  <c r="AL134" i="4"/>
  <c r="BB134" i="4"/>
  <c r="BR134" i="4"/>
  <c r="CH134" i="4"/>
  <c r="AU135" i="4"/>
  <c r="BK135" i="4"/>
  <c r="CA135" i="4"/>
  <c r="AN136" i="4"/>
  <c r="BD136" i="4"/>
  <c r="BT136" i="4"/>
  <c r="AG137" i="4"/>
  <c r="AW137" i="4"/>
  <c r="BM137" i="4"/>
  <c r="CC137" i="4"/>
  <c r="AP138" i="4"/>
  <c r="BF138" i="4"/>
  <c r="BV138" i="4"/>
  <c r="AI139" i="4"/>
  <c r="AY139" i="4"/>
  <c r="BO139" i="4"/>
  <c r="CE139" i="4"/>
  <c r="AR140" i="4"/>
  <c r="BH140" i="4"/>
  <c r="BX140" i="4"/>
  <c r="AK141" i="4"/>
  <c r="BA141" i="4"/>
  <c r="BQ141" i="4"/>
  <c r="CG141" i="4"/>
  <c r="AT142" i="4"/>
  <c r="BJ142" i="4"/>
  <c r="BZ142" i="4"/>
  <c r="AM143" i="4"/>
  <c r="BC143" i="4"/>
  <c r="BS143" i="4"/>
  <c r="CI143" i="4"/>
  <c r="AV144" i="4"/>
  <c r="BL144" i="4"/>
  <c r="CB144" i="4"/>
  <c r="AO145" i="4"/>
  <c r="BE145" i="4"/>
  <c r="BU145" i="4"/>
  <c r="AH146" i="4"/>
  <c r="AX146" i="4"/>
  <c r="BN146" i="4"/>
  <c r="CD146" i="4"/>
  <c r="AQ147" i="4"/>
  <c r="BG147" i="4"/>
  <c r="BW147" i="4"/>
  <c r="AJ148" i="4"/>
  <c r="AZ148" i="4"/>
  <c r="BP148" i="4"/>
  <c r="CF148" i="4"/>
  <c r="AS149" i="4"/>
  <c r="BI149" i="4"/>
  <c r="BY149" i="4"/>
  <c r="AL150" i="4"/>
  <c r="BB150" i="4"/>
  <c r="BR150" i="4"/>
  <c r="CH150" i="4"/>
  <c r="AU151" i="4"/>
  <c r="BK151" i="4"/>
  <c r="CA151" i="4"/>
  <c r="AN152" i="4"/>
  <c r="BD152" i="4"/>
  <c r="BT152" i="4"/>
  <c r="AG153" i="4"/>
  <c r="AW153" i="4"/>
  <c r="BM153" i="4"/>
  <c r="CC153" i="4"/>
  <c r="AP154" i="4"/>
  <c r="BF154" i="4"/>
  <c r="BV154" i="4"/>
  <c r="AI155" i="4"/>
  <c r="AY155" i="4"/>
  <c r="BO155" i="4"/>
  <c r="CE155" i="4"/>
  <c r="AR156" i="4"/>
  <c r="BP150" i="4"/>
  <c r="AS151" i="4"/>
  <c r="BY151" i="4"/>
  <c r="BB152" i="4"/>
  <c r="CH152" i="4"/>
  <c r="BK153" i="4"/>
  <c r="AN154" i="4"/>
  <c r="BT154" i="4"/>
  <c r="AW155" i="4"/>
  <c r="CC155" i="4"/>
  <c r="BB156" i="4"/>
  <c r="BO104" i="4"/>
  <c r="AR105" i="4"/>
  <c r="BX105" i="4"/>
  <c r="BA106" i="4"/>
  <c r="CG106" i="4"/>
  <c r="BJ107" i="4"/>
  <c r="AM108" i="4"/>
  <c r="BS108" i="4"/>
  <c r="AV109" i="4"/>
  <c r="CB109" i="4"/>
  <c r="BE110" i="4"/>
  <c r="AH111" i="4"/>
  <c r="AX111" i="4"/>
  <c r="BN111" i="4"/>
  <c r="CD111" i="4"/>
  <c r="AQ112" i="4"/>
  <c r="BG112" i="4"/>
  <c r="BW112" i="4"/>
  <c r="AJ113" i="4"/>
  <c r="AZ113" i="4"/>
  <c r="BP113" i="4"/>
  <c r="CF113" i="4"/>
  <c r="AS114" i="4"/>
  <c r="BI114" i="4"/>
  <c r="BY114" i="4"/>
  <c r="AL115" i="4"/>
  <c r="BB115" i="4"/>
  <c r="BR115" i="4"/>
  <c r="CH115" i="4"/>
  <c r="AU116" i="4"/>
  <c r="BS153" i="4"/>
  <c r="CB154" i="4"/>
  <c r="AH156" i="4"/>
  <c r="BW104" i="4"/>
  <c r="CF105" i="4"/>
  <c r="AL107" i="4"/>
  <c r="AU108" i="4"/>
  <c r="BD109" i="4"/>
  <c r="BM110" i="4"/>
  <c r="BB111" i="4"/>
  <c r="CH111" i="4"/>
  <c r="BK112" i="4"/>
  <c r="AN113" i="4"/>
  <c r="BT113" i="4"/>
  <c r="AW114" i="4"/>
  <c r="CC114" i="4"/>
  <c r="BF115" i="4"/>
  <c r="AI116" i="4"/>
  <c r="BG116" i="4"/>
  <c r="BW116" i="4"/>
  <c r="AJ117" i="4"/>
  <c r="AZ117" i="4"/>
  <c r="BP117" i="4"/>
  <c r="CF117" i="4"/>
  <c r="AS118" i="4"/>
  <c r="BI118" i="4"/>
  <c r="BY118" i="4"/>
  <c r="AL119" i="4"/>
  <c r="BB119" i="4"/>
  <c r="BR119" i="4"/>
  <c r="CH119" i="4"/>
  <c r="AU120" i="4"/>
  <c r="BK120" i="4"/>
  <c r="CA120" i="4"/>
  <c r="AN121" i="4"/>
  <c r="BD121" i="4"/>
  <c r="BT121" i="4"/>
  <c r="AG122" i="4"/>
  <c r="AW122" i="4"/>
  <c r="BM122" i="4"/>
  <c r="CC122" i="4"/>
  <c r="AP123" i="4"/>
  <c r="BF123" i="4"/>
  <c r="BV123" i="4"/>
  <c r="AI124" i="4"/>
  <c r="AY124" i="4"/>
  <c r="BO124" i="4"/>
  <c r="CE124" i="4"/>
  <c r="AR125" i="4"/>
  <c r="BH125" i="4"/>
  <c r="BX125" i="4"/>
  <c r="AK126" i="4"/>
  <c r="BA126" i="4"/>
  <c r="BQ126" i="4"/>
  <c r="CG126" i="4"/>
  <c r="AT127" i="4"/>
  <c r="BJ127" i="4"/>
  <c r="BZ127" i="4"/>
  <c r="AM128" i="4"/>
  <c r="BC128" i="4"/>
  <c r="BS128" i="4"/>
  <c r="CI128" i="4"/>
  <c r="AV129" i="4"/>
  <c r="BL129" i="4"/>
  <c r="CB129" i="4"/>
  <c r="AO130" i="4"/>
  <c r="BE130" i="4"/>
  <c r="BU130" i="4"/>
  <c r="AH131" i="4"/>
  <c r="AX131" i="4"/>
  <c r="BN131" i="4"/>
  <c r="CD131" i="4"/>
  <c r="AQ132" i="4"/>
  <c r="BG132" i="4"/>
  <c r="BW132" i="4"/>
  <c r="AJ133" i="4"/>
  <c r="AZ133" i="4"/>
  <c r="BP133" i="4"/>
  <c r="CF133" i="4"/>
  <c r="AS134" i="4"/>
  <c r="BI134" i="4"/>
  <c r="BY134" i="4"/>
  <c r="AL135" i="4"/>
  <c r="BB135" i="4"/>
  <c r="BR135" i="4"/>
  <c r="CH135" i="4"/>
  <c r="AU136" i="4"/>
  <c r="BK136" i="4"/>
  <c r="CA136" i="4"/>
  <c r="AN137" i="4"/>
  <c r="BD137" i="4"/>
  <c r="BT137" i="4"/>
  <c r="AG138" i="4"/>
  <c r="AW138" i="4"/>
  <c r="BM138" i="4"/>
  <c r="CC138" i="4"/>
  <c r="AP139" i="4"/>
  <c r="BF139" i="4"/>
  <c r="BV139" i="4"/>
  <c r="AI140" i="4"/>
  <c r="AY140" i="4"/>
  <c r="BO140" i="4"/>
  <c r="CE140" i="4"/>
  <c r="AR141" i="4"/>
  <c r="BH141" i="4"/>
  <c r="BX141" i="4"/>
  <c r="AK142" i="4"/>
  <c r="BA142" i="4"/>
  <c r="BQ142" i="4"/>
  <c r="CG142" i="4"/>
  <c r="AT143" i="4"/>
  <c r="BJ143" i="4"/>
  <c r="BZ143" i="4"/>
  <c r="AM144" i="4"/>
  <c r="BC144" i="4"/>
  <c r="BS144" i="4"/>
  <c r="AL145" i="4"/>
  <c r="BR145" i="4"/>
  <c r="AU146" i="4"/>
  <c r="CA146" i="4"/>
  <c r="BD147" i="4"/>
  <c r="AG148" i="4"/>
  <c r="BM148" i="4"/>
  <c r="AP149" i="4"/>
  <c r="BV149" i="4"/>
  <c r="AY150" i="4"/>
  <c r="CE150" i="4"/>
  <c r="BH151" i="4"/>
  <c r="AK152" i="4"/>
  <c r="BQ152" i="4"/>
  <c r="AT153" i="4"/>
  <c r="BZ153" i="4"/>
  <c r="BC154" i="4"/>
  <c r="CI154" i="4"/>
  <c r="BL155" i="4"/>
  <c r="AO156" i="4"/>
  <c r="BO156" i="4"/>
  <c r="CE156" i="4"/>
  <c r="AV145" i="4"/>
  <c r="CB145" i="4"/>
  <c r="BE146" i="4"/>
  <c r="AH147" i="4"/>
  <c r="BN147" i="4"/>
  <c r="AQ148" i="4"/>
  <c r="BW148" i="4"/>
  <c r="AZ149" i="4"/>
  <c r="CF149" i="4"/>
  <c r="BI150" i="4"/>
  <c r="AL151" i="4"/>
  <c r="BR151" i="4"/>
  <c r="AU152" i="4"/>
  <c r="CA152" i="4"/>
  <c r="BD153" i="4"/>
  <c r="AG154" i="4"/>
  <c r="BM154" i="4"/>
  <c r="AP155" i="4"/>
  <c r="BV155" i="4"/>
  <c r="AY156" i="4"/>
  <c r="BT156" i="4"/>
  <c r="AX10" i="4"/>
  <c r="BR10" i="4"/>
  <c r="BE10" i="4"/>
  <c r="BD150" i="4"/>
  <c r="AG151" i="4"/>
  <c r="BM151" i="4"/>
  <c r="AP152" i="4"/>
  <c r="BV152" i="4"/>
  <c r="AY153" i="4"/>
  <c r="CE153" i="4"/>
  <c r="BH154" i="4"/>
  <c r="AK155" i="4"/>
  <c r="BQ155" i="4"/>
  <c r="AT156" i="4"/>
  <c r="BC104" i="4"/>
  <c r="CI104" i="4"/>
  <c r="BL105" i="4"/>
  <c r="AO106" i="4"/>
  <c r="BU106" i="4"/>
  <c r="AX107" i="4"/>
  <c r="CD107" i="4"/>
  <c r="BG108" i="4"/>
  <c r="AJ109" i="4"/>
  <c r="BP109" i="4"/>
  <c r="AS110" i="4"/>
  <c r="BY110" i="4"/>
  <c r="AR111" i="4"/>
  <c r="BH111" i="4"/>
  <c r="BX111" i="4"/>
  <c r="AK112" i="4"/>
  <c r="BA112" i="4"/>
  <c r="BQ112" i="4"/>
  <c r="CG112" i="4"/>
  <c r="AT113" i="4"/>
  <c r="BJ113" i="4"/>
  <c r="BZ113" i="4"/>
  <c r="AM114" i="4"/>
  <c r="BC114" i="4"/>
  <c r="BS114" i="4"/>
  <c r="CI114" i="4"/>
  <c r="AV115" i="4"/>
  <c r="BL115" i="4"/>
  <c r="CB115" i="4"/>
  <c r="AO116" i="4"/>
  <c r="BE116" i="4"/>
  <c r="BU116" i="4"/>
  <c r="AH117" i="4"/>
  <c r="AX117" i="4"/>
  <c r="BN117" i="4"/>
  <c r="CD117" i="4"/>
  <c r="AQ118" i="4"/>
  <c r="BG118" i="4"/>
  <c r="BW118" i="4"/>
  <c r="AJ119" i="4"/>
  <c r="AZ119" i="4"/>
  <c r="BP119" i="4"/>
  <c r="CF119" i="4"/>
  <c r="AS120" i="4"/>
  <c r="BI120" i="4"/>
  <c r="BY120" i="4"/>
  <c r="AL121" i="4"/>
  <c r="BB121" i="4"/>
  <c r="BR121" i="4"/>
  <c r="CH121" i="4"/>
  <c r="AU122" i="4"/>
  <c r="BK122" i="4"/>
  <c r="CA122" i="4"/>
  <c r="AN123" i="4"/>
  <c r="BD123" i="4"/>
  <c r="BT123" i="4"/>
  <c r="AG124" i="4"/>
  <c r="AW124" i="4"/>
  <c r="BM124" i="4"/>
  <c r="CC124" i="4"/>
  <c r="AP125" i="4"/>
  <c r="BF125" i="4"/>
  <c r="BV125" i="4"/>
  <c r="AI126" i="4"/>
  <c r="AY126" i="4"/>
  <c r="BO126" i="4"/>
  <c r="CE126" i="4"/>
  <c r="AR127" i="4"/>
  <c r="BH127" i="4"/>
  <c r="BX127" i="4"/>
  <c r="AK128" i="4"/>
  <c r="BA128" i="4"/>
  <c r="BQ128" i="4"/>
  <c r="CG128" i="4"/>
  <c r="AT129" i="4"/>
  <c r="BJ129" i="4"/>
  <c r="BZ129" i="4"/>
  <c r="AM130" i="4"/>
  <c r="BC130" i="4"/>
  <c r="BS130" i="4"/>
  <c r="CI130" i="4"/>
  <c r="AV131" i="4"/>
  <c r="BL131" i="4"/>
  <c r="CB131" i="4"/>
  <c r="AO132" i="4"/>
  <c r="BE132" i="4"/>
  <c r="BU132" i="4"/>
  <c r="AH133" i="4"/>
  <c r="AX133" i="4"/>
  <c r="BN133" i="4"/>
  <c r="CD133" i="4"/>
  <c r="AQ134" i="4"/>
  <c r="BG134" i="4"/>
  <c r="BW134" i="4"/>
  <c r="AJ135" i="4"/>
  <c r="AZ135" i="4"/>
  <c r="BP135" i="4"/>
  <c r="CF135" i="4"/>
  <c r="AS136" i="4"/>
  <c r="BI136" i="4"/>
  <c r="BY136" i="4"/>
  <c r="AL137" i="4"/>
  <c r="BB137" i="4"/>
  <c r="BR137" i="4"/>
  <c r="CH137" i="4"/>
  <c r="AU138" i="4"/>
  <c r="BK138" i="4"/>
  <c r="CA138" i="4"/>
  <c r="AN139" i="4"/>
  <c r="BD139" i="4"/>
  <c r="BT139" i="4"/>
  <c r="AG140" i="4"/>
  <c r="AW140" i="4"/>
  <c r="BM140" i="4"/>
  <c r="CC140" i="4"/>
  <c r="AP141" i="4"/>
  <c r="BF141" i="4"/>
  <c r="BV141" i="4"/>
  <c r="AI142" i="4"/>
  <c r="AY142" i="4"/>
  <c r="BO142" i="4"/>
  <c r="CE142" i="4"/>
  <c r="AR143" i="4"/>
  <c r="BH143" i="4"/>
  <c r="BX143" i="4"/>
  <c r="AK144" i="4"/>
  <c r="BA144" i="4"/>
  <c r="BY144" i="4"/>
  <c r="BN145" i="4"/>
  <c r="BG146" i="4"/>
  <c r="CF147" i="4"/>
  <c r="AL149" i="4"/>
  <c r="BK150" i="4"/>
  <c r="BT151" i="4"/>
  <c r="AP153" i="4"/>
  <c r="BO154" i="4"/>
  <c r="BX155" i="4"/>
  <c r="CC156" i="4"/>
  <c r="AK146" i="4"/>
  <c r="BJ147" i="4"/>
  <c r="AV149" i="4"/>
  <c r="BU150" i="4"/>
  <c r="CD151" i="4"/>
  <c r="AZ153" i="4"/>
  <c r="BI154" i="4"/>
  <c r="CH155" i="4"/>
  <c r="BZ156" i="4"/>
  <c r="BX10" i="4"/>
  <c r="CA10" i="4"/>
  <c r="CC10" i="4"/>
  <c r="CI153" i="4"/>
  <c r="AO155" i="4"/>
  <c r="AX156" i="4"/>
  <c r="AJ105" i="4"/>
  <c r="AS106" i="4"/>
  <c r="BB107" i="4"/>
  <c r="BK108" i="4"/>
  <c r="BT109" i="4"/>
  <c r="CC110" i="4"/>
  <c r="BJ111" i="4"/>
  <c r="AM112" i="4"/>
  <c r="BS112" i="4"/>
  <c r="AV113" i="4"/>
  <c r="CB113" i="4"/>
  <c r="BE114" i="4"/>
  <c r="AH115" i="4"/>
  <c r="BN115" i="4"/>
  <c r="AQ116" i="4"/>
  <c r="BK116" i="4"/>
  <c r="CA116" i="4"/>
  <c r="AN117" i="4"/>
  <c r="BD117" i="4"/>
  <c r="BT117" i="4"/>
  <c r="AG118" i="4"/>
  <c r="AW118" i="4"/>
  <c r="BM118" i="4"/>
  <c r="CC118" i="4"/>
  <c r="AP119" i="4"/>
  <c r="BF119" i="4"/>
  <c r="BV119" i="4"/>
  <c r="AI120" i="4"/>
  <c r="AY120" i="4"/>
  <c r="BO120" i="4"/>
  <c r="CE120" i="4"/>
  <c r="AR121" i="4"/>
  <c r="BH121" i="4"/>
  <c r="BX121" i="4"/>
  <c r="AK122" i="4"/>
  <c r="BA122" i="4"/>
  <c r="BQ122" i="4"/>
  <c r="CG122" i="4"/>
  <c r="AT123" i="4"/>
  <c r="BJ123" i="4"/>
  <c r="BZ123" i="4"/>
  <c r="AM124" i="4"/>
  <c r="BC124" i="4"/>
  <c r="BS124" i="4"/>
  <c r="CI124" i="4"/>
  <c r="AV125" i="4"/>
  <c r="BL125" i="4"/>
  <c r="CB125" i="4"/>
  <c r="AO126" i="4"/>
  <c r="BE126" i="4"/>
  <c r="BU126" i="4"/>
  <c r="AH127" i="4"/>
  <c r="AX127" i="4"/>
  <c r="BN127" i="4"/>
  <c r="CD127" i="4"/>
  <c r="AQ128" i="4"/>
  <c r="BG128" i="4"/>
  <c r="BW128" i="4"/>
  <c r="AJ129" i="4"/>
  <c r="BP129" i="4"/>
  <c r="CF129" i="4"/>
  <c r="AS130" i="4"/>
  <c r="BI130" i="4"/>
  <c r="BY130" i="4"/>
  <c r="AL131" i="4"/>
  <c r="BB131" i="4"/>
  <c r="BR131" i="4"/>
  <c r="CH131" i="4"/>
  <c r="AU132" i="4"/>
  <c r="BK132" i="4"/>
  <c r="AN133" i="4"/>
  <c r="BT133" i="4"/>
  <c r="AW134" i="4"/>
  <c r="CC134" i="4"/>
  <c r="BF135" i="4"/>
  <c r="AI136" i="4"/>
  <c r="BO136" i="4"/>
  <c r="AR137" i="4"/>
  <c r="BX137" i="4"/>
  <c r="BQ138" i="4"/>
  <c r="AT139" i="4"/>
  <c r="BZ139" i="4"/>
  <c r="BS140" i="4"/>
  <c r="AV141" i="4"/>
  <c r="CB141" i="4"/>
  <c r="BU142" i="4"/>
  <c r="AX143" i="4"/>
  <c r="CD143" i="4"/>
  <c r="BW144" i="4"/>
  <c r="BZ145" i="4"/>
  <c r="CI146" i="4"/>
  <c r="AO148" i="4"/>
  <c r="AX149" i="4"/>
  <c r="AJ151" i="4"/>
  <c r="BY152" i="4"/>
  <c r="CH153" i="4"/>
  <c r="AN155" i="4"/>
  <c r="AW156" i="4"/>
  <c r="CI156" i="4"/>
  <c r="BM146" i="4"/>
  <c r="BV147" i="4"/>
  <c r="CE148" i="4"/>
  <c r="AK150" i="4"/>
  <c r="AT151" i="4"/>
  <c r="BC152" i="4"/>
  <c r="AO154" i="4"/>
  <c r="AX155" i="4"/>
  <c r="BG156" i="4"/>
  <c r="BZ10" i="4"/>
  <c r="BL150" i="4"/>
  <c r="AX152" i="4"/>
  <c r="BG153" i="4"/>
  <c r="AS155" i="4"/>
  <c r="AZ156" i="4"/>
  <c r="AN105" i="4"/>
  <c r="CC106" i="4"/>
  <c r="AI108" i="4"/>
  <c r="AR109" i="4"/>
  <c r="BA110" i="4"/>
  <c r="BL111" i="4"/>
  <c r="AO112" i="4"/>
  <c r="BU112" i="4"/>
  <c r="BN113" i="4"/>
  <c r="AQ114" i="4"/>
  <c r="BW114" i="4"/>
  <c r="AZ115" i="4"/>
  <c r="CF115" i="4"/>
  <c r="BY116" i="4"/>
  <c r="BB117" i="4"/>
  <c r="AU118" i="4"/>
  <c r="CA118" i="4"/>
  <c r="BD119" i="4"/>
  <c r="AW120" i="4"/>
  <c r="CC120" i="4"/>
  <c r="BF121" i="4"/>
  <c r="AY122" i="4"/>
  <c r="CE122" i="4"/>
  <c r="BH123" i="4"/>
  <c r="BA124" i="4"/>
  <c r="CG124" i="4"/>
  <c r="BJ125" i="4"/>
  <c r="BC126" i="4"/>
  <c r="CI126" i="4"/>
  <c r="BL127" i="4"/>
  <c r="BE128" i="4"/>
  <c r="AH129" i="4"/>
  <c r="CD129" i="4"/>
  <c r="BG130" i="4"/>
  <c r="AJ131" i="4"/>
  <c r="CF131" i="4"/>
  <c r="BI132" i="4"/>
  <c r="AL133" i="4"/>
  <c r="CH133" i="4"/>
  <c r="BK134" i="4"/>
  <c r="AN135" i="4"/>
  <c r="AG136" i="4"/>
  <c r="BM136" i="4"/>
  <c r="BF137" i="4"/>
  <c r="AI138" i="4"/>
  <c r="CE138" i="4"/>
  <c r="BH139" i="4"/>
  <c r="BA140" i="4"/>
  <c r="CG140" i="4"/>
  <c r="BJ141" i="4"/>
  <c r="BC142" i="4"/>
  <c r="CI142" i="4"/>
  <c r="BL143" i="4"/>
  <c r="AO144" i="4"/>
  <c r="AP145" i="4"/>
  <c r="AY146" i="4"/>
  <c r="BH147" i="4"/>
  <c r="AT149" i="4"/>
  <c r="BC150" i="4"/>
  <c r="BL151" i="4"/>
  <c r="BU152" i="4"/>
  <c r="CD153" i="4"/>
  <c r="AJ155" i="4"/>
  <c r="AS156" i="4"/>
  <c r="CG156" i="4"/>
  <c r="BI146" i="4"/>
  <c r="BR147" i="4"/>
  <c r="CA148" i="4"/>
  <c r="BM150" i="4"/>
  <c r="BV151" i="4"/>
  <c r="CE152" i="4"/>
  <c r="AK154" i="4"/>
  <c r="BZ155" i="4"/>
  <c r="BV156" i="4"/>
  <c r="BL10" i="4"/>
  <c r="BW10" i="4"/>
  <c r="BI144" i="4"/>
  <c r="AJ147" i="4"/>
  <c r="BB149" i="4"/>
  <c r="BM152" i="4"/>
  <c r="AY154" i="4"/>
  <c r="BA156" i="4"/>
  <c r="BX145" i="4"/>
  <c r="BZ147" i="4"/>
  <c r="BL149" i="4"/>
  <c r="BG152" i="4"/>
  <c r="BY154" i="4"/>
  <c r="BR156" i="4"/>
  <c r="CF10" i="4"/>
  <c r="C10" i="4" l="1"/>
  <c r="EA10" i="2"/>
  <c r="DX10" i="2" s="1"/>
  <c r="DW10" i="2"/>
  <c r="DU10" i="2"/>
  <c r="DV10" i="2"/>
  <c r="BM178" i="2" l="1"/>
  <c r="BM179" i="2" s="1"/>
  <c r="DY10" i="2" l="1"/>
  <c r="BM182" i="2" l="1"/>
  <c r="BM180" i="2"/>
  <c r="BM183" i="2"/>
  <c r="BM181" i="2"/>
</calcChain>
</file>

<file path=xl/sharedStrings.xml><?xml version="1.0" encoding="utf-8"?>
<sst xmlns="http://schemas.openxmlformats.org/spreadsheetml/2006/main" count="561" uniqueCount="218">
  <si>
    <t>FACULTY OF ENGINEERING</t>
  </si>
  <si>
    <t>UNIVERSITY OF BENIN</t>
  </si>
  <si>
    <t>EXAMINATION RECORD SHEET (2014/2015 SESSION)</t>
  </si>
  <si>
    <t>LEVEL: 500 (SPILL OVER CATEGORY)</t>
  </si>
  <si>
    <t>S/N</t>
  </si>
  <si>
    <r>
      <t>MAT N</t>
    </r>
    <r>
      <rPr>
        <b/>
        <u/>
        <sz val="12"/>
        <rFont val="Times New Roman"/>
        <family val="1"/>
      </rPr>
      <t>O</t>
    </r>
    <r>
      <rPr>
        <b/>
        <sz val="12"/>
        <rFont val="Times New Roman"/>
        <family val="1"/>
      </rPr>
      <t>.   ENG:</t>
    </r>
  </si>
  <si>
    <t>NAME OF CANDIDATE (SURNAME IN CAPITAL)</t>
  </si>
  <si>
    <t>Other Names</t>
  </si>
  <si>
    <t>Surname</t>
  </si>
  <si>
    <t>REPEAT COURSES IN CODES AND MARKS (FIRST SEMESTER)</t>
  </si>
  <si>
    <t>PRE571</t>
  </si>
  <si>
    <t>CPE573</t>
  </si>
  <si>
    <t>CPE591</t>
  </si>
  <si>
    <t>CPE571</t>
  </si>
  <si>
    <t>CPE553</t>
  </si>
  <si>
    <t>CPE575</t>
  </si>
  <si>
    <t>CPE501</t>
  </si>
  <si>
    <t>TCF/1ST SEM.</t>
  </si>
  <si>
    <t>TCP/1ST SEM.</t>
  </si>
  <si>
    <t>TCR/1ST SEM.</t>
  </si>
  <si>
    <t>REPEAT COURSES IN CODES AND MARKS (SECOND SEMESTER)</t>
  </si>
  <si>
    <t>TCF/2ND SEM.</t>
  </si>
  <si>
    <t>TCP/2ND SEM.</t>
  </si>
  <si>
    <t>TCR/2ND SEM.</t>
  </si>
  <si>
    <t>TCF SESSION</t>
  </si>
  <si>
    <t>TCP SESSION</t>
  </si>
  <si>
    <t>GPA</t>
  </si>
  <si>
    <t>CLASS OF DEGREE</t>
  </si>
  <si>
    <t>STATUS</t>
  </si>
  <si>
    <t>CARRY OVER COURSES</t>
  </si>
  <si>
    <t>TRAILED COURSES NOT REGISTERED</t>
  </si>
  <si>
    <t>Grad Year</t>
  </si>
  <si>
    <t>Remarks</t>
  </si>
  <si>
    <t>Spill</t>
  </si>
  <si>
    <t>100L</t>
  </si>
  <si>
    <t>200L</t>
  </si>
  <si>
    <t>300L</t>
  </si>
  <si>
    <t>400L</t>
  </si>
  <si>
    <t>500L</t>
  </si>
  <si>
    <t>MODE</t>
  </si>
  <si>
    <t>CPE534</t>
  </si>
  <si>
    <t>CPE578</t>
  </si>
  <si>
    <t>CPE552</t>
  </si>
  <si>
    <t>CPE576</t>
  </si>
  <si>
    <t>CPE512</t>
  </si>
  <si>
    <t>CPE522</t>
  </si>
  <si>
    <t>CPE556</t>
  </si>
  <si>
    <t>CPE574</t>
  </si>
  <si>
    <t>CPE502</t>
  </si>
  <si>
    <t>CPE554</t>
  </si>
  <si>
    <t>Registered?</t>
  </si>
  <si>
    <t>0601205</t>
  </si>
  <si>
    <t xml:space="preserve">Bayo  </t>
  </si>
  <si>
    <t>SAMUEL</t>
  </si>
  <si>
    <t>*45</t>
  </si>
  <si>
    <t>*64</t>
  </si>
  <si>
    <t>N/A</t>
  </si>
  <si>
    <t>NR</t>
  </si>
  <si>
    <t>DE</t>
  </si>
  <si>
    <t>SUMMARY</t>
  </si>
  <si>
    <t>(A)             SUCCESSFUL STUDENTS</t>
  </si>
  <si>
    <t>(B)             STUDENTS WITH CARRY-OVER COURSES</t>
  </si>
  <si>
    <t>(C)             FIRST CLASS</t>
  </si>
  <si>
    <t>(D)             SECOND CLASS (UPPER DIVISION)</t>
  </si>
  <si>
    <t>(E)              SECOND CLASS (LOWER DIVISION)</t>
  </si>
  <si>
    <t>(F)             THIRD CLASS</t>
  </si>
  <si>
    <t>TOTAL</t>
  </si>
  <si>
    <t>REPEAT COURSES IN CODES AND MARKS (ALL HIDDEN)</t>
  </si>
  <si>
    <t>Rules</t>
  </si>
  <si>
    <t>Session Start</t>
  </si>
  <si>
    <t>Session End</t>
  </si>
  <si>
    <t>Grade</t>
  </si>
  <si>
    <t>A</t>
  </si>
  <si>
    <t>B</t>
  </si>
  <si>
    <t>C</t>
  </si>
  <si>
    <t>D</t>
  </si>
  <si>
    <t>E</t>
  </si>
  <si>
    <t>F</t>
  </si>
  <si>
    <t>Min</t>
  </si>
  <si>
    <t>Max</t>
  </si>
  <si>
    <t>Departmental Rules</t>
  </si>
  <si>
    <t>First Spill</t>
  </si>
  <si>
    <t>INFO</t>
  </si>
  <si>
    <t>SESSION</t>
  </si>
  <si>
    <t>UME</t>
  </si>
  <si>
    <t>FGPA</t>
  </si>
  <si>
    <t>TCR SESSION</t>
  </si>
  <si>
    <r>
      <t>COURSES FAILED/</t>
    </r>
    <r>
      <rPr>
        <b/>
        <u/>
        <sz val="12"/>
        <rFont val="Times New Roman"/>
        <family val="1"/>
      </rPr>
      <t>TRAILED</t>
    </r>
  </si>
  <si>
    <t>2018/1019</t>
  </si>
  <si>
    <t>WCGPA (DE)</t>
  </si>
  <si>
    <t>WCGPA (UME)</t>
  </si>
  <si>
    <t>FGPA (DE)</t>
  </si>
  <si>
    <t>FGPA(UME)</t>
  </si>
  <si>
    <t>WAIVED</t>
  </si>
  <si>
    <t>DEPARTMENT OF COMPUTER ENGINEERING</t>
  </si>
  <si>
    <t>C001</t>
  </si>
  <si>
    <t>C002</t>
  </si>
  <si>
    <t>C003</t>
  </si>
  <si>
    <t>C004</t>
  </si>
  <si>
    <t>C005</t>
  </si>
  <si>
    <t>C006</t>
  </si>
  <si>
    <t>C007</t>
  </si>
  <si>
    <t>C008</t>
  </si>
  <si>
    <t>C009</t>
  </si>
  <si>
    <t>C010</t>
  </si>
  <si>
    <t>C011</t>
  </si>
  <si>
    <t>C012</t>
  </si>
  <si>
    <t>C013</t>
  </si>
  <si>
    <t>C014</t>
  </si>
  <si>
    <t>C015</t>
  </si>
  <si>
    <t>C016</t>
  </si>
  <si>
    <t>C017</t>
  </si>
  <si>
    <t>C018</t>
  </si>
  <si>
    <t>C019</t>
  </si>
  <si>
    <t>C020</t>
  </si>
  <si>
    <t>C021</t>
  </si>
  <si>
    <t>C022</t>
  </si>
  <si>
    <t>C023</t>
  </si>
  <si>
    <t>C024</t>
  </si>
  <si>
    <t>C025</t>
  </si>
  <si>
    <t>D001</t>
  </si>
  <si>
    <t>D002</t>
  </si>
  <si>
    <t>D003</t>
  </si>
  <si>
    <t>D004</t>
  </si>
  <si>
    <t>D005</t>
  </si>
  <si>
    <t>D006</t>
  </si>
  <si>
    <t>D007</t>
  </si>
  <si>
    <t>D008</t>
  </si>
  <si>
    <t>D009</t>
  </si>
  <si>
    <t>D010</t>
  </si>
  <si>
    <t>D011</t>
  </si>
  <si>
    <t>D012</t>
  </si>
  <si>
    <t>D013</t>
  </si>
  <si>
    <t>D014</t>
  </si>
  <si>
    <t>D015</t>
  </si>
  <si>
    <t>D016</t>
  </si>
  <si>
    <t>D017</t>
  </si>
  <si>
    <t>D018</t>
  </si>
  <si>
    <t>D019</t>
  </si>
  <si>
    <t>D020</t>
  </si>
  <si>
    <t>D021</t>
  </si>
  <si>
    <t>D022</t>
  </si>
  <si>
    <t>D023</t>
  </si>
  <si>
    <t>D024</t>
  </si>
  <si>
    <t>D025</t>
  </si>
  <si>
    <t>MTH110</t>
  </si>
  <si>
    <t>MTH111</t>
  </si>
  <si>
    <t>PHY111</t>
  </si>
  <si>
    <t>PHY112</t>
  </si>
  <si>
    <t>CHM111</t>
  </si>
  <si>
    <t>CHM112</t>
  </si>
  <si>
    <t>GST111</t>
  </si>
  <si>
    <t>GST112</t>
  </si>
  <si>
    <t>CHE211</t>
  </si>
  <si>
    <t>CVE211</t>
  </si>
  <si>
    <t>MEE211</t>
  </si>
  <si>
    <t>MEE212</t>
  </si>
  <si>
    <t>PRE211</t>
  </si>
  <si>
    <t>EEE211</t>
  </si>
  <si>
    <t>ECP281</t>
  </si>
  <si>
    <t>PRE311</t>
  </si>
  <si>
    <t>MEE351</t>
  </si>
  <si>
    <t>MEE361</t>
  </si>
  <si>
    <t>COURSES PER LEVEL</t>
  </si>
  <si>
    <t>CPE300</t>
  </si>
  <si>
    <t>CPE311</t>
  </si>
  <si>
    <t>CPE313</t>
  </si>
  <si>
    <t>CPE321</t>
  </si>
  <si>
    <t>CPE371</t>
  </si>
  <si>
    <t>CPE375</t>
  </si>
  <si>
    <t>CPE377</t>
  </si>
  <si>
    <t>CPE423</t>
  </si>
  <si>
    <t>CPE451</t>
  </si>
  <si>
    <t>CPE457</t>
  </si>
  <si>
    <t>CPE471</t>
  </si>
  <si>
    <t>CPE473</t>
  </si>
  <si>
    <t>CPE475</t>
  </si>
  <si>
    <t>CPE477</t>
  </si>
  <si>
    <t>CPE481</t>
  </si>
  <si>
    <t>CPE577</t>
  </si>
  <si>
    <t>CPE272</t>
  </si>
  <si>
    <t>CPE312</t>
  </si>
  <si>
    <t>CPE314</t>
  </si>
  <si>
    <t>CPE316</t>
  </si>
  <si>
    <t>CPE322</t>
  </si>
  <si>
    <t>CPE372</t>
  </si>
  <si>
    <t>CPE376</t>
  </si>
  <si>
    <t>CPE378</t>
  </si>
  <si>
    <t>CPE590</t>
  </si>
  <si>
    <t>First Semester</t>
  </si>
  <si>
    <t>UBT400</t>
  </si>
  <si>
    <t>ALL</t>
  </si>
  <si>
    <t>Second Semester</t>
  </si>
  <si>
    <t>CHM122</t>
  </si>
  <si>
    <t>CHM124</t>
  </si>
  <si>
    <t>GST121</t>
  </si>
  <si>
    <t>GST122</t>
  </si>
  <si>
    <t>GST123</t>
  </si>
  <si>
    <t>MTH123</t>
  </si>
  <si>
    <t>MTH125</t>
  </si>
  <si>
    <t>PHY109</t>
  </si>
  <si>
    <t>PHY124</t>
  </si>
  <si>
    <t>CHE222</t>
  </si>
  <si>
    <t>CVE212</t>
  </si>
  <si>
    <t>EEE212</t>
  </si>
  <si>
    <t>ELA202</t>
  </si>
  <si>
    <t>EMA282</t>
  </si>
  <si>
    <t>MEE222</t>
  </si>
  <si>
    <t>EMA382</t>
  </si>
  <si>
    <t>ELA302</t>
  </si>
  <si>
    <t>600L</t>
  </si>
  <si>
    <t>0905689</t>
  </si>
  <si>
    <t>1289000</t>
  </si>
  <si>
    <t>R</t>
  </si>
  <si>
    <t>NA</t>
  </si>
  <si>
    <t>Grade Point</t>
  </si>
  <si>
    <t>TODO</t>
  </si>
  <si>
    <t>=getpoint(getgrade(x))*$AH9*%weigh for level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</si>
</sst>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0000000"/>
  </numFmts>
  <fonts count="28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4"/>
      <color indexed="8"/>
      <name val="Times New Roman"/>
      <family val="1"/>
    </font>
    <font>
      <sz val="12"/>
      <color theme="1"/>
      <name val="Times New Roman"/>
      <family val="1"/>
    </font>
    <font>
      <b/>
      <sz val="12"/>
      <name val="Times New Roman"/>
      <family val="1"/>
    </font>
    <font>
      <b/>
      <u/>
      <sz val="12"/>
      <name val="Times New Roman"/>
      <family val="1"/>
    </font>
    <font>
      <b/>
      <sz val="12"/>
      <color rgb="FFC00000"/>
      <name val="Times New Roman"/>
      <family val="1"/>
    </font>
    <font>
      <b/>
      <sz val="12"/>
      <color rgb="FFFF0000"/>
      <name val="Times New Roman"/>
      <family val="1"/>
    </font>
    <font>
      <sz val="12"/>
      <name val="Times New Roman"/>
      <family val="1"/>
    </font>
    <font>
      <sz val="12"/>
      <color rgb="FF00B050"/>
      <name val="Times New Roman"/>
      <family val="1"/>
    </font>
    <font>
      <sz val="12"/>
      <color indexed="17"/>
      <name val="Times New Roman"/>
      <family val="1"/>
    </font>
    <font>
      <i/>
      <sz val="12"/>
      <name val="Times New Roman"/>
      <family val="1"/>
    </font>
    <font>
      <sz val="12"/>
      <color rgb="FFFF0000"/>
      <name val="Times New Roman"/>
      <family val="1"/>
    </font>
    <font>
      <sz val="12"/>
      <color indexed="8"/>
      <name val="Times New Roman"/>
      <family val="1"/>
    </font>
    <font>
      <sz val="12"/>
      <color rgb="FF000000"/>
      <name val="Times New Roman"/>
      <family val="1"/>
    </font>
    <font>
      <b/>
      <sz val="12"/>
      <color theme="1"/>
      <name val="Times New Roman"/>
      <family val="1"/>
    </font>
    <font>
      <sz val="10"/>
      <color theme="1"/>
      <name val="Arial"/>
      <family val="2"/>
    </font>
    <font>
      <b/>
      <sz val="12"/>
      <color theme="6" tint="-0.499984740745262"/>
      <name val="Times New Roman"/>
      <family val="1"/>
    </font>
    <font>
      <sz val="10"/>
      <color theme="6" tint="-0.499984740745262"/>
      <name val="Arial"/>
      <family val="2"/>
    </font>
    <font>
      <sz val="12"/>
      <color theme="6" tint="-0.499984740745262"/>
      <name val="Times New Roman"/>
      <family val="1"/>
    </font>
    <font>
      <b/>
      <sz val="12"/>
      <color theme="9" tint="-0.499984740745262"/>
      <name val="Times New Roman"/>
      <family val="1"/>
    </font>
    <font>
      <sz val="10"/>
      <color theme="9" tint="-0.499984740745262"/>
      <name val="Arial"/>
      <family val="2"/>
    </font>
    <font>
      <i/>
      <sz val="12"/>
      <color theme="9" tint="-0.499984740745262"/>
      <name val="Times New Roman"/>
      <family val="1"/>
    </font>
    <font>
      <sz val="12"/>
      <color theme="9" tint="-0.499984740745262"/>
      <name val="Times New Roman"/>
      <family val="1"/>
    </font>
    <font>
      <b/>
      <sz val="12"/>
      <color indexed="8"/>
      <name val="Times New Roman"/>
      <family val="1"/>
    </font>
    <font>
      <sz val="10"/>
      <name val="Arial"/>
      <family val="2"/>
    </font>
    <font>
      <b/>
      <sz val="10"/>
      <name val="Arial"/>
      <family val="2"/>
    </font>
    <font>
      <b/>
      <sz val="1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6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293">
    <xf numFmtId="0" fontId="0" fillId="0" borderId="0" xfId="0"/>
    <xf numFmtId="0" fontId="2" fillId="0" borderId="4" xfId="0" applyFont="1" applyBorder="1" applyAlignment="1">
      <alignment horizontal="center"/>
    </xf>
    <xf numFmtId="0" fontId="3" fillId="0" borderId="0" xfId="0" applyFont="1"/>
    <xf numFmtId="164" fontId="3" fillId="0" borderId="0" xfId="0" applyNumberFormat="1" applyFont="1"/>
    <xf numFmtId="0" fontId="8" fillId="0" borderId="0" xfId="0" applyFont="1" applyFill="1" applyBorder="1" applyAlignment="1">
      <alignment wrapText="1"/>
    </xf>
    <xf numFmtId="0" fontId="8" fillId="0" borderId="0" xfId="0" applyFont="1" applyBorder="1"/>
    <xf numFmtId="0" fontId="4" fillId="0" borderId="31" xfId="0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49" fontId="8" fillId="0" borderId="15" xfId="0" quotePrefix="1" applyNumberFormat="1" applyFont="1" applyFill="1" applyBorder="1" applyAlignment="1">
      <alignment horizontal="center" wrapText="1"/>
    </xf>
    <xf numFmtId="0" fontId="8" fillId="0" borderId="19" xfId="0" applyFont="1" applyFill="1" applyBorder="1" applyAlignment="1">
      <alignment wrapText="1"/>
    </xf>
    <xf numFmtId="0" fontId="3" fillId="0" borderId="15" xfId="1" applyFont="1" applyFill="1" applyBorder="1"/>
    <xf numFmtId="0" fontId="8" fillId="0" borderId="40" xfId="0" applyFont="1" applyFill="1" applyBorder="1" applyAlignment="1">
      <alignment horizontal="center"/>
    </xf>
    <xf numFmtId="0" fontId="8" fillId="0" borderId="20" xfId="0" applyFont="1" applyFill="1" applyBorder="1" applyAlignment="1">
      <alignment horizontal="center"/>
    </xf>
    <xf numFmtId="0" fontId="8" fillId="0" borderId="20" xfId="0" applyFont="1" applyFill="1" applyBorder="1" applyAlignment="1">
      <alignment horizontal="center" wrapText="1"/>
    </xf>
    <xf numFmtId="0" fontId="8" fillId="0" borderId="41" xfId="0" applyFont="1" applyFill="1" applyBorder="1" applyAlignment="1">
      <alignment horizontal="center"/>
    </xf>
    <xf numFmtId="49" fontId="8" fillId="0" borderId="20" xfId="0" applyNumberFormat="1" applyFont="1" applyFill="1" applyBorder="1" applyAlignment="1">
      <alignment horizontal="center" wrapText="1"/>
    </xf>
    <xf numFmtId="0" fontId="10" fillId="0" borderId="44" xfId="0" applyFont="1" applyFill="1" applyBorder="1"/>
    <xf numFmtId="0" fontId="8" fillId="0" borderId="43" xfId="0" applyFont="1" applyFill="1" applyBorder="1" applyAlignment="1">
      <alignment wrapText="1"/>
    </xf>
    <xf numFmtId="0" fontId="8" fillId="0" borderId="28" xfId="0" applyFont="1" applyFill="1" applyBorder="1" applyAlignment="1">
      <alignment wrapText="1"/>
    </xf>
    <xf numFmtId="0" fontId="8" fillId="0" borderId="20" xfId="0" applyFont="1" applyFill="1" applyBorder="1"/>
    <xf numFmtId="0" fontId="8" fillId="0" borderId="44" xfId="0" applyFont="1" applyFill="1" applyBorder="1"/>
    <xf numFmtId="0" fontId="8" fillId="0" borderId="20" xfId="0" applyFont="1" applyFill="1" applyBorder="1" applyAlignment="1">
      <alignment wrapText="1"/>
    </xf>
    <xf numFmtId="0" fontId="8" fillId="0" borderId="0" xfId="0" applyFont="1" applyFill="1"/>
    <xf numFmtId="0" fontId="8" fillId="0" borderId="41" xfId="0" applyFont="1" applyFill="1" applyBorder="1" applyAlignment="1">
      <alignment wrapText="1"/>
    </xf>
    <xf numFmtId="0" fontId="3" fillId="0" borderId="20" xfId="0" applyFont="1" applyBorder="1"/>
    <xf numFmtId="1" fontId="8" fillId="0" borderId="20" xfId="0" applyNumberFormat="1" applyFont="1" applyFill="1" applyBorder="1" applyAlignment="1">
      <alignment horizontal="center" wrapText="1"/>
    </xf>
    <xf numFmtId="1" fontId="8" fillId="0" borderId="41" xfId="0" applyNumberFormat="1" applyFont="1" applyFill="1" applyBorder="1" applyAlignment="1">
      <alignment horizontal="center" wrapText="1"/>
    </xf>
    <xf numFmtId="0" fontId="8" fillId="0" borderId="44" xfId="0" applyFont="1" applyBorder="1"/>
    <xf numFmtId="0" fontId="3" fillId="0" borderId="20" xfId="0" applyFont="1" applyFill="1" applyBorder="1" applyAlignment="1">
      <alignment horizontal="center"/>
    </xf>
    <xf numFmtId="49" fontId="3" fillId="0" borderId="20" xfId="0" applyNumberFormat="1" applyFont="1" applyFill="1" applyBorder="1" applyAlignment="1">
      <alignment horizontal="center"/>
    </xf>
    <xf numFmtId="0" fontId="3" fillId="0" borderId="41" xfId="0" applyFont="1" applyFill="1" applyBorder="1" applyAlignment="1">
      <alignment horizontal="center"/>
    </xf>
    <xf numFmtId="0" fontId="3" fillId="0" borderId="44" xfId="0" applyFont="1" applyFill="1" applyBorder="1" applyAlignment="1">
      <alignment wrapText="1"/>
    </xf>
    <xf numFmtId="0" fontId="3" fillId="0" borderId="20" xfId="0" applyFont="1" applyBorder="1" applyAlignment="1">
      <alignment horizontal="center" wrapText="1"/>
    </xf>
    <xf numFmtId="0" fontId="3" fillId="0" borderId="20" xfId="0" applyFont="1" applyFill="1" applyBorder="1" applyAlignment="1">
      <alignment horizontal="center" wrapText="1"/>
    </xf>
    <xf numFmtId="0" fontId="3" fillId="0" borderId="28" xfId="0" applyFont="1" applyFill="1" applyBorder="1" applyAlignment="1">
      <alignment horizontal="center" wrapText="1"/>
    </xf>
    <xf numFmtId="0" fontId="13" fillId="0" borderId="44" xfId="0" applyFont="1" applyBorder="1" applyAlignment="1">
      <alignment horizontal="center"/>
    </xf>
    <xf numFmtId="0" fontId="13" fillId="0" borderId="20" xfId="0" applyFont="1" applyBorder="1" applyAlignment="1"/>
    <xf numFmtId="0" fontId="0" fillId="0" borderId="44" xfId="0" applyFont="1" applyBorder="1"/>
    <xf numFmtId="0" fontId="3" fillId="0" borderId="20" xfId="0" applyFont="1" applyBorder="1" applyAlignment="1"/>
    <xf numFmtId="0" fontId="13" fillId="0" borderId="48" xfId="0" applyFont="1" applyBorder="1" applyAlignment="1">
      <alignment horizontal="center"/>
    </xf>
    <xf numFmtId="165" fontId="13" fillId="0" borderId="31" xfId="0" applyNumberFormat="1" applyFont="1" applyBorder="1" applyAlignment="1">
      <alignment horizontal="center" wrapText="1"/>
    </xf>
    <xf numFmtId="0" fontId="13" fillId="0" borderId="31" xfId="0" applyFont="1" applyBorder="1" applyAlignment="1"/>
    <xf numFmtId="0" fontId="3" fillId="0" borderId="31" xfId="0" applyFont="1" applyBorder="1" applyAlignment="1"/>
    <xf numFmtId="0" fontId="8" fillId="2" borderId="31" xfId="0" applyFont="1" applyFill="1" applyBorder="1" applyAlignment="1">
      <alignment wrapText="1"/>
    </xf>
    <xf numFmtId="0" fontId="3" fillId="0" borderId="49" xfId="0" applyFont="1" applyBorder="1" applyAlignment="1">
      <alignment horizontal="left" wrapText="1"/>
    </xf>
    <xf numFmtId="0" fontId="3" fillId="0" borderId="0" xfId="0" applyFont="1" applyAlignment="1">
      <alignment horizontal="center" wrapText="1"/>
    </xf>
    <xf numFmtId="0" fontId="3" fillId="0" borderId="0" xfId="0" applyFont="1" applyAlignment="1">
      <alignment wrapText="1"/>
    </xf>
    <xf numFmtId="0" fontId="3" fillId="0" borderId="23" xfId="0" applyFont="1" applyBorder="1" applyAlignment="1">
      <alignment wrapText="1"/>
    </xf>
    <xf numFmtId="0" fontId="3" fillId="0" borderId="23" xfId="0" applyFont="1" applyBorder="1" applyAlignment="1"/>
    <xf numFmtId="0" fontId="3" fillId="0" borderId="0" xfId="0" applyFont="1" applyBorder="1" applyAlignment="1"/>
    <xf numFmtId="0" fontId="3" fillId="0" borderId="0" xfId="0" applyFont="1" applyAlignment="1">
      <alignment horizontal="left" wrapText="1"/>
    </xf>
    <xf numFmtId="1" fontId="9" fillId="0" borderId="0" xfId="0" applyNumberFormat="1" applyFont="1" applyAlignment="1">
      <alignment horizontal="center" wrapText="1"/>
    </xf>
    <xf numFmtId="0" fontId="8" fillId="0" borderId="0" xfId="0" applyFont="1" applyAlignment="1">
      <alignment horizontal="center" wrapText="1"/>
    </xf>
    <xf numFmtId="0" fontId="12" fillId="0" borderId="0" xfId="0" applyFont="1"/>
    <xf numFmtId="0" fontId="8" fillId="0" borderId="0" xfId="0" applyFont="1"/>
    <xf numFmtId="164" fontId="0" fillId="0" borderId="0" xfId="0" applyNumberFormat="1"/>
    <xf numFmtId="0" fontId="0" fillId="0" borderId="0" xfId="0" applyAlignment="1">
      <alignment horizontal="center"/>
    </xf>
    <xf numFmtId="165" fontId="13" fillId="0" borderId="20" xfId="0" applyNumberFormat="1" applyFont="1" applyBorder="1" applyAlignment="1"/>
    <xf numFmtId="0" fontId="13" fillId="0" borderId="39" xfId="0" applyFont="1" applyBorder="1" applyAlignment="1"/>
    <xf numFmtId="0" fontId="14" fillId="0" borderId="39" xfId="0" applyFont="1" applyBorder="1" applyAlignment="1">
      <alignment horizontal="left" wrapText="1"/>
    </xf>
    <xf numFmtId="0" fontId="3" fillId="0" borderId="39" xfId="0" applyFont="1" applyBorder="1" applyAlignment="1">
      <alignment horizontal="left" wrapText="1"/>
    </xf>
    <xf numFmtId="0" fontId="3" fillId="0" borderId="39" xfId="0" applyFont="1" applyBorder="1" applyAlignment="1">
      <alignment horizontal="center" wrapText="1"/>
    </xf>
    <xf numFmtId="1" fontId="9" fillId="0" borderId="39" xfId="0" applyNumberFormat="1" applyFont="1" applyBorder="1" applyAlignment="1">
      <alignment horizontal="center" wrapText="1"/>
    </xf>
    <xf numFmtId="0" fontId="8" fillId="0" borderId="39" xfId="0" applyFont="1" applyBorder="1" applyAlignment="1">
      <alignment horizontal="center" wrapText="1"/>
    </xf>
    <xf numFmtId="0" fontId="15" fillId="0" borderId="20" xfId="0" applyFont="1" applyBorder="1" applyAlignment="1">
      <alignment horizontal="left"/>
    </xf>
    <xf numFmtId="0" fontId="13" fillId="0" borderId="46" xfId="0" applyFont="1" applyBorder="1" applyAlignment="1"/>
    <xf numFmtId="0" fontId="14" fillId="0" borderId="46" xfId="0" applyFont="1" applyBorder="1" applyAlignment="1">
      <alignment horizontal="left" wrapText="1"/>
    </xf>
    <xf numFmtId="0" fontId="3" fillId="0" borderId="46" xfId="0" applyFont="1" applyBorder="1" applyAlignment="1">
      <alignment horizontal="left" wrapText="1"/>
    </xf>
    <xf numFmtId="0" fontId="3" fillId="0" borderId="46" xfId="0" applyFont="1" applyBorder="1" applyAlignment="1">
      <alignment horizontal="center" wrapText="1"/>
    </xf>
    <xf numFmtId="1" fontId="9" fillId="0" borderId="46" xfId="0" applyNumberFormat="1" applyFont="1" applyBorder="1" applyAlignment="1">
      <alignment horizontal="center" wrapText="1"/>
    </xf>
    <xf numFmtId="0" fontId="8" fillId="0" borderId="46" xfId="0" applyFont="1" applyBorder="1" applyAlignment="1">
      <alignment horizontal="center" wrapText="1"/>
    </xf>
    <xf numFmtId="0" fontId="15" fillId="0" borderId="46" xfId="0" applyFont="1" applyBorder="1" applyAlignment="1">
      <alignment horizontal="center" wrapText="1"/>
    </xf>
    <xf numFmtId="0" fontId="3" fillId="0" borderId="0" xfId="0" applyFont="1" applyAlignment="1">
      <alignment horizontal="center"/>
    </xf>
    <xf numFmtId="0" fontId="13" fillId="0" borderId="0" xfId="0" applyFont="1" applyBorder="1" applyAlignment="1"/>
    <xf numFmtId="0" fontId="13" fillId="0" borderId="0" xfId="0" applyFont="1" applyBorder="1" applyAlignment="1">
      <alignment horizontal="left" wrapText="1"/>
    </xf>
    <xf numFmtId="0" fontId="3" fillId="0" borderId="0" xfId="0" applyFont="1" applyBorder="1" applyAlignment="1">
      <alignment horizontal="left" wrapText="1"/>
    </xf>
    <xf numFmtId="0" fontId="3" fillId="0" borderId="0" xfId="0" applyFont="1" applyBorder="1" applyAlignment="1">
      <alignment horizontal="center" wrapText="1"/>
    </xf>
    <xf numFmtId="1" fontId="9" fillId="0" borderId="0" xfId="0" applyNumberFormat="1" applyFont="1" applyBorder="1" applyAlignment="1">
      <alignment horizontal="center" wrapText="1"/>
    </xf>
    <xf numFmtId="0" fontId="8" fillId="0" borderId="0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165" fontId="3" fillId="0" borderId="0" xfId="0" applyNumberFormat="1" applyFont="1"/>
    <xf numFmtId="165" fontId="3" fillId="0" borderId="20" xfId="0" applyNumberFormat="1" applyFont="1" applyBorder="1" applyAlignment="1"/>
    <xf numFmtId="0" fontId="3" fillId="0" borderId="39" xfId="0" applyFont="1" applyBorder="1" applyAlignment="1"/>
    <xf numFmtId="0" fontId="3" fillId="0" borderId="39" xfId="0" applyFont="1" applyBorder="1" applyAlignment="1">
      <alignment wrapText="1"/>
    </xf>
    <xf numFmtId="0" fontId="15" fillId="0" borderId="39" xfId="0" applyFont="1" applyBorder="1" applyAlignment="1">
      <alignment horizontal="center" wrapText="1"/>
    </xf>
    <xf numFmtId="0" fontId="3" fillId="0" borderId="0" xfId="0" applyFont="1" applyBorder="1"/>
    <xf numFmtId="1" fontId="9" fillId="0" borderId="0" xfId="0" applyNumberFormat="1" applyFont="1"/>
    <xf numFmtId="0" fontId="3" fillId="0" borderId="43" xfId="0" applyNumberFormat="1" applyFont="1" applyFill="1" applyBorder="1" applyAlignment="1">
      <alignment horizontal="center"/>
    </xf>
    <xf numFmtId="0" fontId="3" fillId="0" borderId="49" xfId="0" applyNumberFormat="1" applyFont="1" applyBorder="1" applyAlignment="1">
      <alignment horizontal="center" wrapText="1"/>
    </xf>
    <xf numFmtId="0" fontId="22" fillId="0" borderId="37" xfId="0" applyNumberFormat="1" applyFont="1" applyFill="1" applyBorder="1"/>
    <xf numFmtId="0" fontId="19" fillId="0" borderId="15" xfId="0" applyNumberFormat="1" applyFont="1" applyFill="1" applyBorder="1" applyAlignment="1">
      <alignment horizontal="center" wrapText="1"/>
    </xf>
    <xf numFmtId="0" fontId="3" fillId="0" borderId="38" xfId="0" applyNumberFormat="1" applyFont="1" applyFill="1" applyBorder="1"/>
    <xf numFmtId="0" fontId="22" fillId="0" borderId="40" xfId="0" applyNumberFormat="1" applyFont="1" applyFill="1" applyBorder="1"/>
    <xf numFmtId="0" fontId="19" fillId="0" borderId="20" xfId="0" applyNumberFormat="1" applyFont="1" applyFill="1" applyBorder="1" applyAlignment="1">
      <alignment horizontal="center" wrapText="1"/>
    </xf>
    <xf numFmtId="0" fontId="3" fillId="0" borderId="43" xfId="0" applyNumberFormat="1" applyFont="1" applyFill="1" applyBorder="1" applyAlignment="1">
      <alignment horizontal="center" wrapText="1"/>
    </xf>
    <xf numFmtId="0" fontId="23" fillId="0" borderId="48" xfId="0" applyNumberFormat="1" applyFont="1" applyBorder="1" applyAlignment="1">
      <alignment horizontal="center" wrapText="1"/>
    </xf>
    <xf numFmtId="0" fontId="19" fillId="0" borderId="31" xfId="0" applyNumberFormat="1" applyFont="1" applyBorder="1" applyAlignment="1">
      <alignment horizontal="center" wrapText="1"/>
    </xf>
    <xf numFmtId="0" fontId="24" fillId="0" borderId="20" xfId="0" applyNumberFormat="1" applyFont="1" applyBorder="1" applyAlignment="1">
      <alignment wrapText="1"/>
    </xf>
    <xf numFmtId="0" fontId="3" fillId="0" borderId="20" xfId="0" applyNumberFormat="1" applyFont="1" applyBorder="1" applyAlignment="1">
      <alignment horizontal="left" indent="1"/>
    </xf>
    <xf numFmtId="0" fontId="15" fillId="0" borderId="20" xfId="0" applyNumberFormat="1" applyFont="1" applyBorder="1" applyAlignment="1">
      <alignment horizontal="center" wrapText="1"/>
    </xf>
    <xf numFmtId="0" fontId="0" fillId="0" borderId="0" xfId="0"/>
    <xf numFmtId="0" fontId="0" fillId="0" borderId="23" xfId="0" applyBorder="1"/>
    <xf numFmtId="0" fontId="0" fillId="0" borderId="0" xfId="0"/>
    <xf numFmtId="0" fontId="0" fillId="0" borderId="23" xfId="0" applyBorder="1"/>
    <xf numFmtId="0" fontId="0" fillId="0" borderId="0" xfId="0"/>
    <xf numFmtId="0" fontId="0" fillId="0" borderId="5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0" fontId="13" fillId="0" borderId="32" xfId="0" applyFont="1" applyBorder="1" applyAlignment="1">
      <alignment wrapText="1"/>
    </xf>
    <xf numFmtId="0" fontId="0" fillId="0" borderId="20" xfId="0" applyBorder="1"/>
    <xf numFmtId="0" fontId="25" fillId="0" borderId="20" xfId="0" applyFont="1" applyBorder="1"/>
    <xf numFmtId="0" fontId="25" fillId="0" borderId="23" xfId="0" applyFont="1" applyBorder="1"/>
    <xf numFmtId="0" fontId="4" fillId="0" borderId="14" xfId="0" applyFont="1" applyBorder="1" applyAlignment="1">
      <alignment horizontal="center" textRotation="90"/>
    </xf>
    <xf numFmtId="0" fontId="0" fillId="0" borderId="23" xfId="0" applyBorder="1"/>
    <xf numFmtId="0" fontId="0" fillId="0" borderId="0" xfId="0"/>
    <xf numFmtId="0" fontId="0" fillId="0" borderId="24" xfId="0" applyBorder="1"/>
    <xf numFmtId="0" fontId="8" fillId="0" borderId="37" xfId="0" applyNumberFormat="1" applyFont="1" applyFill="1" applyBorder="1" applyAlignment="1">
      <alignment horizontal="center" vertical="center" wrapText="1"/>
    </xf>
    <xf numFmtId="0" fontId="8" fillId="0" borderId="15" xfId="0" applyNumberFormat="1" applyFont="1" applyFill="1" applyBorder="1" applyAlignment="1">
      <alignment horizontal="center" vertical="center"/>
    </xf>
    <xf numFmtId="0" fontId="8" fillId="0" borderId="38" xfId="0" applyNumberFormat="1" applyFont="1" applyFill="1" applyBorder="1" applyAlignment="1">
      <alignment horizontal="center" vertical="center"/>
    </xf>
    <xf numFmtId="0" fontId="8" fillId="0" borderId="40" xfId="0" applyNumberFormat="1" applyFont="1" applyFill="1" applyBorder="1" applyAlignment="1">
      <alignment horizontal="center" vertical="center" wrapText="1"/>
    </xf>
    <xf numFmtId="0" fontId="8" fillId="0" borderId="20" xfId="0" applyNumberFormat="1" applyFont="1" applyFill="1" applyBorder="1" applyAlignment="1">
      <alignment horizontal="center" vertical="center" wrapText="1"/>
    </xf>
    <xf numFmtId="0" fontId="8" fillId="0" borderId="43" xfId="0" applyNumberFormat="1" applyFont="1" applyFill="1" applyBorder="1" applyAlignment="1">
      <alignment horizontal="center" vertical="center" wrapText="1"/>
    </xf>
    <xf numFmtId="0" fontId="8" fillId="0" borderId="20" xfId="0" applyNumberFormat="1" applyFont="1" applyFill="1" applyBorder="1" applyAlignment="1">
      <alignment horizontal="center" vertical="center"/>
    </xf>
    <xf numFmtId="0" fontId="3" fillId="0" borderId="20" xfId="0" applyNumberFormat="1" applyFont="1" applyFill="1" applyBorder="1" applyAlignment="1">
      <alignment horizontal="center" vertical="center"/>
    </xf>
    <xf numFmtId="0" fontId="3" fillId="0" borderId="43" xfId="0" applyNumberFormat="1" applyFont="1" applyFill="1" applyBorder="1" applyAlignment="1">
      <alignment horizontal="center" vertical="center"/>
    </xf>
    <xf numFmtId="0" fontId="3" fillId="0" borderId="48" xfId="0" applyNumberFormat="1" applyFont="1" applyBorder="1" applyAlignment="1">
      <alignment horizontal="center" vertical="center" wrapText="1"/>
    </xf>
    <xf numFmtId="0" fontId="3" fillId="0" borderId="31" xfId="0" applyNumberFormat="1" applyFont="1" applyBorder="1" applyAlignment="1">
      <alignment horizontal="center" vertical="center" wrapText="1"/>
    </xf>
    <xf numFmtId="0" fontId="3" fillId="0" borderId="49" xfId="0" applyNumberFormat="1" applyFont="1" applyBorder="1" applyAlignment="1">
      <alignment horizontal="center" vertical="center" wrapText="1"/>
    </xf>
    <xf numFmtId="0" fontId="8" fillId="0" borderId="42" xfId="0" applyNumberFormat="1" applyFont="1" applyFill="1" applyBorder="1" applyAlignment="1">
      <alignment horizontal="center" vertical="center" wrapText="1"/>
    </xf>
    <xf numFmtId="0" fontId="11" fillId="0" borderId="23" xfId="0" applyNumberFormat="1" applyFont="1" applyFill="1" applyBorder="1" applyAlignment="1">
      <alignment vertical="center"/>
    </xf>
    <xf numFmtId="0" fontId="11" fillId="0" borderId="41" xfId="0" applyNumberFormat="1" applyFont="1" applyFill="1" applyBorder="1" applyAlignment="1">
      <alignment vertical="center"/>
    </xf>
    <xf numFmtId="164" fontId="8" fillId="0" borderId="20" xfId="0" applyNumberFormat="1" applyFont="1" applyFill="1" applyBorder="1" applyAlignment="1">
      <alignment vertical="center"/>
    </xf>
    <xf numFmtId="0" fontId="8" fillId="0" borderId="43" xfId="0" applyNumberFormat="1" applyFont="1" applyFill="1" applyBorder="1" applyAlignment="1">
      <alignment horizontal="center" vertical="center"/>
    </xf>
    <xf numFmtId="0" fontId="8" fillId="0" borderId="23" xfId="0" applyNumberFormat="1" applyFont="1" applyFill="1" applyBorder="1" applyAlignment="1">
      <alignment horizontal="center" vertical="center" wrapText="1"/>
    </xf>
    <xf numFmtId="0" fontId="8" fillId="0" borderId="41" xfId="0" applyNumberFormat="1" applyFont="1" applyFill="1" applyBorder="1" applyAlignment="1">
      <alignment horizontal="center" vertical="center" wrapText="1"/>
    </xf>
    <xf numFmtId="0" fontId="11" fillId="0" borderId="43" xfId="0" applyNumberFormat="1" applyFont="1" applyFill="1" applyBorder="1" applyAlignment="1">
      <alignment horizontal="center" vertical="center"/>
    </xf>
    <xf numFmtId="0" fontId="8" fillId="0" borderId="41" xfId="0" applyNumberFormat="1" applyFont="1" applyFill="1" applyBorder="1" applyAlignment="1">
      <alignment horizontal="center" vertical="center"/>
    </xf>
    <xf numFmtId="0" fontId="8" fillId="0" borderId="45" xfId="0" applyNumberFormat="1" applyFont="1" applyFill="1" applyBorder="1" applyAlignment="1">
      <alignment vertical="center" wrapText="1"/>
    </xf>
    <xf numFmtId="0" fontId="8" fillId="0" borderId="47" xfId="0" applyNumberFormat="1" applyFont="1" applyFill="1" applyBorder="1" applyAlignment="1">
      <alignment vertical="center" wrapText="1"/>
    </xf>
    <xf numFmtId="0" fontId="11" fillId="0" borderId="20" xfId="0" applyNumberFormat="1" applyFont="1" applyFill="1" applyBorder="1" applyAlignment="1">
      <alignment vertical="center"/>
    </xf>
    <xf numFmtId="164" fontId="11" fillId="0" borderId="20" xfId="0" applyNumberFormat="1" applyFont="1" applyFill="1" applyBorder="1" applyAlignment="1">
      <alignment vertical="center"/>
    </xf>
    <xf numFmtId="0" fontId="26" fillId="0" borderId="11" xfId="0" applyFont="1" applyBorder="1" applyAlignment="1"/>
    <xf numFmtId="0" fontId="26" fillId="0" borderId="52" xfId="0" applyFont="1" applyBorder="1" applyAlignment="1"/>
    <xf numFmtId="0" fontId="26" fillId="0" borderId="32" xfId="0" applyFont="1" applyFill="1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3" xfId="0" applyFill="1" applyBorder="1" applyAlignment="1">
      <alignment horizontal="center"/>
    </xf>
    <xf numFmtId="0" fontId="0" fillId="0" borderId="53" xfId="0" applyBorder="1"/>
    <xf numFmtId="0" fontId="26" fillId="0" borderId="54" xfId="0" applyFont="1" applyBorder="1" applyAlignment="1">
      <alignment horizontal="center"/>
    </xf>
    <xf numFmtId="0" fontId="26" fillId="0" borderId="55" xfId="0" applyFont="1" applyBorder="1" applyAlignment="1">
      <alignment horizontal="center"/>
    </xf>
    <xf numFmtId="0" fontId="26" fillId="0" borderId="56" xfId="0" applyFont="1" applyBorder="1"/>
    <xf numFmtId="0" fontId="26" fillId="0" borderId="57" xfId="0" applyFont="1" applyFill="1" applyBorder="1" applyAlignment="1">
      <alignment horizontal="center"/>
    </xf>
    <xf numFmtId="0" fontId="26" fillId="0" borderId="56" xfId="0" applyFont="1" applyBorder="1" applyAlignment="1">
      <alignment horizontal="center"/>
    </xf>
    <xf numFmtId="0" fontId="0" fillId="0" borderId="36" xfId="0" applyBorder="1"/>
    <xf numFmtId="0" fontId="26" fillId="0" borderId="58" xfId="0" applyFont="1" applyBorder="1"/>
    <xf numFmtId="0" fontId="0" fillId="0" borderId="59" xfId="0" applyBorder="1"/>
    <xf numFmtId="0" fontId="0" fillId="0" borderId="60" xfId="0" applyBorder="1"/>
    <xf numFmtId="0" fontId="26" fillId="0" borderId="51" xfId="0" applyFont="1" applyBorder="1"/>
    <xf numFmtId="0" fontId="26" fillId="0" borderId="0" xfId="0" applyFont="1" applyBorder="1"/>
    <xf numFmtId="0" fontId="27" fillId="0" borderId="20" xfId="0" applyFont="1" applyBorder="1" applyAlignment="1">
      <alignment vertical="center"/>
    </xf>
    <xf numFmtId="0" fontId="26" fillId="0" borderId="20" xfId="0" applyFont="1" applyBorder="1"/>
    <xf numFmtId="0" fontId="26" fillId="0" borderId="20" xfId="0" applyFont="1" applyBorder="1" applyAlignment="1"/>
    <xf numFmtId="0" fontId="8" fillId="0" borderId="44" xfId="0" applyNumberFormat="1" applyFont="1" applyFill="1" applyBorder="1" applyAlignment="1">
      <alignment horizontal="center" vertical="center" wrapText="1"/>
    </xf>
    <xf numFmtId="0" fontId="8" fillId="0" borderId="16" xfId="1" applyFont="1" applyFill="1" applyBorder="1" applyAlignment="1">
      <alignment wrapText="1"/>
    </xf>
    <xf numFmtId="0" fontId="26" fillId="0" borderId="54" xfId="0" applyFont="1" applyBorder="1"/>
    <xf numFmtId="0" fontId="26" fillId="0" borderId="55" xfId="0" applyFont="1" applyBorder="1"/>
    <xf numFmtId="0" fontId="0" fillId="0" borderId="42" xfId="0" applyBorder="1"/>
    <xf numFmtId="0" fontId="0" fillId="0" borderId="40" xfId="0" applyBorder="1"/>
    <xf numFmtId="0" fontId="0" fillId="0" borderId="43" xfId="0" applyBorder="1"/>
    <xf numFmtId="0" fontId="0" fillId="0" borderId="48" xfId="0" applyBorder="1"/>
    <xf numFmtId="0" fontId="0" fillId="0" borderId="31" xfId="0" applyBorder="1"/>
    <xf numFmtId="0" fontId="0" fillId="0" borderId="49" xfId="0" applyBorder="1"/>
    <xf numFmtId="0" fontId="25" fillId="0" borderId="24" xfId="0" applyFont="1" applyBorder="1"/>
    <xf numFmtId="0" fontId="26" fillId="0" borderId="0" xfId="0" applyFont="1" applyFill="1" applyBorder="1"/>
    <xf numFmtId="0" fontId="4" fillId="0" borderId="23" xfId="0" applyFont="1" applyBorder="1" applyAlignment="1">
      <alignment horizontal="center" textRotation="90"/>
    </xf>
    <xf numFmtId="0" fontId="4" fillId="0" borderId="57" xfId="0" applyFont="1" applyBorder="1" applyAlignment="1">
      <alignment horizontal="center"/>
    </xf>
    <xf numFmtId="0" fontId="8" fillId="0" borderId="44" xfId="0" applyFont="1" applyFill="1" applyBorder="1" applyAlignment="1">
      <alignment horizontal="center"/>
    </xf>
    <xf numFmtId="49" fontId="8" fillId="0" borderId="44" xfId="0" applyNumberFormat="1" applyFont="1" applyFill="1" applyBorder="1" applyAlignment="1">
      <alignment horizontal="center" wrapText="1"/>
    </xf>
    <xf numFmtId="0" fontId="3" fillId="0" borderId="44" xfId="0" applyFont="1" applyBorder="1" applyAlignment="1">
      <alignment horizontal="center" wrapText="1"/>
    </xf>
    <xf numFmtId="0" fontId="8" fillId="0" borderId="63" xfId="0" applyFont="1" applyFill="1" applyBorder="1" applyAlignment="1">
      <alignment wrapText="1"/>
    </xf>
    <xf numFmtId="0" fontId="8" fillId="0" borderId="43" xfId="0" applyNumberFormat="1" applyFont="1" applyFill="1" applyBorder="1" applyAlignment="1">
      <alignment horizontal="left" wrapText="1"/>
    </xf>
    <xf numFmtId="0" fontId="8" fillId="0" borderId="43" xfId="0" quotePrefix="1" applyNumberFormat="1" applyFont="1" applyFill="1" applyBorder="1" applyAlignment="1">
      <alignment horizontal="left" wrapText="1"/>
    </xf>
    <xf numFmtId="0" fontId="26" fillId="0" borderId="20" xfId="0" applyFont="1" applyFill="1" applyBorder="1" applyAlignment="1">
      <alignment wrapText="1"/>
    </xf>
    <xf numFmtId="0" fontId="27" fillId="0" borderId="20" xfId="0" applyFont="1" applyBorder="1" applyAlignment="1">
      <alignment vertical="center" wrapText="1"/>
    </xf>
    <xf numFmtId="0" fontId="0" fillId="0" borderId="20" xfId="0" applyBorder="1" applyAlignment="1">
      <alignment textRotation="90"/>
    </xf>
    <xf numFmtId="0" fontId="26" fillId="0" borderId="20" xfId="0" applyFont="1" applyBorder="1" applyAlignment="1">
      <alignment wrapText="1"/>
    </xf>
    <xf numFmtId="0" fontId="0" fillId="0" borderId="28" xfId="0" applyBorder="1" applyAlignment="1">
      <alignment textRotation="90"/>
    </xf>
    <xf numFmtId="0" fontId="0" fillId="0" borderId="0" xfId="0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8" fillId="0" borderId="28" xfId="0" applyFont="1" applyFill="1" applyBorder="1" applyAlignment="1">
      <alignment horizontal="center" vertical="center" wrapText="1"/>
    </xf>
    <xf numFmtId="0" fontId="8" fillId="0" borderId="20" xfId="0" applyFont="1" applyFill="1" applyBorder="1" applyAlignment="1">
      <alignment horizontal="center" vertical="center" wrapText="1"/>
    </xf>
    <xf numFmtId="0" fontId="0" fillId="0" borderId="0" xfId="0"/>
    <xf numFmtId="0" fontId="4" fillId="0" borderId="14" xfId="0" applyFont="1" applyBorder="1" applyAlignment="1">
      <alignment horizontal="center" textRotation="90"/>
    </xf>
    <xf numFmtId="0" fontId="25" fillId="0" borderId="0" xfId="0" applyFont="1"/>
    <xf numFmtId="0" fontId="4" fillId="0" borderId="23" xfId="0" applyFont="1" applyBorder="1" applyAlignment="1">
      <alignment horizontal="center" textRotation="90"/>
    </xf>
    <xf numFmtId="0" fontId="0" fillId="0" borderId="0" xfId="0"/>
    <xf numFmtId="0" fontId="13" fillId="0" borderId="36" xfId="0" applyFont="1" applyBorder="1" applyAlignment="1">
      <alignment wrapText="1"/>
    </xf>
    <xf numFmtId="0" fontId="8" fillId="0" borderId="42" xfId="0" applyFont="1" applyBorder="1" applyAlignment="1">
      <alignment horizontal="center"/>
    </xf>
    <xf numFmtId="0" fontId="0" fillId="0" borderId="20" xfId="0" applyBorder="1"/>
    <xf numFmtId="0" fontId="4" fillId="0" borderId="15" xfId="0" applyFont="1" applyBorder="1" applyAlignment="1">
      <alignment horizontal="center" vertical="center" wrapText="1"/>
    </xf>
    <xf numFmtId="0" fontId="0" fillId="0" borderId="23" xfId="0" applyBorder="1" applyAlignment="1">
      <alignment horizontal="center" vertical="center"/>
    </xf>
    <xf numFmtId="0" fontId="8" fillId="0" borderId="55" xfId="0" applyFont="1" applyFill="1" applyBorder="1" applyAlignment="1">
      <alignment horizontal="center" vertical="center" wrapText="1"/>
    </xf>
    <xf numFmtId="0" fontId="8" fillId="0" borderId="56" xfId="0" applyFont="1" applyFill="1" applyBorder="1" applyAlignment="1">
      <alignment horizontal="center" vertical="center" wrapText="1"/>
    </xf>
    <xf numFmtId="0" fontId="8" fillId="0" borderId="23" xfId="0" quotePrefix="1" applyNumberFormat="1" applyFont="1" applyFill="1" applyBorder="1" applyAlignment="1">
      <alignment horizontal="center" wrapText="1"/>
    </xf>
    <xf numFmtId="0" fontId="8" fillId="0" borderId="20" xfId="0" applyNumberFormat="1" applyFont="1" applyFill="1" applyBorder="1" applyAlignment="1">
      <alignment horizontal="center" wrapText="1"/>
    </xf>
    <xf numFmtId="0" fontId="26" fillId="0" borderId="64" xfId="0" applyFont="1" applyBorder="1" applyAlignment="1">
      <alignment textRotation="90"/>
    </xf>
    <xf numFmtId="0" fontId="26" fillId="0" borderId="15" xfId="0" applyFont="1" applyBorder="1" applyAlignment="1">
      <alignment textRotation="90"/>
    </xf>
    <xf numFmtId="0" fontId="26" fillId="0" borderId="38" xfId="0" applyFont="1" applyBorder="1" applyAlignment="1">
      <alignment textRotation="90"/>
    </xf>
    <xf numFmtId="0" fontId="26" fillId="0" borderId="53" xfId="0" applyFont="1" applyBorder="1" applyAlignment="1">
      <alignment horizontal="center" vertical="center"/>
    </xf>
    <xf numFmtId="0" fontId="26" fillId="0" borderId="65" xfId="0" applyFont="1" applyBorder="1" applyAlignment="1">
      <alignment horizontal="center" vertical="center"/>
    </xf>
    <xf numFmtId="0" fontId="8" fillId="0" borderId="66" xfId="0" applyFont="1" applyFill="1" applyBorder="1" applyAlignment="1">
      <alignment horizontal="center" vertical="center" wrapText="1"/>
    </xf>
    <xf numFmtId="0" fontId="26" fillId="0" borderId="54" xfId="0" applyFont="1" applyBorder="1" applyAlignment="1">
      <alignment horizontal="center" vertical="center"/>
    </xf>
    <xf numFmtId="0" fontId="26" fillId="0" borderId="55" xfId="0" applyFont="1" applyBorder="1" applyAlignment="1">
      <alignment horizontal="center" vertical="center"/>
    </xf>
    <xf numFmtId="0" fontId="26" fillId="0" borderId="56" xfId="0" applyFont="1" applyBorder="1" applyAlignment="1">
      <alignment horizontal="center" vertical="center"/>
    </xf>
    <xf numFmtId="0" fontId="25" fillId="0" borderId="0" xfId="0" quotePrefix="1" applyFont="1"/>
    <xf numFmtId="0" fontId="4" fillId="0" borderId="14" xfId="0" applyFont="1" applyBorder="1" applyAlignment="1">
      <alignment horizontal="center" textRotation="90" wrapText="1"/>
    </xf>
    <xf numFmtId="0" fontId="0" fillId="0" borderId="23" xfId="0" applyBorder="1"/>
    <xf numFmtId="1" fontId="17" fillId="0" borderId="14" xfId="0" applyNumberFormat="1" applyFont="1" applyBorder="1" applyAlignment="1">
      <alignment horizontal="center" textRotation="90"/>
    </xf>
    <xf numFmtId="1" fontId="18" fillId="0" borderId="22" xfId="0" applyNumberFormat="1" applyFont="1" applyBorder="1"/>
    <xf numFmtId="1" fontId="18" fillId="0" borderId="30" xfId="0" applyNumberFormat="1" applyFont="1" applyBorder="1"/>
    <xf numFmtId="0" fontId="15" fillId="0" borderId="16" xfId="0" applyFont="1" applyBorder="1" applyAlignment="1">
      <alignment horizontal="center" textRotation="90"/>
    </xf>
    <xf numFmtId="0" fontId="16" fillId="0" borderId="25" xfId="0" applyFont="1" applyBorder="1"/>
    <xf numFmtId="0" fontId="16" fillId="0" borderId="33" xfId="0" applyFont="1" applyBorder="1"/>
    <xf numFmtId="164" fontId="4" fillId="0" borderId="14" xfId="0" applyNumberFormat="1" applyFont="1" applyBorder="1" applyAlignment="1">
      <alignment horizontal="center" textRotation="90" wrapText="1"/>
    </xf>
    <xf numFmtId="0" fontId="25" fillId="0" borderId="22" xfId="0" applyFont="1" applyBorder="1"/>
    <xf numFmtId="0" fontId="25" fillId="0" borderId="30" xfId="0" applyFont="1" applyBorder="1"/>
    <xf numFmtId="0" fontId="4" fillId="0" borderId="16" xfId="0" applyFont="1" applyBorder="1" applyAlignment="1">
      <alignment horizontal="center" vertical="center" wrapText="1"/>
    </xf>
    <xf numFmtId="0" fontId="25" fillId="0" borderId="25" xfId="0" applyFont="1" applyBorder="1"/>
    <xf numFmtId="0" fontId="25" fillId="0" borderId="33" xfId="0" applyFont="1" applyBorder="1"/>
    <xf numFmtId="0" fontId="4" fillId="0" borderId="14" xfId="0" applyFont="1" applyBorder="1" applyAlignment="1">
      <alignment horizontal="center" textRotation="90"/>
    </xf>
    <xf numFmtId="49" fontId="4" fillId="0" borderId="2" xfId="0" applyNumberFormat="1" applyFont="1" applyFill="1" applyBorder="1" applyAlignment="1">
      <alignment horizontal="center" textRotation="90" wrapText="1"/>
    </xf>
    <xf numFmtId="0" fontId="25" fillId="0" borderId="0" xfId="0" applyFont="1"/>
    <xf numFmtId="0" fontId="25" fillId="0" borderId="8" xfId="0" applyFont="1" applyBorder="1"/>
    <xf numFmtId="0" fontId="4" fillId="0" borderId="18" xfId="0" applyFont="1" applyBorder="1" applyAlignment="1">
      <alignment horizontal="center" textRotation="90" wrapText="1"/>
    </xf>
    <xf numFmtId="0" fontId="25" fillId="0" borderId="27" xfId="0" applyFont="1" applyBorder="1"/>
    <xf numFmtId="0" fontId="25" fillId="0" borderId="35" xfId="0" applyFont="1" applyBorder="1"/>
    <xf numFmtId="0" fontId="7" fillId="0" borderId="14" xfId="0" applyFont="1" applyBorder="1" applyAlignment="1">
      <alignment horizontal="center" textRotation="90"/>
    </xf>
    <xf numFmtId="0" fontId="0" fillId="0" borderId="22" xfId="0" applyBorder="1"/>
    <xf numFmtId="0" fontId="0" fillId="0" borderId="30" xfId="0" applyBorder="1"/>
    <xf numFmtId="0" fontId="4" fillId="0" borderId="23" xfId="0" applyFont="1" applyBorder="1" applyAlignment="1">
      <alignment horizontal="center" textRotation="90"/>
    </xf>
    <xf numFmtId="0" fontId="2" fillId="0" borderId="1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2" fillId="0" borderId="5" xfId="0" applyFont="1" applyBorder="1" applyAlignment="1">
      <alignment horizontal="center"/>
    </xf>
    <xf numFmtId="0" fontId="0" fillId="0" borderId="0" xfId="0"/>
    <xf numFmtId="0" fontId="0" fillId="0" borderId="6" xfId="0" applyBorder="1"/>
    <xf numFmtId="0" fontId="2" fillId="0" borderId="7" xfId="0" applyFont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2" fillId="0" borderId="10" xfId="0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4" fillId="0" borderId="13" xfId="0" applyFont="1" applyBorder="1" applyAlignment="1">
      <alignment horizontal="center" vertical="center" wrapText="1"/>
    </xf>
    <xf numFmtId="0" fontId="0" fillId="0" borderId="21" xfId="0" applyBorder="1"/>
    <xf numFmtId="0" fontId="0" fillId="0" borderId="29" xfId="0" applyBorder="1"/>
    <xf numFmtId="0" fontId="4" fillId="0" borderId="14" xfId="0" applyFont="1" applyBorder="1" applyAlignment="1">
      <alignment horizontal="center" vertical="center" wrapText="1"/>
    </xf>
    <xf numFmtId="0" fontId="4" fillId="0" borderId="59" xfId="0" applyFont="1" applyBorder="1" applyAlignment="1">
      <alignment horizontal="center" vertical="center" wrapText="1"/>
    </xf>
    <xf numFmtId="0" fontId="4" fillId="0" borderId="60" xfId="0" applyFont="1" applyBorder="1" applyAlignment="1">
      <alignment horizontal="center" vertical="center" wrapText="1"/>
    </xf>
    <xf numFmtId="0" fontId="4" fillId="0" borderId="62" xfId="0" applyFont="1" applyBorder="1" applyAlignment="1">
      <alignment horizontal="center" vertical="center" wrapText="1"/>
    </xf>
    <xf numFmtId="49" fontId="6" fillId="0" borderId="17" xfId="0" applyNumberFormat="1" applyFont="1" applyBorder="1" applyAlignment="1">
      <alignment horizontal="center" textRotation="90" wrapText="1"/>
    </xf>
    <xf numFmtId="0" fontId="0" fillId="0" borderId="26" xfId="0" applyBorder="1"/>
    <xf numFmtId="0" fontId="0" fillId="0" borderId="34" xfId="0" applyBorder="1"/>
    <xf numFmtId="0" fontId="4" fillId="0" borderId="16" xfId="0" applyFont="1" applyBorder="1" applyAlignment="1">
      <alignment horizontal="center" textRotation="90"/>
    </xf>
    <xf numFmtId="0" fontId="0" fillId="0" borderId="24" xfId="0" applyBorder="1"/>
    <xf numFmtId="0" fontId="20" fillId="0" borderId="13" xfId="0" applyFont="1" applyBorder="1" applyAlignment="1">
      <alignment horizontal="center" textRotation="90"/>
    </xf>
    <xf numFmtId="0" fontId="21" fillId="0" borderId="21" xfId="0" applyFont="1" applyBorder="1"/>
    <xf numFmtId="0" fontId="21" fillId="0" borderId="29" xfId="0" applyFont="1" applyBorder="1"/>
    <xf numFmtId="0" fontId="4" fillId="0" borderId="22" xfId="0" applyFont="1" applyBorder="1" applyAlignment="1">
      <alignment horizontal="center" vertical="center" wrapText="1"/>
    </xf>
    <xf numFmtId="0" fontId="4" fillId="0" borderId="30" xfId="0" applyFont="1" applyBorder="1" applyAlignment="1">
      <alignment horizontal="center" vertical="center" wrapText="1"/>
    </xf>
    <xf numFmtId="0" fontId="4" fillId="0" borderId="18" xfId="0" applyFont="1" applyBorder="1" applyAlignment="1">
      <alignment horizontal="center" textRotation="90"/>
    </xf>
    <xf numFmtId="0" fontId="4" fillId="0" borderId="61" xfId="0" applyFont="1" applyBorder="1" applyAlignment="1">
      <alignment horizontal="center" textRotation="90"/>
    </xf>
    <xf numFmtId="0" fontId="4" fillId="0" borderId="37" xfId="0" applyFont="1" applyBorder="1" applyAlignment="1">
      <alignment horizontal="center" vertical="center" wrapText="1"/>
    </xf>
    <xf numFmtId="0" fontId="0" fillId="0" borderId="40" xfId="0" applyBorder="1"/>
    <xf numFmtId="0" fontId="0" fillId="0" borderId="48" xfId="0" applyBorder="1"/>
    <xf numFmtId="0" fontId="4" fillId="0" borderId="15" xfId="0" applyFont="1" applyBorder="1" applyAlignment="1">
      <alignment horizontal="center" vertical="center" wrapText="1"/>
    </xf>
    <xf numFmtId="0" fontId="0" fillId="0" borderId="20" xfId="0" applyBorder="1"/>
    <xf numFmtId="0" fontId="0" fillId="0" borderId="31" xfId="0" applyBorder="1"/>
    <xf numFmtId="0" fontId="26" fillId="0" borderId="14" xfId="0" applyFont="1" applyBorder="1" applyAlignment="1">
      <alignment horizontal="center" textRotation="90"/>
    </xf>
    <xf numFmtId="0" fontId="26" fillId="0" borderId="30" xfId="0" applyFont="1" applyBorder="1" applyAlignment="1">
      <alignment horizontal="center" textRotation="90"/>
    </xf>
    <xf numFmtId="0" fontId="4" fillId="0" borderId="20" xfId="0" applyFont="1" applyBorder="1" applyAlignment="1">
      <alignment horizontal="center" vertical="center" wrapText="1"/>
    </xf>
    <xf numFmtId="0" fontId="4" fillId="0" borderId="31" xfId="0" applyFont="1" applyBorder="1" applyAlignment="1">
      <alignment horizontal="center" vertical="center" wrapText="1"/>
    </xf>
    <xf numFmtId="0" fontId="4" fillId="0" borderId="38" xfId="0" applyFont="1" applyBorder="1" applyAlignment="1">
      <alignment horizontal="center" vertical="center" wrapText="1"/>
    </xf>
    <xf numFmtId="0" fontId="4" fillId="0" borderId="43" xfId="0" applyFont="1" applyBorder="1" applyAlignment="1">
      <alignment horizontal="center" vertical="center" wrapText="1"/>
    </xf>
    <xf numFmtId="0" fontId="4" fillId="0" borderId="32" xfId="0" applyFont="1" applyBorder="1" applyAlignment="1">
      <alignment horizontal="center" vertical="center" wrapText="1"/>
    </xf>
    <xf numFmtId="0" fontId="26" fillId="0" borderId="1" xfId="0" applyFont="1" applyBorder="1" applyAlignment="1">
      <alignment horizontal="center"/>
    </xf>
    <xf numFmtId="0" fontId="26" fillId="0" borderId="2" xfId="0" applyFont="1" applyBorder="1" applyAlignment="1">
      <alignment horizontal="center"/>
    </xf>
    <xf numFmtId="0" fontId="26" fillId="0" borderId="50" xfId="0" applyFont="1" applyBorder="1" applyAlignment="1">
      <alignment horizontal="center"/>
    </xf>
    <xf numFmtId="0" fontId="4" fillId="0" borderId="17" xfId="0" applyFont="1" applyBorder="1" applyAlignment="1">
      <alignment horizontal="center" vertical="center" wrapText="1"/>
    </xf>
    <xf numFmtId="0" fontId="26" fillId="0" borderId="10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52" xfId="0" applyFont="1" applyBorder="1" applyAlignment="1">
      <alignment horizontal="center"/>
    </xf>
    <xf numFmtId="0" fontId="26" fillId="0" borderId="0" xfId="0" applyFont="1" applyAlignment="1">
      <alignment horizontal="center"/>
    </xf>
    <xf numFmtId="0" fontId="26" fillId="0" borderId="0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EJ186"/>
  <sheetViews>
    <sheetView tabSelected="1" zoomScale="50" zoomScaleNormal="50" workbookViewId="0">
      <selection activeCell="BY10" sqref="BO10:BY10"/>
    </sheetView>
  </sheetViews>
  <sheetFormatPr defaultRowHeight="12.75" x14ac:dyDescent="0.2"/>
  <cols>
    <col min="1" max="1" width="4.5703125" bestFit="1" customWidth="1"/>
    <col min="2" max="2" width="18.42578125" bestFit="1" customWidth="1"/>
    <col min="3" max="3" width="43" customWidth="1"/>
    <col min="4" max="4" width="21.85546875" hidden="1" customWidth="1"/>
    <col min="5" max="5" width="19.42578125" hidden="1" customWidth="1"/>
    <col min="6" max="6" width="79.85546875" customWidth="1"/>
    <col min="7" max="7" width="59.140625" customWidth="1"/>
    <col min="8" max="8" width="6.42578125" bestFit="1" customWidth="1"/>
    <col min="9" max="12" width="6.42578125" customWidth="1"/>
    <col min="13" max="20" width="6.42578125" style="105" customWidth="1"/>
    <col min="21" max="50" width="6.42578125" style="115" customWidth="1"/>
    <col min="51" max="60" width="6.42578125" style="105" customWidth="1"/>
    <col min="61" max="65" width="6.42578125" customWidth="1"/>
    <col min="66" max="66" width="56.5703125" customWidth="1"/>
    <col min="67" max="75" width="6.42578125" customWidth="1"/>
    <col min="76" max="80" width="6.42578125" style="105" customWidth="1"/>
    <col min="81" max="110" width="6.42578125" style="115" customWidth="1"/>
    <col min="111" max="119" width="6.42578125" style="105" customWidth="1"/>
    <col min="120" max="127" width="6.42578125" customWidth="1"/>
    <col min="131" max="131" width="33.140625" customWidth="1"/>
  </cols>
  <sheetData>
    <row r="1" spans="1:140" s="101" customFormat="1" ht="13.5" thickBot="1" x14ac:dyDescent="0.25">
      <c r="A1" s="101" t="s">
        <v>77</v>
      </c>
      <c r="B1" s="101" t="s">
        <v>76</v>
      </c>
      <c r="C1" s="101" t="s">
        <v>77</v>
      </c>
      <c r="F1" s="101" t="s">
        <v>77</v>
      </c>
      <c r="H1" s="101" t="s">
        <v>95</v>
      </c>
      <c r="I1" s="115" t="s">
        <v>96</v>
      </c>
      <c r="J1" s="115" t="s">
        <v>97</v>
      </c>
      <c r="K1" s="115" t="s">
        <v>98</v>
      </c>
      <c r="L1" s="115" t="s">
        <v>99</v>
      </c>
      <c r="M1" s="115" t="s">
        <v>100</v>
      </c>
      <c r="N1" s="115" t="s">
        <v>101</v>
      </c>
      <c r="O1" s="115" t="s">
        <v>102</v>
      </c>
      <c r="P1" s="115" t="s">
        <v>103</v>
      </c>
      <c r="Q1" s="115" t="s">
        <v>104</v>
      </c>
      <c r="R1" s="115" t="s">
        <v>105</v>
      </c>
      <c r="S1" s="115" t="s">
        <v>106</v>
      </c>
      <c r="T1" s="115" t="s">
        <v>107</v>
      </c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5"/>
      <c r="AS1" s="115"/>
      <c r="AT1" s="115"/>
      <c r="AU1" s="115"/>
      <c r="AV1" s="115"/>
      <c r="AW1" s="115"/>
      <c r="AX1" s="115"/>
      <c r="AY1" s="115" t="s">
        <v>108</v>
      </c>
      <c r="AZ1" s="115" t="s">
        <v>109</v>
      </c>
      <c r="BA1" s="115" t="s">
        <v>110</v>
      </c>
      <c r="BB1" s="115" t="s">
        <v>111</v>
      </c>
      <c r="BC1" s="115" t="s">
        <v>112</v>
      </c>
      <c r="BD1" s="115" t="s">
        <v>113</v>
      </c>
      <c r="BE1" s="115" t="s">
        <v>114</v>
      </c>
      <c r="BF1" s="115" t="s">
        <v>115</v>
      </c>
      <c r="BG1" s="115" t="s">
        <v>116</v>
      </c>
      <c r="BH1" s="115" t="s">
        <v>117</v>
      </c>
      <c r="BI1" s="115" t="s">
        <v>118</v>
      </c>
      <c r="BJ1" s="115" t="s">
        <v>119</v>
      </c>
      <c r="BK1" s="101" t="s">
        <v>77</v>
      </c>
      <c r="BL1" s="101" t="s">
        <v>77</v>
      </c>
      <c r="BM1" s="101" t="s">
        <v>77</v>
      </c>
      <c r="BO1" s="101" t="s">
        <v>120</v>
      </c>
      <c r="BP1" s="101" t="s">
        <v>121</v>
      </c>
      <c r="BQ1" s="115" t="s">
        <v>122</v>
      </c>
      <c r="BR1" s="115" t="s">
        <v>123</v>
      </c>
      <c r="BS1" s="115" t="s">
        <v>124</v>
      </c>
      <c r="BT1" s="115" t="s">
        <v>125</v>
      </c>
      <c r="BU1" s="115" t="s">
        <v>126</v>
      </c>
      <c r="BV1" s="115" t="s">
        <v>127</v>
      </c>
      <c r="BW1" s="115" t="s">
        <v>128</v>
      </c>
      <c r="BX1" s="115" t="s">
        <v>129</v>
      </c>
      <c r="BY1" s="115" t="s">
        <v>130</v>
      </c>
      <c r="BZ1" s="115" t="s">
        <v>131</v>
      </c>
      <c r="CA1" s="115" t="s">
        <v>132</v>
      </c>
      <c r="CB1" s="115" t="s">
        <v>133</v>
      </c>
      <c r="CC1" s="115"/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5"/>
      <c r="CP1" s="115"/>
      <c r="CQ1" s="115"/>
      <c r="CR1" s="115"/>
      <c r="CS1" s="115"/>
      <c r="CT1" s="115"/>
      <c r="CU1" s="115"/>
      <c r="CV1" s="115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G1" s="115" t="s">
        <v>134</v>
      </c>
      <c r="DH1" s="115" t="s">
        <v>135</v>
      </c>
      <c r="DI1" s="115" t="s">
        <v>136</v>
      </c>
      <c r="DJ1" s="115" t="s">
        <v>137</v>
      </c>
      <c r="DK1" s="115" t="s">
        <v>138</v>
      </c>
      <c r="DL1" s="115" t="s">
        <v>139</v>
      </c>
      <c r="DM1" s="115" t="s">
        <v>140</v>
      </c>
      <c r="DN1" s="115" t="s">
        <v>141</v>
      </c>
      <c r="DO1" s="115" t="s">
        <v>142</v>
      </c>
      <c r="DP1" s="115" t="s">
        <v>143</v>
      </c>
      <c r="DQ1" s="115" t="s">
        <v>144</v>
      </c>
      <c r="DR1" s="101" t="s">
        <v>77</v>
      </c>
      <c r="DS1" s="101" t="s">
        <v>77</v>
      </c>
      <c r="DT1" s="101" t="s">
        <v>77</v>
      </c>
      <c r="DU1" s="101" t="s">
        <v>77</v>
      </c>
      <c r="DV1" s="101" t="s">
        <v>77</v>
      </c>
      <c r="DW1" s="101" t="s">
        <v>77</v>
      </c>
      <c r="DX1" s="101" t="s">
        <v>77</v>
      </c>
      <c r="DY1" s="101" t="s">
        <v>77</v>
      </c>
      <c r="DZ1" s="101" t="s">
        <v>77</v>
      </c>
      <c r="EA1" s="101" t="s">
        <v>77</v>
      </c>
    </row>
    <row r="2" spans="1:140" ht="18.75" x14ac:dyDescent="0.3">
      <c r="A2" s="240" t="s">
        <v>94</v>
      </c>
      <c r="B2" s="241"/>
      <c r="C2" s="241"/>
      <c r="D2" s="241"/>
      <c r="E2" s="241"/>
      <c r="F2" s="241"/>
      <c r="G2" s="241"/>
      <c r="H2" s="241"/>
      <c r="I2" s="241"/>
      <c r="J2" s="241"/>
      <c r="K2" s="241"/>
      <c r="L2" s="241"/>
      <c r="M2" s="241"/>
      <c r="N2" s="241"/>
      <c r="O2" s="241"/>
      <c r="P2" s="241"/>
      <c r="Q2" s="241"/>
      <c r="R2" s="241"/>
      <c r="S2" s="241"/>
      <c r="T2" s="241"/>
      <c r="U2" s="241"/>
      <c r="V2" s="241"/>
      <c r="W2" s="241"/>
      <c r="X2" s="241"/>
      <c r="Y2" s="241"/>
      <c r="Z2" s="241"/>
      <c r="AA2" s="241"/>
      <c r="AB2" s="241"/>
      <c r="AC2" s="241"/>
      <c r="AD2" s="241"/>
      <c r="AE2" s="241"/>
      <c r="AF2" s="241"/>
      <c r="AG2" s="241"/>
      <c r="AH2" s="241"/>
      <c r="AI2" s="241"/>
      <c r="AJ2" s="241"/>
      <c r="AK2" s="241"/>
      <c r="AL2" s="241"/>
      <c r="AM2" s="241"/>
      <c r="AN2" s="241"/>
      <c r="AO2" s="241"/>
      <c r="AP2" s="241"/>
      <c r="AQ2" s="241"/>
      <c r="AR2" s="241"/>
      <c r="AS2" s="241"/>
      <c r="AT2" s="241"/>
      <c r="AU2" s="241"/>
      <c r="AV2" s="241"/>
      <c r="AW2" s="241"/>
      <c r="AX2" s="241"/>
      <c r="AY2" s="241"/>
      <c r="AZ2" s="241"/>
      <c r="BA2" s="241"/>
      <c r="BB2" s="241"/>
      <c r="BC2" s="241"/>
      <c r="BD2" s="241"/>
      <c r="BE2" s="241"/>
      <c r="BF2" s="241"/>
      <c r="BG2" s="241"/>
      <c r="BH2" s="241"/>
      <c r="BI2" s="241"/>
      <c r="BJ2" s="241"/>
      <c r="BK2" s="241"/>
      <c r="BL2" s="241"/>
      <c r="BM2" s="241"/>
      <c r="BN2" s="241"/>
      <c r="BO2" s="241"/>
      <c r="BP2" s="241"/>
      <c r="BQ2" s="241"/>
      <c r="BR2" s="241"/>
      <c r="BS2" s="241"/>
      <c r="BT2" s="241"/>
      <c r="BU2" s="241"/>
      <c r="BV2" s="241"/>
      <c r="BW2" s="241"/>
      <c r="BX2" s="241"/>
      <c r="BY2" s="241"/>
      <c r="BZ2" s="241"/>
      <c r="CA2" s="241"/>
      <c r="CB2" s="241"/>
      <c r="CC2" s="241"/>
      <c r="CD2" s="241"/>
      <c r="CE2" s="241"/>
      <c r="CF2" s="241"/>
      <c r="CG2" s="241"/>
      <c r="CH2" s="241"/>
      <c r="CI2" s="241"/>
      <c r="CJ2" s="241"/>
      <c r="CK2" s="241"/>
      <c r="CL2" s="241"/>
      <c r="CM2" s="241"/>
      <c r="CN2" s="241"/>
      <c r="CO2" s="241"/>
      <c r="CP2" s="241"/>
      <c r="CQ2" s="241"/>
      <c r="CR2" s="241"/>
      <c r="CS2" s="241"/>
      <c r="CT2" s="241"/>
      <c r="CU2" s="241"/>
      <c r="CV2" s="241"/>
      <c r="CW2" s="241"/>
      <c r="CX2" s="241"/>
      <c r="CY2" s="241"/>
      <c r="CZ2" s="241"/>
      <c r="DA2" s="241"/>
      <c r="DB2" s="241"/>
      <c r="DC2" s="241"/>
      <c r="DD2" s="241"/>
      <c r="DE2" s="241"/>
      <c r="DF2" s="241"/>
      <c r="DG2" s="241"/>
      <c r="DH2" s="241"/>
      <c r="DI2" s="241"/>
      <c r="DJ2" s="241"/>
      <c r="DK2" s="241"/>
      <c r="DL2" s="241"/>
      <c r="DM2" s="241"/>
      <c r="DN2" s="241"/>
      <c r="DO2" s="241"/>
      <c r="DP2" s="241"/>
      <c r="DQ2" s="241"/>
      <c r="DR2" s="241"/>
      <c r="DS2" s="241"/>
      <c r="DT2" s="241"/>
      <c r="DU2" s="241"/>
      <c r="DV2" s="241"/>
      <c r="DW2" s="241"/>
      <c r="DX2" s="241"/>
      <c r="DY2" s="241"/>
      <c r="DZ2" s="241"/>
      <c r="EA2" s="242"/>
      <c r="EB2" s="1"/>
      <c r="EI2" s="2"/>
      <c r="EJ2" s="2"/>
    </row>
    <row r="3" spans="1:140" ht="18.75" x14ac:dyDescent="0.3">
      <c r="A3" s="243" t="s">
        <v>0</v>
      </c>
      <c r="B3" s="244"/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  <c r="AF3" s="244"/>
      <c r="AG3" s="244"/>
      <c r="AH3" s="244"/>
      <c r="AI3" s="244"/>
      <c r="AJ3" s="244"/>
      <c r="AK3" s="244"/>
      <c r="AL3" s="244"/>
      <c r="AM3" s="244"/>
      <c r="AN3" s="244"/>
      <c r="AO3" s="244"/>
      <c r="AP3" s="244"/>
      <c r="AQ3" s="244"/>
      <c r="AR3" s="244"/>
      <c r="AS3" s="244"/>
      <c r="AT3" s="244"/>
      <c r="AU3" s="244"/>
      <c r="AV3" s="244"/>
      <c r="AW3" s="244"/>
      <c r="AX3" s="244"/>
      <c r="AY3" s="244"/>
      <c r="AZ3" s="244"/>
      <c r="BA3" s="244"/>
      <c r="BB3" s="244"/>
      <c r="BC3" s="244"/>
      <c r="BD3" s="244"/>
      <c r="BE3" s="244"/>
      <c r="BF3" s="244"/>
      <c r="BG3" s="244"/>
      <c r="BH3" s="244"/>
      <c r="BI3" s="244"/>
      <c r="BJ3" s="244"/>
      <c r="BK3" s="244"/>
      <c r="BL3" s="244"/>
      <c r="BM3" s="244"/>
      <c r="BN3" s="244"/>
      <c r="BO3" s="244"/>
      <c r="BP3" s="244"/>
      <c r="BQ3" s="244"/>
      <c r="BR3" s="244"/>
      <c r="BS3" s="244"/>
      <c r="BT3" s="244"/>
      <c r="BU3" s="244"/>
      <c r="BV3" s="244"/>
      <c r="BW3" s="244"/>
      <c r="BX3" s="244"/>
      <c r="BY3" s="244"/>
      <c r="BZ3" s="244"/>
      <c r="CA3" s="244"/>
      <c r="CB3" s="244"/>
      <c r="CC3" s="244"/>
      <c r="CD3" s="244"/>
      <c r="CE3" s="244"/>
      <c r="CF3" s="244"/>
      <c r="CG3" s="244"/>
      <c r="CH3" s="244"/>
      <c r="CI3" s="244"/>
      <c r="CJ3" s="244"/>
      <c r="CK3" s="244"/>
      <c r="CL3" s="244"/>
      <c r="CM3" s="244"/>
      <c r="CN3" s="244"/>
      <c r="CO3" s="244"/>
      <c r="CP3" s="244"/>
      <c r="CQ3" s="244"/>
      <c r="CR3" s="244"/>
      <c r="CS3" s="244"/>
      <c r="CT3" s="244"/>
      <c r="CU3" s="244"/>
      <c r="CV3" s="244"/>
      <c r="CW3" s="244"/>
      <c r="CX3" s="244"/>
      <c r="CY3" s="244"/>
      <c r="CZ3" s="244"/>
      <c r="DA3" s="244"/>
      <c r="DB3" s="244"/>
      <c r="DC3" s="244"/>
      <c r="DD3" s="244"/>
      <c r="DE3" s="244"/>
      <c r="DF3" s="244"/>
      <c r="DG3" s="244"/>
      <c r="DH3" s="244"/>
      <c r="DI3" s="244"/>
      <c r="DJ3" s="244"/>
      <c r="DK3" s="244"/>
      <c r="DL3" s="244"/>
      <c r="DM3" s="244"/>
      <c r="DN3" s="244"/>
      <c r="DO3" s="244"/>
      <c r="DP3" s="244"/>
      <c r="DQ3" s="244"/>
      <c r="DR3" s="244"/>
      <c r="DS3" s="244"/>
      <c r="DT3" s="244"/>
      <c r="DU3" s="244"/>
      <c r="DV3" s="244"/>
      <c r="DW3" s="244"/>
      <c r="DX3" s="244"/>
      <c r="DY3" s="244"/>
      <c r="DZ3" s="244"/>
      <c r="EA3" s="245"/>
      <c r="EB3" s="1"/>
      <c r="EI3" s="2"/>
      <c r="EJ3" s="2"/>
    </row>
    <row r="4" spans="1:140" ht="18.75" x14ac:dyDescent="0.3">
      <c r="A4" s="243" t="s">
        <v>1</v>
      </c>
      <c r="B4" s="244"/>
      <c r="C4" s="244"/>
      <c r="D4" s="244"/>
      <c r="E4" s="244"/>
      <c r="F4" s="244"/>
      <c r="G4" s="244"/>
      <c r="H4" s="244"/>
      <c r="I4" s="244"/>
      <c r="J4" s="244"/>
      <c r="K4" s="244"/>
      <c r="L4" s="244"/>
      <c r="M4" s="244"/>
      <c r="N4" s="244"/>
      <c r="O4" s="244"/>
      <c r="P4" s="244"/>
      <c r="Q4" s="244"/>
      <c r="R4" s="244"/>
      <c r="S4" s="244"/>
      <c r="T4" s="244"/>
      <c r="U4" s="244"/>
      <c r="V4" s="244"/>
      <c r="W4" s="244"/>
      <c r="X4" s="244"/>
      <c r="Y4" s="244"/>
      <c r="Z4" s="244"/>
      <c r="AA4" s="244"/>
      <c r="AB4" s="244"/>
      <c r="AC4" s="244"/>
      <c r="AD4" s="244"/>
      <c r="AE4" s="244"/>
      <c r="AF4" s="244"/>
      <c r="AG4" s="244"/>
      <c r="AH4" s="244"/>
      <c r="AI4" s="244"/>
      <c r="AJ4" s="244"/>
      <c r="AK4" s="244"/>
      <c r="AL4" s="244"/>
      <c r="AM4" s="244"/>
      <c r="AN4" s="244"/>
      <c r="AO4" s="244"/>
      <c r="AP4" s="244"/>
      <c r="AQ4" s="244"/>
      <c r="AR4" s="244"/>
      <c r="AS4" s="244"/>
      <c r="AT4" s="244"/>
      <c r="AU4" s="244"/>
      <c r="AV4" s="244"/>
      <c r="AW4" s="244"/>
      <c r="AX4" s="244"/>
      <c r="AY4" s="244"/>
      <c r="AZ4" s="244"/>
      <c r="BA4" s="244"/>
      <c r="BB4" s="244"/>
      <c r="BC4" s="244"/>
      <c r="BD4" s="244"/>
      <c r="BE4" s="244"/>
      <c r="BF4" s="244"/>
      <c r="BG4" s="244"/>
      <c r="BH4" s="244"/>
      <c r="BI4" s="244"/>
      <c r="BJ4" s="244"/>
      <c r="BK4" s="244"/>
      <c r="BL4" s="244"/>
      <c r="BM4" s="244"/>
      <c r="BN4" s="244"/>
      <c r="BO4" s="244"/>
      <c r="BP4" s="244"/>
      <c r="BQ4" s="244"/>
      <c r="BR4" s="244"/>
      <c r="BS4" s="244"/>
      <c r="BT4" s="244"/>
      <c r="BU4" s="244"/>
      <c r="BV4" s="244"/>
      <c r="BW4" s="244"/>
      <c r="BX4" s="244"/>
      <c r="BY4" s="244"/>
      <c r="BZ4" s="244"/>
      <c r="CA4" s="244"/>
      <c r="CB4" s="244"/>
      <c r="CC4" s="244"/>
      <c r="CD4" s="244"/>
      <c r="CE4" s="244"/>
      <c r="CF4" s="244"/>
      <c r="CG4" s="244"/>
      <c r="CH4" s="244"/>
      <c r="CI4" s="244"/>
      <c r="CJ4" s="244"/>
      <c r="CK4" s="244"/>
      <c r="CL4" s="244"/>
      <c r="CM4" s="244"/>
      <c r="CN4" s="244"/>
      <c r="CO4" s="244"/>
      <c r="CP4" s="244"/>
      <c r="CQ4" s="244"/>
      <c r="CR4" s="244"/>
      <c r="CS4" s="244"/>
      <c r="CT4" s="244"/>
      <c r="CU4" s="244"/>
      <c r="CV4" s="244"/>
      <c r="CW4" s="244"/>
      <c r="CX4" s="244"/>
      <c r="CY4" s="244"/>
      <c r="CZ4" s="244"/>
      <c r="DA4" s="244"/>
      <c r="DB4" s="244"/>
      <c r="DC4" s="244"/>
      <c r="DD4" s="244"/>
      <c r="DE4" s="244"/>
      <c r="DF4" s="244"/>
      <c r="DG4" s="244"/>
      <c r="DH4" s="244"/>
      <c r="DI4" s="244"/>
      <c r="DJ4" s="244"/>
      <c r="DK4" s="244"/>
      <c r="DL4" s="244"/>
      <c r="DM4" s="244"/>
      <c r="DN4" s="244"/>
      <c r="DO4" s="244"/>
      <c r="DP4" s="244"/>
      <c r="DQ4" s="244"/>
      <c r="DR4" s="244"/>
      <c r="DS4" s="244"/>
      <c r="DT4" s="244"/>
      <c r="DU4" s="244"/>
      <c r="DV4" s="244"/>
      <c r="DW4" s="244"/>
      <c r="DX4" s="244"/>
      <c r="DY4" s="244"/>
      <c r="DZ4" s="244"/>
      <c r="EA4" s="245"/>
      <c r="EB4" s="1"/>
      <c r="EI4" s="2"/>
      <c r="EJ4" s="2"/>
    </row>
    <row r="5" spans="1:140" ht="19.5" thickBot="1" x14ac:dyDescent="0.35">
      <c r="A5" s="246" t="s">
        <v>2</v>
      </c>
      <c r="B5" s="247"/>
      <c r="C5" s="247"/>
      <c r="D5" s="247"/>
      <c r="E5" s="247"/>
      <c r="F5" s="247"/>
      <c r="G5" s="247"/>
      <c r="H5" s="247"/>
      <c r="I5" s="247"/>
      <c r="J5" s="247"/>
      <c r="K5" s="247"/>
      <c r="L5" s="247"/>
      <c r="M5" s="247"/>
      <c r="N5" s="247"/>
      <c r="O5" s="247"/>
      <c r="P5" s="247"/>
      <c r="Q5" s="247"/>
      <c r="R5" s="247"/>
      <c r="S5" s="247"/>
      <c r="T5" s="247"/>
      <c r="U5" s="247"/>
      <c r="V5" s="247"/>
      <c r="W5" s="247"/>
      <c r="X5" s="247"/>
      <c r="Y5" s="247"/>
      <c r="Z5" s="247"/>
      <c r="AA5" s="247"/>
      <c r="AB5" s="247"/>
      <c r="AC5" s="247"/>
      <c r="AD5" s="247"/>
      <c r="AE5" s="247"/>
      <c r="AF5" s="247"/>
      <c r="AG5" s="247"/>
      <c r="AH5" s="247"/>
      <c r="AI5" s="247"/>
      <c r="AJ5" s="247"/>
      <c r="AK5" s="247"/>
      <c r="AL5" s="247"/>
      <c r="AM5" s="247"/>
      <c r="AN5" s="247"/>
      <c r="AO5" s="247"/>
      <c r="AP5" s="247"/>
      <c r="AQ5" s="247"/>
      <c r="AR5" s="247"/>
      <c r="AS5" s="247"/>
      <c r="AT5" s="247"/>
      <c r="AU5" s="247"/>
      <c r="AV5" s="247"/>
      <c r="AW5" s="247"/>
      <c r="AX5" s="247"/>
      <c r="AY5" s="247"/>
      <c r="AZ5" s="247"/>
      <c r="BA5" s="247"/>
      <c r="BB5" s="247"/>
      <c r="BC5" s="247"/>
      <c r="BD5" s="247"/>
      <c r="BE5" s="247"/>
      <c r="BF5" s="247"/>
      <c r="BG5" s="247"/>
      <c r="BH5" s="247"/>
      <c r="BI5" s="247"/>
      <c r="BJ5" s="247"/>
      <c r="BK5" s="247"/>
      <c r="BL5" s="247"/>
      <c r="BM5" s="247"/>
      <c r="BN5" s="247"/>
      <c r="BO5" s="247"/>
      <c r="BP5" s="247"/>
      <c r="BQ5" s="247"/>
      <c r="BR5" s="247"/>
      <c r="BS5" s="247"/>
      <c r="BT5" s="247"/>
      <c r="BU5" s="247"/>
      <c r="BV5" s="247"/>
      <c r="BW5" s="247"/>
      <c r="BX5" s="247"/>
      <c r="BY5" s="247"/>
      <c r="BZ5" s="247"/>
      <c r="CA5" s="247"/>
      <c r="CB5" s="247"/>
      <c r="CC5" s="247"/>
      <c r="CD5" s="247"/>
      <c r="CE5" s="247"/>
      <c r="CF5" s="247"/>
      <c r="CG5" s="247"/>
      <c r="CH5" s="247"/>
      <c r="CI5" s="247"/>
      <c r="CJ5" s="247"/>
      <c r="CK5" s="247"/>
      <c r="CL5" s="247"/>
      <c r="CM5" s="247"/>
      <c r="CN5" s="247"/>
      <c r="CO5" s="247"/>
      <c r="CP5" s="247"/>
      <c r="CQ5" s="247"/>
      <c r="CR5" s="247"/>
      <c r="CS5" s="247"/>
      <c r="CT5" s="247"/>
      <c r="CU5" s="247"/>
      <c r="CV5" s="247"/>
      <c r="CW5" s="247"/>
      <c r="CX5" s="247"/>
      <c r="CY5" s="247"/>
      <c r="CZ5" s="247"/>
      <c r="DA5" s="247"/>
      <c r="DB5" s="247"/>
      <c r="DC5" s="247"/>
      <c r="DD5" s="247"/>
      <c r="DE5" s="247"/>
      <c r="DF5" s="247"/>
      <c r="DG5" s="247"/>
      <c r="DH5" s="247"/>
      <c r="DI5" s="247"/>
      <c r="DJ5" s="247"/>
      <c r="DK5" s="247"/>
      <c r="DL5" s="247"/>
      <c r="DM5" s="247"/>
      <c r="DN5" s="247"/>
      <c r="DO5" s="247"/>
      <c r="DP5" s="247"/>
      <c r="DQ5" s="247"/>
      <c r="DR5" s="247"/>
      <c r="DS5" s="247"/>
      <c r="DT5" s="247"/>
      <c r="DU5" s="247"/>
      <c r="DV5" s="247"/>
      <c r="DW5" s="247"/>
      <c r="DX5" s="247"/>
      <c r="DY5" s="247"/>
      <c r="DZ5" s="247"/>
      <c r="EA5" s="248"/>
      <c r="EB5" s="1"/>
      <c r="EI5" s="2"/>
      <c r="EJ5" s="2"/>
    </row>
    <row r="6" spans="1:140" ht="19.5" thickBot="1" x14ac:dyDescent="0.35">
      <c r="A6" s="249" t="s">
        <v>3</v>
      </c>
      <c r="B6" s="250"/>
      <c r="C6" s="250"/>
      <c r="D6" s="250"/>
      <c r="E6" s="250"/>
      <c r="F6" s="250"/>
      <c r="G6" s="250"/>
      <c r="H6" s="250"/>
      <c r="I6" s="250"/>
      <c r="J6" s="250"/>
      <c r="K6" s="250"/>
      <c r="L6" s="250"/>
      <c r="M6" s="250"/>
      <c r="N6" s="250"/>
      <c r="O6" s="250"/>
      <c r="P6" s="250"/>
      <c r="Q6" s="250"/>
      <c r="R6" s="250"/>
      <c r="S6" s="250"/>
      <c r="T6" s="250"/>
      <c r="U6" s="250"/>
      <c r="V6" s="250"/>
      <c r="W6" s="250"/>
      <c r="X6" s="250"/>
      <c r="Y6" s="250"/>
      <c r="Z6" s="250"/>
      <c r="AA6" s="250"/>
      <c r="AB6" s="250"/>
      <c r="AC6" s="250"/>
      <c r="AD6" s="250"/>
      <c r="AE6" s="250"/>
      <c r="AF6" s="250"/>
      <c r="AG6" s="250"/>
      <c r="AH6" s="250"/>
      <c r="AI6" s="250"/>
      <c r="AJ6" s="250"/>
      <c r="AK6" s="250"/>
      <c r="AL6" s="250"/>
      <c r="AM6" s="250"/>
      <c r="AN6" s="250"/>
      <c r="AO6" s="250"/>
      <c r="AP6" s="250"/>
      <c r="AQ6" s="250"/>
      <c r="AR6" s="250"/>
      <c r="AS6" s="250"/>
      <c r="AT6" s="250"/>
      <c r="AU6" s="250"/>
      <c r="AV6" s="250"/>
      <c r="AW6" s="250"/>
      <c r="AX6" s="250"/>
      <c r="AY6" s="250"/>
      <c r="AZ6" s="250"/>
      <c r="BA6" s="250"/>
      <c r="BB6" s="250"/>
      <c r="BC6" s="250"/>
      <c r="BD6" s="250"/>
      <c r="BE6" s="250"/>
      <c r="BF6" s="250"/>
      <c r="BG6" s="250"/>
      <c r="BH6" s="250"/>
      <c r="BI6" s="250"/>
      <c r="BJ6" s="250"/>
      <c r="BK6" s="250"/>
      <c r="BL6" s="250"/>
      <c r="BM6" s="250"/>
      <c r="BN6" s="250"/>
      <c r="BO6" s="250"/>
      <c r="BP6" s="250"/>
      <c r="BQ6" s="250"/>
      <c r="BR6" s="250"/>
      <c r="BS6" s="250"/>
      <c r="BT6" s="250"/>
      <c r="BU6" s="250"/>
      <c r="BV6" s="250"/>
      <c r="BW6" s="250"/>
      <c r="BX6" s="250"/>
      <c r="BY6" s="250"/>
      <c r="BZ6" s="250"/>
      <c r="CA6" s="250"/>
      <c r="CB6" s="250"/>
      <c r="CC6" s="250"/>
      <c r="CD6" s="250"/>
      <c r="CE6" s="250"/>
      <c r="CF6" s="250"/>
      <c r="CG6" s="250"/>
      <c r="CH6" s="250"/>
      <c r="CI6" s="250"/>
      <c r="CJ6" s="250"/>
      <c r="CK6" s="250"/>
      <c r="CL6" s="250"/>
      <c r="CM6" s="250"/>
      <c r="CN6" s="250"/>
      <c r="CO6" s="250"/>
      <c r="CP6" s="250"/>
      <c r="CQ6" s="250"/>
      <c r="CR6" s="250"/>
      <c r="CS6" s="250"/>
      <c r="CT6" s="250"/>
      <c r="CU6" s="250"/>
      <c r="CV6" s="250"/>
      <c r="CW6" s="250"/>
      <c r="CX6" s="250"/>
      <c r="CY6" s="250"/>
      <c r="CZ6" s="250"/>
      <c r="DA6" s="250"/>
      <c r="DB6" s="250"/>
      <c r="DC6" s="250"/>
      <c r="DD6" s="250"/>
      <c r="DE6" s="250"/>
      <c r="DF6" s="250"/>
      <c r="DG6" s="250"/>
      <c r="DH6" s="250"/>
      <c r="DI6" s="250"/>
      <c r="DJ6" s="250"/>
      <c r="DK6" s="250"/>
      <c r="DL6" s="250"/>
      <c r="DM6" s="250"/>
      <c r="DN6" s="250"/>
      <c r="DO6" s="250"/>
      <c r="DP6" s="250"/>
      <c r="DQ6" s="250"/>
      <c r="DR6" s="250"/>
      <c r="DS6" s="250"/>
      <c r="DT6" s="250"/>
      <c r="DU6" s="250"/>
      <c r="DV6" s="250"/>
      <c r="DW6" s="250"/>
      <c r="DX6" s="250"/>
      <c r="DY6" s="250"/>
      <c r="DZ6" s="250"/>
      <c r="EA6" s="251"/>
      <c r="EB6" s="1"/>
      <c r="EI6" s="2"/>
      <c r="EJ6" s="2"/>
    </row>
    <row r="7" spans="1:140" ht="16.5" customHeight="1" x14ac:dyDescent="0.25">
      <c r="A7" s="252" t="s">
        <v>4</v>
      </c>
      <c r="B7" s="255" t="s">
        <v>5</v>
      </c>
      <c r="C7" s="255" t="s">
        <v>6</v>
      </c>
      <c r="D7" s="255" t="s">
        <v>7</v>
      </c>
      <c r="E7" s="255" t="s">
        <v>8</v>
      </c>
      <c r="F7" s="255" t="s">
        <v>67</v>
      </c>
      <c r="G7" s="255" t="s">
        <v>9</v>
      </c>
      <c r="H7" s="229" t="str">
        <f ca="1">OFFSET(data!$AC$4,0,0,1,1)</f>
        <v>MTH110</v>
      </c>
      <c r="I7" s="215" t="str">
        <f ca="1">OFFSET(data!$AC$4,1,0,1,1)</f>
        <v>MTH111</v>
      </c>
      <c r="J7" s="215" t="str">
        <f ca="1">OFFSET(data!$AC$4,2,0,1,1)</f>
        <v>PHY111</v>
      </c>
      <c r="K7" s="215" t="str">
        <f ca="1">OFFSET(data!$AC$4,3,0,1,1)</f>
        <v>PHY112</v>
      </c>
      <c r="L7" s="215" t="str">
        <f ca="1">OFFSET(data!$AC$4,4,0,1,1)</f>
        <v>CHM111</v>
      </c>
      <c r="M7" s="215" t="str">
        <f ca="1">OFFSET(data!$AC$4,5,0,1,1)</f>
        <v>CHM112</v>
      </c>
      <c r="N7" s="215" t="str">
        <f ca="1">OFFSET(data!$AC$4,6,0,1,1)</f>
        <v>GST111</v>
      </c>
      <c r="O7" s="215" t="str">
        <f ca="1">OFFSET(data!$AC$4,7,0,1,1)</f>
        <v>GST112</v>
      </c>
      <c r="P7" s="215">
        <f ca="1">OFFSET(data!$AC$4,8,0,1,1)</f>
        <v>0</v>
      </c>
      <c r="Q7" s="215">
        <f ca="1">OFFSET(data!$AC$4,9,0,1,1)</f>
        <v>0</v>
      </c>
      <c r="R7" s="215" t="str">
        <f ca="1">OFFSET(data!$AC$4,10,0,1,1)</f>
        <v>CHE211</v>
      </c>
      <c r="S7" s="215" t="str">
        <f ca="1">OFFSET(data!$AC$4,11,0,1,1)</f>
        <v>CVE211</v>
      </c>
      <c r="T7" s="215" t="str">
        <f ca="1">OFFSET(data!$AC$4,12,0,1,1)</f>
        <v>MEE211</v>
      </c>
      <c r="U7" s="215" t="str">
        <f ca="1">OFFSET(data!$AC$4,13,0,1,1)</f>
        <v>MEE212</v>
      </c>
      <c r="V7" s="215" t="str">
        <f ca="1">OFFSET(data!$AC$4,14,0,1,1)</f>
        <v>PRE211</v>
      </c>
      <c r="W7" s="215"/>
      <c r="X7" s="215"/>
      <c r="Y7" s="215"/>
      <c r="Z7" s="215"/>
      <c r="AA7" s="215"/>
      <c r="AB7" s="215"/>
      <c r="AC7" s="215"/>
      <c r="AD7" s="215"/>
      <c r="AE7" s="215"/>
      <c r="AF7" s="215"/>
      <c r="AG7" s="215"/>
      <c r="AH7" s="215"/>
      <c r="AI7" s="215"/>
      <c r="AJ7" s="215"/>
      <c r="AK7" s="215"/>
      <c r="AL7" s="215"/>
      <c r="AM7" s="215"/>
      <c r="AN7" s="215"/>
      <c r="AO7" s="215"/>
      <c r="AP7" s="215"/>
      <c r="AQ7" s="215"/>
      <c r="AR7" s="215"/>
      <c r="AS7" s="215"/>
      <c r="AT7" s="215"/>
      <c r="AU7" s="215"/>
      <c r="AV7" s="215"/>
      <c r="AW7" s="215"/>
      <c r="AX7" s="215"/>
      <c r="AY7" s="215"/>
      <c r="AZ7" s="215"/>
      <c r="BA7" s="215"/>
      <c r="BB7" s="215"/>
      <c r="BC7" s="215"/>
      <c r="BD7" s="215"/>
      <c r="BE7" s="215"/>
      <c r="BF7" s="215"/>
      <c r="BG7" s="215"/>
      <c r="BH7" s="215"/>
      <c r="BI7" s="229"/>
      <c r="BJ7" s="262"/>
      <c r="BK7" s="264" t="s">
        <v>17</v>
      </c>
      <c r="BL7" s="217" t="s">
        <v>18</v>
      </c>
      <c r="BM7" s="220" t="s">
        <v>19</v>
      </c>
      <c r="BN7" s="256" t="s">
        <v>20</v>
      </c>
      <c r="BO7" s="269" t="str">
        <f ca="1">OFFSET(data!$AC$4,0,0,1,1)</f>
        <v>MTH110</v>
      </c>
      <c r="BP7" s="229"/>
      <c r="BQ7" s="229"/>
      <c r="BR7" s="229"/>
      <c r="BS7" s="229"/>
      <c r="BT7" s="229"/>
      <c r="BU7" s="229"/>
      <c r="BV7" s="229"/>
      <c r="BW7" s="229"/>
      <c r="BX7" s="229"/>
      <c r="BY7" s="229"/>
      <c r="BZ7" s="229"/>
      <c r="CA7" s="229"/>
      <c r="CB7" s="229"/>
      <c r="CC7" s="113"/>
      <c r="CD7" s="113"/>
      <c r="CE7" s="113"/>
      <c r="CF7" s="113"/>
      <c r="CG7" s="113"/>
      <c r="CH7" s="113"/>
      <c r="CI7" s="113"/>
      <c r="CJ7" s="113"/>
      <c r="CK7" s="113"/>
      <c r="CL7" s="113"/>
      <c r="CM7" s="113"/>
      <c r="CN7" s="113"/>
      <c r="CO7" s="113"/>
      <c r="CP7" s="113"/>
      <c r="CQ7" s="113"/>
      <c r="CR7" s="113"/>
      <c r="CS7" s="113"/>
      <c r="CT7" s="113"/>
      <c r="CU7" s="113"/>
      <c r="CV7" s="113"/>
      <c r="CW7" s="113"/>
      <c r="CX7" s="113"/>
      <c r="CY7" s="113"/>
      <c r="CZ7" s="113"/>
      <c r="DA7" s="113"/>
      <c r="DB7" s="113"/>
      <c r="DC7" s="113"/>
      <c r="DD7" s="113"/>
      <c r="DE7" s="113"/>
      <c r="DF7" s="113"/>
      <c r="DG7" s="229"/>
      <c r="DH7" s="229"/>
      <c r="DI7" s="229"/>
      <c r="DJ7" s="229"/>
      <c r="DK7" s="229"/>
      <c r="DL7" s="229"/>
      <c r="DM7" s="229"/>
      <c r="DN7" s="229"/>
      <c r="DO7" s="229"/>
      <c r="DP7" s="229"/>
      <c r="DQ7" s="229"/>
      <c r="DR7" s="259" t="s">
        <v>21</v>
      </c>
      <c r="DS7" s="230" t="s">
        <v>22</v>
      </c>
      <c r="DT7" s="233" t="s">
        <v>23</v>
      </c>
      <c r="DU7" s="236" t="s">
        <v>24</v>
      </c>
      <c r="DV7" s="229" t="s">
        <v>25</v>
      </c>
      <c r="DW7" s="229" t="s">
        <v>86</v>
      </c>
      <c r="DX7" s="223" t="s">
        <v>26</v>
      </c>
      <c r="DY7" s="215" t="s">
        <v>27</v>
      </c>
      <c r="DZ7" s="215" t="s">
        <v>28</v>
      </c>
      <c r="EA7" s="226" t="s">
        <v>87</v>
      </c>
      <c r="EB7" s="4"/>
      <c r="EI7" s="5"/>
      <c r="EJ7" s="5"/>
    </row>
    <row r="8" spans="1:140" ht="81" customHeight="1" x14ac:dyDescent="0.25">
      <c r="A8" s="253"/>
      <c r="B8" s="237"/>
      <c r="C8" s="237"/>
      <c r="D8" s="237"/>
      <c r="E8" s="237"/>
      <c r="F8" s="267"/>
      <c r="G8" s="237"/>
      <c r="H8" s="216"/>
      <c r="I8" s="216"/>
      <c r="J8" s="216"/>
      <c r="K8" s="216"/>
      <c r="L8" s="216"/>
      <c r="M8" s="216"/>
      <c r="N8" s="216"/>
      <c r="O8" s="216"/>
      <c r="P8" s="216"/>
      <c r="Q8" s="216"/>
      <c r="R8" s="216"/>
      <c r="S8" s="216"/>
      <c r="T8" s="216"/>
      <c r="U8" s="216"/>
      <c r="V8" s="216"/>
      <c r="W8" s="216"/>
      <c r="X8" s="216"/>
      <c r="Y8" s="216"/>
      <c r="Z8" s="216"/>
      <c r="AA8" s="216"/>
      <c r="AB8" s="216"/>
      <c r="AC8" s="216"/>
      <c r="AD8" s="216"/>
      <c r="AE8" s="216"/>
      <c r="AF8" s="216"/>
      <c r="AG8" s="216"/>
      <c r="AH8" s="216"/>
      <c r="AI8" s="216"/>
      <c r="AJ8" s="216"/>
      <c r="AK8" s="216"/>
      <c r="AL8" s="216"/>
      <c r="AM8" s="216"/>
      <c r="AN8" s="216"/>
      <c r="AO8" s="216"/>
      <c r="AP8" s="216"/>
      <c r="AQ8" s="216"/>
      <c r="AR8" s="216"/>
      <c r="AS8" s="216"/>
      <c r="AT8" s="216"/>
      <c r="AU8" s="216"/>
      <c r="AV8" s="216"/>
      <c r="AW8" s="216"/>
      <c r="AX8" s="216"/>
      <c r="AY8" s="216"/>
      <c r="AZ8" s="216"/>
      <c r="BA8" s="216"/>
      <c r="BB8" s="216"/>
      <c r="BC8" s="216"/>
      <c r="BD8" s="216"/>
      <c r="BE8" s="216"/>
      <c r="BF8" s="216"/>
      <c r="BG8" s="216"/>
      <c r="BH8" s="216"/>
      <c r="BI8" s="216"/>
      <c r="BJ8" s="263"/>
      <c r="BK8" s="265"/>
      <c r="BL8" s="218"/>
      <c r="BM8" s="221"/>
      <c r="BN8" s="257"/>
      <c r="BO8" s="270"/>
      <c r="BP8" s="239"/>
      <c r="BQ8" s="239"/>
      <c r="BR8" s="239"/>
      <c r="BS8" s="239"/>
      <c r="BT8" s="239"/>
      <c r="BU8" s="239"/>
      <c r="BV8" s="239"/>
      <c r="BW8" s="239"/>
      <c r="BX8" s="239"/>
      <c r="BY8" s="239"/>
      <c r="BZ8" s="239"/>
      <c r="CA8" s="239"/>
      <c r="CB8" s="239"/>
      <c r="CC8" s="174"/>
      <c r="CD8" s="174"/>
      <c r="CE8" s="174"/>
      <c r="CF8" s="174"/>
      <c r="CG8" s="174"/>
      <c r="CH8" s="174"/>
      <c r="CI8" s="174"/>
      <c r="CJ8" s="174"/>
      <c r="CK8" s="174"/>
      <c r="CL8" s="174"/>
      <c r="CM8" s="174"/>
      <c r="CN8" s="174"/>
      <c r="CO8" s="174"/>
      <c r="CP8" s="174"/>
      <c r="CQ8" s="174"/>
      <c r="CR8" s="174"/>
      <c r="CS8" s="174"/>
      <c r="CT8" s="174"/>
      <c r="CU8" s="174"/>
      <c r="CV8" s="174"/>
      <c r="CW8" s="174"/>
      <c r="CX8" s="174"/>
      <c r="CY8" s="174"/>
      <c r="CZ8" s="174"/>
      <c r="DA8" s="174"/>
      <c r="DB8" s="174"/>
      <c r="DC8" s="174"/>
      <c r="DD8" s="174"/>
      <c r="DE8" s="174"/>
      <c r="DF8" s="174"/>
      <c r="DG8" s="239"/>
      <c r="DH8" s="239"/>
      <c r="DI8" s="239"/>
      <c r="DJ8" s="239"/>
      <c r="DK8" s="239"/>
      <c r="DL8" s="239"/>
      <c r="DM8" s="239"/>
      <c r="DN8" s="239"/>
      <c r="DO8" s="239"/>
      <c r="DP8" s="239"/>
      <c r="DQ8" s="239"/>
      <c r="DR8" s="260"/>
      <c r="DS8" s="231"/>
      <c r="DT8" s="234"/>
      <c r="DU8" s="237"/>
      <c r="DV8" s="237"/>
      <c r="DW8" s="224"/>
      <c r="DX8" s="224"/>
      <c r="DY8" s="224"/>
      <c r="DZ8" s="224"/>
      <c r="EA8" s="227"/>
      <c r="EB8" s="4"/>
      <c r="EI8" s="5"/>
      <c r="EJ8" s="5"/>
    </row>
    <row r="9" spans="1:140" ht="16.5" thickBot="1" x14ac:dyDescent="0.3">
      <c r="A9" s="254"/>
      <c r="B9" s="238"/>
      <c r="C9" s="238"/>
      <c r="D9" s="238"/>
      <c r="E9" s="238"/>
      <c r="F9" s="268"/>
      <c r="G9" s="238"/>
      <c r="H9" s="6">
        <v>3</v>
      </c>
      <c r="I9" s="6">
        <v>3</v>
      </c>
      <c r="J9" s="6">
        <v>3</v>
      </c>
      <c r="K9" s="6">
        <v>3</v>
      </c>
      <c r="L9" s="6">
        <v>3</v>
      </c>
      <c r="M9" s="6">
        <v>3</v>
      </c>
      <c r="N9" s="6">
        <v>3</v>
      </c>
      <c r="O9" s="6">
        <v>3</v>
      </c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7"/>
      <c r="BK9" s="266"/>
      <c r="BL9" s="219"/>
      <c r="BM9" s="222"/>
      <c r="BN9" s="258"/>
      <c r="BO9" s="175">
        <v>3</v>
      </c>
      <c r="BP9" s="6">
        <v>3</v>
      </c>
      <c r="BQ9" s="6">
        <v>3</v>
      </c>
      <c r="BR9" s="6">
        <v>3</v>
      </c>
      <c r="BS9" s="6">
        <v>3</v>
      </c>
      <c r="BT9" s="6">
        <v>3</v>
      </c>
      <c r="BU9" s="6">
        <v>3</v>
      </c>
      <c r="BV9" s="6">
        <v>3</v>
      </c>
      <c r="BW9" s="6">
        <v>3</v>
      </c>
      <c r="BX9" s="6">
        <v>3</v>
      </c>
      <c r="BY9" s="6">
        <v>3</v>
      </c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261"/>
      <c r="DS9" s="232"/>
      <c r="DT9" s="235"/>
      <c r="DU9" s="238"/>
      <c r="DV9" s="238"/>
      <c r="DW9" s="225"/>
      <c r="DX9" s="225"/>
      <c r="DY9" s="225"/>
      <c r="DZ9" s="225"/>
      <c r="EA9" s="228"/>
      <c r="EB9" s="4"/>
      <c r="EI9" s="5"/>
      <c r="EJ9" s="5"/>
    </row>
    <row r="10" spans="1:140" ht="32.25" thickBot="1" x14ac:dyDescent="0.3">
      <c r="A10" s="8"/>
      <c r="B10" s="9"/>
      <c r="C10" s="10" t="str">
        <f>D10 &amp; " " &amp; E10</f>
        <v xml:space="preserve"> </v>
      </c>
      <c r="D10" s="11"/>
      <c r="E10" s="11"/>
      <c r="F10" s="10" t="str">
        <f>G10&amp;" "&amp;BN10</f>
        <v xml:space="preserve"> </v>
      </c>
      <c r="G10" s="163" t="str">
        <f>IF(H10&lt;&gt;"", $H$7 &amp; "/" &amp; $H$9 &amp; "/" &amp; H10 &amp; ", ","") &amp; IF(I10&lt;&gt;"", $I$7 &amp; "/" &amp; $I$9 &amp; "/" &amp; I10 &amp; ", ","") &amp; IF(J10&lt;&gt;"", $J$7 &amp; "/" &amp; $J$9 &amp; "/" &amp; J10 &amp; ", ","") &amp; IF(K10&lt;&gt;"", $K$7 &amp; "/" &amp; $K$9 &amp; "/" &amp; K10 &amp; ", ","") &amp; IF(L10&lt;&gt;"", $L$7 &amp; "/" &amp; $L$9 &amp; "/" &amp; L10 &amp; ", ","") &amp; IF(M10&lt;&gt;"", $M$7 &amp; "/" &amp; $M$9 &amp; "/" &amp; M10 &amp; ", ","") &amp; IF(N10&lt;&gt;"", $N$7 &amp; "/" &amp; $N$9 &amp; "/" &amp; N10 &amp; ", ","") &amp; IF(O10&lt;&gt;"", $O$7 &amp; "/" &amp; $O$9 &amp; "/" &amp; O10 &amp; ", ","") &amp; IF(P10&lt;&gt;"", $P$7 &amp; "/" &amp; $P$9 &amp; "/" &amp; P10 &amp; ", ","") &amp; IF(Q10&lt;&gt;"", $Q$7 &amp; "/" &amp; $Q$9 &amp; "/" &amp; Q10 &amp; ", ","") &amp; IF(R10&lt;&gt;"", $R$7 &amp; "/" &amp; $R$9 &amp; "/" &amp; R10 &amp; ", ","") &amp; IF(S10&lt;&gt;"", $S$7 &amp; "/" &amp; $S$9 &amp; "/" &amp; S10 &amp; ", ","") &amp; IF(T10&lt;&gt;"", $T$7 &amp; "/" &amp; $T$9 &amp; "/" &amp; T10 &amp; ", ","") &amp; IF(AY10&lt;&gt;"", $AY$7 &amp; "/" &amp; $AY$9 &amp; "/" &amp; AY10 &amp; ", ","") &amp; IF(AZ10&lt;&gt;"", $AZ$7 &amp; "/" &amp; $AZ$9 &amp; "/" &amp; AZ10 &amp; ", ","") &amp; IF(BA10&lt;&gt;"", $BA$7 &amp; "/" &amp; $BA$9 &amp; "/" &amp; BA10 &amp; ", ","") &amp; IF(BB10&lt;&gt;"", $BB$7 &amp; "/" &amp; $BB$9 &amp; "/" &amp; BB10 &amp; ", ","") &amp; IF(BC10&lt;&gt;"", $BC$7 &amp; "/" &amp; $BC$9 &amp; "/" &amp; BC10 &amp; ", ","") &amp; IF(BD10&lt;&gt;"", $BD$7 &amp; "/" &amp; $BD$9 &amp; "/" &amp; BD10 &amp; ", ","") &amp; IF(BE10&lt;&gt;"", $BE$7 &amp; "/" &amp; $BE$9 &amp; "/" &amp; BE10 &amp; ", ","") &amp; IF(BF10&lt;&gt;"", $BF$7 &amp; "/" &amp; $BF$9 &amp; "/" &amp; BF10 &amp; ", ","") &amp; IF(BG10&lt;&gt;"", $BG$7 &amp; "/" &amp; $BG$9 &amp; "/" &amp; BG10 &amp; ", ","") &amp; IF(BH10&lt;&gt;"", $BH$7 &amp; "/" &amp; $BH$9 &amp; "/" &amp; BH10 &amp; ", ","") &amp; IF(BI10&lt;&gt;"", $BI$7 &amp; "/" &amp; $BI$9 &amp; "/" &amp; BI10 &amp; ", ","") &amp; IF(BJ10&lt;&gt;"", $BJ$7 &amp; "/" &amp; $BJ$9 &amp; "/" &amp; BJ10 &amp; ", ","")</f>
        <v/>
      </c>
      <c r="H10" s="117"/>
      <c r="I10" s="118"/>
      <c r="J10" s="118"/>
      <c r="K10" s="118"/>
      <c r="L10" s="118"/>
      <c r="M10" s="118"/>
      <c r="N10" s="118"/>
      <c r="O10" s="118"/>
      <c r="P10" s="118"/>
      <c r="Q10" s="118"/>
      <c r="R10" s="118"/>
      <c r="S10" s="118"/>
      <c r="T10" s="118"/>
      <c r="U10" s="118"/>
      <c r="V10" s="118"/>
      <c r="W10" s="118"/>
      <c r="X10" s="118"/>
      <c r="Y10" s="118"/>
      <c r="Z10" s="118"/>
      <c r="AA10" s="118"/>
      <c r="AB10" s="118"/>
      <c r="AC10" s="118"/>
      <c r="AD10" s="118"/>
      <c r="AE10" s="118"/>
      <c r="AF10" s="118"/>
      <c r="AG10" s="118"/>
      <c r="AH10" s="118"/>
      <c r="AI10" s="118"/>
      <c r="AJ10" s="118"/>
      <c r="AK10" s="118"/>
      <c r="AL10" s="118"/>
      <c r="AM10" s="118"/>
      <c r="AN10" s="118"/>
      <c r="AO10" s="118"/>
      <c r="AP10" s="118"/>
      <c r="AQ10" s="118"/>
      <c r="AR10" s="118"/>
      <c r="AS10" s="118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18"/>
      <c r="BE10" s="118"/>
      <c r="BF10" s="118"/>
      <c r="BG10" s="118"/>
      <c r="BH10" s="118"/>
      <c r="BI10" s="118"/>
      <c r="BJ10" s="119"/>
      <c r="BK10" s="90">
        <f>SUM(H9:BJ9)-0-0-0-0</f>
        <v>24</v>
      </c>
      <c r="BL10" s="91" t="e">
        <f ca="1">TCP(H10:BJ10,$H$9:$BJ$9,data!$H$8)</f>
        <v>#NAME?</v>
      </c>
      <c r="BM10" s="92">
        <v>12</v>
      </c>
      <c r="BN10" s="179" t="str">
        <f>IF(BO10&lt;&gt;"", $BO$7 &amp; "/" &amp; $BO$9 &amp; "/" &amp; BO10 &amp; ", ","") &amp; IF(BP10&lt;&gt;"", $BP$7 &amp; "/" &amp; $BP$9 &amp; "/" &amp; BP10 &amp; ", ","") &amp; IF(BQ10&lt;&gt;"", $BQ$7 &amp; "/" &amp; $BQ$9 &amp; "/" &amp; BQ10 &amp; ", ","") &amp; IF(BR10&lt;&gt;"", $BR$7 &amp; "/" &amp; $BR$9 &amp; "/" &amp; BR10 &amp; ", ","") &amp; IF(BS10&lt;&gt;"", $BS$7 &amp; "/" &amp; $BS$9 &amp; "/" &amp; BS10 &amp; ", ","") &amp; IF(BT10&lt;&gt;"", $BT$7 &amp; "/" &amp; $BT$9 &amp; "/" &amp; BT10 &amp; ", ","") &amp; IF(BU10&lt;&gt;"", $BU$7 &amp; "/" &amp; $BU$9 &amp; "/" &amp; BU10 &amp; ", ","") &amp; IF(BV10&lt;&gt;"", $BV$7 &amp; "/" &amp; $BV$9 &amp; "/" &amp; BV10 &amp; ", ","") &amp; IF(BW10&lt;&gt;"", $BW$7 &amp; "/" &amp; $BW$9 &amp; "/" &amp; BW10 &amp; ", ","") &amp; IF(BX10&lt;&gt;"", $BX$7 &amp; "/" &amp; $BX$9 &amp; "/" &amp; BX10 &amp; ", ","") &amp; IF(BY10&lt;&gt;"", $BY$7 &amp; "/" &amp; $BY$9 &amp; "/" &amp; BY10 &amp; ", ","") &amp; IF(BZ10&lt;&gt;"", $BZ$7 &amp; "/" &amp; $BZ$9 &amp; "/" &amp; BZ10 &amp; ", ","") &amp; IF(CA10&lt;&gt;"", $CA$7 &amp; "/" &amp; $CA$9 &amp; "/" &amp; CA10 &amp; ", ","") &amp; IF(CB10&lt;&gt;"", $CB$7 &amp; "/" &amp; $CB$9 &amp; "/" &amp; CB10 &amp; ", ","") &amp; IF(CC10&lt;&gt;"", $CC$7 &amp; "/" &amp; $CC$9 &amp; "/" &amp; CC10 &amp; ", ","") &amp; IF(CD10&lt;&gt;"", $CD$7 &amp; "/" &amp; $CD$9 &amp; "/" &amp; CD10 &amp; ", ","") &amp; IF(CE10&lt;&gt;"", $CE$7 &amp; "/" &amp; $CE$9 &amp; "/" &amp; CE10 &amp; ", ","") &amp; IF(CF10&lt;&gt;"", $CF$7 &amp; "/" &amp; $CF$9 &amp; "/" &amp; CF10 &amp; ", ","") &amp; IF(CG10&lt;&gt;"", $CG$7 &amp; "/" &amp; $CG$9 &amp; "/" &amp; CG10 &amp; ", ","") &amp; IF(CH10&lt;&gt;"", $CH$7 &amp; "/" &amp; $CH$9 &amp; "/" &amp; CH10 &amp; ", ","") &amp; IF(CI10&lt;&gt;"", $CI$7 &amp; "/" &amp; $CI$9 &amp; "/" &amp; CI10 &amp; ", ","") &amp; IF(CJ10&lt;&gt;"", $CJ$7 &amp; "/" &amp; $CJ$9 &amp; "/" &amp; CJ10 &amp; ", ","") &amp; IF(CK10&lt;&gt;"", $CK$7 &amp; "/" &amp; $CK$9 &amp; "/" &amp; CK10 &amp; ", ","") &amp; IF(CL10&lt;&gt;"", $CL$7 &amp; "/" &amp; $CL$9 &amp; "/" &amp; CL10 &amp; ", ","") &amp; IF(CM10&lt;&gt;"", $CM$7 &amp; "/" &amp; $CM$9 &amp; "/" &amp; CM10 &amp; ", ","") &amp; IF(CN10&lt;&gt;"", $CN$7 &amp; "/" &amp; $CN$9 &amp; "/" &amp; CN10 &amp; ", ","") &amp; IF(CO10&lt;&gt;"", $CO$7 &amp; "/" &amp; $CO$9 &amp; "/" &amp; CO10 &amp; ", ","") &amp; IF(CP10&lt;&gt;"", $CP$7 &amp; "/" &amp; $CP$9 &amp; "/" &amp; CP10 &amp; ", ","") &amp; IF(CQ10&lt;&gt;"", $CQ$7 &amp; "/" &amp; $CQ$9 &amp; "/" &amp; CQ10 &amp; ", ","") &amp; IF(CR10&lt;&gt;"", $CR$7 &amp; "/" &amp; $CR$9 &amp; "/" &amp; CR10 &amp; ", ","") &amp; IF(CS10&lt;&gt;"", $CS$7 &amp; "/" &amp; $CS$9 &amp; "/" &amp; CS10 &amp; ", ","") &amp; IF(CT10&lt;&gt;"", $CT$7 &amp; "/" &amp; $CT$9 &amp; "/" &amp; CT10 &amp; ", ","") &amp; IF(CU10&lt;&gt;"", $CU$7 &amp; "/" &amp; $CU$9 &amp; "/" &amp; CU10 &amp; ", ","") &amp; IF(CV10&lt;&gt;"", $CV$7 &amp; "/" &amp; $CV$9 &amp; "/" &amp; CV10 &amp; ", ","") &amp; IF(CW10&lt;&gt;"", $CW$7 &amp; "/" &amp; $CW$9 &amp; "/" &amp; CW10 &amp; ", ","") &amp; IF(CX10&lt;&gt;"", $CX$7 &amp; "/" &amp; $CX$9 &amp; "/" &amp; CX10 &amp; ", ","") &amp; IF(CY10&lt;&gt;"", $CY$7 &amp; "/" &amp; $CY$9 &amp; "/" &amp; CY10 &amp; ", ","") &amp; IF(CZ10&lt;&gt;"", $CZ$7 &amp; "/" &amp; $CZ$9 &amp; "/" &amp; CZ10 &amp; ", ","") &amp; IF(DA10&lt;&gt;"", $DA$7 &amp; "/" &amp; $DA$9 &amp; "/" &amp; DA10 &amp; ", ","") &amp; IF(DB10&lt;&gt;"", $DB$7 &amp; "/" &amp; $DB$9 &amp; "/" &amp; DB10 &amp; ", ","") &amp; IF(DC10&lt;&gt;"", $DC$7 &amp; "/" &amp; $DC$9 &amp; "/" &amp; DC10 &amp; ", ","") &amp; IF(DD10&lt;&gt;"", $DD$7 &amp; "/" &amp; $DD$9 &amp; "/" &amp; DD10 &amp; ", ","") &amp; IF(DE10&lt;&gt;"", $DE$7 &amp; "/" &amp; $DE$9 &amp; "/" &amp; DE10 &amp; ", ","") &amp; IF(DF10&lt;&gt;"", $DF$7 &amp; "/" &amp; $DF$9 &amp; "/" &amp; DF10 &amp; ", ","") &amp; IF(DG10&lt;&gt;"", $DG$7 &amp; "/" &amp; $DG$9 &amp; "/" &amp; DG10 &amp; ", ","") &amp; IF(DH10&lt;&gt;"", $DH$7 &amp; "/" &amp; $DH$9 &amp; "/" &amp; DH10 &amp; ", ","") &amp; IF(DI10&lt;&gt;"", $DI$7 &amp; "/" &amp; $DI$9 &amp; "/" &amp; DI10 &amp; ", ","") &amp; IF(DJ10&lt;&gt;"", $DJ$7 &amp; "/" &amp; $DJ$9 &amp; "/" &amp; DJ10 &amp; ", ","") &amp; IF(DK10&lt;&gt;"", $DK$7 &amp; "/" &amp; $DK$9 &amp; "/" &amp; DK10 &amp; ", ","") &amp; IF(DL10&lt;&gt;"", $DL$7 &amp; "/" &amp; $DL$9 &amp; "/" &amp; DL10 &amp; ", ","") &amp; IF(DM10&lt;&gt;"", $DM$7 &amp; "/" &amp; $DM$9 &amp; "/" &amp; DM10 &amp; ", ","") &amp; IF(DN10&lt;&gt;"", $DN$7 &amp; "/" &amp; $DN$9 &amp; "/" &amp; DN10 &amp; ", ","") &amp; IF(DO10&lt;&gt;"", $DO$7 &amp; "/" &amp; $DO$9 &amp; "/" &amp; DO10 &amp; ", ","") &amp; IF(DP10&lt;&gt;"", $DP$7 &amp; "/" &amp; $DP$9 &amp; "/" &amp; DP10 &amp; ", ","") &amp; IF(DQ10&lt;&gt;"", $DQ$7 &amp; "/" &amp; $DQ$9 &amp; "/" &amp; DQ10 &amp; ", ","")</f>
        <v/>
      </c>
      <c r="BO10" s="176"/>
      <c r="BP10" s="13"/>
      <c r="BQ10" s="13"/>
      <c r="BR10" s="13"/>
      <c r="BS10" s="14"/>
      <c r="BT10" s="13"/>
      <c r="BU10" s="13"/>
      <c r="BV10" s="13"/>
      <c r="BW10" s="13"/>
      <c r="BX10" s="13"/>
      <c r="BY10" s="13"/>
      <c r="BZ10" s="13"/>
      <c r="CA10" s="13"/>
      <c r="CB10" s="13"/>
      <c r="CC10" s="13"/>
      <c r="CD10" s="13"/>
      <c r="CE10" s="13"/>
      <c r="CF10" s="13"/>
      <c r="CG10" s="13"/>
      <c r="CH10" s="13"/>
      <c r="CI10" s="13"/>
      <c r="CJ10" s="13"/>
      <c r="CK10" s="13"/>
      <c r="CL10" s="13"/>
      <c r="CM10" s="13"/>
      <c r="CN10" s="13"/>
      <c r="CO10" s="13"/>
      <c r="CP10" s="13"/>
      <c r="CQ10" s="13"/>
      <c r="CR10" s="13"/>
      <c r="CS10" s="13"/>
      <c r="CT10" s="13"/>
      <c r="CU10" s="13"/>
      <c r="CV10" s="13"/>
      <c r="CW10" s="13"/>
      <c r="CX10" s="13"/>
      <c r="CY10" s="13"/>
      <c r="CZ10" s="13"/>
      <c r="DA10" s="13"/>
      <c r="DB10" s="13"/>
      <c r="DC10" s="13"/>
      <c r="DD10" s="13"/>
      <c r="DE10" s="13"/>
      <c r="DF10" s="13"/>
      <c r="DG10" s="13"/>
      <c r="DH10" s="13"/>
      <c r="DI10" s="13"/>
      <c r="DJ10" s="13"/>
      <c r="DK10" s="13"/>
      <c r="DL10" s="13"/>
      <c r="DM10" s="13"/>
      <c r="DN10" s="13"/>
      <c r="DO10" s="13"/>
      <c r="DP10" s="13"/>
      <c r="DQ10" s="15"/>
      <c r="DR10" s="129" t="e">
        <f ca="1">DT10-DS10</f>
        <v>#NAME?</v>
      </c>
      <c r="DS10" s="130" t="e">
        <f ca="1">TCP(BO10:DQ10,$BO$9:$DQ$9,data!$H$8)</f>
        <v>#NAME?</v>
      </c>
      <c r="DT10" s="131">
        <f>SUM(IF(BO10&gt;data!$I$9,Broadsheet!$BO$9,0),IF(BP10&gt;data!$I$9,Broadsheet!$BP$9,0),IF(BQ10&gt;data!$I$9,Broadsheet!$BQ$9,0),IF(BR10&gt;data!$I$9,Broadsheet!$BR$9,0),IF(BS10&gt;data!$I$9,Broadsheet!$BS$9,0),IF(BT10&gt;data!$I$9,Broadsheet!$BT$9,0),IF(BU10&gt;data!$I$9,Broadsheet!$BU$9,0),IF(BV10&gt;data!$I$9,Broadsheet!$BV$9,0),IF(BW10&gt;data!$I$9,Broadsheet!$BW$9,0),IF(BX10&gt;data!$I$9,Broadsheet!$BX$9,0),IF(BY10&gt;data!$I$9,Broadsheet!$BY$9,0),IF(BZ10&gt;data!$I$9,Broadsheet!$BZ$9,0),IF(CA10&gt;data!$I$9,Broadsheet!$CA$9,0),IF(CB10&gt;data!$I$9,Broadsheet!$CB$9,0),IF(DG10&gt;data!$I$9,Broadsheet!$DG$9,0),IF(DH10&gt;data!$I$9,Broadsheet!$DH$9,0),IF(DI10&gt;data!$I$9,Broadsheet!$DI$9,0),IF(DJ10&gt;data!$I$9,Broadsheet!$DJ$9,0),IF(DK10&gt;data!$I$9,Broadsheet!$DK$9,0),IF(DL10&gt;data!$I$9,Broadsheet!$DL$9,0),IF(DM10&gt;data!$I$9,Broadsheet!$DM$9,0),IF(DN10&gt;data!$I$9,Broadsheet!$DN$9,0),IF(DO10&gt;data!$I$9,Broadsheet!$DO$9,0),IF(DP10&gt;data!$I$9,Broadsheet!$DP$9,0),IF(DQ10&gt;data!$I$9,Broadsheet!$DQ$9,0))</f>
        <v>0</v>
      </c>
      <c r="DU10" s="121" t="e">
        <f ca="1">DR10+BK10</f>
        <v>#NAME?</v>
      </c>
      <c r="DV10" s="121" t="e">
        <f ca="1">DS10+BL10</f>
        <v>#NAME?</v>
      </c>
      <c r="DW10" s="130">
        <f>BM10+DT10</f>
        <v>12</v>
      </c>
      <c r="DX10" s="132" t="str">
        <f>IF(OR(EA10="",GPA!Y10="WAIVED"),GPA!W10,"")</f>
        <v/>
      </c>
      <c r="DY10" s="133" t="str">
        <f>IF(DX10&lt;&gt;"",#REF!,"")</f>
        <v/>
      </c>
      <c r="DZ10" s="17"/>
      <c r="EA10" s="18" t="str">
        <f>GPA!Z10&amp;" "&amp;GPA!AA10</f>
        <v xml:space="preserve">PRE571 </v>
      </c>
      <c r="EB10" s="4"/>
      <c r="EI10" s="23"/>
      <c r="EJ10" s="23"/>
    </row>
    <row r="11" spans="1:140" ht="16.5" thickBot="1" x14ac:dyDescent="0.3">
      <c r="A11" s="12"/>
      <c r="B11" s="16"/>
      <c r="C11" s="24" t="str">
        <f>D11 &amp; " " &amp; E11</f>
        <v xml:space="preserve"> </v>
      </c>
      <c r="D11" s="25"/>
      <c r="E11" s="20"/>
      <c r="F11" s="19" t="str">
        <f>G11&amp;" "&amp;BN11</f>
        <v xml:space="preserve"> </v>
      </c>
      <c r="G11" s="181" t="str">
        <f>IF(H11&lt;&gt;"", $H$7 &amp; "/" &amp; $H$9 &amp; "/" &amp; H11 &amp; ", ","") &amp; IF(I11&lt;&gt;"", $I$7 &amp; "/" &amp; $I$9 &amp; "/" &amp; I11 &amp; ", ","") &amp; IF(J11&lt;&gt;"", $J$7 &amp; "/" &amp; $J$9 &amp; "/" &amp; J11 &amp; ", ","") &amp; IF(K11&lt;&gt;"", $K$7 &amp; "/" &amp; $K$9 &amp; "/" &amp; K11 &amp; ", ","") &amp; IF(L11&lt;&gt;"", $L$7 &amp; "/" &amp; $L$9 &amp; "/" &amp; L11 &amp; ", ","") &amp; IF(M11&lt;&gt;"", $M$7 &amp; "/" &amp; $M$9 &amp; "/" &amp; M11 &amp; ", ","") &amp; IF(N11&lt;&gt;"", $N$7 &amp; "/" &amp; $N$9 &amp; "/" &amp; N11 &amp; ", ","") &amp; IF(O11&lt;&gt;"", $O$7 &amp; "/" &amp; $O$9 &amp; "/" &amp; O11 &amp; ", ","") &amp; IF(P11&lt;&gt;"", $P$7 &amp; "/" &amp; $P$9 &amp; "/" &amp; P11 &amp; ", ","") &amp; IF(Q11&lt;&gt;"", $Q$7 &amp; "/" &amp; $Q$9 &amp; "/" &amp; Q11 &amp; ", ","") &amp; IF(R11&lt;&gt;"", $R$7 &amp; "/" &amp; $R$9 &amp; "/" &amp; R11 &amp; ", ","") &amp; IF(S11&lt;&gt;"", $S$7 &amp; "/" &amp; $S$9 &amp; "/" &amp; S11 &amp; ", ","") &amp; IF(T11&lt;&gt;"", $T$7 &amp; "/" &amp; $T$9 &amp; "/" &amp; T11 &amp; ", ","") &amp; IF(AY11&lt;&gt;"", $AY$7 &amp; "/" &amp; $AY$9 &amp; "/" &amp; AY11 &amp; ", ","") &amp; IF(AZ11&lt;&gt;"", $AZ$7 &amp; "/" &amp; $AZ$9 &amp; "/" &amp; AZ11 &amp; ", ","") &amp; IF(BA11&lt;&gt;"", $BA$7 &amp; "/" &amp; $BA$9 &amp; "/" &amp; BA11 &amp; ", ","") &amp; IF(BB11&lt;&gt;"", $BB$7 &amp; "/" &amp; $BB$9 &amp; "/" &amp; BB11 &amp; ", ","") &amp; IF(BC11&lt;&gt;"", $BC$7 &amp; "/" &amp; $BC$9 &amp; "/" &amp; BC11 &amp; ", ","") &amp; IF(BD11&lt;&gt;"", $BD$7 &amp; "/" &amp; $BD$9 &amp; "/" &amp; BD11 &amp; ", ","") &amp; IF(BE11&lt;&gt;"", $BE$7 &amp; "/" &amp; $BE$9 &amp; "/" &amp; BE11 &amp; ", ","") &amp; IF(BF11&lt;&gt;"", $BF$7 &amp; "/" &amp; $BF$9 &amp; "/" &amp; BF11 &amp; ", ","") &amp; IF(BG11&lt;&gt;"", $BG$7 &amp; "/" &amp; $BG$9 &amp; "/" &amp; BG11 &amp; ", ","") &amp; IF(BH11&lt;&gt;"", $BH$7 &amp; "/" &amp; $BH$9 &amp; "/" &amp; BH11 &amp; ", ","") &amp; IF(BI11&lt;&gt;"", $BI$7 &amp; "/" &amp; $BI$9 &amp; "/" &amp; BI11 &amp; ", ","") &amp; IF(BJ11&lt;&gt;"", $BJ$7 &amp; "/" &amp; $BJ$9 &amp; "/" &amp; BJ11 &amp; ", ","")</f>
        <v/>
      </c>
      <c r="H11" s="162"/>
      <c r="I11" s="121"/>
      <c r="J11" s="121"/>
      <c r="K11" s="121"/>
      <c r="L11" s="121"/>
      <c r="M11" s="121"/>
      <c r="N11" s="121"/>
      <c r="O11" s="121"/>
      <c r="P11" s="121"/>
      <c r="Q11" s="121"/>
      <c r="R11" s="121"/>
      <c r="S11" s="121"/>
      <c r="T11" s="121"/>
      <c r="U11" s="121"/>
      <c r="V11" s="121"/>
      <c r="W11" s="121"/>
      <c r="X11" s="121"/>
      <c r="Y11" s="121"/>
      <c r="Z11" s="121"/>
      <c r="AA11" s="121"/>
      <c r="AB11" s="121"/>
      <c r="AC11" s="121"/>
      <c r="AD11" s="121"/>
      <c r="AE11" s="121"/>
      <c r="AF11" s="121"/>
      <c r="AG11" s="121"/>
      <c r="AH11" s="121"/>
      <c r="AI11" s="121"/>
      <c r="AJ11" s="121"/>
      <c r="AK11" s="121"/>
      <c r="AL11" s="121"/>
      <c r="AM11" s="121"/>
      <c r="AN11" s="121"/>
      <c r="AO11" s="121"/>
      <c r="AP11" s="121"/>
      <c r="AQ11" s="121"/>
      <c r="AR11" s="121"/>
      <c r="AS11" s="121"/>
      <c r="AT11" s="121"/>
      <c r="AU11" s="121"/>
      <c r="AV11" s="121"/>
      <c r="AW11" s="121"/>
      <c r="AX11" s="121"/>
      <c r="AY11" s="121"/>
      <c r="AZ11" s="121"/>
      <c r="BA11" s="121"/>
      <c r="BB11" s="121"/>
      <c r="BC11" s="121"/>
      <c r="BD11" s="121"/>
      <c r="BE11" s="121"/>
      <c r="BF11" s="121"/>
      <c r="BG11" s="121"/>
      <c r="BH11" s="121"/>
      <c r="BI11" s="121"/>
      <c r="BJ11" s="122"/>
      <c r="BK11" s="93"/>
      <c r="BL11" s="91" t="e">
        <f ca="1">TCP(H11:BJ11,$H$9:$BJ$9,data!$H$8)</f>
        <v>#NAME?</v>
      </c>
      <c r="BM11" s="95"/>
      <c r="BN11" s="179" t="str">
        <f>IF(BO11&lt;&gt;"", $BO$7 &amp; "/" &amp; $BO$9 &amp; "/" &amp; BO11 &amp; ", ","") &amp; IF(BP11&lt;&gt;"", $BP$7 &amp; "/" &amp; $BP$9 &amp; "/" &amp; BP11 &amp; ", ","") &amp; IF(BQ11&lt;&gt;"", $BQ$7 &amp; "/" &amp; $BQ$9 &amp; "/" &amp; BQ11 &amp; ", ","") &amp; IF(BR11&lt;&gt;"", $BR$7 &amp; "/" &amp; $BR$9 &amp; "/" &amp; BR11 &amp; ", ","") &amp; IF(BS11&lt;&gt;"", $BS$7 &amp; "/" &amp; $BS$9 &amp; "/" &amp; BS11 &amp; ", ","") &amp; IF(BT11&lt;&gt;"", $BT$7 &amp; "/" &amp; $BT$9 &amp; "/" &amp; BT11 &amp; ", ","") &amp; IF(BU11&lt;&gt;"", $BU$7 &amp; "/" &amp; $BU$9 &amp; "/" &amp; BU11 &amp; ", ","") &amp; IF(BV11&lt;&gt;"", $BV$7 &amp; "/" &amp; $BV$9 &amp; "/" &amp; BV11 &amp; ", ","") &amp; IF(BW11&lt;&gt;"", $BW$7 &amp; "/" &amp; $BW$9 &amp; "/" &amp; BW11 &amp; ", ","") &amp; IF(BX11&lt;&gt;"", $BX$7 &amp; "/" &amp; $BX$9 &amp; "/" &amp; BX11 &amp; ", ","") &amp; IF(BY11&lt;&gt;"", $BY$7 &amp; "/" &amp; $BY$9 &amp; "/" &amp; BY11 &amp; ", ","") &amp; IF(BZ11&lt;&gt;"", $BZ$7 &amp; "/" &amp; $BZ$9 &amp; "/" &amp; BZ11 &amp; ", ","") &amp; IF(CA11&lt;&gt;"", $CA$7 &amp; "/" &amp; $CA$9 &amp; "/" &amp; CA11 &amp; ", ","") &amp; IF(CB11&lt;&gt;"", $CB$7 &amp; "/" &amp; $CB$9 &amp; "/" &amp; CB11 &amp; ", ","") &amp; IF(CC11&lt;&gt;"", $CC$7 &amp; "/" &amp; $CC$9 &amp; "/" &amp; CC11 &amp; ", ","") &amp; IF(CD11&lt;&gt;"", $CD$7 &amp; "/" &amp; $CD$9 &amp; "/" &amp; CD11 &amp; ", ","") &amp; IF(CE11&lt;&gt;"", $CE$7 &amp; "/" &amp; $CE$9 &amp; "/" &amp; CE11 &amp; ", ","") &amp; IF(CF11&lt;&gt;"", $CF$7 &amp; "/" &amp; $CF$9 &amp; "/" &amp; CF11 &amp; ", ","") &amp; IF(CG11&lt;&gt;"", $CG$7 &amp; "/" &amp; $CG$9 &amp; "/" &amp; CG11 &amp; ", ","") &amp; IF(CH11&lt;&gt;"", $CH$7 &amp; "/" &amp; $CH$9 &amp; "/" &amp; CH11 &amp; ", ","") &amp; IF(CI11&lt;&gt;"", $CI$7 &amp; "/" &amp; $CI$9 &amp; "/" &amp; CI11 &amp; ", ","") &amp; IF(CJ11&lt;&gt;"", $CJ$7 &amp; "/" &amp; $CJ$9 &amp; "/" &amp; CJ11 &amp; ", ","") &amp; IF(CK11&lt;&gt;"", $CK$7 &amp; "/" &amp; $CK$9 &amp; "/" &amp; CK11 &amp; ", ","") &amp; IF(CL11&lt;&gt;"", $CL$7 &amp; "/" &amp; $CL$9 &amp; "/" &amp; CL11 &amp; ", ","") &amp; IF(CM11&lt;&gt;"", $CM$7 &amp; "/" &amp; $CM$9 &amp; "/" &amp; CM11 &amp; ", ","") &amp; IF(CN11&lt;&gt;"", $CN$7 &amp; "/" &amp; $CN$9 &amp; "/" &amp; CN11 &amp; ", ","") &amp; IF(CO11&lt;&gt;"", $CO$7 &amp; "/" &amp; $CO$9 &amp; "/" &amp; CO11 &amp; ", ","") &amp; IF(CP11&lt;&gt;"", $CP$7 &amp; "/" &amp; $CP$9 &amp; "/" &amp; CP11 &amp; ", ","") &amp; IF(CQ11&lt;&gt;"", $CQ$7 &amp; "/" &amp; $CQ$9 &amp; "/" &amp; CQ11 &amp; ", ","") &amp; IF(CR11&lt;&gt;"", $CR$7 &amp; "/" &amp; $CR$9 &amp; "/" &amp; CR11 &amp; ", ","") &amp; IF(CS11&lt;&gt;"", $CS$7 &amp; "/" &amp; $CS$9 &amp; "/" &amp; CS11 &amp; ", ","") &amp; IF(CT11&lt;&gt;"", $CT$7 &amp; "/" &amp; $CT$9 &amp; "/" &amp; CT11 &amp; ", ","") &amp; IF(CU11&lt;&gt;"", $CU$7 &amp; "/" &amp; $CU$9 &amp; "/" &amp; CU11 &amp; ", ","") &amp; IF(CV11&lt;&gt;"", $CV$7 &amp; "/" &amp; $CV$9 &amp; "/" &amp; CV11 &amp; ", ","") &amp; IF(CW11&lt;&gt;"", $CW$7 &amp; "/" &amp; $CW$9 &amp; "/" &amp; CW11 &amp; ", ","") &amp; IF(CX11&lt;&gt;"", $CX$7 &amp; "/" &amp; $CX$9 &amp; "/" &amp; CX11 &amp; ", ","") &amp; IF(CY11&lt;&gt;"", $CY$7 &amp; "/" &amp; $CY$9 &amp; "/" &amp; CY11 &amp; ", ","") &amp; IF(CZ11&lt;&gt;"", $CZ$7 &amp; "/" &amp; $CZ$9 &amp; "/" &amp; CZ11 &amp; ", ","") &amp; IF(DA11&lt;&gt;"", $DA$7 &amp; "/" &amp; $DA$9 &amp; "/" &amp; DA11 &amp; ", ","") &amp; IF(DB11&lt;&gt;"", $DB$7 &amp; "/" &amp; $DB$9 &amp; "/" &amp; DB11 &amp; ", ","") &amp; IF(DC11&lt;&gt;"", $DC$7 &amp; "/" &amp; $DC$9 &amp; "/" &amp; DC11 &amp; ", ","") &amp; IF(DD11&lt;&gt;"", $DD$7 &amp; "/" &amp; $DD$9 &amp; "/" &amp; DD11 &amp; ", ","") &amp; IF(DE11&lt;&gt;"", $DE$7 &amp; "/" &amp; $DE$9 &amp; "/" &amp; DE11 &amp; ", ","") &amp; IF(DF11&lt;&gt;"", $DF$7 &amp; "/" &amp; $DF$9 &amp; "/" &amp; DF11 &amp; ", ","") &amp; IF(DG11&lt;&gt;"", $DG$7 &amp; "/" &amp; $DG$9 &amp; "/" &amp; DG11 &amp; ", ","") &amp; IF(DH11&lt;&gt;"", $DH$7 &amp; "/" &amp; $DH$9 &amp; "/" &amp; DH11 &amp; ", ","") &amp; IF(DI11&lt;&gt;"", $DI$7 &amp; "/" &amp; $DI$9 &amp; "/" &amp; DI11 &amp; ", ","") &amp; IF(DJ11&lt;&gt;"", $DJ$7 &amp; "/" &amp; $DJ$9 &amp; "/" &amp; DJ11 &amp; ", ","") &amp; IF(DK11&lt;&gt;"", $DK$7 &amp; "/" &amp; $DK$9 &amp; "/" &amp; DK11 &amp; ", ","") &amp; IF(DL11&lt;&gt;"", $DL$7 &amp; "/" &amp; $DL$9 &amp; "/" &amp; DL11 &amp; ", ","") &amp; IF(DM11&lt;&gt;"", $DM$7 &amp; "/" &amp; $DM$9 &amp; "/" &amp; DM11 &amp; ", ","") &amp; IF(DN11&lt;&gt;"", $DN$7 &amp; "/" &amp; $DN$9 &amp; "/" &amp; DN11 &amp; ", ","") &amp; IF(DO11&lt;&gt;"", $DO$7 &amp; "/" &amp; $DO$9 &amp; "/" &amp; DO11 &amp; ", ","") &amp; IF(DP11&lt;&gt;"", $DP$7 &amp; "/" &amp; $DP$9 &amp; "/" &amp; DP11 &amp; ", ","") &amp; IF(DQ11&lt;&gt;"", $DQ$7 &amp; "/" &amp; $DQ$9 &amp; "/" &amp; DQ11 &amp; ", ","")</f>
        <v/>
      </c>
      <c r="BO11" s="177"/>
      <c r="BP11" s="14"/>
      <c r="BQ11" s="14"/>
      <c r="BR11" s="14"/>
      <c r="BS11" s="14"/>
      <c r="BT11" s="14"/>
      <c r="BU11" s="14"/>
      <c r="BV11" s="16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14"/>
      <c r="CX11" s="14"/>
      <c r="CY11" s="14"/>
      <c r="CZ11" s="14"/>
      <c r="DA11" s="14"/>
      <c r="DB11" s="14"/>
      <c r="DC11" s="14"/>
      <c r="DD11" s="14"/>
      <c r="DE11" s="14"/>
      <c r="DF11" s="14"/>
      <c r="DG11" s="14"/>
      <c r="DH11" s="14"/>
      <c r="DI11" s="14"/>
      <c r="DJ11" s="14"/>
      <c r="DK11" s="14"/>
      <c r="DL11" s="14"/>
      <c r="DM11" s="14"/>
      <c r="DN11" s="14"/>
      <c r="DO11" s="14"/>
      <c r="DP11" s="26"/>
      <c r="DQ11" s="27"/>
      <c r="DR11" s="129"/>
      <c r="DS11" s="130">
        <f>TCP(BO11:DQ11,$BO$9:$DQ$9,data!$H$8)</f>
        <v>0</v>
      </c>
      <c r="DT11" s="135">
        <f>(IF(BO10&gt;data!$I$9,Broadsheet!$BO$9,0)+IF(BP10&gt;data!$I$9,Broadsheet!$BP$9,0)+IF(BQ10&gt;data!$I$9,Broadsheet!$BQ$9,0)+IF(BR10&gt;data!$I$9,Broadsheet!$BR$9,0)+IF(BS10&gt;data!$I$9,Broadsheet!$BS$9,0)+IF(BT10&gt;data!$I$9,Broadsheet!$BT$9,0)+IF(BU10&gt;data!$I$9,Broadsheet!$BU$9,0)+IF(BV10&gt;data!$I$9,Broadsheet!$BV$9,0)+IF(BW10&gt;data!$I$9,Broadsheet!$BW$9,0)+IF(BX10&gt;data!$I$9,Broadsheet!$BX$9,0)+IF(BY10&gt;data!$I$9,Broadsheet!$BY$9,0)+IF(BZ10&gt;data!$I$9,Broadsheet!$BZ$9,0)+IF(CA10&gt;data!$I$9,Broadsheet!$CA$9,0)+IF(CB10&gt;data!$I$9,Broadsheet!$CB$9,0)+IF(DG10&gt;data!$I$9,Broadsheet!$DG$9,0)+IF(DH10&gt;data!$I$9,Broadsheet!$DH$9,0)+IF(DI10&gt;data!$I$9,Broadsheet!$DI$9,0)+IF(DJ10&gt;data!$I$9,Broadsheet!$DJ$9,0)+IF(DK10&gt;data!$I$9,Broadsheet!$DK$9,0)+IF(DL10&gt;data!$I$9,Broadsheet!$DL$9,0)+IF(DM10&gt;data!$I$9,Broadsheet!$DM$9,0)+IF(DN10&gt;data!$I$9,Broadsheet!$DN$9,0)+IF(DO10&gt;data!$I$9,Broadsheet!$DO$9,0)+IF(DP10&gt;data!$I$9,Broadsheet!$DP$9,0)+IF(DQ10&gt;data!$I$9,Broadsheet!$DQ$9,0))</f>
        <v>0</v>
      </c>
      <c r="DU11" s="121"/>
      <c r="DV11" s="121"/>
      <c r="DW11" s="134"/>
      <c r="DX11" s="132"/>
      <c r="DY11" s="136"/>
      <c r="DZ11" s="21"/>
      <c r="EA11" s="18"/>
      <c r="EB11" s="4"/>
      <c r="EI11" s="23"/>
      <c r="EJ11" s="23"/>
    </row>
    <row r="12" spans="1:140" s="103" customFormat="1" ht="15.75" x14ac:dyDescent="0.25">
      <c r="A12" s="12"/>
      <c r="B12" s="16"/>
      <c r="C12" s="24" t="str">
        <f t="shared" ref="C12:C75" si="0">D12 &amp; " " &amp; E12</f>
        <v xml:space="preserve"> </v>
      </c>
      <c r="D12" s="25"/>
      <c r="E12" s="20"/>
      <c r="F12" s="19" t="str">
        <f t="shared" ref="F12:F174" si="1">G12&amp;" "&amp;BN12</f>
        <v xml:space="preserve"> </v>
      </c>
      <c r="G12" s="180" t="str">
        <f>IF(H12&lt;&gt;"", $H$7 &amp; "/" &amp; $H$9 &amp; "/" &amp; H12 &amp; ", ","") &amp; IF(I12&lt;&gt;"", $I$7 &amp; "/" &amp; $I$9 &amp; "/" &amp; I12 &amp; ", ","") &amp; IF(J12&lt;&gt;"", $J$7 &amp; "/" &amp; $J$9 &amp; "/" &amp; J12 &amp; ", ","") &amp; IF(K12&lt;&gt;"", $K$7 &amp; "/" &amp; $K$9 &amp; "/" &amp; K12 &amp; ", ","") &amp; IF(L12&lt;&gt;"", $L$7 &amp; "/" &amp; $L$9 &amp; "/" &amp; L12 &amp; ", ","") &amp; IF(M12&lt;&gt;"", $M$7 &amp; "/" &amp; $M$9 &amp; "/" &amp; M12 &amp; ", ","") &amp; IF(N12&lt;&gt;"", $N$7 &amp; "/" &amp; $N$9 &amp; "/" &amp; N12 &amp; ", ","") &amp; IF(O12&lt;&gt;"", $O$7 &amp; "/" &amp; $O$9 &amp; "/" &amp; O12 &amp; ", ","") &amp; IF(P12&lt;&gt;"", $P$7 &amp; "/" &amp; $P$9 &amp; "/" &amp; P12 &amp; ", ","") &amp; IF(Q12&lt;&gt;"", $Q$7 &amp; "/" &amp; $Q$9 &amp; "/" &amp; Q12 &amp; ", ","") &amp; IF(R12&lt;&gt;"", $R$7 &amp; "/" &amp; $R$9 &amp; "/" &amp; R12 &amp; ", ","") &amp; IF(S12&lt;&gt;"", $S$7 &amp; "/" &amp; $S$9 &amp; "/" &amp; S12 &amp; ", ","") &amp; IF(T12&lt;&gt;"", $T$7 &amp; "/" &amp; $T$9 &amp; "/" &amp; T12 &amp; ", ","") &amp; IF(AY12&lt;&gt;"", $AY$7 &amp; "/" &amp; $AY$9 &amp; "/" &amp; AY12 &amp; ", ","") &amp; IF(AZ12&lt;&gt;"", $AZ$7 &amp; "/" &amp; $AZ$9 &amp; "/" &amp; AZ12 &amp; ", ","") &amp; IF(BA12&lt;&gt;"", $BA$7 &amp; "/" &amp; $BA$9 &amp; "/" &amp; BA12 &amp; ", ","") &amp; IF(BB12&lt;&gt;"", $BB$7 &amp; "/" &amp; $BB$9 &amp; "/" &amp; BB12 &amp; ", ","") &amp; IF(BC12&lt;&gt;"", $BC$7 &amp; "/" &amp; $BC$9 &amp; "/" &amp; BC12 &amp; ", ","") &amp; IF(BD12&lt;&gt;"", $BD$7 &amp; "/" &amp; $BD$9 &amp; "/" &amp; BD12 &amp; ", ","") &amp; IF(BE12&lt;&gt;"", $BE$7 &amp; "/" &amp; $BE$9 &amp; "/" &amp; BE12 &amp; ", ","") &amp; IF(BF12&lt;&gt;"", $BF$7 &amp; "/" &amp; $BF$9 &amp; "/" &amp; BF12 &amp; ", ","") &amp; IF(BG12&lt;&gt;"", $BG$7 &amp; "/" &amp; $BG$9 &amp; "/" &amp; BG12 &amp; ", ","") &amp; IF(BH12&lt;&gt;"", $BH$7 &amp; "/" &amp; $BH$9 &amp; "/" &amp; BH12 &amp; ", ","") &amp; IF(BI12&lt;&gt;"", $BI$7 &amp; "/" &amp; $BI$9 &amp; "/" &amp; BI12 &amp; ", ","") &amp; IF(BJ12&lt;&gt;"", $BJ$7 &amp; "/" &amp; $BJ$9 &amp; "/" &amp; BJ12 &amp; ", ","")</f>
        <v/>
      </c>
      <c r="H12" s="120"/>
      <c r="I12" s="121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121"/>
      <c r="BE12" s="121"/>
      <c r="BF12" s="121"/>
      <c r="BG12" s="121"/>
      <c r="BH12" s="121"/>
      <c r="BI12" s="121"/>
      <c r="BJ12" s="122"/>
      <c r="BK12" s="93"/>
      <c r="BL12" s="91" t="e">
        <f ca="1">TCP(H12:BJ12,$H$9:$BJ$9,data!$H$8)</f>
        <v>#NAME?</v>
      </c>
      <c r="BM12" s="95"/>
      <c r="BN12" s="179" t="str">
        <f>IF(BO12&lt;&gt;"", $BO$7 &amp; "/" &amp; $BO$9 &amp; "/" &amp; BO12 &amp; ", ","") &amp; IF(BP12&lt;&gt;"", $BP$7 &amp; "/" &amp; $BP$9 &amp; "/" &amp; BP12 &amp; ", ","") &amp; IF(BQ12&lt;&gt;"", $BQ$7 &amp; "/" &amp; $BQ$9 &amp; "/" &amp; BQ12 &amp; ", ","") &amp; IF(BR12&lt;&gt;"", $BR$7 &amp; "/" &amp; $BR$9 &amp; "/" &amp; BR12 &amp; ", ","") &amp; IF(BS12&lt;&gt;"", $BS$7 &amp; "/" &amp; $BS$9 &amp; "/" &amp; BS12 &amp; ", ","") &amp; IF(BT12&lt;&gt;"", $BT$7 &amp; "/" &amp; $BT$9 &amp; "/" &amp; BT12 &amp; ", ","") &amp; IF(BU12&lt;&gt;"", $BU$7 &amp; "/" &amp; $BU$9 &amp; "/" &amp; BU12 &amp; ", ","") &amp; IF(BV12&lt;&gt;"", $BV$7 &amp; "/" &amp; $BV$9 &amp; "/" &amp; BV12 &amp; ", ","") &amp; IF(BW12&lt;&gt;"", $BW$7 &amp; "/" &amp; $BW$9 &amp; "/" &amp; BW12 &amp; ", ","") &amp; IF(BX12&lt;&gt;"", $BX$7 &amp; "/" &amp; $BX$9 &amp; "/" &amp; BX12 &amp; ", ","") &amp; IF(BY12&lt;&gt;"", $BY$7 &amp; "/" &amp; $BY$9 &amp; "/" &amp; BY12 &amp; ", ","") &amp; IF(BZ12&lt;&gt;"", $BZ$7 &amp; "/" &amp; $BZ$9 &amp; "/" &amp; BZ12 &amp; ", ","") &amp; IF(CA12&lt;&gt;"", $CA$7 &amp; "/" &amp; $CA$9 &amp; "/" &amp; CA12 &amp; ", ","") &amp; IF(CB12&lt;&gt;"", $CB$7 &amp; "/" &amp; $CB$9 &amp; "/" &amp; CB12 &amp; ", ","") &amp; IF(CC12&lt;&gt;"", $CC$7 &amp; "/" &amp; $CC$9 &amp; "/" &amp; CC12 &amp; ", ","") &amp; IF(CD12&lt;&gt;"", $CD$7 &amp; "/" &amp; $CD$9 &amp; "/" &amp; CD12 &amp; ", ","") &amp; IF(CE12&lt;&gt;"", $CE$7 &amp; "/" &amp; $CE$9 &amp; "/" &amp; CE12 &amp; ", ","") &amp; IF(CF12&lt;&gt;"", $CF$7 &amp; "/" &amp; $CF$9 &amp; "/" &amp; CF12 &amp; ", ","") &amp; IF(CG12&lt;&gt;"", $CG$7 &amp; "/" &amp; $CG$9 &amp; "/" &amp; CG12 &amp; ", ","") &amp; IF(CH12&lt;&gt;"", $CH$7 &amp; "/" &amp; $CH$9 &amp; "/" &amp; CH12 &amp; ", ","") &amp; IF(CI12&lt;&gt;"", $CI$7 &amp; "/" &amp; $CI$9 &amp; "/" &amp; CI12 &amp; ", ","") &amp; IF(CJ12&lt;&gt;"", $CJ$7 &amp; "/" &amp; $CJ$9 &amp; "/" &amp; CJ12 &amp; ", ","") &amp; IF(CK12&lt;&gt;"", $CK$7 &amp; "/" &amp; $CK$9 &amp; "/" &amp; CK12 &amp; ", ","") &amp; IF(CL12&lt;&gt;"", $CL$7 &amp; "/" &amp; $CL$9 &amp; "/" &amp; CL12 &amp; ", ","") &amp; IF(CM12&lt;&gt;"", $CM$7 &amp; "/" &amp; $CM$9 &amp; "/" &amp; CM12 &amp; ", ","") &amp; IF(CN12&lt;&gt;"", $CN$7 &amp; "/" &amp; $CN$9 &amp; "/" &amp; CN12 &amp; ", ","") &amp; IF(CO12&lt;&gt;"", $CO$7 &amp; "/" &amp; $CO$9 &amp; "/" &amp; CO12 &amp; ", ","") &amp; IF(CP12&lt;&gt;"", $CP$7 &amp; "/" &amp; $CP$9 &amp; "/" &amp; CP12 &amp; ", ","") &amp; IF(CQ12&lt;&gt;"", $CQ$7 &amp; "/" &amp; $CQ$9 &amp; "/" &amp; CQ12 &amp; ", ","") &amp; IF(CR12&lt;&gt;"", $CR$7 &amp; "/" &amp; $CR$9 &amp; "/" &amp; CR12 &amp; ", ","") &amp; IF(CS12&lt;&gt;"", $CS$7 &amp; "/" &amp; $CS$9 &amp; "/" &amp; CS12 &amp; ", ","") &amp; IF(CT12&lt;&gt;"", $CT$7 &amp; "/" &amp; $CT$9 &amp; "/" &amp; CT12 &amp; ", ","") &amp; IF(CU12&lt;&gt;"", $CU$7 &amp; "/" &amp; $CU$9 &amp; "/" &amp; CU12 &amp; ", ","") &amp; IF(CV12&lt;&gt;"", $CV$7 &amp; "/" &amp; $CV$9 &amp; "/" &amp; CV12 &amp; ", ","") &amp; IF(CW12&lt;&gt;"", $CW$7 &amp; "/" &amp; $CW$9 &amp; "/" &amp; CW12 &amp; ", ","") &amp; IF(CX12&lt;&gt;"", $CX$7 &amp; "/" &amp; $CX$9 &amp; "/" &amp; CX12 &amp; ", ","") &amp; IF(CY12&lt;&gt;"", $CY$7 &amp; "/" &amp; $CY$9 &amp; "/" &amp; CY12 &amp; ", ","") &amp; IF(CZ12&lt;&gt;"", $CZ$7 &amp; "/" &amp; $CZ$9 &amp; "/" &amp; CZ12 &amp; ", ","") &amp; IF(DA12&lt;&gt;"", $DA$7 &amp; "/" &amp; $DA$9 &amp; "/" &amp; DA12 &amp; ", ","") &amp; IF(DB12&lt;&gt;"", $DB$7 &amp; "/" &amp; $DB$9 &amp; "/" &amp; DB12 &amp; ", ","") &amp; IF(DC12&lt;&gt;"", $DC$7 &amp; "/" &amp; $DC$9 &amp; "/" &amp; DC12 &amp; ", ","") &amp; IF(DD12&lt;&gt;"", $DD$7 &amp; "/" &amp; $DD$9 &amp; "/" &amp; DD12 &amp; ", ","") &amp; IF(DE12&lt;&gt;"", $DE$7 &amp; "/" &amp; $DE$9 &amp; "/" &amp; DE12 &amp; ", ","") &amp; IF(DF12&lt;&gt;"", $DF$7 &amp; "/" &amp; $DF$9 &amp; "/" &amp; DF12 &amp; ", ","") &amp; IF(DG12&lt;&gt;"", $DG$7 &amp; "/" &amp; $DG$9 &amp; "/" &amp; DG12 &amp; ", ","") &amp; IF(DH12&lt;&gt;"", $DH$7 &amp; "/" &amp; $DH$9 &amp; "/" &amp; DH12 &amp; ", ","") &amp; IF(DI12&lt;&gt;"", $DI$7 &amp; "/" &amp; $DI$9 &amp; "/" &amp; DI12 &amp; ", ","") &amp; IF(DJ12&lt;&gt;"", $DJ$7 &amp; "/" &amp; $DJ$9 &amp; "/" &amp; DJ12 &amp; ", ","") &amp; IF(DK12&lt;&gt;"", $DK$7 &amp; "/" &amp; $DK$9 &amp; "/" &amp; DK12 &amp; ", ","") &amp; IF(DL12&lt;&gt;"", $DL$7 &amp; "/" &amp; $DL$9 &amp; "/" &amp; DL12 &amp; ", ","") &amp; IF(DM12&lt;&gt;"", $DM$7 &amp; "/" &amp; $DM$9 &amp; "/" &amp; DM12 &amp; ", ","") &amp; IF(DN12&lt;&gt;"", $DN$7 &amp; "/" &amp; $DN$9 &amp; "/" &amp; DN12 &amp; ", ","") &amp; IF(DO12&lt;&gt;"", $DO$7 &amp; "/" &amp; $DO$9 &amp; "/" &amp; DO12 &amp; ", ","") &amp; IF(DP12&lt;&gt;"", $DP$7 &amp; "/" &amp; $DP$9 &amp; "/" &amp; DP12 &amp; ", ","") &amp; IF(DQ12&lt;&gt;"", $DQ$7 &amp; "/" &amp; $DQ$9 &amp; "/" &amp; DQ12 &amp; ", ","")</f>
        <v/>
      </c>
      <c r="BO12" s="177"/>
      <c r="BP12" s="14"/>
      <c r="BQ12" s="14"/>
      <c r="BR12" s="14"/>
      <c r="BS12" s="14"/>
      <c r="BT12" s="14"/>
      <c r="BU12" s="14"/>
      <c r="BV12" s="16"/>
      <c r="BW12" s="14"/>
      <c r="BX12" s="14"/>
      <c r="BY12" s="14"/>
      <c r="BZ12" s="14"/>
      <c r="CA12" s="14"/>
      <c r="CB12" s="14"/>
      <c r="CC12" s="14"/>
      <c r="CD12" s="14"/>
      <c r="CE12" s="14"/>
      <c r="CF12" s="14"/>
      <c r="CG12" s="14"/>
      <c r="CH12" s="14"/>
      <c r="CI12" s="14"/>
      <c r="CJ12" s="14"/>
      <c r="CK12" s="14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14"/>
      <c r="CW12" s="14"/>
      <c r="CX12" s="14"/>
      <c r="CY12" s="14"/>
      <c r="CZ12" s="14"/>
      <c r="DA12" s="14"/>
      <c r="DB12" s="14"/>
      <c r="DC12" s="14"/>
      <c r="DD12" s="14"/>
      <c r="DE12" s="14"/>
      <c r="DF12" s="14"/>
      <c r="DG12" s="14"/>
      <c r="DH12" s="14"/>
      <c r="DI12" s="14"/>
      <c r="DJ12" s="14"/>
      <c r="DK12" s="14"/>
      <c r="DL12" s="14"/>
      <c r="DM12" s="14"/>
      <c r="DN12" s="14"/>
      <c r="DO12" s="14"/>
      <c r="DP12" s="26"/>
      <c r="DQ12" s="27"/>
      <c r="DR12" s="129"/>
      <c r="DS12" s="130">
        <f>TCP(BO12:DQ12,$BO$9:$DQ$9,data!$H$8)</f>
        <v>0</v>
      </c>
      <c r="DT12" s="135"/>
      <c r="DU12" s="121"/>
      <c r="DV12" s="121"/>
      <c r="DW12" s="134"/>
      <c r="DX12" s="132"/>
      <c r="DY12" s="136"/>
      <c r="DZ12" s="21"/>
      <c r="EA12" s="18"/>
      <c r="EB12" s="4"/>
      <c r="EI12" s="23"/>
      <c r="EJ12" s="23"/>
    </row>
    <row r="13" spans="1:140" s="103" customFormat="1" ht="47.25" x14ac:dyDescent="0.25">
      <c r="A13" s="12"/>
      <c r="B13" s="16"/>
      <c r="C13" s="24" t="str">
        <f t="shared" si="0"/>
        <v xml:space="preserve"> </v>
      </c>
      <c r="D13" s="25"/>
      <c r="E13" s="20"/>
      <c r="F13" s="19" t="str">
        <f t="shared" si="1"/>
        <v xml:space="preserve"> </v>
      </c>
      <c r="G13" s="180" t="str">
        <f>IF(H13&lt;&gt;"", $H$7 &amp; "/" &amp; $H$9 &amp; "/" &amp; H13 &amp; ", ","") &amp; IF(I13&lt;&gt;"", $I$7 &amp; "/" &amp; $I$9 &amp; "/" &amp; I13 &amp; ", ","") &amp; IF(J13&lt;&gt;"", $J$7 &amp; "/" &amp; $J$9 &amp; "/" &amp; J13 &amp; ", ","") &amp; IF(K13&lt;&gt;"", $K$7 &amp; "/" &amp; $K$9 &amp; "/" &amp; K13 &amp; ", ","") &amp; IF(L13&lt;&gt;"", $L$7 &amp; "/" &amp; $L$9 &amp; "/" &amp; L13 &amp; ", ","") &amp; IF(M13&lt;&gt;"", $M$7 &amp; "/" &amp; $M$9 &amp; "/" &amp; M13 &amp; ", ","") &amp; IF(N13&lt;&gt;"", $N$7 &amp; "/" &amp; $N$9 &amp; "/" &amp; N13 &amp; ", ","") &amp; IF(O13&lt;&gt;"", $O$7 &amp; "/" &amp; $O$9 &amp; "/" &amp; O13 &amp; ", ","") &amp; IF(P13&lt;&gt;"", $P$7 &amp; "/" &amp; $P$9 &amp; "/" &amp; P13 &amp; ", ","") &amp; IF(Q13&lt;&gt;"", $Q$7 &amp; "/" &amp; $Q$9 &amp; "/" &amp; Q13 &amp; ", ","") &amp; IF(R13&lt;&gt;"", $R$7 &amp; "/" &amp; $R$9 &amp; "/" &amp; R13 &amp; ", ","") &amp; IF(S13&lt;&gt;"", $S$7 &amp; "/" &amp; $S$9 &amp; "/" &amp; S13 &amp; ", ","") &amp; IF(T13&lt;&gt;"", $T$7 &amp; "/" &amp; $T$9 &amp; "/" &amp; T13 &amp; ", ","") &amp; IF(AY13&lt;&gt;"", $AY$7 &amp; "/" &amp; $AY$9 &amp; "/" &amp; AY13 &amp; ", ","") &amp; IF(AZ13&lt;&gt;"", $AZ$7 &amp; "/" &amp; $AZ$9 &amp; "/" &amp; AZ13 &amp; ", ","") &amp; IF(BA13&lt;&gt;"", $BA$7 &amp; "/" &amp; $BA$9 &amp; "/" &amp; BA13 &amp; ", ","") &amp; IF(BB13&lt;&gt;"", $BB$7 &amp; "/" &amp; $BB$9 &amp; "/" &amp; BB13 &amp; ", ","") &amp; IF(BC13&lt;&gt;"", $BC$7 &amp; "/" &amp; $BC$9 &amp; "/" &amp; BC13 &amp; ", ","") &amp; IF(BD13&lt;&gt;"", $BD$7 &amp; "/" &amp; $BD$9 &amp; "/" &amp; BD13 &amp; ", ","") &amp; IF(BE13&lt;&gt;"", $BE$7 &amp; "/" &amp; $BE$9 &amp; "/" &amp; BE13 &amp; ", ","") &amp; IF(BF13&lt;&gt;"", $BF$7 &amp; "/" &amp; $BF$9 &amp; "/" &amp; BF13 &amp; ", ","") &amp; IF(BG13&lt;&gt;"", $BG$7 &amp; "/" &amp; $BG$9 &amp; "/" &amp; BG13 &amp; ", ","") &amp; IF(BH13&lt;&gt;"", $BH$7 &amp; "/" &amp; $BH$9 &amp; "/" &amp; BH13 &amp; ", ","") &amp; IF(BI13&lt;&gt;"", $BI$7 &amp; "/" &amp; $BI$9 &amp; "/" &amp; BI13 &amp; ", ","") &amp; IF(BJ13&lt;&gt;"", $BJ$7 &amp; "/" &amp; $BJ$9 &amp; "/" &amp; BJ13 &amp; ", ","")</f>
        <v/>
      </c>
      <c r="H13" s="120"/>
      <c r="I13" s="121"/>
      <c r="J13" s="121"/>
      <c r="K13" s="121"/>
      <c r="L13" s="121"/>
      <c r="M13" s="121"/>
      <c r="N13" s="121"/>
      <c r="O13" s="121"/>
      <c r="P13" s="121"/>
      <c r="Q13" s="121"/>
      <c r="R13" s="121"/>
      <c r="S13" s="121"/>
      <c r="T13" s="121"/>
      <c r="U13" s="121"/>
      <c r="V13" s="121"/>
      <c r="W13" s="121"/>
      <c r="X13" s="121"/>
      <c r="Y13" s="121"/>
      <c r="Z13" s="121"/>
      <c r="AA13" s="121"/>
      <c r="AB13" s="121"/>
      <c r="AC13" s="121"/>
      <c r="AD13" s="121"/>
      <c r="AE13" s="121"/>
      <c r="AF13" s="121"/>
      <c r="AG13" s="121"/>
      <c r="AH13" s="121"/>
      <c r="AI13" s="121"/>
      <c r="AJ13" s="121"/>
      <c r="AK13" s="121"/>
      <c r="AL13" s="121"/>
      <c r="AM13" s="121"/>
      <c r="AN13" s="121"/>
      <c r="AO13" s="121"/>
      <c r="AP13" s="121"/>
      <c r="AQ13" s="121"/>
      <c r="AR13" s="121"/>
      <c r="AS13" s="121"/>
      <c r="AT13" s="121"/>
      <c r="AU13" s="121"/>
      <c r="AV13" s="121"/>
      <c r="AW13" s="121"/>
      <c r="AX13" s="121"/>
      <c r="AY13" s="121"/>
      <c r="AZ13" s="121"/>
      <c r="BA13" s="121"/>
      <c r="BB13" s="121"/>
      <c r="BC13" s="121"/>
      <c r="BD13" s="121"/>
      <c r="BE13" s="121"/>
      <c r="BF13" s="121"/>
      <c r="BG13" s="121"/>
      <c r="BH13" s="121"/>
      <c r="BI13" s="121"/>
      <c r="BJ13" s="122"/>
      <c r="BK13" s="93"/>
      <c r="BL13" s="94"/>
      <c r="BM13" s="95"/>
      <c r="BN13" s="179" t="str">
        <f t="shared" ref="BN13:BN76" si="2">IF(BO13&lt;&gt;"", $BO$7 &amp; "/" &amp; $BO$9 &amp; "/" &amp; BO13 &amp; ", ","") &amp; IF(BP13&lt;&gt;"", $BP$7 &amp; "/" &amp; $BP$9 &amp; "/" &amp; BP13 &amp; ", ","") &amp; IF(BQ13&lt;&gt;"", $BQ$7 &amp; "/" &amp; $BQ$9 &amp; "/" &amp; BQ13 &amp; ", ","") &amp; IF(BR13&lt;&gt;"", $BR$7 &amp; "/" &amp; $BR$9 &amp; "/" &amp; BR13 &amp; ", ","") &amp; IF(BS13&lt;&gt;"", $BS$7 &amp; "/" &amp; $BS$9 &amp; "/" &amp; BS13 &amp; ", ","") &amp; IF(BT13&lt;&gt;"", $BT$7 &amp; "/" &amp; $BT$9 &amp; "/" &amp; BT13 &amp; ", ","") &amp; IF(BU13&lt;&gt;"", $BU$7 &amp; "/" &amp; $BU$9 &amp; "/" &amp; BU13 &amp; ", ","") &amp; IF(BV13&lt;&gt;"", $BV$7 &amp; "/" &amp; $BV$9 &amp; "/" &amp; BV13 &amp; ", ","") &amp; IF(BW13&lt;&gt;"", $BW$7 &amp; "/" &amp; $BW$9 &amp; "/" &amp; BW13 &amp; ", ","") &amp; IF(BX13&lt;&gt;"", $BX$7 &amp; "/" &amp; $BX$9 &amp; "/" &amp; BX13 &amp; ", ","") &amp; IF(BY13&lt;&gt;"", $BY$7 &amp; "/" &amp; $BY$9 &amp; "/" &amp; BY13 &amp; ", ","") &amp; IF(BZ13&lt;&gt;"", $BZ$7 &amp; "/" &amp; $BZ$9 &amp; "/" &amp; BZ13 &amp; ", ","") &amp; IF(CA13&lt;&gt;"", $CA$7 &amp; "/" &amp; $CA$9 &amp; "/" &amp; CA13 &amp; ", ","") &amp; IF(CB13&lt;&gt;"", $CB$7 &amp; "/" &amp; $CB$9 &amp; "/" &amp; CB13 &amp; ", ","") &amp; IF(CC13&lt;&gt;"", $CC$7 &amp; "/" &amp; $CC$9 &amp; "/" &amp; CC13 &amp; ", ","") &amp; IF(CD13&lt;&gt;"", $CD$7 &amp; "/" &amp; $CD$9 &amp; "/" &amp; CD13 &amp; ", ","") &amp; IF(CE13&lt;&gt;"", $CE$7 &amp; "/" &amp; $CE$9 &amp; "/" &amp; CE13 &amp; ", ","") &amp; IF(CF13&lt;&gt;"", $CF$7 &amp; "/" &amp; $CF$9 &amp; "/" &amp; CF13 &amp; ", ","") &amp; IF(CG13&lt;&gt;"", $CG$7 &amp; "/" &amp; $CG$9 &amp; "/" &amp; CG13 &amp; ", ","") &amp; IF(CH13&lt;&gt;"", $CH$7 &amp; "/" &amp; $CH$9 &amp; "/" &amp; CH13 &amp; ", ","") &amp; IF(CI13&lt;&gt;"", $CI$7 &amp; "/" &amp; $CI$9 &amp; "/" &amp; CI13 &amp; ", ","") &amp; IF(CJ13&lt;&gt;"", $CJ$7 &amp; "/" &amp; $CJ$9 &amp; "/" &amp; CJ13 &amp; ", ","") &amp; IF(CK13&lt;&gt;"", $CK$7 &amp; "/" &amp; $CK$9 &amp; "/" &amp; CK13 &amp; ", ","") &amp; IF(CL13&lt;&gt;"", $CL$7 &amp; "/" &amp; $CL$9 &amp; "/" &amp; CL13 &amp; ", ","") &amp; IF(CM13&lt;&gt;"", $CM$7 &amp; "/" &amp; $CM$9 &amp; "/" &amp; CM13 &amp; ", ","") &amp; IF(CN13&lt;&gt;"", $CN$7 &amp; "/" &amp; $CN$9 &amp; "/" &amp; CN13 &amp; ", ","") &amp; IF(CO13&lt;&gt;"", $CO$7 &amp; "/" &amp; $CO$9 &amp; "/" &amp; CO13 &amp; ", ","") &amp; IF(CP13&lt;&gt;"", $CP$7 &amp; "/" &amp; $CP$9 &amp; "/" &amp; CP13 &amp; ", ","") &amp; IF(CQ13&lt;&gt;"", $CQ$7 &amp; "/" &amp; $CQ$9 &amp; "/" &amp; CQ13 &amp; ", ","") &amp; IF(CR13&lt;&gt;"", $CR$7 &amp; "/" &amp; $CR$9 &amp; "/" &amp; CR13 &amp; ", ","") &amp; IF(CS13&lt;&gt;"", $CS$7 &amp; "/" &amp; $CS$9 &amp; "/" &amp; CS13 &amp; ", ","") &amp; IF(CT13&lt;&gt;"", $CT$7 &amp; "/" &amp; $CT$9 &amp; "/" &amp; CT13 &amp; ", ","") &amp; IF(CU13&lt;&gt;"", $CU$7 &amp; "/" &amp; $CU$9 &amp; "/" &amp; CU13 &amp; ", ","") &amp; IF(CV13&lt;&gt;"", $CV$7 &amp; "/" &amp; $CV$9 &amp; "/" &amp; CV13 &amp; ", ","") &amp; IF(CW13&lt;&gt;"", $CW$7 &amp; "/" &amp; $CW$9 &amp; "/" &amp; CW13 &amp; ", ","") &amp; IF(CX13&lt;&gt;"", $CX$7 &amp; "/" &amp; $CX$9 &amp; "/" &amp; CX13 &amp; ", ","") &amp; IF(CY13&lt;&gt;"", $CY$7 &amp; "/" &amp; $CY$9 &amp; "/" &amp; CY13 &amp; ", ","") &amp; IF(CZ13&lt;&gt;"", $CZ$7 &amp; "/" &amp; $CZ$9 &amp; "/" &amp; CZ13 &amp; ", ","") &amp; IF(DA13&lt;&gt;"", $DA$7 &amp; "/" &amp; $DA$9 &amp; "/" &amp; DA13 &amp; ", ","") &amp; IF(DB13&lt;&gt;"", $DB$7 &amp; "/" &amp; $DB$9 &amp; "/" &amp; DB13 &amp; ", ","") &amp; IF(DC13&lt;&gt;"", $DC$7 &amp; "/" &amp; $DC$9 &amp; "/" &amp; DC13 &amp; ", ","") &amp; IF(DD13&lt;&gt;"", $DD$7 &amp; "/" &amp; $DD$9 &amp; "/" &amp; DD13 &amp; ", ","") &amp; IF(DE13&lt;&gt;"", $DE$7 &amp; "/" &amp; $DE$9 &amp; "/" &amp; DE13 &amp; ", ","") &amp; IF(DF13&lt;&gt;"", $DF$7 &amp; "/" &amp; $DF$9 &amp; "/" &amp; DF13 &amp; ", ","") &amp; IF(DG13&lt;&gt;"", $DG$7 &amp; "/" &amp; $DG$9 &amp; "/" &amp; DG13 &amp; ", ","") &amp; IF(DH13&lt;&gt;"", $DH$7 &amp; "/" &amp; $DH$9 &amp; "/" &amp; DH13 &amp; ", ","") &amp; IF(DI13&lt;&gt;"", $DI$7 &amp; "/" &amp; $DI$9 &amp; "/" &amp; DI13 &amp; ", ","") &amp; IF(DJ13&lt;&gt;"", $DJ$7 &amp; "/" &amp; $DJ$9 &amp; "/" &amp; DJ13 &amp; ", ","") &amp; IF(DK13&lt;&gt;"", $DK$7 &amp; "/" &amp; $DK$9 &amp; "/" &amp; DK13 &amp; ", ","") &amp; IF(DL13&lt;&gt;"", $DL$7 &amp; "/" &amp; $DL$9 &amp; "/" &amp; DL13 &amp; ", ","") &amp; IF(DM13&lt;&gt;"", $DM$7 &amp; "/" &amp; $DM$9 &amp; "/" &amp; DM13 &amp; ", ","") &amp; IF(DN13&lt;&gt;"", $DN$7 &amp; "/" &amp; $DN$9 &amp; "/" &amp; DN13 &amp; ", ","") &amp; IF(DO13&lt;&gt;"", $DO$7 &amp; "/" &amp; $DO$9 &amp; "/" &amp; DO13 &amp; ", ","") &amp; IF(DP13&lt;&gt;"", $DP$7 &amp; "/" &amp; $DP$9 &amp; "/" &amp; DP13 &amp; ", ","") &amp; IF(DQ13&lt;&gt;"", $DQ$7 &amp; "/" &amp; $DQ$9 &amp; "/" &amp; DQ13 &amp; ", ","")</f>
        <v/>
      </c>
      <c r="BO13" s="177"/>
      <c r="BP13" s="14"/>
      <c r="BQ13" s="14"/>
      <c r="BR13" s="14"/>
      <c r="BS13" s="14"/>
      <c r="BT13" s="14"/>
      <c r="BU13" s="14"/>
      <c r="BV13" s="16"/>
      <c r="BW13" s="14"/>
      <c r="BX13" s="14"/>
      <c r="BY13" s="14"/>
      <c r="BZ13" s="14"/>
      <c r="CA13" s="14"/>
      <c r="CB13" s="14"/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14"/>
      <c r="CX13" s="14"/>
      <c r="CY13" s="14"/>
      <c r="CZ13" s="14"/>
      <c r="DA13" s="14"/>
      <c r="DB13" s="14"/>
      <c r="DC13" s="14"/>
      <c r="DD13" s="14"/>
      <c r="DE13" s="14"/>
      <c r="DF13" s="14"/>
      <c r="DG13" s="14"/>
      <c r="DH13" s="14"/>
      <c r="DI13" s="14"/>
      <c r="DJ13" s="14"/>
      <c r="DK13" s="14"/>
      <c r="DL13" s="14"/>
      <c r="DM13" s="14"/>
      <c r="DN13" s="14"/>
      <c r="DO13" s="14"/>
      <c r="DP13" s="26"/>
      <c r="DQ13" s="27"/>
      <c r="DR13" s="129"/>
      <c r="DS13" s="130">
        <f>TCP(BO13:DQ13,$BO$9:$DQ$9,data!$H$8)</f>
        <v>0</v>
      </c>
      <c r="DT13" s="135"/>
      <c r="DU13" s="121"/>
      <c r="DV13" s="121"/>
      <c r="DW13" s="134"/>
      <c r="DX13" s="132"/>
      <c r="DY13" s="136"/>
      <c r="DZ13" s="21"/>
      <c r="EA13" s="18"/>
      <c r="EB13" s="4"/>
      <c r="EI13" s="23"/>
      <c r="EJ13" s="23"/>
    </row>
    <row r="14" spans="1:140" s="103" customFormat="1" ht="15.75" x14ac:dyDescent="0.25">
      <c r="A14" s="12"/>
      <c r="B14" s="16"/>
      <c r="C14" s="24" t="str">
        <f t="shared" si="0"/>
        <v xml:space="preserve"> </v>
      </c>
      <c r="D14" s="25"/>
      <c r="E14" s="20"/>
      <c r="F14" s="19" t="str">
        <f t="shared" si="1"/>
        <v xml:space="preserve"> </v>
      </c>
      <c r="G14" s="180" t="str">
        <f t="shared" ref="G14:G174" si="3">IF(H14&lt;&gt;"", $H$7 &amp; "/" &amp; $H$9 &amp; "/" &amp; H14 &amp; ", ","") &amp; IF(I14&lt;&gt;"", $I$7 &amp; "/" &amp; $I$9 &amp; "/" &amp; I14 &amp; ", ","") &amp; IF(J14&lt;&gt;"", $J$7 &amp; "/" &amp; $J$9 &amp; "/" &amp; J14 &amp; ", ","") &amp; IF(K14&lt;&gt;"", $K$7 &amp; "/" &amp; $K$9 &amp; "/" &amp; K14 &amp; ", ","") &amp; IF(L14&lt;&gt;"", $L$7 &amp; "/" &amp; $L$9 &amp; "/" &amp; L14 &amp; ", ","") &amp; IF(M14&lt;&gt;"", $M$7 &amp; "/" &amp; $M$9 &amp; "/" &amp; M14 &amp; ", ","") &amp; IF(N14&lt;&gt;"", $N$7 &amp; "/" &amp; $N$9 &amp; "/" &amp; N14 &amp; ", ","") &amp; IF(O14&lt;&gt;"", $O$7 &amp; "/" &amp; $O$9 &amp; "/" &amp; O14 &amp; ", ","") &amp; IF(P14&lt;&gt;"", $P$7 &amp; "/" &amp; $P$9 &amp; "/" &amp; P14 &amp; ", ","") &amp; IF(Q14&lt;&gt;"", $Q$7 &amp; "/" &amp; $Q$9 &amp; "/" &amp; Q14 &amp; ", ","") &amp; IF(R14&lt;&gt;"", $R$7 &amp; "/" &amp; $R$9 &amp; "/" &amp; R14 &amp; ", ","") &amp; IF(S14&lt;&gt;"", $S$7 &amp; "/" &amp; $S$9 &amp; "/" &amp; S14 &amp; ", ","") &amp; IF(T14&lt;&gt;"", $T$7 &amp; "/" &amp; $T$9 &amp; "/" &amp; T14 &amp; ", ","") &amp; IF(AY14&lt;&gt;"", $AY$7 &amp; "/" &amp; $AY$9 &amp; "/" &amp; AY14 &amp; ", ","") &amp; IF(AZ14&lt;&gt;"", $AZ$7 &amp; "/" &amp; $AZ$9 &amp; "/" &amp; AZ14 &amp; ", ","") &amp; IF(BA14&lt;&gt;"", $BA$7 &amp; "/" &amp; $BA$9 &amp; "/" &amp; BA14 &amp; ", ","") &amp; IF(BB14&lt;&gt;"", $BB$7 &amp; "/" &amp; $BB$9 &amp; "/" &amp; BB14 &amp; ", ","") &amp; IF(BC14&lt;&gt;"", $BC$7 &amp; "/" &amp; $BC$9 &amp; "/" &amp; BC14 &amp; ", ","") &amp; IF(BD14&lt;&gt;"", $BD$7 &amp; "/" &amp; $BD$9 &amp; "/" &amp; BD14 &amp; ", ","") &amp; IF(BE14&lt;&gt;"", $BE$7 &amp; "/" &amp; $BE$9 &amp; "/" &amp; BE14 &amp; ", ","") &amp; IF(BF14&lt;&gt;"", $BF$7 &amp; "/" &amp; $BF$9 &amp; "/" &amp; BF14 &amp; ", ","") &amp; IF(BG14&lt;&gt;"", $BG$7 &amp; "/" &amp; $BG$9 &amp; "/" &amp; BG14 &amp; ", ","") &amp; IF(BH14&lt;&gt;"", $BH$7 &amp; "/" &amp; $BH$9 &amp; "/" &amp; BH14 &amp; ", ","") &amp; IF(BI14&lt;&gt;"", $BI$7 &amp; "/" &amp; $BI$9 &amp; "/" &amp; BI14 &amp; ", ","") &amp; IF(BJ14&lt;&gt;"", $BJ$7 &amp; "/" &amp; $BJ$9 &amp; "/" &amp; BJ14 &amp; ", ","")</f>
        <v/>
      </c>
      <c r="H14" s="120"/>
      <c r="I14" s="121"/>
      <c r="J14" s="121"/>
      <c r="K14" s="121"/>
      <c r="L14" s="121"/>
      <c r="M14" s="121"/>
      <c r="N14" s="121"/>
      <c r="O14" s="121"/>
      <c r="P14" s="121"/>
      <c r="Q14" s="121"/>
      <c r="R14" s="121"/>
      <c r="S14" s="121"/>
      <c r="T14" s="121"/>
      <c r="U14" s="121"/>
      <c r="V14" s="121"/>
      <c r="W14" s="121"/>
      <c r="X14" s="121"/>
      <c r="Y14" s="121"/>
      <c r="Z14" s="121"/>
      <c r="AA14" s="121"/>
      <c r="AB14" s="121"/>
      <c r="AC14" s="121"/>
      <c r="AD14" s="121"/>
      <c r="AE14" s="121"/>
      <c r="AF14" s="121"/>
      <c r="AG14" s="121"/>
      <c r="AH14" s="121"/>
      <c r="AI14" s="121"/>
      <c r="AJ14" s="121"/>
      <c r="AK14" s="121"/>
      <c r="AL14" s="121"/>
      <c r="AM14" s="121"/>
      <c r="AN14" s="121"/>
      <c r="AO14" s="121"/>
      <c r="AP14" s="121"/>
      <c r="AQ14" s="121"/>
      <c r="AR14" s="121"/>
      <c r="AS14" s="121"/>
      <c r="AT14" s="121"/>
      <c r="AU14" s="121"/>
      <c r="AV14" s="121"/>
      <c r="AW14" s="121"/>
      <c r="AX14" s="121"/>
      <c r="AY14" s="121"/>
      <c r="AZ14" s="121"/>
      <c r="BA14" s="121"/>
      <c r="BB14" s="121"/>
      <c r="BC14" s="121"/>
      <c r="BD14" s="121"/>
      <c r="BE14" s="121"/>
      <c r="BF14" s="121"/>
      <c r="BG14" s="121"/>
      <c r="BH14" s="121"/>
      <c r="BI14" s="121"/>
      <c r="BJ14" s="122"/>
      <c r="BK14" s="93"/>
      <c r="BL14" s="94"/>
      <c r="BM14" s="95"/>
      <c r="BN14" s="179" t="str">
        <f t="shared" si="2"/>
        <v/>
      </c>
      <c r="BO14" s="177"/>
      <c r="BP14" s="14"/>
      <c r="BQ14" s="14"/>
      <c r="BR14" s="14"/>
      <c r="BS14" s="14"/>
      <c r="BT14" s="14"/>
      <c r="BU14" s="14"/>
      <c r="BV14" s="16"/>
      <c r="BW14" s="14"/>
      <c r="BX14" s="14"/>
      <c r="BY14" s="14"/>
      <c r="BZ14" s="14"/>
      <c r="CA14" s="14"/>
      <c r="CB14" s="14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14"/>
      <c r="CX14" s="14"/>
      <c r="CY14" s="14"/>
      <c r="CZ14" s="14"/>
      <c r="DA14" s="14"/>
      <c r="DB14" s="14"/>
      <c r="DC14" s="14"/>
      <c r="DD14" s="14"/>
      <c r="DE14" s="14"/>
      <c r="DF14" s="14"/>
      <c r="DG14" s="14"/>
      <c r="DH14" s="14"/>
      <c r="DI14" s="14"/>
      <c r="DJ14" s="14"/>
      <c r="DK14" s="14"/>
      <c r="DL14" s="14"/>
      <c r="DM14" s="14"/>
      <c r="DN14" s="14"/>
      <c r="DO14" s="14"/>
      <c r="DP14" s="26"/>
      <c r="DQ14" s="27"/>
      <c r="DR14" s="129"/>
      <c r="DS14" s="130">
        <f>TCP(BO14:DQ14,$BO$9:$DQ$9,data!$H$8)</f>
        <v>0</v>
      </c>
      <c r="DT14" s="135"/>
      <c r="DU14" s="121"/>
      <c r="DV14" s="121"/>
      <c r="DW14" s="134"/>
      <c r="DX14" s="132"/>
      <c r="DY14" s="136"/>
      <c r="DZ14" s="21"/>
      <c r="EA14" s="18"/>
      <c r="EB14" s="4"/>
      <c r="EI14" s="23"/>
      <c r="EJ14" s="23"/>
    </row>
    <row r="15" spans="1:140" s="103" customFormat="1" ht="15.75" x14ac:dyDescent="0.25">
      <c r="A15" s="12"/>
      <c r="B15" s="16"/>
      <c r="C15" s="24" t="str">
        <f t="shared" si="0"/>
        <v xml:space="preserve"> </v>
      </c>
      <c r="D15" s="25"/>
      <c r="E15" s="20"/>
      <c r="F15" s="19" t="str">
        <f t="shared" si="1"/>
        <v xml:space="preserve"> </v>
      </c>
      <c r="G15" s="180" t="str">
        <f t="shared" si="3"/>
        <v/>
      </c>
      <c r="H15" s="120"/>
      <c r="I15" s="121"/>
      <c r="J15" s="121"/>
      <c r="K15" s="121"/>
      <c r="L15" s="121"/>
      <c r="M15" s="121"/>
      <c r="N15" s="121"/>
      <c r="O15" s="121"/>
      <c r="P15" s="121"/>
      <c r="Q15" s="121"/>
      <c r="R15" s="121"/>
      <c r="S15" s="121"/>
      <c r="T15" s="121"/>
      <c r="U15" s="121"/>
      <c r="V15" s="121"/>
      <c r="W15" s="121"/>
      <c r="X15" s="121"/>
      <c r="Y15" s="121"/>
      <c r="Z15" s="121"/>
      <c r="AA15" s="121"/>
      <c r="AB15" s="121"/>
      <c r="AC15" s="121"/>
      <c r="AD15" s="121"/>
      <c r="AE15" s="121"/>
      <c r="AF15" s="121"/>
      <c r="AG15" s="121"/>
      <c r="AH15" s="121"/>
      <c r="AI15" s="121"/>
      <c r="AJ15" s="121"/>
      <c r="AK15" s="121"/>
      <c r="AL15" s="121"/>
      <c r="AM15" s="121"/>
      <c r="AN15" s="121"/>
      <c r="AO15" s="121"/>
      <c r="AP15" s="121"/>
      <c r="AQ15" s="121"/>
      <c r="AR15" s="121"/>
      <c r="AS15" s="121"/>
      <c r="AT15" s="121"/>
      <c r="AU15" s="121"/>
      <c r="AV15" s="121"/>
      <c r="AW15" s="121"/>
      <c r="AX15" s="121"/>
      <c r="AY15" s="121"/>
      <c r="AZ15" s="121"/>
      <c r="BA15" s="121"/>
      <c r="BB15" s="121"/>
      <c r="BC15" s="121"/>
      <c r="BD15" s="121"/>
      <c r="BE15" s="121"/>
      <c r="BF15" s="121"/>
      <c r="BG15" s="121"/>
      <c r="BH15" s="121"/>
      <c r="BI15" s="121"/>
      <c r="BJ15" s="122"/>
      <c r="BK15" s="93"/>
      <c r="BL15" s="94"/>
      <c r="BM15" s="95"/>
      <c r="BN15" s="179" t="str">
        <f t="shared" si="2"/>
        <v/>
      </c>
      <c r="BO15" s="177"/>
      <c r="BP15" s="14"/>
      <c r="BQ15" s="14"/>
      <c r="BR15" s="14"/>
      <c r="BS15" s="14"/>
      <c r="BT15" s="14"/>
      <c r="BU15" s="14"/>
      <c r="BV15" s="16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26"/>
      <c r="DQ15" s="27"/>
      <c r="DR15" s="129"/>
      <c r="DS15" s="130">
        <f>TCP(BO15:DQ15,$BO$9:$DQ$9,data!$H$8)</f>
        <v>0</v>
      </c>
      <c r="DT15" s="135"/>
      <c r="DU15" s="121"/>
      <c r="DV15" s="121"/>
      <c r="DW15" s="134"/>
      <c r="DX15" s="132"/>
      <c r="DY15" s="136"/>
      <c r="DZ15" s="21"/>
      <c r="EA15" s="18"/>
      <c r="EB15" s="4"/>
      <c r="EI15" s="23"/>
      <c r="EJ15" s="23"/>
    </row>
    <row r="16" spans="1:140" s="103" customFormat="1" ht="15.75" x14ac:dyDescent="0.25">
      <c r="A16" s="12"/>
      <c r="B16" s="16"/>
      <c r="C16" s="24" t="str">
        <f t="shared" si="0"/>
        <v xml:space="preserve"> </v>
      </c>
      <c r="D16" s="25"/>
      <c r="E16" s="20"/>
      <c r="F16" s="19" t="str">
        <f t="shared" si="1"/>
        <v xml:space="preserve"> </v>
      </c>
      <c r="G16" s="180" t="str">
        <f t="shared" si="3"/>
        <v/>
      </c>
      <c r="H16" s="120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1"/>
      <c r="AM16" s="121"/>
      <c r="AN16" s="121"/>
      <c r="AO16" s="121"/>
      <c r="AP16" s="121"/>
      <c r="AQ16" s="121"/>
      <c r="AR16" s="121"/>
      <c r="AS16" s="121"/>
      <c r="AT16" s="121"/>
      <c r="AU16" s="121"/>
      <c r="AV16" s="121"/>
      <c r="AW16" s="121"/>
      <c r="AX16" s="121"/>
      <c r="AY16" s="121"/>
      <c r="AZ16" s="121"/>
      <c r="BA16" s="121"/>
      <c r="BB16" s="121"/>
      <c r="BC16" s="121"/>
      <c r="BD16" s="121"/>
      <c r="BE16" s="121"/>
      <c r="BF16" s="121"/>
      <c r="BG16" s="121"/>
      <c r="BH16" s="121"/>
      <c r="BI16" s="121"/>
      <c r="BJ16" s="122"/>
      <c r="BK16" s="93"/>
      <c r="BL16" s="94"/>
      <c r="BM16" s="95"/>
      <c r="BN16" s="179" t="str">
        <f t="shared" si="2"/>
        <v/>
      </c>
      <c r="BO16" s="177"/>
      <c r="BP16" s="14"/>
      <c r="BQ16" s="14"/>
      <c r="BR16" s="14"/>
      <c r="BS16" s="14"/>
      <c r="BT16" s="14"/>
      <c r="BU16" s="14"/>
      <c r="BV16" s="16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26"/>
      <c r="DQ16" s="27"/>
      <c r="DR16" s="129"/>
      <c r="DS16" s="130">
        <f>TCP(BO16:DQ16,$BO$9:$DQ$9,data!$H$8)</f>
        <v>0</v>
      </c>
      <c r="DT16" s="135"/>
      <c r="DU16" s="121"/>
      <c r="DV16" s="121"/>
      <c r="DW16" s="134"/>
      <c r="DX16" s="132"/>
      <c r="DY16" s="136"/>
      <c r="DZ16" s="21"/>
      <c r="EA16" s="18"/>
      <c r="EB16" s="4"/>
      <c r="EI16" s="23"/>
      <c r="EJ16" s="23"/>
    </row>
    <row r="17" spans="1:140" s="103" customFormat="1" ht="15.75" x14ac:dyDescent="0.25">
      <c r="A17" s="12"/>
      <c r="B17" s="16"/>
      <c r="C17" s="24" t="str">
        <f t="shared" si="0"/>
        <v xml:space="preserve"> </v>
      </c>
      <c r="D17" s="25"/>
      <c r="E17" s="20"/>
      <c r="F17" s="19" t="str">
        <f t="shared" si="1"/>
        <v xml:space="preserve"> </v>
      </c>
      <c r="G17" s="180" t="str">
        <f t="shared" si="3"/>
        <v/>
      </c>
      <c r="H17" s="120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  <c r="AI17" s="121"/>
      <c r="AJ17" s="121"/>
      <c r="AK17" s="121"/>
      <c r="AL17" s="121"/>
      <c r="AM17" s="121"/>
      <c r="AN17" s="121"/>
      <c r="AO17" s="121"/>
      <c r="AP17" s="121"/>
      <c r="AQ17" s="121"/>
      <c r="AR17" s="121"/>
      <c r="AS17" s="121"/>
      <c r="AT17" s="121"/>
      <c r="AU17" s="121"/>
      <c r="AV17" s="121"/>
      <c r="AW17" s="121"/>
      <c r="AX17" s="121"/>
      <c r="AY17" s="121"/>
      <c r="AZ17" s="121"/>
      <c r="BA17" s="121"/>
      <c r="BB17" s="121"/>
      <c r="BC17" s="121"/>
      <c r="BD17" s="121"/>
      <c r="BE17" s="121"/>
      <c r="BF17" s="121"/>
      <c r="BG17" s="121"/>
      <c r="BH17" s="121"/>
      <c r="BI17" s="121"/>
      <c r="BJ17" s="122"/>
      <c r="BK17" s="93"/>
      <c r="BL17" s="94"/>
      <c r="BM17" s="95"/>
      <c r="BN17" s="179" t="str">
        <f t="shared" si="2"/>
        <v/>
      </c>
      <c r="BO17" s="177"/>
      <c r="BP17" s="14"/>
      <c r="BQ17" s="14"/>
      <c r="BR17" s="14"/>
      <c r="BS17" s="14"/>
      <c r="BT17" s="14"/>
      <c r="BU17" s="14"/>
      <c r="BV17" s="16"/>
      <c r="BW17" s="14"/>
      <c r="BX17" s="14"/>
      <c r="BY17" s="14"/>
      <c r="BZ17" s="14"/>
      <c r="CA17" s="14"/>
      <c r="CB17" s="14"/>
      <c r="CC17" s="14"/>
      <c r="CD17" s="14"/>
      <c r="CE17" s="14"/>
      <c r="CF17" s="14"/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14"/>
      <c r="CW17" s="14"/>
      <c r="CX17" s="14"/>
      <c r="CY17" s="14"/>
      <c r="CZ17" s="14"/>
      <c r="DA17" s="14"/>
      <c r="DB17" s="14"/>
      <c r="DC17" s="14"/>
      <c r="DD17" s="14"/>
      <c r="DE17" s="14"/>
      <c r="DF17" s="14"/>
      <c r="DG17" s="14"/>
      <c r="DH17" s="14"/>
      <c r="DI17" s="14"/>
      <c r="DJ17" s="14"/>
      <c r="DK17" s="14"/>
      <c r="DL17" s="14"/>
      <c r="DM17" s="14"/>
      <c r="DN17" s="14"/>
      <c r="DO17" s="14"/>
      <c r="DP17" s="26"/>
      <c r="DQ17" s="27"/>
      <c r="DR17" s="129"/>
      <c r="DS17" s="130">
        <f>TCP(BO17:DQ17,$BO$9:$DQ$9,data!$H$8)</f>
        <v>0</v>
      </c>
      <c r="DT17" s="135"/>
      <c r="DU17" s="121"/>
      <c r="DV17" s="121"/>
      <c r="DW17" s="134"/>
      <c r="DX17" s="132"/>
      <c r="DY17" s="136"/>
      <c r="DZ17" s="21"/>
      <c r="EA17" s="18"/>
      <c r="EB17" s="4"/>
      <c r="EI17" s="23"/>
      <c r="EJ17" s="23"/>
    </row>
    <row r="18" spans="1:140" s="103" customFormat="1" ht="15.75" x14ac:dyDescent="0.25">
      <c r="A18" s="12"/>
      <c r="B18" s="16"/>
      <c r="C18" s="24" t="str">
        <f t="shared" si="0"/>
        <v xml:space="preserve"> </v>
      </c>
      <c r="D18" s="25"/>
      <c r="E18" s="20"/>
      <c r="F18" s="19" t="str">
        <f t="shared" si="1"/>
        <v xml:space="preserve"> </v>
      </c>
      <c r="G18" s="180" t="str">
        <f t="shared" si="3"/>
        <v/>
      </c>
      <c r="H18" s="120"/>
      <c r="I18" s="121"/>
      <c r="J18" s="121"/>
      <c r="K18" s="121"/>
      <c r="L18" s="121"/>
      <c r="M18" s="121"/>
      <c r="N18" s="121"/>
      <c r="O18" s="121"/>
      <c r="P18" s="121"/>
      <c r="Q18" s="121"/>
      <c r="R18" s="121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  <c r="AI18" s="121"/>
      <c r="AJ18" s="121"/>
      <c r="AK18" s="121"/>
      <c r="AL18" s="121"/>
      <c r="AM18" s="121"/>
      <c r="AN18" s="121"/>
      <c r="AO18" s="121"/>
      <c r="AP18" s="121"/>
      <c r="AQ18" s="121"/>
      <c r="AR18" s="121"/>
      <c r="AS18" s="121"/>
      <c r="AT18" s="121"/>
      <c r="AU18" s="121"/>
      <c r="AV18" s="121"/>
      <c r="AW18" s="121"/>
      <c r="AX18" s="121"/>
      <c r="AY18" s="121"/>
      <c r="AZ18" s="121"/>
      <c r="BA18" s="121"/>
      <c r="BB18" s="121"/>
      <c r="BC18" s="121"/>
      <c r="BD18" s="121"/>
      <c r="BE18" s="121"/>
      <c r="BF18" s="121"/>
      <c r="BG18" s="121"/>
      <c r="BH18" s="121"/>
      <c r="BI18" s="121"/>
      <c r="BJ18" s="122"/>
      <c r="BK18" s="93"/>
      <c r="BL18" s="94"/>
      <c r="BM18" s="95"/>
      <c r="BN18" s="179" t="str">
        <f t="shared" si="2"/>
        <v/>
      </c>
      <c r="BO18" s="177"/>
      <c r="BP18" s="14"/>
      <c r="BQ18" s="14"/>
      <c r="BR18" s="14"/>
      <c r="BS18" s="14"/>
      <c r="BT18" s="14"/>
      <c r="BU18" s="14"/>
      <c r="BV18" s="16"/>
      <c r="BW18" s="14"/>
      <c r="BX18" s="14"/>
      <c r="BY18" s="14"/>
      <c r="BZ18" s="14"/>
      <c r="CA18" s="14"/>
      <c r="CB18" s="14"/>
      <c r="CC18" s="14"/>
      <c r="CD18" s="14"/>
      <c r="CE18" s="14"/>
      <c r="CF18" s="14"/>
      <c r="CG18" s="14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14"/>
      <c r="CS18" s="14"/>
      <c r="CT18" s="14"/>
      <c r="CU18" s="14"/>
      <c r="CV18" s="14"/>
      <c r="CW18" s="14"/>
      <c r="CX18" s="14"/>
      <c r="CY18" s="14"/>
      <c r="CZ18" s="14"/>
      <c r="DA18" s="14"/>
      <c r="DB18" s="14"/>
      <c r="DC18" s="14"/>
      <c r="DD18" s="14"/>
      <c r="DE18" s="14"/>
      <c r="DF18" s="14"/>
      <c r="DG18" s="14"/>
      <c r="DH18" s="14"/>
      <c r="DI18" s="14"/>
      <c r="DJ18" s="14"/>
      <c r="DK18" s="14"/>
      <c r="DL18" s="14"/>
      <c r="DM18" s="14"/>
      <c r="DN18" s="14"/>
      <c r="DO18" s="14"/>
      <c r="DP18" s="26"/>
      <c r="DQ18" s="27"/>
      <c r="DR18" s="129"/>
      <c r="DS18" s="130">
        <f>TCP(BO18:DQ18,$BO$9:$DQ$9,data!$H$8)</f>
        <v>0</v>
      </c>
      <c r="DT18" s="135"/>
      <c r="DU18" s="121"/>
      <c r="DV18" s="121"/>
      <c r="DW18" s="134"/>
      <c r="DX18" s="132"/>
      <c r="DY18" s="136"/>
      <c r="DZ18" s="21"/>
      <c r="EA18" s="18"/>
      <c r="EB18" s="4"/>
      <c r="EI18" s="23"/>
      <c r="EJ18" s="23"/>
    </row>
    <row r="19" spans="1:140" s="103" customFormat="1" ht="15.75" x14ac:dyDescent="0.25">
      <c r="A19" s="12"/>
      <c r="B19" s="16"/>
      <c r="C19" s="24" t="str">
        <f t="shared" si="0"/>
        <v xml:space="preserve"> </v>
      </c>
      <c r="D19" s="25"/>
      <c r="E19" s="20"/>
      <c r="F19" s="19" t="str">
        <f t="shared" si="1"/>
        <v xml:space="preserve"> </v>
      </c>
      <c r="G19" s="180" t="str">
        <f t="shared" si="3"/>
        <v/>
      </c>
      <c r="H19" s="120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1"/>
      <c r="AM19" s="121"/>
      <c r="AN19" s="121"/>
      <c r="AO19" s="121"/>
      <c r="AP19" s="121"/>
      <c r="AQ19" s="121"/>
      <c r="AR19" s="121"/>
      <c r="AS19" s="121"/>
      <c r="AT19" s="121"/>
      <c r="AU19" s="121"/>
      <c r="AV19" s="121"/>
      <c r="AW19" s="121"/>
      <c r="AX19" s="121"/>
      <c r="AY19" s="121"/>
      <c r="AZ19" s="121"/>
      <c r="BA19" s="121"/>
      <c r="BB19" s="121"/>
      <c r="BC19" s="121"/>
      <c r="BD19" s="121"/>
      <c r="BE19" s="121"/>
      <c r="BF19" s="121"/>
      <c r="BG19" s="121"/>
      <c r="BH19" s="121"/>
      <c r="BI19" s="121"/>
      <c r="BJ19" s="122"/>
      <c r="BK19" s="93"/>
      <c r="BL19" s="94"/>
      <c r="BM19" s="95"/>
      <c r="BN19" s="179" t="str">
        <f t="shared" si="2"/>
        <v/>
      </c>
      <c r="BO19" s="177"/>
      <c r="BP19" s="14"/>
      <c r="BQ19" s="14"/>
      <c r="BR19" s="14"/>
      <c r="BS19" s="14"/>
      <c r="BT19" s="14"/>
      <c r="BU19" s="14"/>
      <c r="BV19" s="16"/>
      <c r="BW19" s="14"/>
      <c r="BX19" s="14"/>
      <c r="BY19" s="14"/>
      <c r="BZ19" s="14"/>
      <c r="CA19" s="14"/>
      <c r="CB19" s="14"/>
      <c r="CC19" s="14"/>
      <c r="CD19" s="14"/>
      <c r="CE19" s="14"/>
      <c r="CF19" s="14"/>
      <c r="CG19" s="14"/>
      <c r="CH19" s="14"/>
      <c r="CI19" s="14"/>
      <c r="CJ19" s="14"/>
      <c r="CK19" s="14"/>
      <c r="CL19" s="14"/>
      <c r="CM19" s="14"/>
      <c r="CN19" s="14"/>
      <c r="CO19" s="14"/>
      <c r="CP19" s="14"/>
      <c r="CQ19" s="14"/>
      <c r="CR19" s="14"/>
      <c r="CS19" s="14"/>
      <c r="CT19" s="14"/>
      <c r="CU19" s="14"/>
      <c r="CV19" s="14"/>
      <c r="CW19" s="14"/>
      <c r="CX19" s="14"/>
      <c r="CY19" s="14"/>
      <c r="CZ19" s="14"/>
      <c r="DA19" s="14"/>
      <c r="DB19" s="14"/>
      <c r="DC19" s="14"/>
      <c r="DD19" s="14"/>
      <c r="DE19" s="14"/>
      <c r="DF19" s="14"/>
      <c r="DG19" s="14"/>
      <c r="DH19" s="14"/>
      <c r="DI19" s="14"/>
      <c r="DJ19" s="14"/>
      <c r="DK19" s="14"/>
      <c r="DL19" s="14"/>
      <c r="DM19" s="14"/>
      <c r="DN19" s="14"/>
      <c r="DO19" s="14"/>
      <c r="DP19" s="26"/>
      <c r="DQ19" s="27"/>
      <c r="DR19" s="129"/>
      <c r="DS19" s="130">
        <f>TCP(BO19:DQ19,$BO$9:$DQ$9,data!$H$8)</f>
        <v>0</v>
      </c>
      <c r="DT19" s="135"/>
      <c r="DU19" s="121"/>
      <c r="DV19" s="121"/>
      <c r="DW19" s="134"/>
      <c r="DX19" s="132"/>
      <c r="DY19" s="136"/>
      <c r="DZ19" s="21"/>
      <c r="EA19" s="18"/>
      <c r="EB19" s="4"/>
      <c r="EI19" s="23"/>
      <c r="EJ19" s="23"/>
    </row>
    <row r="20" spans="1:140" s="103" customFormat="1" ht="15.75" x14ac:dyDescent="0.25">
      <c r="A20" s="12"/>
      <c r="B20" s="16"/>
      <c r="C20" s="24" t="str">
        <f t="shared" si="0"/>
        <v xml:space="preserve"> </v>
      </c>
      <c r="D20" s="25"/>
      <c r="E20" s="20"/>
      <c r="F20" s="19" t="str">
        <f t="shared" si="1"/>
        <v xml:space="preserve"> </v>
      </c>
      <c r="G20" s="180" t="str">
        <f t="shared" si="3"/>
        <v/>
      </c>
      <c r="H20" s="120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  <c r="AI20" s="121"/>
      <c r="AJ20" s="121"/>
      <c r="AK20" s="121"/>
      <c r="AL20" s="121"/>
      <c r="AM20" s="121"/>
      <c r="AN20" s="121"/>
      <c r="AO20" s="121"/>
      <c r="AP20" s="121"/>
      <c r="AQ20" s="121"/>
      <c r="AR20" s="121"/>
      <c r="AS20" s="121"/>
      <c r="AT20" s="121"/>
      <c r="AU20" s="121"/>
      <c r="AV20" s="121"/>
      <c r="AW20" s="121"/>
      <c r="AX20" s="121"/>
      <c r="AY20" s="121"/>
      <c r="AZ20" s="121"/>
      <c r="BA20" s="121"/>
      <c r="BB20" s="121"/>
      <c r="BC20" s="121"/>
      <c r="BD20" s="121"/>
      <c r="BE20" s="121"/>
      <c r="BF20" s="121"/>
      <c r="BG20" s="121"/>
      <c r="BH20" s="121"/>
      <c r="BI20" s="121"/>
      <c r="BJ20" s="122"/>
      <c r="BK20" s="93"/>
      <c r="BL20" s="94"/>
      <c r="BM20" s="95"/>
      <c r="BN20" s="179" t="str">
        <f t="shared" si="2"/>
        <v/>
      </c>
      <c r="BO20" s="177"/>
      <c r="BP20" s="14"/>
      <c r="BQ20" s="14"/>
      <c r="BR20" s="14"/>
      <c r="BS20" s="14"/>
      <c r="BT20" s="14"/>
      <c r="BU20" s="14"/>
      <c r="BV20" s="16"/>
      <c r="BW20" s="14"/>
      <c r="BX20" s="14"/>
      <c r="BY20" s="14"/>
      <c r="BZ20" s="14"/>
      <c r="CA20" s="14"/>
      <c r="CB20" s="14"/>
      <c r="CC20" s="14"/>
      <c r="CD20" s="14"/>
      <c r="CE20" s="14"/>
      <c r="CF20" s="14"/>
      <c r="CG20" s="14"/>
      <c r="CH20" s="14"/>
      <c r="CI20" s="14"/>
      <c r="CJ20" s="14"/>
      <c r="CK20" s="14"/>
      <c r="CL20" s="14"/>
      <c r="CM20" s="14"/>
      <c r="CN20" s="14"/>
      <c r="CO20" s="14"/>
      <c r="CP20" s="14"/>
      <c r="CQ20" s="14"/>
      <c r="CR20" s="14"/>
      <c r="CS20" s="14"/>
      <c r="CT20" s="14"/>
      <c r="CU20" s="14"/>
      <c r="CV20" s="14"/>
      <c r="CW20" s="14"/>
      <c r="CX20" s="14"/>
      <c r="CY20" s="14"/>
      <c r="CZ20" s="14"/>
      <c r="DA20" s="14"/>
      <c r="DB20" s="14"/>
      <c r="DC20" s="14"/>
      <c r="DD20" s="14"/>
      <c r="DE20" s="14"/>
      <c r="DF20" s="14"/>
      <c r="DG20" s="14"/>
      <c r="DH20" s="14"/>
      <c r="DI20" s="14"/>
      <c r="DJ20" s="14"/>
      <c r="DK20" s="14"/>
      <c r="DL20" s="14"/>
      <c r="DM20" s="14"/>
      <c r="DN20" s="14"/>
      <c r="DO20" s="14"/>
      <c r="DP20" s="26"/>
      <c r="DQ20" s="27"/>
      <c r="DR20" s="129"/>
      <c r="DS20" s="130">
        <f>TCP(BO20:DQ20,$BO$9:$DQ$9,data!$H$8)</f>
        <v>0</v>
      </c>
      <c r="DT20" s="135"/>
      <c r="DU20" s="121"/>
      <c r="DV20" s="121"/>
      <c r="DW20" s="134"/>
      <c r="DX20" s="132"/>
      <c r="DY20" s="136"/>
      <c r="DZ20" s="21"/>
      <c r="EA20" s="18"/>
      <c r="EB20" s="4"/>
      <c r="EI20" s="23"/>
      <c r="EJ20" s="23"/>
    </row>
    <row r="21" spans="1:140" s="103" customFormat="1" ht="15.75" x14ac:dyDescent="0.25">
      <c r="A21" s="12"/>
      <c r="B21" s="16"/>
      <c r="C21" s="24" t="str">
        <f t="shared" si="0"/>
        <v xml:space="preserve"> </v>
      </c>
      <c r="D21" s="25"/>
      <c r="E21" s="20"/>
      <c r="F21" s="19" t="str">
        <f t="shared" si="1"/>
        <v xml:space="preserve"> </v>
      </c>
      <c r="G21" s="180" t="str">
        <f t="shared" si="3"/>
        <v/>
      </c>
      <c r="H21" s="120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21"/>
      <c r="AO21" s="121"/>
      <c r="AP21" s="121"/>
      <c r="AQ21" s="121"/>
      <c r="AR21" s="121"/>
      <c r="AS21" s="121"/>
      <c r="AT21" s="121"/>
      <c r="AU21" s="121"/>
      <c r="AV21" s="121"/>
      <c r="AW21" s="121"/>
      <c r="AX21" s="121"/>
      <c r="AY21" s="121"/>
      <c r="AZ21" s="121"/>
      <c r="BA21" s="121"/>
      <c r="BB21" s="121"/>
      <c r="BC21" s="121"/>
      <c r="BD21" s="121"/>
      <c r="BE21" s="121"/>
      <c r="BF21" s="121"/>
      <c r="BG21" s="121"/>
      <c r="BH21" s="121"/>
      <c r="BI21" s="121"/>
      <c r="BJ21" s="122"/>
      <c r="BK21" s="93"/>
      <c r="BL21" s="94"/>
      <c r="BM21" s="95"/>
      <c r="BN21" s="179" t="str">
        <f t="shared" si="2"/>
        <v/>
      </c>
      <c r="BO21" s="177"/>
      <c r="BP21" s="14"/>
      <c r="BQ21" s="14"/>
      <c r="BR21" s="14"/>
      <c r="BS21" s="14"/>
      <c r="BT21" s="14"/>
      <c r="BU21" s="14"/>
      <c r="BV21" s="16"/>
      <c r="BW21" s="14"/>
      <c r="BX21" s="14"/>
      <c r="BY21" s="14"/>
      <c r="BZ21" s="14"/>
      <c r="CA21" s="14"/>
      <c r="CB21" s="14"/>
      <c r="CC21" s="14"/>
      <c r="CD21" s="14"/>
      <c r="CE21" s="14"/>
      <c r="CF21" s="14"/>
      <c r="CG21" s="14"/>
      <c r="CH21" s="14"/>
      <c r="CI21" s="14"/>
      <c r="CJ21" s="14"/>
      <c r="CK21" s="14"/>
      <c r="CL21" s="14"/>
      <c r="CM21" s="14"/>
      <c r="CN21" s="14"/>
      <c r="CO21" s="14"/>
      <c r="CP21" s="14"/>
      <c r="CQ21" s="14"/>
      <c r="CR21" s="14"/>
      <c r="CS21" s="14"/>
      <c r="CT21" s="14"/>
      <c r="CU21" s="14"/>
      <c r="CV21" s="14"/>
      <c r="CW21" s="14"/>
      <c r="CX21" s="14"/>
      <c r="CY21" s="14"/>
      <c r="CZ21" s="14"/>
      <c r="DA21" s="14"/>
      <c r="DB21" s="14"/>
      <c r="DC21" s="14"/>
      <c r="DD21" s="14"/>
      <c r="DE21" s="14"/>
      <c r="DF21" s="14"/>
      <c r="DG21" s="14"/>
      <c r="DH21" s="14"/>
      <c r="DI21" s="14"/>
      <c r="DJ21" s="14"/>
      <c r="DK21" s="14"/>
      <c r="DL21" s="14"/>
      <c r="DM21" s="14"/>
      <c r="DN21" s="14"/>
      <c r="DO21" s="14"/>
      <c r="DP21" s="26"/>
      <c r="DQ21" s="27"/>
      <c r="DR21" s="129"/>
      <c r="DS21" s="130">
        <f>TCP(BO21:DQ21,$BO$9:$DQ$9,data!$H$8)</f>
        <v>0</v>
      </c>
      <c r="DT21" s="135"/>
      <c r="DU21" s="121"/>
      <c r="DV21" s="121"/>
      <c r="DW21" s="134"/>
      <c r="DX21" s="132"/>
      <c r="DY21" s="136"/>
      <c r="DZ21" s="21"/>
      <c r="EA21" s="18"/>
      <c r="EB21" s="4"/>
      <c r="EI21" s="23"/>
      <c r="EJ21" s="23"/>
    </row>
    <row r="22" spans="1:140" s="103" customFormat="1" ht="15.75" x14ac:dyDescent="0.25">
      <c r="A22" s="12"/>
      <c r="B22" s="16"/>
      <c r="C22" s="24" t="str">
        <f t="shared" si="0"/>
        <v xml:space="preserve"> </v>
      </c>
      <c r="D22" s="25"/>
      <c r="E22" s="20"/>
      <c r="F22" s="19" t="str">
        <f t="shared" si="1"/>
        <v xml:space="preserve"> </v>
      </c>
      <c r="G22" s="180" t="str">
        <f t="shared" si="3"/>
        <v/>
      </c>
      <c r="H22" s="120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1"/>
      <c r="AR22" s="121"/>
      <c r="AS22" s="121"/>
      <c r="AT22" s="121"/>
      <c r="AU22" s="121"/>
      <c r="AV22" s="121"/>
      <c r="AW22" s="121"/>
      <c r="AX22" s="121"/>
      <c r="AY22" s="121"/>
      <c r="AZ22" s="121"/>
      <c r="BA22" s="121"/>
      <c r="BB22" s="121"/>
      <c r="BC22" s="121"/>
      <c r="BD22" s="121"/>
      <c r="BE22" s="121"/>
      <c r="BF22" s="121"/>
      <c r="BG22" s="121"/>
      <c r="BH22" s="121"/>
      <c r="BI22" s="121"/>
      <c r="BJ22" s="122"/>
      <c r="BK22" s="93"/>
      <c r="BL22" s="94"/>
      <c r="BM22" s="95"/>
      <c r="BN22" s="179" t="str">
        <f t="shared" si="2"/>
        <v/>
      </c>
      <c r="BO22" s="177"/>
      <c r="BP22" s="14"/>
      <c r="BQ22" s="14"/>
      <c r="BR22" s="14"/>
      <c r="BS22" s="14"/>
      <c r="BT22" s="14"/>
      <c r="BU22" s="14"/>
      <c r="BV22" s="16"/>
      <c r="BW22" s="14"/>
      <c r="BX22" s="14"/>
      <c r="BY22" s="14"/>
      <c r="BZ22" s="14"/>
      <c r="CA22" s="14"/>
      <c r="CB22" s="14"/>
      <c r="CC22" s="14"/>
      <c r="CD22" s="14"/>
      <c r="CE22" s="14"/>
      <c r="CF22" s="14"/>
      <c r="CG22" s="14"/>
      <c r="CH22" s="14"/>
      <c r="CI22" s="14"/>
      <c r="CJ22" s="14"/>
      <c r="CK22" s="14"/>
      <c r="CL22" s="14"/>
      <c r="CM22" s="14"/>
      <c r="CN22" s="14"/>
      <c r="CO22" s="14"/>
      <c r="CP22" s="14"/>
      <c r="CQ22" s="14"/>
      <c r="CR22" s="14"/>
      <c r="CS22" s="14"/>
      <c r="CT22" s="14"/>
      <c r="CU22" s="14"/>
      <c r="CV22" s="14"/>
      <c r="CW22" s="14"/>
      <c r="CX22" s="14"/>
      <c r="CY22" s="14"/>
      <c r="CZ22" s="14"/>
      <c r="DA22" s="14"/>
      <c r="DB22" s="14"/>
      <c r="DC22" s="14"/>
      <c r="DD22" s="14"/>
      <c r="DE22" s="14"/>
      <c r="DF22" s="14"/>
      <c r="DG22" s="14"/>
      <c r="DH22" s="14"/>
      <c r="DI22" s="14"/>
      <c r="DJ22" s="14"/>
      <c r="DK22" s="14"/>
      <c r="DL22" s="14"/>
      <c r="DM22" s="14"/>
      <c r="DN22" s="14"/>
      <c r="DO22" s="14"/>
      <c r="DP22" s="26"/>
      <c r="DQ22" s="27"/>
      <c r="DR22" s="129"/>
      <c r="DS22" s="130">
        <f>TCP(BO22:DQ22,$BO$9:$DQ$9,data!$H$8)</f>
        <v>0</v>
      </c>
      <c r="DT22" s="135"/>
      <c r="DU22" s="121"/>
      <c r="DV22" s="121"/>
      <c r="DW22" s="134"/>
      <c r="DX22" s="132"/>
      <c r="DY22" s="136"/>
      <c r="DZ22" s="21"/>
      <c r="EA22" s="18"/>
      <c r="EB22" s="4"/>
      <c r="EI22" s="23"/>
      <c r="EJ22" s="23"/>
    </row>
    <row r="23" spans="1:140" s="103" customFormat="1" ht="15.75" x14ac:dyDescent="0.25">
      <c r="A23" s="12"/>
      <c r="B23" s="16"/>
      <c r="C23" s="24" t="str">
        <f t="shared" si="0"/>
        <v xml:space="preserve"> </v>
      </c>
      <c r="D23" s="25"/>
      <c r="E23" s="20"/>
      <c r="F23" s="19" t="str">
        <f t="shared" si="1"/>
        <v xml:space="preserve"> </v>
      </c>
      <c r="G23" s="180" t="str">
        <f t="shared" si="3"/>
        <v/>
      </c>
      <c r="H23" s="120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21"/>
      <c r="W23" s="121"/>
      <c r="X23" s="121"/>
      <c r="Y23" s="121"/>
      <c r="Z23" s="121"/>
      <c r="AA23" s="121"/>
      <c r="AB23" s="121"/>
      <c r="AC23" s="121"/>
      <c r="AD23" s="121"/>
      <c r="AE23" s="121"/>
      <c r="AF23" s="121"/>
      <c r="AG23" s="121"/>
      <c r="AH23" s="121"/>
      <c r="AI23" s="121"/>
      <c r="AJ23" s="121"/>
      <c r="AK23" s="121"/>
      <c r="AL23" s="121"/>
      <c r="AM23" s="121"/>
      <c r="AN23" s="121"/>
      <c r="AO23" s="121"/>
      <c r="AP23" s="121"/>
      <c r="AQ23" s="121"/>
      <c r="AR23" s="121"/>
      <c r="AS23" s="121"/>
      <c r="AT23" s="121"/>
      <c r="AU23" s="121"/>
      <c r="AV23" s="121"/>
      <c r="AW23" s="121"/>
      <c r="AX23" s="121"/>
      <c r="AY23" s="121"/>
      <c r="AZ23" s="121"/>
      <c r="BA23" s="121"/>
      <c r="BB23" s="121"/>
      <c r="BC23" s="121"/>
      <c r="BD23" s="121"/>
      <c r="BE23" s="121"/>
      <c r="BF23" s="121"/>
      <c r="BG23" s="121"/>
      <c r="BH23" s="121"/>
      <c r="BI23" s="121"/>
      <c r="BJ23" s="122"/>
      <c r="BK23" s="93"/>
      <c r="BL23" s="94"/>
      <c r="BM23" s="95"/>
      <c r="BN23" s="179" t="str">
        <f t="shared" si="2"/>
        <v/>
      </c>
      <c r="BO23" s="177"/>
      <c r="BP23" s="14"/>
      <c r="BQ23" s="14"/>
      <c r="BR23" s="14"/>
      <c r="BS23" s="14"/>
      <c r="BT23" s="14"/>
      <c r="BU23" s="14"/>
      <c r="BV23" s="16"/>
      <c r="BW23" s="14"/>
      <c r="BX23" s="14"/>
      <c r="BY23" s="14"/>
      <c r="BZ23" s="14"/>
      <c r="CA23" s="14"/>
      <c r="CB23" s="14"/>
      <c r="CC23" s="14"/>
      <c r="CD23" s="14"/>
      <c r="CE23" s="14"/>
      <c r="CF23" s="14"/>
      <c r="CG23" s="14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14"/>
      <c r="CW23" s="14"/>
      <c r="CX23" s="14"/>
      <c r="CY23" s="14"/>
      <c r="CZ23" s="14"/>
      <c r="DA23" s="14"/>
      <c r="DB23" s="14"/>
      <c r="DC23" s="14"/>
      <c r="DD23" s="14"/>
      <c r="DE23" s="14"/>
      <c r="DF23" s="14"/>
      <c r="DG23" s="14"/>
      <c r="DH23" s="14"/>
      <c r="DI23" s="14"/>
      <c r="DJ23" s="14"/>
      <c r="DK23" s="14"/>
      <c r="DL23" s="14"/>
      <c r="DM23" s="14"/>
      <c r="DN23" s="14"/>
      <c r="DO23" s="14"/>
      <c r="DP23" s="26"/>
      <c r="DQ23" s="27"/>
      <c r="DR23" s="129"/>
      <c r="DS23" s="130">
        <f>TCP(BO23:DQ23,$BO$9:$DQ$9,data!$H$8)</f>
        <v>0</v>
      </c>
      <c r="DT23" s="135"/>
      <c r="DU23" s="121"/>
      <c r="DV23" s="121"/>
      <c r="DW23" s="134"/>
      <c r="DX23" s="132"/>
      <c r="DY23" s="136"/>
      <c r="DZ23" s="21"/>
      <c r="EA23" s="18"/>
      <c r="EB23" s="4"/>
      <c r="EI23" s="23"/>
      <c r="EJ23" s="23"/>
    </row>
    <row r="24" spans="1:140" s="103" customFormat="1" ht="15.75" x14ac:dyDescent="0.25">
      <c r="A24" s="12"/>
      <c r="B24" s="16"/>
      <c r="C24" s="24" t="str">
        <f t="shared" si="0"/>
        <v xml:space="preserve"> </v>
      </c>
      <c r="D24" s="25"/>
      <c r="E24" s="20"/>
      <c r="F24" s="19" t="str">
        <f t="shared" si="1"/>
        <v xml:space="preserve"> </v>
      </c>
      <c r="G24" s="180" t="str">
        <f t="shared" si="3"/>
        <v/>
      </c>
      <c r="H24" s="120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21"/>
      <c r="W24" s="121"/>
      <c r="X24" s="121"/>
      <c r="Y24" s="121"/>
      <c r="Z24" s="121"/>
      <c r="AA24" s="121"/>
      <c r="AB24" s="121"/>
      <c r="AC24" s="121"/>
      <c r="AD24" s="121"/>
      <c r="AE24" s="121"/>
      <c r="AF24" s="121"/>
      <c r="AG24" s="121"/>
      <c r="AH24" s="121"/>
      <c r="AI24" s="121"/>
      <c r="AJ24" s="121"/>
      <c r="AK24" s="121"/>
      <c r="AL24" s="121"/>
      <c r="AM24" s="121"/>
      <c r="AN24" s="121"/>
      <c r="AO24" s="121"/>
      <c r="AP24" s="121"/>
      <c r="AQ24" s="121"/>
      <c r="AR24" s="121"/>
      <c r="AS24" s="121"/>
      <c r="AT24" s="121"/>
      <c r="AU24" s="121"/>
      <c r="AV24" s="121"/>
      <c r="AW24" s="121"/>
      <c r="AX24" s="121"/>
      <c r="AY24" s="121"/>
      <c r="AZ24" s="121"/>
      <c r="BA24" s="121"/>
      <c r="BB24" s="121"/>
      <c r="BC24" s="121"/>
      <c r="BD24" s="121"/>
      <c r="BE24" s="121"/>
      <c r="BF24" s="121"/>
      <c r="BG24" s="121"/>
      <c r="BH24" s="121"/>
      <c r="BI24" s="121"/>
      <c r="BJ24" s="122"/>
      <c r="BK24" s="93"/>
      <c r="BL24" s="94"/>
      <c r="BM24" s="95"/>
      <c r="BN24" s="179" t="str">
        <f t="shared" si="2"/>
        <v/>
      </c>
      <c r="BO24" s="177"/>
      <c r="BP24" s="14"/>
      <c r="BQ24" s="14"/>
      <c r="BR24" s="14"/>
      <c r="BS24" s="14"/>
      <c r="BT24" s="14"/>
      <c r="BU24" s="14"/>
      <c r="BV24" s="16"/>
      <c r="BW24" s="14"/>
      <c r="BX24" s="14"/>
      <c r="BY24" s="14"/>
      <c r="BZ24" s="14"/>
      <c r="CA24" s="14"/>
      <c r="CB24" s="14"/>
      <c r="CC24" s="14"/>
      <c r="CD24" s="14"/>
      <c r="CE24" s="14"/>
      <c r="CF24" s="14"/>
      <c r="CG24" s="14"/>
      <c r="CH24" s="14"/>
      <c r="CI24" s="14"/>
      <c r="CJ24" s="14"/>
      <c r="CK24" s="14"/>
      <c r="CL24" s="14"/>
      <c r="CM24" s="14"/>
      <c r="CN24" s="14"/>
      <c r="CO24" s="14"/>
      <c r="CP24" s="14"/>
      <c r="CQ24" s="14"/>
      <c r="CR24" s="14"/>
      <c r="CS24" s="14"/>
      <c r="CT24" s="14"/>
      <c r="CU24" s="14"/>
      <c r="CV24" s="14"/>
      <c r="CW24" s="14"/>
      <c r="CX24" s="14"/>
      <c r="CY24" s="14"/>
      <c r="CZ24" s="14"/>
      <c r="DA24" s="14"/>
      <c r="DB24" s="14"/>
      <c r="DC24" s="14"/>
      <c r="DD24" s="14"/>
      <c r="DE24" s="14"/>
      <c r="DF24" s="14"/>
      <c r="DG24" s="14"/>
      <c r="DH24" s="14"/>
      <c r="DI24" s="14"/>
      <c r="DJ24" s="14"/>
      <c r="DK24" s="14"/>
      <c r="DL24" s="14"/>
      <c r="DM24" s="14"/>
      <c r="DN24" s="14"/>
      <c r="DO24" s="14"/>
      <c r="DP24" s="26"/>
      <c r="DQ24" s="27"/>
      <c r="DR24" s="129"/>
      <c r="DS24" s="130">
        <f>TCP(BO24:DQ24,$BO$9:$DQ$9,data!$H$8)</f>
        <v>0</v>
      </c>
      <c r="DT24" s="135"/>
      <c r="DU24" s="121"/>
      <c r="DV24" s="121"/>
      <c r="DW24" s="134"/>
      <c r="DX24" s="132"/>
      <c r="DY24" s="136"/>
      <c r="DZ24" s="21"/>
      <c r="EA24" s="18"/>
      <c r="EB24" s="4"/>
      <c r="EI24" s="23"/>
      <c r="EJ24" s="23"/>
    </row>
    <row r="25" spans="1:140" s="103" customFormat="1" ht="15.75" x14ac:dyDescent="0.25">
      <c r="A25" s="12"/>
      <c r="B25" s="16"/>
      <c r="C25" s="24" t="str">
        <f t="shared" si="0"/>
        <v xml:space="preserve"> </v>
      </c>
      <c r="D25" s="25"/>
      <c r="E25" s="20"/>
      <c r="F25" s="19" t="str">
        <f t="shared" si="1"/>
        <v xml:space="preserve"> </v>
      </c>
      <c r="G25" s="180" t="str">
        <f t="shared" si="3"/>
        <v/>
      </c>
      <c r="H25" s="120"/>
      <c r="I25" s="121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2"/>
      <c r="BK25" s="93"/>
      <c r="BL25" s="94"/>
      <c r="BM25" s="95"/>
      <c r="BN25" s="179" t="str">
        <f t="shared" si="2"/>
        <v/>
      </c>
      <c r="BO25" s="177"/>
      <c r="BP25" s="14"/>
      <c r="BQ25" s="14"/>
      <c r="BR25" s="14"/>
      <c r="BS25" s="14"/>
      <c r="BT25" s="14"/>
      <c r="BU25" s="14"/>
      <c r="BV25" s="16"/>
      <c r="BW25" s="14"/>
      <c r="BX25" s="14"/>
      <c r="BY25" s="14"/>
      <c r="BZ25" s="14"/>
      <c r="CA25" s="14"/>
      <c r="CB25" s="14"/>
      <c r="CC25" s="14"/>
      <c r="CD25" s="14"/>
      <c r="CE25" s="14"/>
      <c r="CF25" s="14"/>
      <c r="CG25" s="14"/>
      <c r="CH25" s="14"/>
      <c r="CI25" s="14"/>
      <c r="CJ25" s="14"/>
      <c r="CK25" s="14"/>
      <c r="CL25" s="14"/>
      <c r="CM25" s="14"/>
      <c r="CN25" s="14"/>
      <c r="CO25" s="14"/>
      <c r="CP25" s="14"/>
      <c r="CQ25" s="14"/>
      <c r="CR25" s="14"/>
      <c r="CS25" s="14"/>
      <c r="CT25" s="14"/>
      <c r="CU25" s="14"/>
      <c r="CV25" s="14"/>
      <c r="CW25" s="14"/>
      <c r="CX25" s="14"/>
      <c r="CY25" s="14"/>
      <c r="CZ25" s="14"/>
      <c r="DA25" s="14"/>
      <c r="DB25" s="14"/>
      <c r="DC25" s="14"/>
      <c r="DD25" s="14"/>
      <c r="DE25" s="14"/>
      <c r="DF25" s="14"/>
      <c r="DG25" s="14"/>
      <c r="DH25" s="14"/>
      <c r="DI25" s="14"/>
      <c r="DJ25" s="14"/>
      <c r="DK25" s="14"/>
      <c r="DL25" s="14"/>
      <c r="DM25" s="14"/>
      <c r="DN25" s="14"/>
      <c r="DO25" s="14"/>
      <c r="DP25" s="26"/>
      <c r="DQ25" s="27"/>
      <c r="DR25" s="129"/>
      <c r="DS25" s="130">
        <f>TCP(BO25:DQ25,$BO$9:$DQ$9,data!$H$8)</f>
        <v>0</v>
      </c>
      <c r="DT25" s="135"/>
      <c r="DU25" s="121"/>
      <c r="DV25" s="121"/>
      <c r="DW25" s="134"/>
      <c r="DX25" s="132"/>
      <c r="DY25" s="136"/>
      <c r="DZ25" s="21"/>
      <c r="EA25" s="18"/>
      <c r="EB25" s="4"/>
      <c r="EI25" s="23"/>
      <c r="EJ25" s="23"/>
    </row>
    <row r="26" spans="1:140" s="103" customFormat="1" ht="15.75" x14ac:dyDescent="0.25">
      <c r="A26" s="12"/>
      <c r="B26" s="16"/>
      <c r="C26" s="24" t="str">
        <f t="shared" si="0"/>
        <v xml:space="preserve"> </v>
      </c>
      <c r="D26" s="25"/>
      <c r="E26" s="20"/>
      <c r="F26" s="19" t="str">
        <f t="shared" si="1"/>
        <v xml:space="preserve"> </v>
      </c>
      <c r="G26" s="180" t="str">
        <f t="shared" si="3"/>
        <v/>
      </c>
      <c r="H26" s="120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2"/>
      <c r="BK26" s="93"/>
      <c r="BL26" s="94"/>
      <c r="BM26" s="95"/>
      <c r="BN26" s="179" t="str">
        <f t="shared" si="2"/>
        <v/>
      </c>
      <c r="BO26" s="177"/>
      <c r="BP26" s="14"/>
      <c r="BQ26" s="14"/>
      <c r="BR26" s="14"/>
      <c r="BS26" s="14"/>
      <c r="BT26" s="14"/>
      <c r="BU26" s="14"/>
      <c r="BV26" s="16"/>
      <c r="BW26" s="14"/>
      <c r="BX26" s="14"/>
      <c r="BY26" s="14"/>
      <c r="BZ26" s="14"/>
      <c r="CA26" s="14"/>
      <c r="CB26" s="14"/>
      <c r="CC26" s="14"/>
      <c r="CD26" s="14"/>
      <c r="CE26" s="14"/>
      <c r="CF26" s="14"/>
      <c r="CG26" s="14"/>
      <c r="CH26" s="14"/>
      <c r="CI26" s="14"/>
      <c r="CJ26" s="14"/>
      <c r="CK26" s="14"/>
      <c r="CL26" s="14"/>
      <c r="CM26" s="14"/>
      <c r="CN26" s="14"/>
      <c r="CO26" s="14"/>
      <c r="CP26" s="14"/>
      <c r="CQ26" s="14"/>
      <c r="CR26" s="14"/>
      <c r="CS26" s="14"/>
      <c r="CT26" s="14"/>
      <c r="CU26" s="14"/>
      <c r="CV26" s="14"/>
      <c r="CW26" s="14"/>
      <c r="CX26" s="14"/>
      <c r="CY26" s="14"/>
      <c r="CZ26" s="14"/>
      <c r="DA26" s="14"/>
      <c r="DB26" s="14"/>
      <c r="DC26" s="14"/>
      <c r="DD26" s="14"/>
      <c r="DE26" s="14"/>
      <c r="DF26" s="14"/>
      <c r="DG26" s="14"/>
      <c r="DH26" s="14"/>
      <c r="DI26" s="14"/>
      <c r="DJ26" s="14"/>
      <c r="DK26" s="14"/>
      <c r="DL26" s="14"/>
      <c r="DM26" s="14"/>
      <c r="DN26" s="14"/>
      <c r="DO26" s="14"/>
      <c r="DP26" s="26"/>
      <c r="DQ26" s="27"/>
      <c r="DR26" s="129"/>
      <c r="DS26" s="130">
        <f>TCP(BO26:DQ26,$BO$9:$DQ$9,data!$H$8)</f>
        <v>0</v>
      </c>
      <c r="DT26" s="135"/>
      <c r="DU26" s="121"/>
      <c r="DV26" s="121"/>
      <c r="DW26" s="134"/>
      <c r="DX26" s="132"/>
      <c r="DY26" s="136"/>
      <c r="DZ26" s="21"/>
      <c r="EA26" s="18"/>
      <c r="EB26" s="4"/>
      <c r="EI26" s="23"/>
      <c r="EJ26" s="23"/>
    </row>
    <row r="27" spans="1:140" s="103" customFormat="1" ht="15.75" x14ac:dyDescent="0.25">
      <c r="A27" s="12"/>
      <c r="B27" s="16"/>
      <c r="C27" s="24" t="str">
        <f t="shared" si="0"/>
        <v xml:space="preserve"> </v>
      </c>
      <c r="D27" s="25"/>
      <c r="E27" s="20"/>
      <c r="F27" s="19" t="str">
        <f t="shared" si="1"/>
        <v xml:space="preserve"> </v>
      </c>
      <c r="G27" s="180" t="str">
        <f t="shared" si="3"/>
        <v/>
      </c>
      <c r="H27" s="120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2"/>
      <c r="BK27" s="93"/>
      <c r="BL27" s="94"/>
      <c r="BM27" s="95"/>
      <c r="BN27" s="179" t="str">
        <f t="shared" si="2"/>
        <v/>
      </c>
      <c r="BO27" s="177"/>
      <c r="BP27" s="14"/>
      <c r="BQ27" s="14"/>
      <c r="BR27" s="14"/>
      <c r="BS27" s="14"/>
      <c r="BT27" s="14"/>
      <c r="BU27" s="14"/>
      <c r="BV27" s="16"/>
      <c r="BW27" s="14"/>
      <c r="BX27" s="14"/>
      <c r="BY27" s="14"/>
      <c r="BZ27" s="14"/>
      <c r="CA27" s="14"/>
      <c r="CB27" s="14"/>
      <c r="CC27" s="14"/>
      <c r="CD27" s="14"/>
      <c r="CE27" s="14"/>
      <c r="CF27" s="14"/>
      <c r="CG27" s="14"/>
      <c r="CH27" s="14"/>
      <c r="CI27" s="14"/>
      <c r="CJ27" s="14"/>
      <c r="CK27" s="14"/>
      <c r="CL27" s="14"/>
      <c r="CM27" s="14"/>
      <c r="CN27" s="14"/>
      <c r="CO27" s="14"/>
      <c r="CP27" s="14"/>
      <c r="CQ27" s="14"/>
      <c r="CR27" s="14"/>
      <c r="CS27" s="14"/>
      <c r="CT27" s="14"/>
      <c r="CU27" s="14"/>
      <c r="CV27" s="14"/>
      <c r="CW27" s="14"/>
      <c r="CX27" s="14"/>
      <c r="CY27" s="14"/>
      <c r="CZ27" s="14"/>
      <c r="DA27" s="14"/>
      <c r="DB27" s="14"/>
      <c r="DC27" s="14"/>
      <c r="DD27" s="14"/>
      <c r="DE27" s="14"/>
      <c r="DF27" s="14"/>
      <c r="DG27" s="14"/>
      <c r="DH27" s="14"/>
      <c r="DI27" s="14"/>
      <c r="DJ27" s="14"/>
      <c r="DK27" s="14"/>
      <c r="DL27" s="14"/>
      <c r="DM27" s="14"/>
      <c r="DN27" s="14"/>
      <c r="DO27" s="14"/>
      <c r="DP27" s="26"/>
      <c r="DQ27" s="27"/>
      <c r="DR27" s="129"/>
      <c r="DS27" s="130">
        <f>TCP(BO27:DQ27,$BO$9:$DQ$9,data!$H$8)</f>
        <v>0</v>
      </c>
      <c r="DT27" s="135"/>
      <c r="DU27" s="121"/>
      <c r="DV27" s="121"/>
      <c r="DW27" s="134"/>
      <c r="DX27" s="132"/>
      <c r="DY27" s="136"/>
      <c r="DZ27" s="21"/>
      <c r="EA27" s="18"/>
      <c r="EB27" s="4"/>
      <c r="EI27" s="23"/>
      <c r="EJ27" s="23"/>
    </row>
    <row r="28" spans="1:140" s="103" customFormat="1" ht="15.75" x14ac:dyDescent="0.25">
      <c r="A28" s="12"/>
      <c r="B28" s="16"/>
      <c r="C28" s="24" t="str">
        <f t="shared" si="0"/>
        <v xml:space="preserve"> </v>
      </c>
      <c r="D28" s="25"/>
      <c r="E28" s="20"/>
      <c r="F28" s="19" t="str">
        <f t="shared" si="1"/>
        <v xml:space="preserve"> </v>
      </c>
      <c r="G28" s="180" t="str">
        <f t="shared" si="3"/>
        <v/>
      </c>
      <c r="H28" s="120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  <c r="AB28" s="121"/>
      <c r="AC28" s="121"/>
      <c r="AD28" s="121"/>
      <c r="AE28" s="121"/>
      <c r="AF28" s="121"/>
      <c r="AG28" s="121"/>
      <c r="AH28" s="121"/>
      <c r="AI28" s="121"/>
      <c r="AJ28" s="121"/>
      <c r="AK28" s="121"/>
      <c r="AL28" s="121"/>
      <c r="AM28" s="121"/>
      <c r="AN28" s="121"/>
      <c r="AO28" s="121"/>
      <c r="AP28" s="121"/>
      <c r="AQ28" s="121"/>
      <c r="AR28" s="121"/>
      <c r="AS28" s="121"/>
      <c r="AT28" s="121"/>
      <c r="AU28" s="121"/>
      <c r="AV28" s="121"/>
      <c r="AW28" s="121"/>
      <c r="AX28" s="121"/>
      <c r="AY28" s="121"/>
      <c r="AZ28" s="121"/>
      <c r="BA28" s="121"/>
      <c r="BB28" s="121"/>
      <c r="BC28" s="121"/>
      <c r="BD28" s="121"/>
      <c r="BE28" s="121"/>
      <c r="BF28" s="121"/>
      <c r="BG28" s="121"/>
      <c r="BH28" s="121"/>
      <c r="BI28" s="121"/>
      <c r="BJ28" s="122"/>
      <c r="BK28" s="93"/>
      <c r="BL28" s="94"/>
      <c r="BM28" s="95"/>
      <c r="BN28" s="179" t="str">
        <f t="shared" si="2"/>
        <v/>
      </c>
      <c r="BO28" s="177"/>
      <c r="BP28" s="14"/>
      <c r="BQ28" s="14"/>
      <c r="BR28" s="14"/>
      <c r="BS28" s="14"/>
      <c r="BT28" s="14"/>
      <c r="BU28" s="14"/>
      <c r="BV28" s="16"/>
      <c r="BW28" s="14"/>
      <c r="BX28" s="14"/>
      <c r="BY28" s="14"/>
      <c r="BZ28" s="14"/>
      <c r="CA28" s="14"/>
      <c r="CB28" s="14"/>
      <c r="CC28" s="14"/>
      <c r="CD28" s="14"/>
      <c r="CE28" s="14"/>
      <c r="CF28" s="14"/>
      <c r="CG28" s="14"/>
      <c r="CH28" s="14"/>
      <c r="CI28" s="14"/>
      <c r="CJ28" s="14"/>
      <c r="CK28" s="14"/>
      <c r="CL28" s="14"/>
      <c r="CM28" s="14"/>
      <c r="CN28" s="14"/>
      <c r="CO28" s="14"/>
      <c r="CP28" s="14"/>
      <c r="CQ28" s="14"/>
      <c r="CR28" s="14"/>
      <c r="CS28" s="14"/>
      <c r="CT28" s="14"/>
      <c r="CU28" s="14"/>
      <c r="CV28" s="14"/>
      <c r="CW28" s="14"/>
      <c r="CX28" s="14"/>
      <c r="CY28" s="14"/>
      <c r="CZ28" s="14"/>
      <c r="DA28" s="14"/>
      <c r="DB28" s="14"/>
      <c r="DC28" s="14"/>
      <c r="DD28" s="14"/>
      <c r="DE28" s="14"/>
      <c r="DF28" s="14"/>
      <c r="DG28" s="14"/>
      <c r="DH28" s="14"/>
      <c r="DI28" s="14"/>
      <c r="DJ28" s="14"/>
      <c r="DK28" s="14"/>
      <c r="DL28" s="14"/>
      <c r="DM28" s="14"/>
      <c r="DN28" s="14"/>
      <c r="DO28" s="14"/>
      <c r="DP28" s="26"/>
      <c r="DQ28" s="27"/>
      <c r="DR28" s="129"/>
      <c r="DS28" s="130">
        <f>TCP(BO28:DQ28,$BO$9:$DQ$9,data!$H$8)</f>
        <v>0</v>
      </c>
      <c r="DT28" s="135"/>
      <c r="DU28" s="121"/>
      <c r="DV28" s="121"/>
      <c r="DW28" s="134"/>
      <c r="DX28" s="132"/>
      <c r="DY28" s="136"/>
      <c r="DZ28" s="21"/>
      <c r="EA28" s="18"/>
      <c r="EB28" s="4"/>
      <c r="EI28" s="23"/>
      <c r="EJ28" s="23"/>
    </row>
    <row r="29" spans="1:140" s="103" customFormat="1" ht="15.75" x14ac:dyDescent="0.25">
      <c r="A29" s="12"/>
      <c r="B29" s="16"/>
      <c r="C29" s="24" t="str">
        <f t="shared" si="0"/>
        <v xml:space="preserve"> </v>
      </c>
      <c r="D29" s="25"/>
      <c r="E29" s="20"/>
      <c r="F29" s="19" t="str">
        <f t="shared" si="1"/>
        <v xml:space="preserve"> </v>
      </c>
      <c r="G29" s="180" t="str">
        <f t="shared" si="3"/>
        <v/>
      </c>
      <c r="H29" s="120"/>
      <c r="I29" s="121"/>
      <c r="J29" s="121"/>
      <c r="K29" s="121"/>
      <c r="L29" s="121"/>
      <c r="M29" s="121"/>
      <c r="N29" s="121"/>
      <c r="O29" s="121"/>
      <c r="P29" s="121"/>
      <c r="Q29" s="121"/>
      <c r="R29" s="121"/>
      <c r="S29" s="121"/>
      <c r="T29" s="121"/>
      <c r="U29" s="121"/>
      <c r="V29" s="121"/>
      <c r="W29" s="121"/>
      <c r="X29" s="121"/>
      <c r="Y29" s="121"/>
      <c r="Z29" s="121"/>
      <c r="AA29" s="121"/>
      <c r="AB29" s="121"/>
      <c r="AC29" s="121"/>
      <c r="AD29" s="121"/>
      <c r="AE29" s="121"/>
      <c r="AF29" s="121"/>
      <c r="AG29" s="121"/>
      <c r="AH29" s="121"/>
      <c r="AI29" s="121"/>
      <c r="AJ29" s="121"/>
      <c r="AK29" s="121"/>
      <c r="AL29" s="121"/>
      <c r="AM29" s="121"/>
      <c r="AN29" s="121"/>
      <c r="AO29" s="121"/>
      <c r="AP29" s="121"/>
      <c r="AQ29" s="121"/>
      <c r="AR29" s="121"/>
      <c r="AS29" s="121"/>
      <c r="AT29" s="121"/>
      <c r="AU29" s="121"/>
      <c r="AV29" s="121"/>
      <c r="AW29" s="121"/>
      <c r="AX29" s="121"/>
      <c r="AY29" s="121"/>
      <c r="AZ29" s="121"/>
      <c r="BA29" s="121"/>
      <c r="BB29" s="121"/>
      <c r="BC29" s="121"/>
      <c r="BD29" s="121"/>
      <c r="BE29" s="121"/>
      <c r="BF29" s="121"/>
      <c r="BG29" s="121"/>
      <c r="BH29" s="121"/>
      <c r="BI29" s="121"/>
      <c r="BJ29" s="122"/>
      <c r="BK29" s="93"/>
      <c r="BL29" s="94"/>
      <c r="BM29" s="95"/>
      <c r="BN29" s="179" t="str">
        <f t="shared" si="2"/>
        <v/>
      </c>
      <c r="BO29" s="177"/>
      <c r="BP29" s="14"/>
      <c r="BQ29" s="14"/>
      <c r="BR29" s="14"/>
      <c r="BS29" s="14"/>
      <c r="BT29" s="14"/>
      <c r="BU29" s="14"/>
      <c r="BV29" s="16"/>
      <c r="BW29" s="14"/>
      <c r="BX29" s="14"/>
      <c r="BY29" s="14"/>
      <c r="BZ29" s="14"/>
      <c r="CA29" s="14"/>
      <c r="CB29" s="14"/>
      <c r="CC29" s="14"/>
      <c r="CD29" s="14"/>
      <c r="CE29" s="14"/>
      <c r="CF29" s="14"/>
      <c r="CG29" s="14"/>
      <c r="CH29" s="14"/>
      <c r="CI29" s="14"/>
      <c r="CJ29" s="14"/>
      <c r="CK29" s="14"/>
      <c r="CL29" s="14"/>
      <c r="CM29" s="14"/>
      <c r="CN29" s="14"/>
      <c r="CO29" s="14"/>
      <c r="CP29" s="14"/>
      <c r="CQ29" s="14"/>
      <c r="CR29" s="14"/>
      <c r="CS29" s="14"/>
      <c r="CT29" s="14"/>
      <c r="CU29" s="14"/>
      <c r="CV29" s="14"/>
      <c r="CW29" s="14"/>
      <c r="CX29" s="14"/>
      <c r="CY29" s="14"/>
      <c r="CZ29" s="14"/>
      <c r="DA29" s="14"/>
      <c r="DB29" s="14"/>
      <c r="DC29" s="14"/>
      <c r="DD29" s="14"/>
      <c r="DE29" s="14"/>
      <c r="DF29" s="14"/>
      <c r="DG29" s="14"/>
      <c r="DH29" s="14"/>
      <c r="DI29" s="14"/>
      <c r="DJ29" s="14"/>
      <c r="DK29" s="14"/>
      <c r="DL29" s="14"/>
      <c r="DM29" s="14"/>
      <c r="DN29" s="14"/>
      <c r="DO29" s="14"/>
      <c r="DP29" s="26"/>
      <c r="DQ29" s="27"/>
      <c r="DR29" s="129"/>
      <c r="DS29" s="130">
        <f>TCP(BO29:DQ29,$BO$9:$DQ$9,data!$H$8)</f>
        <v>0</v>
      </c>
      <c r="DT29" s="135"/>
      <c r="DU29" s="121"/>
      <c r="DV29" s="121"/>
      <c r="DW29" s="134"/>
      <c r="DX29" s="132"/>
      <c r="DY29" s="136"/>
      <c r="DZ29" s="21"/>
      <c r="EA29" s="18"/>
      <c r="EB29" s="4"/>
      <c r="EI29" s="23"/>
      <c r="EJ29" s="23"/>
    </row>
    <row r="30" spans="1:140" s="103" customFormat="1" ht="15.75" x14ac:dyDescent="0.25">
      <c r="A30" s="12"/>
      <c r="B30" s="16"/>
      <c r="C30" s="24" t="str">
        <f t="shared" si="0"/>
        <v xml:space="preserve"> </v>
      </c>
      <c r="D30" s="25"/>
      <c r="E30" s="20"/>
      <c r="F30" s="19" t="str">
        <f t="shared" si="1"/>
        <v xml:space="preserve"> </v>
      </c>
      <c r="G30" s="180" t="str">
        <f t="shared" si="3"/>
        <v/>
      </c>
      <c r="H30" s="120"/>
      <c r="I30" s="121"/>
      <c r="J30" s="121"/>
      <c r="K30" s="121"/>
      <c r="L30" s="121"/>
      <c r="M30" s="121"/>
      <c r="N30" s="121"/>
      <c r="O30" s="121"/>
      <c r="P30" s="121"/>
      <c r="Q30" s="121"/>
      <c r="R30" s="121"/>
      <c r="S30" s="121"/>
      <c r="T30" s="121"/>
      <c r="U30" s="121"/>
      <c r="V30" s="121"/>
      <c r="W30" s="121"/>
      <c r="X30" s="121"/>
      <c r="Y30" s="121"/>
      <c r="Z30" s="121"/>
      <c r="AA30" s="121"/>
      <c r="AB30" s="121"/>
      <c r="AC30" s="121"/>
      <c r="AD30" s="121"/>
      <c r="AE30" s="121"/>
      <c r="AF30" s="121"/>
      <c r="AG30" s="121"/>
      <c r="AH30" s="121"/>
      <c r="AI30" s="121"/>
      <c r="AJ30" s="121"/>
      <c r="AK30" s="121"/>
      <c r="AL30" s="121"/>
      <c r="AM30" s="121"/>
      <c r="AN30" s="121"/>
      <c r="AO30" s="121"/>
      <c r="AP30" s="121"/>
      <c r="AQ30" s="121"/>
      <c r="AR30" s="121"/>
      <c r="AS30" s="121"/>
      <c r="AT30" s="121"/>
      <c r="AU30" s="121"/>
      <c r="AV30" s="121"/>
      <c r="AW30" s="121"/>
      <c r="AX30" s="121"/>
      <c r="AY30" s="121"/>
      <c r="AZ30" s="121"/>
      <c r="BA30" s="121"/>
      <c r="BB30" s="121"/>
      <c r="BC30" s="121"/>
      <c r="BD30" s="121"/>
      <c r="BE30" s="121"/>
      <c r="BF30" s="121"/>
      <c r="BG30" s="121"/>
      <c r="BH30" s="121"/>
      <c r="BI30" s="121"/>
      <c r="BJ30" s="122"/>
      <c r="BK30" s="93"/>
      <c r="BL30" s="94"/>
      <c r="BM30" s="95"/>
      <c r="BN30" s="179" t="str">
        <f t="shared" si="2"/>
        <v/>
      </c>
      <c r="BO30" s="177"/>
      <c r="BP30" s="14"/>
      <c r="BQ30" s="14"/>
      <c r="BR30" s="14"/>
      <c r="BS30" s="14"/>
      <c r="BT30" s="14"/>
      <c r="BU30" s="14"/>
      <c r="BV30" s="16"/>
      <c r="BW30" s="14"/>
      <c r="BX30" s="14"/>
      <c r="BY30" s="14"/>
      <c r="BZ30" s="14"/>
      <c r="CA30" s="14"/>
      <c r="CB30" s="14"/>
      <c r="CC30" s="14"/>
      <c r="CD30" s="14"/>
      <c r="CE30" s="14"/>
      <c r="CF30" s="14"/>
      <c r="CG30" s="14"/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14"/>
      <c r="CX30" s="14"/>
      <c r="CY30" s="14"/>
      <c r="CZ30" s="14"/>
      <c r="DA30" s="14"/>
      <c r="DB30" s="14"/>
      <c r="DC30" s="14"/>
      <c r="DD30" s="14"/>
      <c r="DE30" s="14"/>
      <c r="DF30" s="14"/>
      <c r="DG30" s="14"/>
      <c r="DH30" s="14"/>
      <c r="DI30" s="14"/>
      <c r="DJ30" s="14"/>
      <c r="DK30" s="14"/>
      <c r="DL30" s="14"/>
      <c r="DM30" s="14"/>
      <c r="DN30" s="14"/>
      <c r="DO30" s="14"/>
      <c r="DP30" s="26"/>
      <c r="DQ30" s="27"/>
      <c r="DR30" s="129"/>
      <c r="DS30" s="130">
        <f>TCP(BO30:DQ30,$BO$9:$DQ$9,data!$H$8)</f>
        <v>0</v>
      </c>
      <c r="DT30" s="135"/>
      <c r="DU30" s="121"/>
      <c r="DV30" s="121"/>
      <c r="DW30" s="134"/>
      <c r="DX30" s="132"/>
      <c r="DY30" s="136"/>
      <c r="DZ30" s="21"/>
      <c r="EA30" s="18"/>
      <c r="EB30" s="4"/>
      <c r="EI30" s="23"/>
      <c r="EJ30" s="23"/>
    </row>
    <row r="31" spans="1:140" s="103" customFormat="1" ht="15.75" x14ac:dyDescent="0.25">
      <c r="A31" s="12"/>
      <c r="B31" s="16"/>
      <c r="C31" s="24" t="str">
        <f t="shared" si="0"/>
        <v xml:space="preserve"> </v>
      </c>
      <c r="D31" s="25"/>
      <c r="E31" s="20"/>
      <c r="F31" s="19" t="str">
        <f t="shared" si="1"/>
        <v xml:space="preserve"> </v>
      </c>
      <c r="G31" s="180" t="str">
        <f t="shared" si="3"/>
        <v/>
      </c>
      <c r="H31" s="120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/>
      <c r="AF31" s="121"/>
      <c r="AG31" s="121"/>
      <c r="AH31" s="121"/>
      <c r="AI31" s="121"/>
      <c r="AJ31" s="121"/>
      <c r="AK31" s="121"/>
      <c r="AL31" s="121"/>
      <c r="AM31" s="121"/>
      <c r="AN31" s="121"/>
      <c r="AO31" s="121"/>
      <c r="AP31" s="121"/>
      <c r="AQ31" s="121"/>
      <c r="AR31" s="121"/>
      <c r="AS31" s="121"/>
      <c r="AT31" s="121"/>
      <c r="AU31" s="121"/>
      <c r="AV31" s="121"/>
      <c r="AW31" s="121"/>
      <c r="AX31" s="121"/>
      <c r="AY31" s="121"/>
      <c r="AZ31" s="121"/>
      <c r="BA31" s="121"/>
      <c r="BB31" s="121"/>
      <c r="BC31" s="121"/>
      <c r="BD31" s="121"/>
      <c r="BE31" s="121"/>
      <c r="BF31" s="121"/>
      <c r="BG31" s="121"/>
      <c r="BH31" s="121"/>
      <c r="BI31" s="121"/>
      <c r="BJ31" s="122"/>
      <c r="BK31" s="93"/>
      <c r="BL31" s="94"/>
      <c r="BM31" s="95"/>
      <c r="BN31" s="179" t="str">
        <f t="shared" si="2"/>
        <v/>
      </c>
      <c r="BO31" s="177"/>
      <c r="BP31" s="14"/>
      <c r="BQ31" s="14"/>
      <c r="BR31" s="14"/>
      <c r="BS31" s="14"/>
      <c r="BT31" s="14"/>
      <c r="BU31" s="14"/>
      <c r="BV31" s="16"/>
      <c r="BW31" s="14"/>
      <c r="BX31" s="14"/>
      <c r="BY31" s="14"/>
      <c r="BZ31" s="14"/>
      <c r="CA31" s="14"/>
      <c r="CB31" s="14"/>
      <c r="CC31" s="14"/>
      <c r="CD31" s="14"/>
      <c r="CE31" s="14"/>
      <c r="CF31" s="14"/>
      <c r="CG31" s="14"/>
      <c r="CH31" s="14"/>
      <c r="CI31" s="14"/>
      <c r="CJ31" s="14"/>
      <c r="CK31" s="14"/>
      <c r="CL31" s="14"/>
      <c r="CM31" s="14"/>
      <c r="CN31" s="14"/>
      <c r="CO31" s="14"/>
      <c r="CP31" s="14"/>
      <c r="CQ31" s="14"/>
      <c r="CR31" s="14"/>
      <c r="CS31" s="14"/>
      <c r="CT31" s="14"/>
      <c r="CU31" s="14"/>
      <c r="CV31" s="14"/>
      <c r="CW31" s="14"/>
      <c r="CX31" s="14"/>
      <c r="CY31" s="14"/>
      <c r="CZ31" s="14"/>
      <c r="DA31" s="14"/>
      <c r="DB31" s="14"/>
      <c r="DC31" s="14"/>
      <c r="DD31" s="14"/>
      <c r="DE31" s="14"/>
      <c r="DF31" s="14"/>
      <c r="DG31" s="14"/>
      <c r="DH31" s="14"/>
      <c r="DI31" s="14"/>
      <c r="DJ31" s="14"/>
      <c r="DK31" s="14"/>
      <c r="DL31" s="14"/>
      <c r="DM31" s="14"/>
      <c r="DN31" s="14"/>
      <c r="DO31" s="14"/>
      <c r="DP31" s="26"/>
      <c r="DQ31" s="27"/>
      <c r="DR31" s="129"/>
      <c r="DS31" s="130">
        <f>TCP(BO31:DQ31,$BO$9:$DQ$9,data!$H$8)</f>
        <v>0</v>
      </c>
      <c r="DT31" s="135"/>
      <c r="DU31" s="121"/>
      <c r="DV31" s="121"/>
      <c r="DW31" s="134"/>
      <c r="DX31" s="132"/>
      <c r="DY31" s="136"/>
      <c r="DZ31" s="21"/>
      <c r="EA31" s="18"/>
      <c r="EB31" s="4"/>
      <c r="EI31" s="23"/>
      <c r="EJ31" s="23"/>
    </row>
    <row r="32" spans="1:140" s="103" customFormat="1" ht="15.75" x14ac:dyDescent="0.25">
      <c r="A32" s="12"/>
      <c r="B32" s="16"/>
      <c r="C32" s="24" t="str">
        <f t="shared" si="0"/>
        <v xml:space="preserve"> </v>
      </c>
      <c r="D32" s="25"/>
      <c r="E32" s="20"/>
      <c r="F32" s="19" t="str">
        <f t="shared" si="1"/>
        <v xml:space="preserve"> </v>
      </c>
      <c r="G32" s="180" t="str">
        <f t="shared" si="3"/>
        <v/>
      </c>
      <c r="H32" s="120"/>
      <c r="I32" s="121"/>
      <c r="J32" s="121"/>
      <c r="K32" s="121"/>
      <c r="L32" s="121"/>
      <c r="M32" s="121"/>
      <c r="N32" s="121"/>
      <c r="O32" s="121"/>
      <c r="P32" s="121"/>
      <c r="Q32" s="121"/>
      <c r="R32" s="121"/>
      <c r="S32" s="121"/>
      <c r="T32" s="121"/>
      <c r="U32" s="121"/>
      <c r="V32" s="121"/>
      <c r="W32" s="121"/>
      <c r="X32" s="121"/>
      <c r="Y32" s="121"/>
      <c r="Z32" s="121"/>
      <c r="AA32" s="121"/>
      <c r="AB32" s="121"/>
      <c r="AC32" s="121"/>
      <c r="AD32" s="121"/>
      <c r="AE32" s="121"/>
      <c r="AF32" s="121"/>
      <c r="AG32" s="121"/>
      <c r="AH32" s="121"/>
      <c r="AI32" s="121"/>
      <c r="AJ32" s="121"/>
      <c r="AK32" s="121"/>
      <c r="AL32" s="121"/>
      <c r="AM32" s="121"/>
      <c r="AN32" s="121"/>
      <c r="AO32" s="121"/>
      <c r="AP32" s="121"/>
      <c r="AQ32" s="121"/>
      <c r="AR32" s="121"/>
      <c r="AS32" s="121"/>
      <c r="AT32" s="121"/>
      <c r="AU32" s="121"/>
      <c r="AV32" s="121"/>
      <c r="AW32" s="121"/>
      <c r="AX32" s="121"/>
      <c r="AY32" s="121"/>
      <c r="AZ32" s="121"/>
      <c r="BA32" s="121"/>
      <c r="BB32" s="121"/>
      <c r="BC32" s="121"/>
      <c r="BD32" s="121"/>
      <c r="BE32" s="121"/>
      <c r="BF32" s="121"/>
      <c r="BG32" s="121"/>
      <c r="BH32" s="121"/>
      <c r="BI32" s="121"/>
      <c r="BJ32" s="122"/>
      <c r="BK32" s="93"/>
      <c r="BL32" s="94"/>
      <c r="BM32" s="95"/>
      <c r="BN32" s="179" t="str">
        <f t="shared" si="2"/>
        <v/>
      </c>
      <c r="BO32" s="177"/>
      <c r="BP32" s="14"/>
      <c r="BQ32" s="14"/>
      <c r="BR32" s="14"/>
      <c r="BS32" s="14"/>
      <c r="BT32" s="14"/>
      <c r="BU32" s="14"/>
      <c r="BV32" s="16"/>
      <c r="BW32" s="14"/>
      <c r="BX32" s="14"/>
      <c r="BY32" s="14"/>
      <c r="BZ32" s="14"/>
      <c r="CA32" s="14"/>
      <c r="CB32" s="14"/>
      <c r="CC32" s="14"/>
      <c r="CD32" s="14"/>
      <c r="CE32" s="14"/>
      <c r="CF32" s="14"/>
      <c r="CG32" s="14"/>
      <c r="CH32" s="14"/>
      <c r="CI32" s="14"/>
      <c r="CJ32" s="14"/>
      <c r="CK32" s="14"/>
      <c r="CL32" s="14"/>
      <c r="CM32" s="14"/>
      <c r="CN32" s="14"/>
      <c r="CO32" s="14"/>
      <c r="CP32" s="14"/>
      <c r="CQ32" s="14"/>
      <c r="CR32" s="14"/>
      <c r="CS32" s="14"/>
      <c r="CT32" s="14"/>
      <c r="CU32" s="14"/>
      <c r="CV32" s="14"/>
      <c r="CW32" s="14"/>
      <c r="CX32" s="14"/>
      <c r="CY32" s="14"/>
      <c r="CZ32" s="14"/>
      <c r="DA32" s="14"/>
      <c r="DB32" s="14"/>
      <c r="DC32" s="14"/>
      <c r="DD32" s="14"/>
      <c r="DE32" s="14"/>
      <c r="DF32" s="14"/>
      <c r="DG32" s="14"/>
      <c r="DH32" s="14"/>
      <c r="DI32" s="14"/>
      <c r="DJ32" s="14"/>
      <c r="DK32" s="14"/>
      <c r="DL32" s="14"/>
      <c r="DM32" s="14"/>
      <c r="DN32" s="14"/>
      <c r="DO32" s="14"/>
      <c r="DP32" s="26"/>
      <c r="DQ32" s="27"/>
      <c r="DR32" s="129"/>
      <c r="DS32" s="130">
        <f>TCP(BO32:DQ32,$BO$9:$DQ$9,data!$H$8)</f>
        <v>0</v>
      </c>
      <c r="DT32" s="135"/>
      <c r="DU32" s="121"/>
      <c r="DV32" s="121"/>
      <c r="DW32" s="134"/>
      <c r="DX32" s="132"/>
      <c r="DY32" s="136"/>
      <c r="DZ32" s="21"/>
      <c r="EA32" s="18"/>
      <c r="EB32" s="4"/>
      <c r="EI32" s="23"/>
      <c r="EJ32" s="23"/>
    </row>
    <row r="33" spans="1:140" s="103" customFormat="1" ht="15.75" x14ac:dyDescent="0.25">
      <c r="A33" s="12"/>
      <c r="B33" s="16"/>
      <c r="C33" s="24" t="str">
        <f t="shared" si="0"/>
        <v xml:space="preserve"> </v>
      </c>
      <c r="D33" s="25"/>
      <c r="E33" s="20"/>
      <c r="F33" s="19" t="str">
        <f t="shared" si="1"/>
        <v xml:space="preserve"> </v>
      </c>
      <c r="G33" s="180" t="str">
        <f t="shared" si="3"/>
        <v/>
      </c>
      <c r="H33" s="120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  <c r="AF33" s="121"/>
      <c r="AG33" s="121"/>
      <c r="AH33" s="121"/>
      <c r="AI33" s="121"/>
      <c r="AJ33" s="121"/>
      <c r="AK33" s="121"/>
      <c r="AL33" s="121"/>
      <c r="AM33" s="121"/>
      <c r="AN33" s="121"/>
      <c r="AO33" s="121"/>
      <c r="AP33" s="121"/>
      <c r="AQ33" s="121"/>
      <c r="AR33" s="121"/>
      <c r="AS33" s="121"/>
      <c r="AT33" s="121"/>
      <c r="AU33" s="121"/>
      <c r="AV33" s="121"/>
      <c r="AW33" s="121"/>
      <c r="AX33" s="121"/>
      <c r="AY33" s="121"/>
      <c r="AZ33" s="121"/>
      <c r="BA33" s="121"/>
      <c r="BB33" s="121"/>
      <c r="BC33" s="121"/>
      <c r="BD33" s="121"/>
      <c r="BE33" s="121"/>
      <c r="BF33" s="121"/>
      <c r="BG33" s="121"/>
      <c r="BH33" s="121"/>
      <c r="BI33" s="121"/>
      <c r="BJ33" s="122"/>
      <c r="BK33" s="93"/>
      <c r="BL33" s="94"/>
      <c r="BM33" s="95"/>
      <c r="BN33" s="179" t="str">
        <f t="shared" si="2"/>
        <v/>
      </c>
      <c r="BO33" s="177"/>
      <c r="BP33" s="14"/>
      <c r="BQ33" s="14"/>
      <c r="BR33" s="14"/>
      <c r="BS33" s="14"/>
      <c r="BT33" s="14"/>
      <c r="BU33" s="14"/>
      <c r="BV33" s="16"/>
      <c r="BW33" s="14"/>
      <c r="BX33" s="14"/>
      <c r="BY33" s="14"/>
      <c r="BZ33" s="14"/>
      <c r="CA33" s="14"/>
      <c r="CB33" s="14"/>
      <c r="CC33" s="14"/>
      <c r="CD33" s="14"/>
      <c r="CE33" s="14"/>
      <c r="CF33" s="14"/>
      <c r="CG33" s="14"/>
      <c r="CH33" s="14"/>
      <c r="CI33" s="14"/>
      <c r="CJ33" s="14"/>
      <c r="CK33" s="14"/>
      <c r="CL33" s="14"/>
      <c r="CM33" s="14"/>
      <c r="CN33" s="14"/>
      <c r="CO33" s="14"/>
      <c r="CP33" s="14"/>
      <c r="CQ33" s="14"/>
      <c r="CR33" s="14"/>
      <c r="CS33" s="14"/>
      <c r="CT33" s="14"/>
      <c r="CU33" s="14"/>
      <c r="CV33" s="14"/>
      <c r="CW33" s="14"/>
      <c r="CX33" s="14"/>
      <c r="CY33" s="14"/>
      <c r="CZ33" s="14"/>
      <c r="DA33" s="14"/>
      <c r="DB33" s="14"/>
      <c r="DC33" s="14"/>
      <c r="DD33" s="14"/>
      <c r="DE33" s="14"/>
      <c r="DF33" s="14"/>
      <c r="DG33" s="14"/>
      <c r="DH33" s="14"/>
      <c r="DI33" s="14"/>
      <c r="DJ33" s="14"/>
      <c r="DK33" s="14"/>
      <c r="DL33" s="14"/>
      <c r="DM33" s="14"/>
      <c r="DN33" s="14"/>
      <c r="DO33" s="14"/>
      <c r="DP33" s="26"/>
      <c r="DQ33" s="27"/>
      <c r="DR33" s="129"/>
      <c r="DS33" s="130">
        <f>TCP(BO33:DQ33,$BO$9:$DQ$9,data!$H$8)</f>
        <v>0</v>
      </c>
      <c r="DT33" s="135"/>
      <c r="DU33" s="121"/>
      <c r="DV33" s="121"/>
      <c r="DW33" s="134"/>
      <c r="DX33" s="132"/>
      <c r="DY33" s="136"/>
      <c r="DZ33" s="21"/>
      <c r="EA33" s="18"/>
      <c r="EB33" s="4"/>
      <c r="EI33" s="23"/>
      <c r="EJ33" s="23"/>
    </row>
    <row r="34" spans="1:140" s="103" customFormat="1" ht="15.75" x14ac:dyDescent="0.25">
      <c r="A34" s="12"/>
      <c r="B34" s="16"/>
      <c r="C34" s="24" t="str">
        <f t="shared" si="0"/>
        <v xml:space="preserve"> </v>
      </c>
      <c r="D34" s="25"/>
      <c r="E34" s="20"/>
      <c r="F34" s="19" t="str">
        <f t="shared" si="1"/>
        <v xml:space="preserve"> </v>
      </c>
      <c r="G34" s="180" t="str">
        <f t="shared" si="3"/>
        <v/>
      </c>
      <c r="H34" s="120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U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21"/>
      <c r="AH34" s="121"/>
      <c r="AI34" s="121"/>
      <c r="AJ34" s="121"/>
      <c r="AK34" s="121"/>
      <c r="AL34" s="121"/>
      <c r="AM34" s="121"/>
      <c r="AN34" s="121"/>
      <c r="AO34" s="121"/>
      <c r="AP34" s="121"/>
      <c r="AQ34" s="121"/>
      <c r="AR34" s="121"/>
      <c r="AS34" s="121"/>
      <c r="AT34" s="121"/>
      <c r="AU34" s="121"/>
      <c r="AV34" s="121"/>
      <c r="AW34" s="121"/>
      <c r="AX34" s="121"/>
      <c r="AY34" s="121"/>
      <c r="AZ34" s="121"/>
      <c r="BA34" s="121"/>
      <c r="BB34" s="121"/>
      <c r="BC34" s="121"/>
      <c r="BD34" s="121"/>
      <c r="BE34" s="121"/>
      <c r="BF34" s="121"/>
      <c r="BG34" s="121"/>
      <c r="BH34" s="121"/>
      <c r="BI34" s="121"/>
      <c r="BJ34" s="122"/>
      <c r="BK34" s="93"/>
      <c r="BL34" s="94"/>
      <c r="BM34" s="95"/>
      <c r="BN34" s="179" t="str">
        <f t="shared" si="2"/>
        <v/>
      </c>
      <c r="BO34" s="177"/>
      <c r="BP34" s="14"/>
      <c r="BQ34" s="14"/>
      <c r="BR34" s="14"/>
      <c r="BS34" s="14"/>
      <c r="BT34" s="14"/>
      <c r="BU34" s="14"/>
      <c r="BV34" s="16"/>
      <c r="BW34" s="14"/>
      <c r="BX34" s="14"/>
      <c r="BY34" s="14"/>
      <c r="BZ34" s="14"/>
      <c r="CA34" s="14"/>
      <c r="CB34" s="14"/>
      <c r="CC34" s="14"/>
      <c r="CD34" s="14"/>
      <c r="CE34" s="14"/>
      <c r="CF34" s="14"/>
      <c r="CG34" s="14"/>
      <c r="CH34" s="14"/>
      <c r="CI34" s="14"/>
      <c r="CJ34" s="14"/>
      <c r="CK34" s="14"/>
      <c r="CL34" s="14"/>
      <c r="CM34" s="14"/>
      <c r="CN34" s="14"/>
      <c r="CO34" s="14"/>
      <c r="CP34" s="14"/>
      <c r="CQ34" s="14"/>
      <c r="CR34" s="14"/>
      <c r="CS34" s="14"/>
      <c r="CT34" s="14"/>
      <c r="CU34" s="14"/>
      <c r="CV34" s="14"/>
      <c r="CW34" s="14"/>
      <c r="CX34" s="14"/>
      <c r="CY34" s="14"/>
      <c r="CZ34" s="14"/>
      <c r="DA34" s="14"/>
      <c r="DB34" s="14"/>
      <c r="DC34" s="14"/>
      <c r="DD34" s="14"/>
      <c r="DE34" s="14"/>
      <c r="DF34" s="14"/>
      <c r="DG34" s="14"/>
      <c r="DH34" s="14"/>
      <c r="DI34" s="14"/>
      <c r="DJ34" s="14"/>
      <c r="DK34" s="14"/>
      <c r="DL34" s="14"/>
      <c r="DM34" s="14"/>
      <c r="DN34" s="14"/>
      <c r="DO34" s="14"/>
      <c r="DP34" s="26"/>
      <c r="DQ34" s="27"/>
      <c r="DR34" s="129"/>
      <c r="DS34" s="130">
        <f>TCP(BO34:DQ34,$BO$9:$DQ$9,data!$H$8)</f>
        <v>0</v>
      </c>
      <c r="DT34" s="135"/>
      <c r="DU34" s="121"/>
      <c r="DV34" s="121"/>
      <c r="DW34" s="134"/>
      <c r="DX34" s="132"/>
      <c r="DY34" s="136"/>
      <c r="DZ34" s="21"/>
      <c r="EA34" s="18"/>
      <c r="EB34" s="4"/>
      <c r="EI34" s="23"/>
      <c r="EJ34" s="23"/>
    </row>
    <row r="35" spans="1:140" s="103" customFormat="1" ht="15.75" x14ac:dyDescent="0.25">
      <c r="A35" s="12"/>
      <c r="B35" s="16"/>
      <c r="C35" s="24" t="str">
        <f t="shared" si="0"/>
        <v xml:space="preserve"> </v>
      </c>
      <c r="D35" s="25"/>
      <c r="E35" s="20"/>
      <c r="F35" s="19" t="str">
        <f t="shared" si="1"/>
        <v xml:space="preserve"> </v>
      </c>
      <c r="G35" s="180" t="str">
        <f t="shared" si="3"/>
        <v/>
      </c>
      <c r="H35" s="120"/>
      <c r="I35" s="121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121"/>
      <c r="BH35" s="121"/>
      <c r="BI35" s="121"/>
      <c r="BJ35" s="122"/>
      <c r="BK35" s="93"/>
      <c r="BL35" s="94"/>
      <c r="BM35" s="95"/>
      <c r="BN35" s="179" t="str">
        <f t="shared" si="2"/>
        <v/>
      </c>
      <c r="BO35" s="177"/>
      <c r="BP35" s="14"/>
      <c r="BQ35" s="14"/>
      <c r="BR35" s="14"/>
      <c r="BS35" s="14"/>
      <c r="BT35" s="14"/>
      <c r="BU35" s="14"/>
      <c r="BV35" s="16"/>
      <c r="BW35" s="14"/>
      <c r="BX35" s="14"/>
      <c r="BY35" s="14"/>
      <c r="BZ35" s="14"/>
      <c r="CA35" s="14"/>
      <c r="CB35" s="14"/>
      <c r="CC35" s="14"/>
      <c r="CD35" s="14"/>
      <c r="CE35" s="14"/>
      <c r="CF35" s="14"/>
      <c r="CG35" s="14"/>
      <c r="CH35" s="14"/>
      <c r="CI35" s="14"/>
      <c r="CJ35" s="14"/>
      <c r="CK35" s="14"/>
      <c r="CL35" s="14"/>
      <c r="CM35" s="14"/>
      <c r="CN35" s="14"/>
      <c r="CO35" s="14"/>
      <c r="CP35" s="14"/>
      <c r="CQ35" s="14"/>
      <c r="CR35" s="14"/>
      <c r="CS35" s="14"/>
      <c r="CT35" s="14"/>
      <c r="CU35" s="14"/>
      <c r="CV35" s="14"/>
      <c r="CW35" s="14"/>
      <c r="CX35" s="14"/>
      <c r="CY35" s="14"/>
      <c r="CZ35" s="14"/>
      <c r="DA35" s="14"/>
      <c r="DB35" s="14"/>
      <c r="DC35" s="14"/>
      <c r="DD35" s="14"/>
      <c r="DE35" s="14"/>
      <c r="DF35" s="14"/>
      <c r="DG35" s="14"/>
      <c r="DH35" s="14"/>
      <c r="DI35" s="14"/>
      <c r="DJ35" s="14"/>
      <c r="DK35" s="14"/>
      <c r="DL35" s="14"/>
      <c r="DM35" s="14"/>
      <c r="DN35" s="14"/>
      <c r="DO35" s="14"/>
      <c r="DP35" s="26"/>
      <c r="DQ35" s="27"/>
      <c r="DR35" s="129"/>
      <c r="DS35" s="130">
        <f>TCP(BO35:DQ35,$BO$9:$DQ$9,data!$H$8)</f>
        <v>0</v>
      </c>
      <c r="DT35" s="135"/>
      <c r="DU35" s="121"/>
      <c r="DV35" s="121"/>
      <c r="DW35" s="134"/>
      <c r="DX35" s="132"/>
      <c r="DY35" s="136"/>
      <c r="DZ35" s="21"/>
      <c r="EA35" s="18"/>
      <c r="EB35" s="4"/>
      <c r="EI35" s="23"/>
      <c r="EJ35" s="23"/>
    </row>
    <row r="36" spans="1:140" s="103" customFormat="1" ht="15.75" x14ac:dyDescent="0.25">
      <c r="A36" s="12"/>
      <c r="B36" s="16"/>
      <c r="C36" s="24" t="str">
        <f t="shared" si="0"/>
        <v xml:space="preserve"> </v>
      </c>
      <c r="D36" s="25"/>
      <c r="E36" s="20"/>
      <c r="F36" s="19" t="str">
        <f t="shared" si="1"/>
        <v xml:space="preserve"> </v>
      </c>
      <c r="G36" s="180" t="str">
        <f t="shared" si="3"/>
        <v/>
      </c>
      <c r="H36" s="120"/>
      <c r="I36" s="121"/>
      <c r="J36" s="121"/>
      <c r="K36" s="121"/>
      <c r="L36" s="121"/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/>
      <c r="AG36" s="121"/>
      <c r="AH36" s="121"/>
      <c r="AI36" s="121"/>
      <c r="AJ36" s="121"/>
      <c r="AK36" s="121"/>
      <c r="AL36" s="121"/>
      <c r="AM36" s="121"/>
      <c r="AN36" s="121"/>
      <c r="AO36" s="121"/>
      <c r="AP36" s="121"/>
      <c r="AQ36" s="121"/>
      <c r="AR36" s="121"/>
      <c r="AS36" s="121"/>
      <c r="AT36" s="121"/>
      <c r="AU36" s="121"/>
      <c r="AV36" s="121"/>
      <c r="AW36" s="121"/>
      <c r="AX36" s="121"/>
      <c r="AY36" s="121"/>
      <c r="AZ36" s="121"/>
      <c r="BA36" s="121"/>
      <c r="BB36" s="121"/>
      <c r="BC36" s="121"/>
      <c r="BD36" s="121"/>
      <c r="BE36" s="121"/>
      <c r="BF36" s="121"/>
      <c r="BG36" s="121"/>
      <c r="BH36" s="121"/>
      <c r="BI36" s="121"/>
      <c r="BJ36" s="122"/>
      <c r="BK36" s="93"/>
      <c r="BL36" s="94"/>
      <c r="BM36" s="95"/>
      <c r="BN36" s="179" t="str">
        <f t="shared" si="2"/>
        <v/>
      </c>
      <c r="BO36" s="177"/>
      <c r="BP36" s="14"/>
      <c r="BQ36" s="14"/>
      <c r="BR36" s="14"/>
      <c r="BS36" s="14"/>
      <c r="BT36" s="14"/>
      <c r="BU36" s="14"/>
      <c r="BV36" s="16"/>
      <c r="BW36" s="14"/>
      <c r="BX36" s="14"/>
      <c r="BY36" s="14"/>
      <c r="BZ36" s="14"/>
      <c r="CA36" s="14"/>
      <c r="CB36" s="14"/>
      <c r="CC36" s="14"/>
      <c r="CD36" s="14"/>
      <c r="CE36" s="14"/>
      <c r="CF36" s="14"/>
      <c r="CG36" s="14"/>
      <c r="CH36" s="14"/>
      <c r="CI36" s="14"/>
      <c r="CJ36" s="14"/>
      <c r="CK36" s="14"/>
      <c r="CL36" s="14"/>
      <c r="CM36" s="14"/>
      <c r="CN36" s="14"/>
      <c r="CO36" s="14"/>
      <c r="CP36" s="14"/>
      <c r="CQ36" s="14"/>
      <c r="CR36" s="14"/>
      <c r="CS36" s="14"/>
      <c r="CT36" s="14"/>
      <c r="CU36" s="14"/>
      <c r="CV36" s="14"/>
      <c r="CW36" s="14"/>
      <c r="CX36" s="14"/>
      <c r="CY36" s="14"/>
      <c r="CZ36" s="14"/>
      <c r="DA36" s="14"/>
      <c r="DB36" s="14"/>
      <c r="DC36" s="14"/>
      <c r="DD36" s="14"/>
      <c r="DE36" s="14"/>
      <c r="DF36" s="14"/>
      <c r="DG36" s="14"/>
      <c r="DH36" s="14"/>
      <c r="DI36" s="14"/>
      <c r="DJ36" s="14"/>
      <c r="DK36" s="14"/>
      <c r="DL36" s="14"/>
      <c r="DM36" s="14"/>
      <c r="DN36" s="14"/>
      <c r="DO36" s="14"/>
      <c r="DP36" s="26"/>
      <c r="DQ36" s="27"/>
      <c r="DR36" s="129"/>
      <c r="DS36" s="130">
        <f>TCP(BO36:DQ36,$BO$9:$DQ$9,data!$H$8)</f>
        <v>0</v>
      </c>
      <c r="DT36" s="135"/>
      <c r="DU36" s="121"/>
      <c r="DV36" s="121"/>
      <c r="DW36" s="134"/>
      <c r="DX36" s="132"/>
      <c r="DY36" s="136"/>
      <c r="DZ36" s="21"/>
      <c r="EA36" s="18"/>
      <c r="EB36" s="4"/>
      <c r="EI36" s="23"/>
      <c r="EJ36" s="23"/>
    </row>
    <row r="37" spans="1:140" s="103" customFormat="1" ht="15.75" x14ac:dyDescent="0.25">
      <c r="A37" s="12"/>
      <c r="B37" s="16"/>
      <c r="C37" s="24" t="str">
        <f t="shared" si="0"/>
        <v xml:space="preserve"> </v>
      </c>
      <c r="D37" s="25"/>
      <c r="E37" s="20"/>
      <c r="F37" s="19" t="str">
        <f t="shared" si="1"/>
        <v xml:space="preserve"> </v>
      </c>
      <c r="G37" s="180" t="str">
        <f t="shared" si="3"/>
        <v/>
      </c>
      <c r="H37" s="120"/>
      <c r="I37" s="121"/>
      <c r="J37" s="121"/>
      <c r="K37" s="121"/>
      <c r="L37" s="121"/>
      <c r="M37" s="121"/>
      <c r="N37" s="121"/>
      <c r="O37" s="121"/>
      <c r="P37" s="121"/>
      <c r="Q37" s="121"/>
      <c r="R37" s="121"/>
      <c r="S37" s="121"/>
      <c r="T37" s="121"/>
      <c r="U37" s="121"/>
      <c r="V37" s="121"/>
      <c r="W37" s="121"/>
      <c r="X37" s="121"/>
      <c r="Y37" s="121"/>
      <c r="Z37" s="121"/>
      <c r="AA37" s="121"/>
      <c r="AB37" s="121"/>
      <c r="AC37" s="121"/>
      <c r="AD37" s="121"/>
      <c r="AE37" s="121"/>
      <c r="AF37" s="121"/>
      <c r="AG37" s="121"/>
      <c r="AH37" s="121"/>
      <c r="AI37" s="121"/>
      <c r="AJ37" s="121"/>
      <c r="AK37" s="121"/>
      <c r="AL37" s="121"/>
      <c r="AM37" s="121"/>
      <c r="AN37" s="121"/>
      <c r="AO37" s="121"/>
      <c r="AP37" s="121"/>
      <c r="AQ37" s="121"/>
      <c r="AR37" s="121"/>
      <c r="AS37" s="121"/>
      <c r="AT37" s="121"/>
      <c r="AU37" s="121"/>
      <c r="AV37" s="121"/>
      <c r="AW37" s="121"/>
      <c r="AX37" s="121"/>
      <c r="AY37" s="121"/>
      <c r="AZ37" s="121"/>
      <c r="BA37" s="121"/>
      <c r="BB37" s="121"/>
      <c r="BC37" s="121"/>
      <c r="BD37" s="121"/>
      <c r="BE37" s="121"/>
      <c r="BF37" s="121"/>
      <c r="BG37" s="121"/>
      <c r="BH37" s="121"/>
      <c r="BI37" s="121"/>
      <c r="BJ37" s="122"/>
      <c r="BK37" s="93"/>
      <c r="BL37" s="94"/>
      <c r="BM37" s="95"/>
      <c r="BN37" s="179" t="str">
        <f t="shared" si="2"/>
        <v/>
      </c>
      <c r="BO37" s="177"/>
      <c r="BP37" s="14"/>
      <c r="BQ37" s="14"/>
      <c r="BR37" s="14"/>
      <c r="BS37" s="14"/>
      <c r="BT37" s="14"/>
      <c r="BU37" s="14"/>
      <c r="BV37" s="16"/>
      <c r="BW37" s="14"/>
      <c r="BX37" s="14"/>
      <c r="BY37" s="14"/>
      <c r="BZ37" s="14"/>
      <c r="CA37" s="14"/>
      <c r="CB37" s="14"/>
      <c r="CC37" s="14"/>
      <c r="CD37" s="14"/>
      <c r="CE37" s="14"/>
      <c r="CF37" s="14"/>
      <c r="CG37" s="14"/>
      <c r="CH37" s="14"/>
      <c r="CI37" s="14"/>
      <c r="CJ37" s="14"/>
      <c r="CK37" s="14"/>
      <c r="CL37" s="14"/>
      <c r="CM37" s="14"/>
      <c r="CN37" s="14"/>
      <c r="CO37" s="14"/>
      <c r="CP37" s="14"/>
      <c r="CQ37" s="14"/>
      <c r="CR37" s="14"/>
      <c r="CS37" s="14"/>
      <c r="CT37" s="14"/>
      <c r="CU37" s="14"/>
      <c r="CV37" s="14"/>
      <c r="CW37" s="14"/>
      <c r="CX37" s="14"/>
      <c r="CY37" s="14"/>
      <c r="CZ37" s="14"/>
      <c r="DA37" s="14"/>
      <c r="DB37" s="14"/>
      <c r="DC37" s="14"/>
      <c r="DD37" s="14"/>
      <c r="DE37" s="14"/>
      <c r="DF37" s="14"/>
      <c r="DG37" s="14"/>
      <c r="DH37" s="14"/>
      <c r="DI37" s="14"/>
      <c r="DJ37" s="14"/>
      <c r="DK37" s="14"/>
      <c r="DL37" s="14"/>
      <c r="DM37" s="14"/>
      <c r="DN37" s="14"/>
      <c r="DO37" s="14"/>
      <c r="DP37" s="26"/>
      <c r="DQ37" s="27"/>
      <c r="DR37" s="129"/>
      <c r="DS37" s="130">
        <f>TCP(BO37:DQ37,$BO$9:$DQ$9,data!$H$8)</f>
        <v>0</v>
      </c>
      <c r="DT37" s="135"/>
      <c r="DU37" s="121"/>
      <c r="DV37" s="121"/>
      <c r="DW37" s="134"/>
      <c r="DX37" s="132"/>
      <c r="DY37" s="136"/>
      <c r="DZ37" s="21"/>
      <c r="EA37" s="18"/>
      <c r="EB37" s="4"/>
      <c r="EI37" s="23"/>
      <c r="EJ37" s="23"/>
    </row>
    <row r="38" spans="1:140" s="103" customFormat="1" ht="15.75" x14ac:dyDescent="0.25">
      <c r="A38" s="12"/>
      <c r="B38" s="16"/>
      <c r="C38" s="24" t="str">
        <f t="shared" si="0"/>
        <v xml:space="preserve"> </v>
      </c>
      <c r="D38" s="25"/>
      <c r="E38" s="20"/>
      <c r="F38" s="19" t="str">
        <f t="shared" si="1"/>
        <v xml:space="preserve"> </v>
      </c>
      <c r="G38" s="180" t="str">
        <f t="shared" si="3"/>
        <v/>
      </c>
      <c r="H38" s="120"/>
      <c r="I38" s="121"/>
      <c r="J38" s="121"/>
      <c r="K38" s="121"/>
      <c r="L38" s="121"/>
      <c r="M38" s="121"/>
      <c r="N38" s="121"/>
      <c r="O38" s="121"/>
      <c r="P38" s="121"/>
      <c r="Q38" s="121"/>
      <c r="R38" s="121"/>
      <c r="S38" s="121"/>
      <c r="T38" s="121"/>
      <c r="U38" s="121"/>
      <c r="V38" s="121"/>
      <c r="W38" s="121"/>
      <c r="X38" s="121"/>
      <c r="Y38" s="121"/>
      <c r="Z38" s="121"/>
      <c r="AA38" s="121"/>
      <c r="AB38" s="121"/>
      <c r="AC38" s="121"/>
      <c r="AD38" s="121"/>
      <c r="AE38" s="121"/>
      <c r="AF38" s="121"/>
      <c r="AG38" s="121"/>
      <c r="AH38" s="121"/>
      <c r="AI38" s="121"/>
      <c r="AJ38" s="121"/>
      <c r="AK38" s="121"/>
      <c r="AL38" s="121"/>
      <c r="AM38" s="121"/>
      <c r="AN38" s="121"/>
      <c r="AO38" s="121"/>
      <c r="AP38" s="121"/>
      <c r="AQ38" s="121"/>
      <c r="AR38" s="121"/>
      <c r="AS38" s="121"/>
      <c r="AT38" s="121"/>
      <c r="AU38" s="121"/>
      <c r="AV38" s="121"/>
      <c r="AW38" s="121"/>
      <c r="AX38" s="121"/>
      <c r="AY38" s="121"/>
      <c r="AZ38" s="121"/>
      <c r="BA38" s="121"/>
      <c r="BB38" s="121"/>
      <c r="BC38" s="121"/>
      <c r="BD38" s="121"/>
      <c r="BE38" s="121"/>
      <c r="BF38" s="121"/>
      <c r="BG38" s="121"/>
      <c r="BH38" s="121"/>
      <c r="BI38" s="121"/>
      <c r="BJ38" s="122"/>
      <c r="BK38" s="93"/>
      <c r="BL38" s="94"/>
      <c r="BM38" s="95"/>
      <c r="BN38" s="179" t="str">
        <f t="shared" si="2"/>
        <v/>
      </c>
      <c r="BO38" s="177"/>
      <c r="BP38" s="14"/>
      <c r="BQ38" s="14"/>
      <c r="BR38" s="14"/>
      <c r="BS38" s="14"/>
      <c r="BT38" s="14"/>
      <c r="BU38" s="14"/>
      <c r="BV38" s="16"/>
      <c r="BW38" s="14"/>
      <c r="BX38" s="14"/>
      <c r="BY38" s="14"/>
      <c r="BZ38" s="14"/>
      <c r="CA38" s="14"/>
      <c r="CB38" s="14"/>
      <c r="CC38" s="14"/>
      <c r="CD38" s="14"/>
      <c r="CE38" s="14"/>
      <c r="CF38" s="14"/>
      <c r="CG38" s="14"/>
      <c r="CH38" s="14"/>
      <c r="CI38" s="14"/>
      <c r="CJ38" s="14"/>
      <c r="CK38" s="14"/>
      <c r="CL38" s="14"/>
      <c r="CM38" s="14"/>
      <c r="CN38" s="14"/>
      <c r="CO38" s="14"/>
      <c r="CP38" s="14"/>
      <c r="CQ38" s="14"/>
      <c r="CR38" s="14"/>
      <c r="CS38" s="14"/>
      <c r="CT38" s="14"/>
      <c r="CU38" s="14"/>
      <c r="CV38" s="14"/>
      <c r="CW38" s="14"/>
      <c r="CX38" s="14"/>
      <c r="CY38" s="14"/>
      <c r="CZ38" s="14"/>
      <c r="DA38" s="14"/>
      <c r="DB38" s="14"/>
      <c r="DC38" s="14"/>
      <c r="DD38" s="14"/>
      <c r="DE38" s="14"/>
      <c r="DF38" s="14"/>
      <c r="DG38" s="14"/>
      <c r="DH38" s="14"/>
      <c r="DI38" s="14"/>
      <c r="DJ38" s="14"/>
      <c r="DK38" s="14"/>
      <c r="DL38" s="14"/>
      <c r="DM38" s="14"/>
      <c r="DN38" s="14"/>
      <c r="DO38" s="14"/>
      <c r="DP38" s="26"/>
      <c r="DQ38" s="27"/>
      <c r="DR38" s="129"/>
      <c r="DS38" s="130">
        <f>TCP(BO38:DQ38,$BO$9:$DQ$9,data!$H$8)</f>
        <v>0</v>
      </c>
      <c r="DT38" s="135"/>
      <c r="DU38" s="121"/>
      <c r="DV38" s="121"/>
      <c r="DW38" s="134"/>
      <c r="DX38" s="132"/>
      <c r="DY38" s="136"/>
      <c r="DZ38" s="21"/>
      <c r="EA38" s="18"/>
      <c r="EB38" s="4"/>
      <c r="EI38" s="23"/>
      <c r="EJ38" s="23"/>
    </row>
    <row r="39" spans="1:140" s="103" customFormat="1" ht="15.75" x14ac:dyDescent="0.25">
      <c r="A39" s="12"/>
      <c r="B39" s="16"/>
      <c r="C39" s="24" t="str">
        <f t="shared" si="0"/>
        <v xml:space="preserve"> </v>
      </c>
      <c r="D39" s="25"/>
      <c r="E39" s="20"/>
      <c r="F39" s="19" t="str">
        <f t="shared" si="1"/>
        <v xml:space="preserve"> </v>
      </c>
      <c r="G39" s="180" t="str">
        <f t="shared" si="3"/>
        <v/>
      </c>
      <c r="H39" s="120"/>
      <c r="I39" s="121"/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/>
      <c r="AG39" s="121"/>
      <c r="AH39" s="121"/>
      <c r="AI39" s="121"/>
      <c r="AJ39" s="121"/>
      <c r="AK39" s="121"/>
      <c r="AL39" s="121"/>
      <c r="AM39" s="121"/>
      <c r="AN39" s="121"/>
      <c r="AO39" s="121"/>
      <c r="AP39" s="121"/>
      <c r="AQ39" s="121"/>
      <c r="AR39" s="121"/>
      <c r="AS39" s="121"/>
      <c r="AT39" s="121"/>
      <c r="AU39" s="121"/>
      <c r="AV39" s="121"/>
      <c r="AW39" s="121"/>
      <c r="AX39" s="121"/>
      <c r="AY39" s="121"/>
      <c r="AZ39" s="121"/>
      <c r="BA39" s="121"/>
      <c r="BB39" s="121"/>
      <c r="BC39" s="121"/>
      <c r="BD39" s="121"/>
      <c r="BE39" s="121"/>
      <c r="BF39" s="121"/>
      <c r="BG39" s="121"/>
      <c r="BH39" s="121"/>
      <c r="BI39" s="121"/>
      <c r="BJ39" s="122"/>
      <c r="BK39" s="93"/>
      <c r="BL39" s="94"/>
      <c r="BM39" s="95"/>
      <c r="BN39" s="179" t="str">
        <f t="shared" si="2"/>
        <v/>
      </c>
      <c r="BO39" s="177"/>
      <c r="BP39" s="14"/>
      <c r="BQ39" s="14"/>
      <c r="BR39" s="14"/>
      <c r="BS39" s="14"/>
      <c r="BT39" s="14"/>
      <c r="BU39" s="14"/>
      <c r="BV39" s="16"/>
      <c r="BW39" s="14"/>
      <c r="BX39" s="14"/>
      <c r="BY39" s="14"/>
      <c r="BZ39" s="14"/>
      <c r="CA39" s="14"/>
      <c r="CB39" s="14"/>
      <c r="CC39" s="14"/>
      <c r="CD39" s="14"/>
      <c r="CE39" s="14"/>
      <c r="CF39" s="14"/>
      <c r="CG39" s="14"/>
      <c r="CH39" s="14"/>
      <c r="CI39" s="14"/>
      <c r="CJ39" s="14"/>
      <c r="CK39" s="14"/>
      <c r="CL39" s="14"/>
      <c r="CM39" s="14"/>
      <c r="CN39" s="14"/>
      <c r="CO39" s="14"/>
      <c r="CP39" s="14"/>
      <c r="CQ39" s="14"/>
      <c r="CR39" s="14"/>
      <c r="CS39" s="14"/>
      <c r="CT39" s="14"/>
      <c r="CU39" s="14"/>
      <c r="CV39" s="14"/>
      <c r="CW39" s="14"/>
      <c r="CX39" s="14"/>
      <c r="CY39" s="14"/>
      <c r="CZ39" s="14"/>
      <c r="DA39" s="14"/>
      <c r="DB39" s="14"/>
      <c r="DC39" s="14"/>
      <c r="DD39" s="14"/>
      <c r="DE39" s="14"/>
      <c r="DF39" s="14"/>
      <c r="DG39" s="14"/>
      <c r="DH39" s="14"/>
      <c r="DI39" s="14"/>
      <c r="DJ39" s="14"/>
      <c r="DK39" s="14"/>
      <c r="DL39" s="14"/>
      <c r="DM39" s="14"/>
      <c r="DN39" s="14"/>
      <c r="DO39" s="14"/>
      <c r="DP39" s="26"/>
      <c r="DQ39" s="27"/>
      <c r="DR39" s="129"/>
      <c r="DS39" s="130">
        <f>TCP(BO39:DQ39,$BO$9:$DQ$9,data!$H$8)</f>
        <v>0</v>
      </c>
      <c r="DT39" s="135"/>
      <c r="DU39" s="121"/>
      <c r="DV39" s="121"/>
      <c r="DW39" s="134"/>
      <c r="DX39" s="132"/>
      <c r="DY39" s="136"/>
      <c r="DZ39" s="21"/>
      <c r="EA39" s="18"/>
      <c r="EB39" s="4"/>
      <c r="EI39" s="23"/>
      <c r="EJ39" s="23"/>
    </row>
    <row r="40" spans="1:140" s="103" customFormat="1" ht="15.75" x14ac:dyDescent="0.25">
      <c r="A40" s="12"/>
      <c r="B40" s="16"/>
      <c r="C40" s="24" t="str">
        <f t="shared" si="0"/>
        <v xml:space="preserve"> </v>
      </c>
      <c r="D40" s="25"/>
      <c r="E40" s="20"/>
      <c r="F40" s="19" t="str">
        <f t="shared" si="1"/>
        <v xml:space="preserve"> </v>
      </c>
      <c r="G40" s="180" t="str">
        <f t="shared" si="3"/>
        <v/>
      </c>
      <c r="H40" s="120"/>
      <c r="I40" s="121"/>
      <c r="J40" s="121"/>
      <c r="K40" s="121"/>
      <c r="L40" s="121"/>
      <c r="M40" s="121"/>
      <c r="N40" s="121"/>
      <c r="O40" s="121"/>
      <c r="P40" s="121"/>
      <c r="Q40" s="121"/>
      <c r="R40" s="121"/>
      <c r="S40" s="121"/>
      <c r="T40" s="121"/>
      <c r="U40" s="121"/>
      <c r="V40" s="121"/>
      <c r="W40" s="121"/>
      <c r="X40" s="121"/>
      <c r="Y40" s="121"/>
      <c r="Z40" s="121"/>
      <c r="AA40" s="121"/>
      <c r="AB40" s="121"/>
      <c r="AC40" s="121"/>
      <c r="AD40" s="121"/>
      <c r="AE40" s="121"/>
      <c r="AF40" s="121"/>
      <c r="AG40" s="121"/>
      <c r="AH40" s="121"/>
      <c r="AI40" s="121"/>
      <c r="AJ40" s="121"/>
      <c r="AK40" s="121"/>
      <c r="AL40" s="121"/>
      <c r="AM40" s="121"/>
      <c r="AN40" s="121"/>
      <c r="AO40" s="121"/>
      <c r="AP40" s="121"/>
      <c r="AQ40" s="121"/>
      <c r="AR40" s="121"/>
      <c r="AS40" s="121"/>
      <c r="AT40" s="121"/>
      <c r="AU40" s="121"/>
      <c r="AV40" s="121"/>
      <c r="AW40" s="121"/>
      <c r="AX40" s="121"/>
      <c r="AY40" s="121"/>
      <c r="AZ40" s="121"/>
      <c r="BA40" s="121"/>
      <c r="BB40" s="121"/>
      <c r="BC40" s="121"/>
      <c r="BD40" s="121"/>
      <c r="BE40" s="121"/>
      <c r="BF40" s="121"/>
      <c r="BG40" s="121"/>
      <c r="BH40" s="121"/>
      <c r="BI40" s="121"/>
      <c r="BJ40" s="122"/>
      <c r="BK40" s="93"/>
      <c r="BL40" s="94"/>
      <c r="BM40" s="95"/>
      <c r="BN40" s="179" t="str">
        <f t="shared" si="2"/>
        <v/>
      </c>
      <c r="BO40" s="177"/>
      <c r="BP40" s="14"/>
      <c r="BQ40" s="14"/>
      <c r="BR40" s="14"/>
      <c r="BS40" s="14"/>
      <c r="BT40" s="14"/>
      <c r="BU40" s="14"/>
      <c r="BV40" s="16"/>
      <c r="BW40" s="14"/>
      <c r="BX40" s="14"/>
      <c r="BY40" s="14"/>
      <c r="BZ40" s="14"/>
      <c r="CA40" s="14"/>
      <c r="CB40" s="14"/>
      <c r="CC40" s="14"/>
      <c r="CD40" s="14"/>
      <c r="CE40" s="14"/>
      <c r="CF40" s="14"/>
      <c r="CG40" s="14"/>
      <c r="CH40" s="14"/>
      <c r="CI40" s="14"/>
      <c r="CJ40" s="14"/>
      <c r="CK40" s="14"/>
      <c r="CL40" s="14"/>
      <c r="CM40" s="14"/>
      <c r="CN40" s="14"/>
      <c r="CO40" s="14"/>
      <c r="CP40" s="14"/>
      <c r="CQ40" s="14"/>
      <c r="CR40" s="14"/>
      <c r="CS40" s="14"/>
      <c r="CT40" s="14"/>
      <c r="CU40" s="14"/>
      <c r="CV40" s="14"/>
      <c r="CW40" s="14"/>
      <c r="CX40" s="14"/>
      <c r="CY40" s="14"/>
      <c r="CZ40" s="14"/>
      <c r="DA40" s="14"/>
      <c r="DB40" s="14"/>
      <c r="DC40" s="14"/>
      <c r="DD40" s="14"/>
      <c r="DE40" s="14"/>
      <c r="DF40" s="14"/>
      <c r="DG40" s="14"/>
      <c r="DH40" s="14"/>
      <c r="DI40" s="14"/>
      <c r="DJ40" s="14"/>
      <c r="DK40" s="14"/>
      <c r="DL40" s="14"/>
      <c r="DM40" s="14"/>
      <c r="DN40" s="14"/>
      <c r="DO40" s="14"/>
      <c r="DP40" s="26"/>
      <c r="DQ40" s="27"/>
      <c r="DR40" s="129"/>
      <c r="DS40" s="130">
        <f>TCP(BO40:DQ40,$BO$9:$DQ$9,data!$H$8)</f>
        <v>0</v>
      </c>
      <c r="DT40" s="135"/>
      <c r="DU40" s="121"/>
      <c r="DV40" s="121"/>
      <c r="DW40" s="134"/>
      <c r="DX40" s="132"/>
      <c r="DY40" s="136"/>
      <c r="DZ40" s="21"/>
      <c r="EA40" s="18"/>
      <c r="EB40" s="4"/>
      <c r="EI40" s="23"/>
      <c r="EJ40" s="23"/>
    </row>
    <row r="41" spans="1:140" s="103" customFormat="1" ht="15.75" x14ac:dyDescent="0.25">
      <c r="A41" s="12"/>
      <c r="B41" s="16"/>
      <c r="C41" s="24" t="str">
        <f t="shared" si="0"/>
        <v xml:space="preserve"> </v>
      </c>
      <c r="D41" s="25"/>
      <c r="E41" s="20"/>
      <c r="F41" s="19" t="str">
        <f t="shared" si="1"/>
        <v xml:space="preserve"> </v>
      </c>
      <c r="G41" s="180" t="str">
        <f t="shared" si="3"/>
        <v/>
      </c>
      <c r="H41" s="120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1"/>
      <c r="AI41" s="121"/>
      <c r="AJ41" s="121"/>
      <c r="AK41" s="121"/>
      <c r="AL41" s="121"/>
      <c r="AM41" s="121"/>
      <c r="AN41" s="121"/>
      <c r="AO41" s="121"/>
      <c r="AP41" s="121"/>
      <c r="AQ41" s="121"/>
      <c r="AR41" s="121"/>
      <c r="AS41" s="121"/>
      <c r="AT41" s="121"/>
      <c r="AU41" s="121"/>
      <c r="AV41" s="121"/>
      <c r="AW41" s="121"/>
      <c r="AX41" s="121"/>
      <c r="AY41" s="121"/>
      <c r="AZ41" s="121"/>
      <c r="BA41" s="121"/>
      <c r="BB41" s="121"/>
      <c r="BC41" s="121"/>
      <c r="BD41" s="121"/>
      <c r="BE41" s="121"/>
      <c r="BF41" s="121"/>
      <c r="BG41" s="121"/>
      <c r="BH41" s="121"/>
      <c r="BI41" s="121"/>
      <c r="BJ41" s="122"/>
      <c r="BK41" s="93"/>
      <c r="BL41" s="94"/>
      <c r="BM41" s="95"/>
      <c r="BN41" s="179" t="str">
        <f t="shared" si="2"/>
        <v/>
      </c>
      <c r="BO41" s="177"/>
      <c r="BP41" s="14"/>
      <c r="BQ41" s="14"/>
      <c r="BR41" s="14"/>
      <c r="BS41" s="14"/>
      <c r="BT41" s="14"/>
      <c r="BU41" s="14"/>
      <c r="BV41" s="16"/>
      <c r="BW41" s="14"/>
      <c r="BX41" s="14"/>
      <c r="BY41" s="14"/>
      <c r="BZ41" s="14"/>
      <c r="CA41" s="14"/>
      <c r="CB41" s="14"/>
      <c r="CC41" s="14"/>
      <c r="CD41" s="14"/>
      <c r="CE41" s="14"/>
      <c r="CF41" s="14"/>
      <c r="CG41" s="14"/>
      <c r="CH41" s="14"/>
      <c r="CI41" s="14"/>
      <c r="CJ41" s="14"/>
      <c r="CK41" s="14"/>
      <c r="CL41" s="14"/>
      <c r="CM41" s="14"/>
      <c r="CN41" s="14"/>
      <c r="CO41" s="14"/>
      <c r="CP41" s="14"/>
      <c r="CQ41" s="14"/>
      <c r="CR41" s="14"/>
      <c r="CS41" s="14"/>
      <c r="CT41" s="14"/>
      <c r="CU41" s="14"/>
      <c r="CV41" s="14"/>
      <c r="CW41" s="14"/>
      <c r="CX41" s="14"/>
      <c r="CY41" s="14"/>
      <c r="CZ41" s="14"/>
      <c r="DA41" s="14"/>
      <c r="DB41" s="14"/>
      <c r="DC41" s="14"/>
      <c r="DD41" s="14"/>
      <c r="DE41" s="14"/>
      <c r="DF41" s="14"/>
      <c r="DG41" s="14"/>
      <c r="DH41" s="14"/>
      <c r="DI41" s="14"/>
      <c r="DJ41" s="14"/>
      <c r="DK41" s="14"/>
      <c r="DL41" s="14"/>
      <c r="DM41" s="14"/>
      <c r="DN41" s="14"/>
      <c r="DO41" s="14"/>
      <c r="DP41" s="26"/>
      <c r="DQ41" s="27"/>
      <c r="DR41" s="129"/>
      <c r="DS41" s="130">
        <f>TCP(BO41:DQ41,$BO$9:$DQ$9,data!$H$8)</f>
        <v>0</v>
      </c>
      <c r="DT41" s="135"/>
      <c r="DU41" s="121"/>
      <c r="DV41" s="121"/>
      <c r="DW41" s="134"/>
      <c r="DX41" s="132"/>
      <c r="DY41" s="136"/>
      <c r="DZ41" s="21"/>
      <c r="EA41" s="18"/>
      <c r="EB41" s="4"/>
      <c r="EI41" s="23"/>
      <c r="EJ41" s="23"/>
    </row>
    <row r="42" spans="1:140" s="103" customFormat="1" ht="15.75" x14ac:dyDescent="0.25">
      <c r="A42" s="12"/>
      <c r="B42" s="16"/>
      <c r="C42" s="24" t="str">
        <f t="shared" si="0"/>
        <v xml:space="preserve"> </v>
      </c>
      <c r="D42" s="25"/>
      <c r="E42" s="20"/>
      <c r="F42" s="19" t="str">
        <f t="shared" si="1"/>
        <v xml:space="preserve"> </v>
      </c>
      <c r="G42" s="180" t="str">
        <f t="shared" si="3"/>
        <v/>
      </c>
      <c r="H42" s="120"/>
      <c r="I42" s="121"/>
      <c r="J42" s="121"/>
      <c r="K42" s="121"/>
      <c r="L42" s="121"/>
      <c r="M42" s="121"/>
      <c r="N42" s="121"/>
      <c r="O42" s="121"/>
      <c r="P42" s="121"/>
      <c r="Q42" s="121"/>
      <c r="R42" s="121"/>
      <c r="S42" s="121"/>
      <c r="T42" s="121"/>
      <c r="U42" s="121"/>
      <c r="V42" s="121"/>
      <c r="W42" s="121"/>
      <c r="X42" s="121"/>
      <c r="Y42" s="121"/>
      <c r="Z42" s="121"/>
      <c r="AA42" s="121"/>
      <c r="AB42" s="121"/>
      <c r="AC42" s="121"/>
      <c r="AD42" s="121"/>
      <c r="AE42" s="121"/>
      <c r="AF42" s="121"/>
      <c r="AG42" s="121"/>
      <c r="AH42" s="121"/>
      <c r="AI42" s="121"/>
      <c r="AJ42" s="121"/>
      <c r="AK42" s="121"/>
      <c r="AL42" s="121"/>
      <c r="AM42" s="121"/>
      <c r="AN42" s="121"/>
      <c r="AO42" s="121"/>
      <c r="AP42" s="121"/>
      <c r="AQ42" s="121"/>
      <c r="AR42" s="121"/>
      <c r="AS42" s="121"/>
      <c r="AT42" s="121"/>
      <c r="AU42" s="121"/>
      <c r="AV42" s="121"/>
      <c r="AW42" s="121"/>
      <c r="AX42" s="121"/>
      <c r="AY42" s="121"/>
      <c r="AZ42" s="121"/>
      <c r="BA42" s="121"/>
      <c r="BB42" s="121"/>
      <c r="BC42" s="121"/>
      <c r="BD42" s="121"/>
      <c r="BE42" s="121"/>
      <c r="BF42" s="121"/>
      <c r="BG42" s="121"/>
      <c r="BH42" s="121"/>
      <c r="BI42" s="121"/>
      <c r="BJ42" s="122"/>
      <c r="BK42" s="93"/>
      <c r="BL42" s="94"/>
      <c r="BM42" s="95"/>
      <c r="BN42" s="179" t="str">
        <f t="shared" si="2"/>
        <v/>
      </c>
      <c r="BO42" s="177"/>
      <c r="BP42" s="14"/>
      <c r="BQ42" s="14"/>
      <c r="BR42" s="14"/>
      <c r="BS42" s="14"/>
      <c r="BT42" s="14"/>
      <c r="BU42" s="14"/>
      <c r="BV42" s="16"/>
      <c r="BW42" s="14"/>
      <c r="BX42" s="14"/>
      <c r="BY42" s="14"/>
      <c r="BZ42" s="14"/>
      <c r="CA42" s="14"/>
      <c r="CB42" s="14"/>
      <c r="CC42" s="14"/>
      <c r="CD42" s="14"/>
      <c r="CE42" s="14"/>
      <c r="CF42" s="14"/>
      <c r="CG42" s="14"/>
      <c r="CH42" s="14"/>
      <c r="CI42" s="14"/>
      <c r="CJ42" s="14"/>
      <c r="CK42" s="14"/>
      <c r="CL42" s="14"/>
      <c r="CM42" s="14"/>
      <c r="CN42" s="14"/>
      <c r="CO42" s="14"/>
      <c r="CP42" s="14"/>
      <c r="CQ42" s="14"/>
      <c r="CR42" s="14"/>
      <c r="CS42" s="14"/>
      <c r="CT42" s="14"/>
      <c r="CU42" s="14"/>
      <c r="CV42" s="14"/>
      <c r="CW42" s="14"/>
      <c r="CX42" s="14"/>
      <c r="CY42" s="14"/>
      <c r="CZ42" s="14"/>
      <c r="DA42" s="14"/>
      <c r="DB42" s="14"/>
      <c r="DC42" s="14"/>
      <c r="DD42" s="14"/>
      <c r="DE42" s="14"/>
      <c r="DF42" s="14"/>
      <c r="DG42" s="14"/>
      <c r="DH42" s="14"/>
      <c r="DI42" s="14"/>
      <c r="DJ42" s="14"/>
      <c r="DK42" s="14"/>
      <c r="DL42" s="14"/>
      <c r="DM42" s="14"/>
      <c r="DN42" s="14"/>
      <c r="DO42" s="14"/>
      <c r="DP42" s="26"/>
      <c r="DQ42" s="27"/>
      <c r="DR42" s="129"/>
      <c r="DS42" s="130">
        <f>TCP(BO42:DQ42,$BO$9:$DQ$9,data!$H$8)</f>
        <v>0</v>
      </c>
      <c r="DT42" s="135"/>
      <c r="DU42" s="121"/>
      <c r="DV42" s="121"/>
      <c r="DW42" s="134"/>
      <c r="DX42" s="132"/>
      <c r="DY42" s="136"/>
      <c r="DZ42" s="21"/>
      <c r="EA42" s="18"/>
      <c r="EB42" s="4"/>
      <c r="EI42" s="23"/>
      <c r="EJ42" s="23"/>
    </row>
    <row r="43" spans="1:140" s="103" customFormat="1" ht="15.75" x14ac:dyDescent="0.25">
      <c r="A43" s="12"/>
      <c r="B43" s="16"/>
      <c r="C43" s="24" t="str">
        <f t="shared" si="0"/>
        <v xml:space="preserve"> </v>
      </c>
      <c r="D43" s="25"/>
      <c r="E43" s="20"/>
      <c r="F43" s="19" t="str">
        <f t="shared" si="1"/>
        <v xml:space="preserve"> </v>
      </c>
      <c r="G43" s="180" t="str">
        <f t="shared" si="3"/>
        <v/>
      </c>
      <c r="H43" s="120"/>
      <c r="I43" s="121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2"/>
      <c r="BK43" s="93"/>
      <c r="BL43" s="94"/>
      <c r="BM43" s="95"/>
      <c r="BN43" s="179" t="str">
        <f t="shared" si="2"/>
        <v/>
      </c>
      <c r="BO43" s="177"/>
      <c r="BP43" s="14"/>
      <c r="BQ43" s="14"/>
      <c r="BR43" s="14"/>
      <c r="BS43" s="14"/>
      <c r="BT43" s="14"/>
      <c r="BU43" s="14"/>
      <c r="BV43" s="16"/>
      <c r="BW43" s="14"/>
      <c r="BX43" s="14"/>
      <c r="BY43" s="14"/>
      <c r="BZ43" s="14"/>
      <c r="CA43" s="14"/>
      <c r="CB43" s="14"/>
      <c r="CC43" s="14"/>
      <c r="CD43" s="14"/>
      <c r="CE43" s="14"/>
      <c r="CF43" s="14"/>
      <c r="CG43" s="14"/>
      <c r="CH43" s="14"/>
      <c r="CI43" s="14"/>
      <c r="CJ43" s="14"/>
      <c r="CK43" s="14"/>
      <c r="CL43" s="14"/>
      <c r="CM43" s="14"/>
      <c r="CN43" s="14"/>
      <c r="CO43" s="14"/>
      <c r="CP43" s="14"/>
      <c r="CQ43" s="14"/>
      <c r="CR43" s="14"/>
      <c r="CS43" s="14"/>
      <c r="CT43" s="14"/>
      <c r="CU43" s="14"/>
      <c r="CV43" s="14"/>
      <c r="CW43" s="14"/>
      <c r="CX43" s="14"/>
      <c r="CY43" s="14"/>
      <c r="CZ43" s="14"/>
      <c r="DA43" s="14"/>
      <c r="DB43" s="14"/>
      <c r="DC43" s="14"/>
      <c r="DD43" s="14"/>
      <c r="DE43" s="14"/>
      <c r="DF43" s="14"/>
      <c r="DG43" s="14"/>
      <c r="DH43" s="14"/>
      <c r="DI43" s="14"/>
      <c r="DJ43" s="14"/>
      <c r="DK43" s="14"/>
      <c r="DL43" s="14"/>
      <c r="DM43" s="14"/>
      <c r="DN43" s="14"/>
      <c r="DO43" s="14"/>
      <c r="DP43" s="26"/>
      <c r="DQ43" s="27"/>
      <c r="DR43" s="129"/>
      <c r="DS43" s="130">
        <f>TCP(BO43:DQ43,$BO$9:$DQ$9,data!$H$8)</f>
        <v>0</v>
      </c>
      <c r="DT43" s="135"/>
      <c r="DU43" s="121"/>
      <c r="DV43" s="121"/>
      <c r="DW43" s="134"/>
      <c r="DX43" s="132"/>
      <c r="DY43" s="136"/>
      <c r="DZ43" s="21"/>
      <c r="EA43" s="18"/>
      <c r="EB43" s="4"/>
      <c r="EI43" s="23"/>
      <c r="EJ43" s="23"/>
    </row>
    <row r="44" spans="1:140" s="103" customFormat="1" ht="15.75" x14ac:dyDescent="0.25">
      <c r="A44" s="12"/>
      <c r="B44" s="16"/>
      <c r="C44" s="24" t="str">
        <f t="shared" si="0"/>
        <v xml:space="preserve"> </v>
      </c>
      <c r="D44" s="25"/>
      <c r="E44" s="20"/>
      <c r="F44" s="19" t="str">
        <f t="shared" si="1"/>
        <v xml:space="preserve"> </v>
      </c>
      <c r="G44" s="180" t="str">
        <f t="shared" si="3"/>
        <v/>
      </c>
      <c r="H44" s="120"/>
      <c r="I44" s="121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121"/>
      <c r="BE44" s="121"/>
      <c r="BF44" s="121"/>
      <c r="BG44" s="121"/>
      <c r="BH44" s="121"/>
      <c r="BI44" s="121"/>
      <c r="BJ44" s="122"/>
      <c r="BK44" s="93"/>
      <c r="BL44" s="94"/>
      <c r="BM44" s="95"/>
      <c r="BN44" s="179" t="str">
        <f t="shared" si="2"/>
        <v/>
      </c>
      <c r="BO44" s="177"/>
      <c r="BP44" s="14"/>
      <c r="BQ44" s="14"/>
      <c r="BR44" s="14"/>
      <c r="BS44" s="14"/>
      <c r="BT44" s="14"/>
      <c r="BU44" s="14"/>
      <c r="BV44" s="16"/>
      <c r="BW44" s="14"/>
      <c r="BX44" s="14"/>
      <c r="BY44" s="14"/>
      <c r="BZ44" s="14"/>
      <c r="CA44" s="14"/>
      <c r="CB44" s="14"/>
      <c r="CC44" s="14"/>
      <c r="CD44" s="14"/>
      <c r="CE44" s="14"/>
      <c r="CF44" s="14"/>
      <c r="CG44" s="14"/>
      <c r="CH44" s="14"/>
      <c r="CI44" s="14"/>
      <c r="CJ44" s="14"/>
      <c r="CK44" s="14"/>
      <c r="CL44" s="14"/>
      <c r="CM44" s="14"/>
      <c r="CN44" s="14"/>
      <c r="CO44" s="14"/>
      <c r="CP44" s="14"/>
      <c r="CQ44" s="14"/>
      <c r="CR44" s="14"/>
      <c r="CS44" s="14"/>
      <c r="CT44" s="14"/>
      <c r="CU44" s="14"/>
      <c r="CV44" s="14"/>
      <c r="CW44" s="14"/>
      <c r="CX44" s="14"/>
      <c r="CY44" s="14"/>
      <c r="CZ44" s="14"/>
      <c r="DA44" s="14"/>
      <c r="DB44" s="14"/>
      <c r="DC44" s="14"/>
      <c r="DD44" s="14"/>
      <c r="DE44" s="14"/>
      <c r="DF44" s="14"/>
      <c r="DG44" s="14"/>
      <c r="DH44" s="14"/>
      <c r="DI44" s="14"/>
      <c r="DJ44" s="14"/>
      <c r="DK44" s="14"/>
      <c r="DL44" s="14"/>
      <c r="DM44" s="14"/>
      <c r="DN44" s="14"/>
      <c r="DO44" s="14"/>
      <c r="DP44" s="26"/>
      <c r="DQ44" s="27"/>
      <c r="DR44" s="129"/>
      <c r="DS44" s="130">
        <f>TCP(BO44:DQ44,$BO$9:$DQ$9,data!$H$8)</f>
        <v>0</v>
      </c>
      <c r="DT44" s="135"/>
      <c r="DU44" s="121"/>
      <c r="DV44" s="121"/>
      <c r="DW44" s="134"/>
      <c r="DX44" s="132"/>
      <c r="DY44" s="136"/>
      <c r="DZ44" s="21"/>
      <c r="EA44" s="18"/>
      <c r="EB44" s="4"/>
      <c r="EI44" s="23"/>
      <c r="EJ44" s="23"/>
    </row>
    <row r="45" spans="1:140" s="103" customFormat="1" ht="15.75" x14ac:dyDescent="0.25">
      <c r="A45" s="12"/>
      <c r="B45" s="16"/>
      <c r="C45" s="24" t="str">
        <f t="shared" si="0"/>
        <v xml:space="preserve"> </v>
      </c>
      <c r="D45" s="25"/>
      <c r="E45" s="20"/>
      <c r="F45" s="19" t="str">
        <f t="shared" si="1"/>
        <v xml:space="preserve"> </v>
      </c>
      <c r="G45" s="180" t="str">
        <f t="shared" si="3"/>
        <v/>
      </c>
      <c r="H45" s="120"/>
      <c r="I45" s="121"/>
      <c r="J45" s="121"/>
      <c r="K45" s="121"/>
      <c r="L45" s="121"/>
      <c r="M45" s="121"/>
      <c r="N45" s="121"/>
      <c r="O45" s="121"/>
      <c r="P45" s="121"/>
      <c r="Q45" s="121"/>
      <c r="R45" s="121"/>
      <c r="S45" s="121"/>
      <c r="T45" s="121"/>
      <c r="U45" s="121"/>
      <c r="V45" s="121"/>
      <c r="W45" s="121"/>
      <c r="X45" s="121"/>
      <c r="Y45" s="121"/>
      <c r="Z45" s="121"/>
      <c r="AA45" s="121"/>
      <c r="AB45" s="121"/>
      <c r="AC45" s="121"/>
      <c r="AD45" s="121"/>
      <c r="AE45" s="121"/>
      <c r="AF45" s="121"/>
      <c r="AG45" s="121"/>
      <c r="AH45" s="121"/>
      <c r="AI45" s="121"/>
      <c r="AJ45" s="121"/>
      <c r="AK45" s="121"/>
      <c r="AL45" s="121"/>
      <c r="AM45" s="121"/>
      <c r="AN45" s="121"/>
      <c r="AO45" s="121"/>
      <c r="AP45" s="121"/>
      <c r="AQ45" s="121"/>
      <c r="AR45" s="121"/>
      <c r="AS45" s="121"/>
      <c r="AT45" s="121"/>
      <c r="AU45" s="121"/>
      <c r="AV45" s="121"/>
      <c r="AW45" s="121"/>
      <c r="AX45" s="121"/>
      <c r="AY45" s="121"/>
      <c r="AZ45" s="121"/>
      <c r="BA45" s="121"/>
      <c r="BB45" s="121"/>
      <c r="BC45" s="121"/>
      <c r="BD45" s="121"/>
      <c r="BE45" s="121"/>
      <c r="BF45" s="121"/>
      <c r="BG45" s="121"/>
      <c r="BH45" s="121"/>
      <c r="BI45" s="121"/>
      <c r="BJ45" s="122"/>
      <c r="BK45" s="93"/>
      <c r="BL45" s="94"/>
      <c r="BM45" s="95"/>
      <c r="BN45" s="179" t="str">
        <f t="shared" si="2"/>
        <v/>
      </c>
      <c r="BO45" s="177"/>
      <c r="BP45" s="14"/>
      <c r="BQ45" s="14"/>
      <c r="BR45" s="14"/>
      <c r="BS45" s="14"/>
      <c r="BT45" s="14"/>
      <c r="BU45" s="14"/>
      <c r="BV45" s="16"/>
      <c r="BW45" s="14"/>
      <c r="BX45" s="14"/>
      <c r="BY45" s="14"/>
      <c r="BZ45" s="14"/>
      <c r="CA45" s="14"/>
      <c r="CB45" s="14"/>
      <c r="CC45" s="14"/>
      <c r="CD45" s="14"/>
      <c r="CE45" s="14"/>
      <c r="CF45" s="14"/>
      <c r="CG45" s="14"/>
      <c r="CH45" s="14"/>
      <c r="CI45" s="14"/>
      <c r="CJ45" s="14"/>
      <c r="CK45" s="14"/>
      <c r="CL45" s="14"/>
      <c r="CM45" s="14"/>
      <c r="CN45" s="14"/>
      <c r="CO45" s="14"/>
      <c r="CP45" s="14"/>
      <c r="CQ45" s="14"/>
      <c r="CR45" s="14"/>
      <c r="CS45" s="14"/>
      <c r="CT45" s="14"/>
      <c r="CU45" s="14"/>
      <c r="CV45" s="14"/>
      <c r="CW45" s="14"/>
      <c r="CX45" s="14"/>
      <c r="CY45" s="14"/>
      <c r="CZ45" s="14"/>
      <c r="DA45" s="14"/>
      <c r="DB45" s="14"/>
      <c r="DC45" s="14"/>
      <c r="DD45" s="14"/>
      <c r="DE45" s="14"/>
      <c r="DF45" s="14"/>
      <c r="DG45" s="14"/>
      <c r="DH45" s="14"/>
      <c r="DI45" s="14"/>
      <c r="DJ45" s="14"/>
      <c r="DK45" s="14"/>
      <c r="DL45" s="14"/>
      <c r="DM45" s="14"/>
      <c r="DN45" s="14"/>
      <c r="DO45" s="14"/>
      <c r="DP45" s="26"/>
      <c r="DQ45" s="27"/>
      <c r="DR45" s="129"/>
      <c r="DS45" s="130">
        <f>TCP(BO45:DQ45,$BO$9:$DQ$9,data!$H$8)</f>
        <v>0</v>
      </c>
      <c r="DT45" s="135"/>
      <c r="DU45" s="121"/>
      <c r="DV45" s="121"/>
      <c r="DW45" s="134"/>
      <c r="DX45" s="132"/>
      <c r="DY45" s="136"/>
      <c r="DZ45" s="21"/>
      <c r="EA45" s="18"/>
      <c r="EB45" s="4"/>
      <c r="EI45" s="23"/>
      <c r="EJ45" s="23"/>
    </row>
    <row r="46" spans="1:140" s="103" customFormat="1" ht="15.75" x14ac:dyDescent="0.25">
      <c r="A46" s="12"/>
      <c r="B46" s="16"/>
      <c r="C46" s="24" t="str">
        <f t="shared" si="0"/>
        <v xml:space="preserve"> </v>
      </c>
      <c r="D46" s="25"/>
      <c r="E46" s="20"/>
      <c r="F46" s="19" t="str">
        <f t="shared" si="1"/>
        <v xml:space="preserve"> </v>
      </c>
      <c r="G46" s="180" t="str">
        <f t="shared" si="3"/>
        <v/>
      </c>
      <c r="H46" s="120"/>
      <c r="I46" s="121"/>
      <c r="J46" s="121"/>
      <c r="K46" s="121"/>
      <c r="L46" s="121"/>
      <c r="M46" s="121"/>
      <c r="N46" s="121"/>
      <c r="O46" s="121"/>
      <c r="P46" s="121"/>
      <c r="Q46" s="121"/>
      <c r="R46" s="121"/>
      <c r="S46" s="121"/>
      <c r="T46" s="121"/>
      <c r="U46" s="121"/>
      <c r="V46" s="121"/>
      <c r="W46" s="121"/>
      <c r="X46" s="121"/>
      <c r="Y46" s="121"/>
      <c r="Z46" s="121"/>
      <c r="AA46" s="121"/>
      <c r="AB46" s="121"/>
      <c r="AC46" s="121"/>
      <c r="AD46" s="121"/>
      <c r="AE46" s="121"/>
      <c r="AF46" s="121"/>
      <c r="AG46" s="121"/>
      <c r="AH46" s="121"/>
      <c r="AI46" s="121"/>
      <c r="AJ46" s="121"/>
      <c r="AK46" s="121"/>
      <c r="AL46" s="121"/>
      <c r="AM46" s="121"/>
      <c r="AN46" s="121"/>
      <c r="AO46" s="121"/>
      <c r="AP46" s="121"/>
      <c r="AQ46" s="121"/>
      <c r="AR46" s="121"/>
      <c r="AS46" s="121"/>
      <c r="AT46" s="121"/>
      <c r="AU46" s="121"/>
      <c r="AV46" s="121"/>
      <c r="AW46" s="121"/>
      <c r="AX46" s="121"/>
      <c r="AY46" s="121"/>
      <c r="AZ46" s="121"/>
      <c r="BA46" s="121"/>
      <c r="BB46" s="121"/>
      <c r="BC46" s="121"/>
      <c r="BD46" s="121"/>
      <c r="BE46" s="121"/>
      <c r="BF46" s="121"/>
      <c r="BG46" s="121"/>
      <c r="BH46" s="121"/>
      <c r="BI46" s="121"/>
      <c r="BJ46" s="122"/>
      <c r="BK46" s="93"/>
      <c r="BL46" s="94"/>
      <c r="BM46" s="95"/>
      <c r="BN46" s="179" t="str">
        <f t="shared" si="2"/>
        <v/>
      </c>
      <c r="BO46" s="177"/>
      <c r="BP46" s="14"/>
      <c r="BQ46" s="14"/>
      <c r="BR46" s="14"/>
      <c r="BS46" s="14"/>
      <c r="BT46" s="14"/>
      <c r="BU46" s="14"/>
      <c r="BV46" s="16"/>
      <c r="BW46" s="14"/>
      <c r="BX46" s="14"/>
      <c r="BY46" s="14"/>
      <c r="BZ46" s="14"/>
      <c r="CA46" s="14"/>
      <c r="CB46" s="14"/>
      <c r="CC46" s="14"/>
      <c r="CD46" s="14"/>
      <c r="CE46" s="14"/>
      <c r="CF46" s="14"/>
      <c r="CG46" s="14"/>
      <c r="CH46" s="14"/>
      <c r="CI46" s="14"/>
      <c r="CJ46" s="14"/>
      <c r="CK46" s="14"/>
      <c r="CL46" s="14"/>
      <c r="CM46" s="14"/>
      <c r="CN46" s="14"/>
      <c r="CO46" s="14"/>
      <c r="CP46" s="14"/>
      <c r="CQ46" s="14"/>
      <c r="CR46" s="14"/>
      <c r="CS46" s="14"/>
      <c r="CT46" s="14"/>
      <c r="CU46" s="14"/>
      <c r="CV46" s="14"/>
      <c r="CW46" s="14"/>
      <c r="CX46" s="14"/>
      <c r="CY46" s="14"/>
      <c r="CZ46" s="14"/>
      <c r="DA46" s="14"/>
      <c r="DB46" s="14"/>
      <c r="DC46" s="14"/>
      <c r="DD46" s="14"/>
      <c r="DE46" s="14"/>
      <c r="DF46" s="14"/>
      <c r="DG46" s="14"/>
      <c r="DH46" s="14"/>
      <c r="DI46" s="14"/>
      <c r="DJ46" s="14"/>
      <c r="DK46" s="14"/>
      <c r="DL46" s="14"/>
      <c r="DM46" s="14"/>
      <c r="DN46" s="14"/>
      <c r="DO46" s="14"/>
      <c r="DP46" s="26"/>
      <c r="DQ46" s="27"/>
      <c r="DR46" s="129"/>
      <c r="DS46" s="130">
        <f>TCP(BO46:DQ46,$BO$9:$DQ$9,data!$H$8)</f>
        <v>0</v>
      </c>
      <c r="DT46" s="135"/>
      <c r="DU46" s="121"/>
      <c r="DV46" s="121"/>
      <c r="DW46" s="134"/>
      <c r="DX46" s="132"/>
      <c r="DY46" s="136"/>
      <c r="DZ46" s="21"/>
      <c r="EA46" s="18"/>
      <c r="EB46" s="4"/>
      <c r="EI46" s="23"/>
      <c r="EJ46" s="23"/>
    </row>
    <row r="47" spans="1:140" s="103" customFormat="1" ht="15.75" x14ac:dyDescent="0.25">
      <c r="A47" s="12"/>
      <c r="B47" s="16"/>
      <c r="C47" s="24" t="str">
        <f t="shared" si="0"/>
        <v xml:space="preserve"> </v>
      </c>
      <c r="D47" s="25"/>
      <c r="E47" s="20"/>
      <c r="F47" s="19" t="str">
        <f t="shared" si="1"/>
        <v xml:space="preserve"> </v>
      </c>
      <c r="G47" s="180" t="str">
        <f t="shared" si="3"/>
        <v/>
      </c>
      <c r="H47" s="120"/>
      <c r="I47" s="121"/>
      <c r="J47" s="121"/>
      <c r="K47" s="121"/>
      <c r="L47" s="121"/>
      <c r="M47" s="121"/>
      <c r="N47" s="121"/>
      <c r="O47" s="121"/>
      <c r="P47" s="121"/>
      <c r="Q47" s="121"/>
      <c r="R47" s="121"/>
      <c r="S47" s="121"/>
      <c r="T47" s="121"/>
      <c r="U47" s="121"/>
      <c r="V47" s="121"/>
      <c r="W47" s="121"/>
      <c r="X47" s="121"/>
      <c r="Y47" s="121"/>
      <c r="Z47" s="121"/>
      <c r="AA47" s="121"/>
      <c r="AB47" s="121"/>
      <c r="AC47" s="121"/>
      <c r="AD47" s="121"/>
      <c r="AE47" s="121"/>
      <c r="AF47" s="121"/>
      <c r="AG47" s="121"/>
      <c r="AH47" s="121"/>
      <c r="AI47" s="121"/>
      <c r="AJ47" s="121"/>
      <c r="AK47" s="121"/>
      <c r="AL47" s="121"/>
      <c r="AM47" s="121"/>
      <c r="AN47" s="121"/>
      <c r="AO47" s="121"/>
      <c r="AP47" s="121"/>
      <c r="AQ47" s="121"/>
      <c r="AR47" s="121"/>
      <c r="AS47" s="121"/>
      <c r="AT47" s="121"/>
      <c r="AU47" s="121"/>
      <c r="AV47" s="121"/>
      <c r="AW47" s="121"/>
      <c r="AX47" s="121"/>
      <c r="AY47" s="121"/>
      <c r="AZ47" s="121"/>
      <c r="BA47" s="121"/>
      <c r="BB47" s="121"/>
      <c r="BC47" s="121"/>
      <c r="BD47" s="121"/>
      <c r="BE47" s="121"/>
      <c r="BF47" s="121"/>
      <c r="BG47" s="121"/>
      <c r="BH47" s="121"/>
      <c r="BI47" s="121"/>
      <c r="BJ47" s="122"/>
      <c r="BK47" s="93"/>
      <c r="BL47" s="94"/>
      <c r="BM47" s="95"/>
      <c r="BN47" s="179" t="str">
        <f t="shared" si="2"/>
        <v/>
      </c>
      <c r="BO47" s="177"/>
      <c r="BP47" s="14"/>
      <c r="BQ47" s="14"/>
      <c r="BR47" s="14"/>
      <c r="BS47" s="14"/>
      <c r="BT47" s="14"/>
      <c r="BU47" s="14"/>
      <c r="BV47" s="16"/>
      <c r="BW47" s="14"/>
      <c r="BX47" s="14"/>
      <c r="BY47" s="14"/>
      <c r="BZ47" s="14"/>
      <c r="CA47" s="14"/>
      <c r="CB47" s="14"/>
      <c r="CC47" s="14"/>
      <c r="CD47" s="14"/>
      <c r="CE47" s="14"/>
      <c r="CF47" s="14"/>
      <c r="CG47" s="14"/>
      <c r="CH47" s="14"/>
      <c r="CI47" s="14"/>
      <c r="CJ47" s="14"/>
      <c r="CK47" s="14"/>
      <c r="CL47" s="14"/>
      <c r="CM47" s="14"/>
      <c r="CN47" s="14"/>
      <c r="CO47" s="14"/>
      <c r="CP47" s="14"/>
      <c r="CQ47" s="14"/>
      <c r="CR47" s="14"/>
      <c r="CS47" s="14"/>
      <c r="CT47" s="14"/>
      <c r="CU47" s="14"/>
      <c r="CV47" s="14"/>
      <c r="CW47" s="14"/>
      <c r="CX47" s="14"/>
      <c r="CY47" s="14"/>
      <c r="CZ47" s="14"/>
      <c r="DA47" s="14"/>
      <c r="DB47" s="14"/>
      <c r="DC47" s="14"/>
      <c r="DD47" s="14"/>
      <c r="DE47" s="14"/>
      <c r="DF47" s="14"/>
      <c r="DG47" s="14"/>
      <c r="DH47" s="14"/>
      <c r="DI47" s="14"/>
      <c r="DJ47" s="14"/>
      <c r="DK47" s="14"/>
      <c r="DL47" s="14"/>
      <c r="DM47" s="14"/>
      <c r="DN47" s="14"/>
      <c r="DO47" s="14"/>
      <c r="DP47" s="26"/>
      <c r="DQ47" s="27"/>
      <c r="DR47" s="129"/>
      <c r="DS47" s="130">
        <f>TCP(BO47:DQ47,$BO$9:$DQ$9,data!$H$8)</f>
        <v>0</v>
      </c>
      <c r="DT47" s="135"/>
      <c r="DU47" s="121"/>
      <c r="DV47" s="121"/>
      <c r="DW47" s="134"/>
      <c r="DX47" s="132"/>
      <c r="DY47" s="136"/>
      <c r="DZ47" s="21"/>
      <c r="EA47" s="18"/>
      <c r="EB47" s="4"/>
      <c r="EI47" s="23"/>
      <c r="EJ47" s="23"/>
    </row>
    <row r="48" spans="1:140" s="103" customFormat="1" ht="15.75" x14ac:dyDescent="0.25">
      <c r="A48" s="12"/>
      <c r="B48" s="16"/>
      <c r="C48" s="24" t="str">
        <f t="shared" si="0"/>
        <v xml:space="preserve"> </v>
      </c>
      <c r="D48" s="25"/>
      <c r="E48" s="20"/>
      <c r="F48" s="19" t="str">
        <f t="shared" si="1"/>
        <v xml:space="preserve"> </v>
      </c>
      <c r="G48" s="180" t="str">
        <f t="shared" si="3"/>
        <v/>
      </c>
      <c r="H48" s="120"/>
      <c r="I48" s="121"/>
      <c r="J48" s="121"/>
      <c r="K48" s="121"/>
      <c r="L48" s="121"/>
      <c r="M48" s="121"/>
      <c r="N48" s="121"/>
      <c r="O48" s="121"/>
      <c r="P48" s="121"/>
      <c r="Q48" s="121"/>
      <c r="R48" s="121"/>
      <c r="S48" s="121"/>
      <c r="T48" s="121"/>
      <c r="U48" s="121"/>
      <c r="V48" s="121"/>
      <c r="W48" s="121"/>
      <c r="X48" s="121"/>
      <c r="Y48" s="121"/>
      <c r="Z48" s="121"/>
      <c r="AA48" s="121"/>
      <c r="AB48" s="121"/>
      <c r="AC48" s="121"/>
      <c r="AD48" s="121"/>
      <c r="AE48" s="121"/>
      <c r="AF48" s="121"/>
      <c r="AG48" s="121"/>
      <c r="AH48" s="121"/>
      <c r="AI48" s="121"/>
      <c r="AJ48" s="121"/>
      <c r="AK48" s="121"/>
      <c r="AL48" s="121"/>
      <c r="AM48" s="121"/>
      <c r="AN48" s="121"/>
      <c r="AO48" s="121"/>
      <c r="AP48" s="121"/>
      <c r="AQ48" s="121"/>
      <c r="AR48" s="121"/>
      <c r="AS48" s="121"/>
      <c r="AT48" s="121"/>
      <c r="AU48" s="121"/>
      <c r="AV48" s="121"/>
      <c r="AW48" s="121"/>
      <c r="AX48" s="121"/>
      <c r="AY48" s="121"/>
      <c r="AZ48" s="121"/>
      <c r="BA48" s="121"/>
      <c r="BB48" s="121"/>
      <c r="BC48" s="121"/>
      <c r="BD48" s="121"/>
      <c r="BE48" s="121"/>
      <c r="BF48" s="121"/>
      <c r="BG48" s="121"/>
      <c r="BH48" s="121"/>
      <c r="BI48" s="121"/>
      <c r="BJ48" s="122"/>
      <c r="BK48" s="93"/>
      <c r="BL48" s="94"/>
      <c r="BM48" s="95"/>
      <c r="BN48" s="179" t="str">
        <f t="shared" si="2"/>
        <v/>
      </c>
      <c r="BO48" s="177"/>
      <c r="BP48" s="14"/>
      <c r="BQ48" s="14"/>
      <c r="BR48" s="14"/>
      <c r="BS48" s="14"/>
      <c r="BT48" s="14"/>
      <c r="BU48" s="14"/>
      <c r="BV48" s="16"/>
      <c r="BW48" s="14"/>
      <c r="BX48" s="14"/>
      <c r="BY48" s="14"/>
      <c r="BZ48" s="14"/>
      <c r="CA48" s="14"/>
      <c r="CB48" s="14"/>
      <c r="CC48" s="14"/>
      <c r="CD48" s="14"/>
      <c r="CE48" s="14"/>
      <c r="CF48" s="14"/>
      <c r="CG48" s="14"/>
      <c r="CH48" s="14"/>
      <c r="CI48" s="14"/>
      <c r="CJ48" s="14"/>
      <c r="CK48" s="14"/>
      <c r="CL48" s="14"/>
      <c r="CM48" s="14"/>
      <c r="CN48" s="14"/>
      <c r="CO48" s="14"/>
      <c r="CP48" s="14"/>
      <c r="CQ48" s="14"/>
      <c r="CR48" s="14"/>
      <c r="CS48" s="14"/>
      <c r="CT48" s="14"/>
      <c r="CU48" s="14"/>
      <c r="CV48" s="14"/>
      <c r="CW48" s="14"/>
      <c r="CX48" s="14"/>
      <c r="CY48" s="14"/>
      <c r="CZ48" s="14"/>
      <c r="DA48" s="14"/>
      <c r="DB48" s="14"/>
      <c r="DC48" s="14"/>
      <c r="DD48" s="14"/>
      <c r="DE48" s="14"/>
      <c r="DF48" s="14"/>
      <c r="DG48" s="14"/>
      <c r="DH48" s="14"/>
      <c r="DI48" s="14"/>
      <c r="DJ48" s="14"/>
      <c r="DK48" s="14"/>
      <c r="DL48" s="14"/>
      <c r="DM48" s="14"/>
      <c r="DN48" s="14"/>
      <c r="DO48" s="14"/>
      <c r="DP48" s="26"/>
      <c r="DQ48" s="27"/>
      <c r="DR48" s="129"/>
      <c r="DS48" s="130">
        <f>TCP(BO48:DQ48,$BO$9:$DQ$9,data!$H$8)</f>
        <v>0</v>
      </c>
      <c r="DT48" s="135"/>
      <c r="DU48" s="121"/>
      <c r="DV48" s="121"/>
      <c r="DW48" s="134"/>
      <c r="DX48" s="132"/>
      <c r="DY48" s="136"/>
      <c r="DZ48" s="21"/>
      <c r="EA48" s="18"/>
      <c r="EB48" s="4"/>
      <c r="EI48" s="23"/>
      <c r="EJ48" s="23"/>
    </row>
    <row r="49" spans="1:140" s="103" customFormat="1" ht="15.75" x14ac:dyDescent="0.25">
      <c r="A49" s="12"/>
      <c r="B49" s="16"/>
      <c r="C49" s="24" t="str">
        <f t="shared" si="0"/>
        <v xml:space="preserve"> </v>
      </c>
      <c r="D49" s="25"/>
      <c r="E49" s="20"/>
      <c r="F49" s="19" t="str">
        <f t="shared" si="1"/>
        <v xml:space="preserve"> </v>
      </c>
      <c r="G49" s="180" t="str">
        <f t="shared" si="3"/>
        <v/>
      </c>
      <c r="H49" s="120"/>
      <c r="I49" s="121"/>
      <c r="J49" s="121"/>
      <c r="K49" s="121"/>
      <c r="L49" s="121"/>
      <c r="M49" s="121"/>
      <c r="N49" s="121"/>
      <c r="O49" s="121"/>
      <c r="P49" s="121"/>
      <c r="Q49" s="121"/>
      <c r="R49" s="121"/>
      <c r="S49" s="121"/>
      <c r="T49" s="121"/>
      <c r="U49" s="121"/>
      <c r="V49" s="121"/>
      <c r="W49" s="121"/>
      <c r="X49" s="121"/>
      <c r="Y49" s="121"/>
      <c r="Z49" s="121"/>
      <c r="AA49" s="121"/>
      <c r="AB49" s="121"/>
      <c r="AC49" s="121"/>
      <c r="AD49" s="121"/>
      <c r="AE49" s="121"/>
      <c r="AF49" s="121"/>
      <c r="AG49" s="121"/>
      <c r="AH49" s="121"/>
      <c r="AI49" s="121"/>
      <c r="AJ49" s="121"/>
      <c r="AK49" s="121"/>
      <c r="AL49" s="121"/>
      <c r="AM49" s="121"/>
      <c r="AN49" s="121"/>
      <c r="AO49" s="121"/>
      <c r="AP49" s="121"/>
      <c r="AQ49" s="121"/>
      <c r="AR49" s="121"/>
      <c r="AS49" s="121"/>
      <c r="AT49" s="121"/>
      <c r="AU49" s="121"/>
      <c r="AV49" s="121"/>
      <c r="AW49" s="121"/>
      <c r="AX49" s="121"/>
      <c r="AY49" s="121"/>
      <c r="AZ49" s="121"/>
      <c r="BA49" s="121"/>
      <c r="BB49" s="121"/>
      <c r="BC49" s="121"/>
      <c r="BD49" s="121"/>
      <c r="BE49" s="121"/>
      <c r="BF49" s="121"/>
      <c r="BG49" s="121"/>
      <c r="BH49" s="121"/>
      <c r="BI49" s="121"/>
      <c r="BJ49" s="122"/>
      <c r="BK49" s="93"/>
      <c r="BL49" s="94"/>
      <c r="BM49" s="95"/>
      <c r="BN49" s="179" t="str">
        <f t="shared" si="2"/>
        <v/>
      </c>
      <c r="BO49" s="177"/>
      <c r="BP49" s="14"/>
      <c r="BQ49" s="14"/>
      <c r="BR49" s="14"/>
      <c r="BS49" s="14"/>
      <c r="BT49" s="14"/>
      <c r="BU49" s="14"/>
      <c r="BV49" s="16"/>
      <c r="BW49" s="14"/>
      <c r="BX49" s="14"/>
      <c r="BY49" s="14"/>
      <c r="BZ49" s="14"/>
      <c r="CA49" s="14"/>
      <c r="CB49" s="14"/>
      <c r="CC49" s="14"/>
      <c r="CD49" s="14"/>
      <c r="CE49" s="14"/>
      <c r="CF49" s="14"/>
      <c r="CG49" s="14"/>
      <c r="CH49" s="14"/>
      <c r="CI49" s="14"/>
      <c r="CJ49" s="14"/>
      <c r="CK49" s="14"/>
      <c r="CL49" s="14"/>
      <c r="CM49" s="14"/>
      <c r="CN49" s="14"/>
      <c r="CO49" s="14"/>
      <c r="CP49" s="14"/>
      <c r="CQ49" s="14"/>
      <c r="CR49" s="14"/>
      <c r="CS49" s="14"/>
      <c r="CT49" s="14"/>
      <c r="CU49" s="14"/>
      <c r="CV49" s="14"/>
      <c r="CW49" s="14"/>
      <c r="CX49" s="14"/>
      <c r="CY49" s="14"/>
      <c r="CZ49" s="14"/>
      <c r="DA49" s="14"/>
      <c r="DB49" s="14"/>
      <c r="DC49" s="14"/>
      <c r="DD49" s="14"/>
      <c r="DE49" s="14"/>
      <c r="DF49" s="14"/>
      <c r="DG49" s="14"/>
      <c r="DH49" s="14"/>
      <c r="DI49" s="14"/>
      <c r="DJ49" s="14"/>
      <c r="DK49" s="14"/>
      <c r="DL49" s="14"/>
      <c r="DM49" s="14"/>
      <c r="DN49" s="14"/>
      <c r="DO49" s="14"/>
      <c r="DP49" s="26"/>
      <c r="DQ49" s="27"/>
      <c r="DR49" s="129"/>
      <c r="DS49" s="130">
        <f>TCP(BO49:DQ49,$BO$9:$DQ$9,data!$H$8)</f>
        <v>0</v>
      </c>
      <c r="DT49" s="135"/>
      <c r="DU49" s="121"/>
      <c r="DV49" s="121"/>
      <c r="DW49" s="134"/>
      <c r="DX49" s="132"/>
      <c r="DY49" s="136"/>
      <c r="DZ49" s="21"/>
      <c r="EA49" s="18"/>
      <c r="EB49" s="4"/>
      <c r="EI49" s="23"/>
      <c r="EJ49" s="23"/>
    </row>
    <row r="50" spans="1:140" s="103" customFormat="1" ht="15.75" x14ac:dyDescent="0.25">
      <c r="A50" s="12"/>
      <c r="B50" s="16"/>
      <c r="C50" s="24" t="str">
        <f t="shared" si="0"/>
        <v xml:space="preserve"> </v>
      </c>
      <c r="D50" s="25"/>
      <c r="E50" s="20"/>
      <c r="F50" s="19" t="str">
        <f t="shared" si="1"/>
        <v xml:space="preserve"> </v>
      </c>
      <c r="G50" s="180" t="str">
        <f t="shared" si="3"/>
        <v/>
      </c>
      <c r="H50" s="120"/>
      <c r="I50" s="121"/>
      <c r="J50" s="121"/>
      <c r="K50" s="121"/>
      <c r="L50" s="121"/>
      <c r="M50" s="121"/>
      <c r="N50" s="121"/>
      <c r="O50" s="121"/>
      <c r="P50" s="121"/>
      <c r="Q50" s="121"/>
      <c r="R50" s="121"/>
      <c r="S50" s="121"/>
      <c r="T50" s="121"/>
      <c r="U50" s="121"/>
      <c r="V50" s="121"/>
      <c r="W50" s="121"/>
      <c r="X50" s="121"/>
      <c r="Y50" s="121"/>
      <c r="Z50" s="121"/>
      <c r="AA50" s="121"/>
      <c r="AB50" s="121"/>
      <c r="AC50" s="121"/>
      <c r="AD50" s="121"/>
      <c r="AE50" s="121"/>
      <c r="AF50" s="121"/>
      <c r="AG50" s="121"/>
      <c r="AH50" s="121"/>
      <c r="AI50" s="121"/>
      <c r="AJ50" s="121"/>
      <c r="AK50" s="121"/>
      <c r="AL50" s="121"/>
      <c r="AM50" s="121"/>
      <c r="AN50" s="121"/>
      <c r="AO50" s="121"/>
      <c r="AP50" s="121"/>
      <c r="AQ50" s="121"/>
      <c r="AR50" s="121"/>
      <c r="AS50" s="121"/>
      <c r="AT50" s="121"/>
      <c r="AU50" s="121"/>
      <c r="AV50" s="121"/>
      <c r="AW50" s="121"/>
      <c r="AX50" s="121"/>
      <c r="AY50" s="121"/>
      <c r="AZ50" s="121"/>
      <c r="BA50" s="121"/>
      <c r="BB50" s="121"/>
      <c r="BC50" s="121"/>
      <c r="BD50" s="121"/>
      <c r="BE50" s="121"/>
      <c r="BF50" s="121"/>
      <c r="BG50" s="121"/>
      <c r="BH50" s="121"/>
      <c r="BI50" s="121"/>
      <c r="BJ50" s="122"/>
      <c r="BK50" s="93"/>
      <c r="BL50" s="94"/>
      <c r="BM50" s="95"/>
      <c r="BN50" s="179" t="str">
        <f t="shared" si="2"/>
        <v/>
      </c>
      <c r="BO50" s="177"/>
      <c r="BP50" s="14"/>
      <c r="BQ50" s="14"/>
      <c r="BR50" s="14"/>
      <c r="BS50" s="14"/>
      <c r="BT50" s="14"/>
      <c r="BU50" s="14"/>
      <c r="BV50" s="16"/>
      <c r="BW50" s="14"/>
      <c r="BX50" s="14"/>
      <c r="BY50" s="14"/>
      <c r="BZ50" s="14"/>
      <c r="CA50" s="14"/>
      <c r="CB50" s="14"/>
      <c r="CC50" s="14"/>
      <c r="CD50" s="14"/>
      <c r="CE50" s="14"/>
      <c r="CF50" s="14"/>
      <c r="CG50" s="14"/>
      <c r="CH50" s="14"/>
      <c r="CI50" s="14"/>
      <c r="CJ50" s="14"/>
      <c r="CK50" s="14"/>
      <c r="CL50" s="14"/>
      <c r="CM50" s="14"/>
      <c r="CN50" s="14"/>
      <c r="CO50" s="14"/>
      <c r="CP50" s="14"/>
      <c r="CQ50" s="14"/>
      <c r="CR50" s="14"/>
      <c r="CS50" s="14"/>
      <c r="CT50" s="14"/>
      <c r="CU50" s="14"/>
      <c r="CV50" s="14"/>
      <c r="CW50" s="14"/>
      <c r="CX50" s="14"/>
      <c r="CY50" s="14"/>
      <c r="CZ50" s="14"/>
      <c r="DA50" s="14"/>
      <c r="DB50" s="14"/>
      <c r="DC50" s="14"/>
      <c r="DD50" s="14"/>
      <c r="DE50" s="14"/>
      <c r="DF50" s="14"/>
      <c r="DG50" s="14"/>
      <c r="DH50" s="14"/>
      <c r="DI50" s="14"/>
      <c r="DJ50" s="14"/>
      <c r="DK50" s="14"/>
      <c r="DL50" s="14"/>
      <c r="DM50" s="14"/>
      <c r="DN50" s="14"/>
      <c r="DO50" s="14"/>
      <c r="DP50" s="26"/>
      <c r="DQ50" s="27"/>
      <c r="DR50" s="129"/>
      <c r="DS50" s="130">
        <f>TCP(BO50:DQ50,$BO$9:$DQ$9,data!$H$8)</f>
        <v>0</v>
      </c>
      <c r="DT50" s="135"/>
      <c r="DU50" s="121"/>
      <c r="DV50" s="121"/>
      <c r="DW50" s="134"/>
      <c r="DX50" s="132"/>
      <c r="DY50" s="136"/>
      <c r="DZ50" s="21"/>
      <c r="EA50" s="18"/>
      <c r="EB50" s="4"/>
      <c r="EI50" s="23"/>
      <c r="EJ50" s="23"/>
    </row>
    <row r="51" spans="1:140" s="103" customFormat="1" ht="15.75" x14ac:dyDescent="0.25">
      <c r="A51" s="12"/>
      <c r="B51" s="16"/>
      <c r="C51" s="24" t="str">
        <f t="shared" si="0"/>
        <v xml:space="preserve"> </v>
      </c>
      <c r="D51" s="25"/>
      <c r="E51" s="20"/>
      <c r="F51" s="19" t="str">
        <f t="shared" si="1"/>
        <v xml:space="preserve"> </v>
      </c>
      <c r="G51" s="180" t="str">
        <f t="shared" si="3"/>
        <v/>
      </c>
      <c r="H51" s="120"/>
      <c r="I51" s="121"/>
      <c r="J51" s="121"/>
      <c r="K51" s="121"/>
      <c r="L51" s="121"/>
      <c r="M51" s="121"/>
      <c r="N51" s="121"/>
      <c r="O51" s="121"/>
      <c r="P51" s="121"/>
      <c r="Q51" s="121"/>
      <c r="R51" s="121"/>
      <c r="S51" s="121"/>
      <c r="T51" s="121"/>
      <c r="U51" s="121"/>
      <c r="V51" s="121"/>
      <c r="W51" s="121"/>
      <c r="X51" s="121"/>
      <c r="Y51" s="121"/>
      <c r="Z51" s="121"/>
      <c r="AA51" s="121"/>
      <c r="AB51" s="121"/>
      <c r="AC51" s="121"/>
      <c r="AD51" s="121"/>
      <c r="AE51" s="121"/>
      <c r="AF51" s="121"/>
      <c r="AG51" s="121"/>
      <c r="AH51" s="121"/>
      <c r="AI51" s="121"/>
      <c r="AJ51" s="121"/>
      <c r="AK51" s="121"/>
      <c r="AL51" s="121"/>
      <c r="AM51" s="121"/>
      <c r="AN51" s="121"/>
      <c r="AO51" s="121"/>
      <c r="AP51" s="121"/>
      <c r="AQ51" s="121"/>
      <c r="AR51" s="121"/>
      <c r="AS51" s="121"/>
      <c r="AT51" s="121"/>
      <c r="AU51" s="121"/>
      <c r="AV51" s="121"/>
      <c r="AW51" s="121"/>
      <c r="AX51" s="121"/>
      <c r="AY51" s="121"/>
      <c r="AZ51" s="121"/>
      <c r="BA51" s="121"/>
      <c r="BB51" s="121"/>
      <c r="BC51" s="121"/>
      <c r="BD51" s="121"/>
      <c r="BE51" s="121"/>
      <c r="BF51" s="121"/>
      <c r="BG51" s="121"/>
      <c r="BH51" s="121"/>
      <c r="BI51" s="121"/>
      <c r="BJ51" s="122"/>
      <c r="BK51" s="93"/>
      <c r="BL51" s="94"/>
      <c r="BM51" s="95"/>
      <c r="BN51" s="179" t="str">
        <f t="shared" si="2"/>
        <v/>
      </c>
      <c r="BO51" s="177"/>
      <c r="BP51" s="14"/>
      <c r="BQ51" s="14"/>
      <c r="BR51" s="14"/>
      <c r="BS51" s="14"/>
      <c r="BT51" s="14"/>
      <c r="BU51" s="14"/>
      <c r="BV51" s="16"/>
      <c r="BW51" s="14"/>
      <c r="BX51" s="14"/>
      <c r="BY51" s="14"/>
      <c r="BZ51" s="14"/>
      <c r="CA51" s="14"/>
      <c r="CB51" s="14"/>
      <c r="CC51" s="14"/>
      <c r="CD51" s="14"/>
      <c r="CE51" s="14"/>
      <c r="CF51" s="14"/>
      <c r="CG51" s="14"/>
      <c r="CH51" s="14"/>
      <c r="CI51" s="14"/>
      <c r="CJ51" s="14"/>
      <c r="CK51" s="14"/>
      <c r="CL51" s="14"/>
      <c r="CM51" s="14"/>
      <c r="CN51" s="14"/>
      <c r="CO51" s="14"/>
      <c r="CP51" s="14"/>
      <c r="CQ51" s="14"/>
      <c r="CR51" s="14"/>
      <c r="CS51" s="14"/>
      <c r="CT51" s="14"/>
      <c r="CU51" s="14"/>
      <c r="CV51" s="14"/>
      <c r="CW51" s="14"/>
      <c r="CX51" s="14"/>
      <c r="CY51" s="14"/>
      <c r="CZ51" s="14"/>
      <c r="DA51" s="14"/>
      <c r="DB51" s="14"/>
      <c r="DC51" s="14"/>
      <c r="DD51" s="14"/>
      <c r="DE51" s="14"/>
      <c r="DF51" s="14"/>
      <c r="DG51" s="14"/>
      <c r="DH51" s="14"/>
      <c r="DI51" s="14"/>
      <c r="DJ51" s="14"/>
      <c r="DK51" s="14"/>
      <c r="DL51" s="14"/>
      <c r="DM51" s="14"/>
      <c r="DN51" s="14"/>
      <c r="DO51" s="14"/>
      <c r="DP51" s="26"/>
      <c r="DQ51" s="27"/>
      <c r="DR51" s="129"/>
      <c r="DS51" s="130">
        <f>TCP(BO51:DQ51,$BO$9:$DQ$9,data!$H$8)</f>
        <v>0</v>
      </c>
      <c r="DT51" s="135"/>
      <c r="DU51" s="121"/>
      <c r="DV51" s="121"/>
      <c r="DW51" s="134"/>
      <c r="DX51" s="132"/>
      <c r="DY51" s="136"/>
      <c r="DZ51" s="21"/>
      <c r="EA51" s="18"/>
      <c r="EB51" s="4"/>
      <c r="EI51" s="23"/>
      <c r="EJ51" s="23"/>
    </row>
    <row r="52" spans="1:140" s="103" customFormat="1" ht="15.75" x14ac:dyDescent="0.25">
      <c r="A52" s="12"/>
      <c r="B52" s="16"/>
      <c r="C52" s="24" t="str">
        <f t="shared" si="0"/>
        <v xml:space="preserve"> </v>
      </c>
      <c r="D52" s="25"/>
      <c r="E52" s="20"/>
      <c r="F52" s="19" t="str">
        <f t="shared" si="1"/>
        <v xml:space="preserve"> </v>
      </c>
      <c r="G52" s="180" t="str">
        <f t="shared" si="3"/>
        <v/>
      </c>
      <c r="H52" s="120"/>
      <c r="I52" s="121"/>
      <c r="J52" s="121"/>
      <c r="K52" s="121"/>
      <c r="L52" s="121"/>
      <c r="M52" s="121"/>
      <c r="N52" s="121"/>
      <c r="O52" s="121"/>
      <c r="P52" s="121"/>
      <c r="Q52" s="121"/>
      <c r="R52" s="121"/>
      <c r="S52" s="121"/>
      <c r="T52" s="121"/>
      <c r="U52" s="121"/>
      <c r="V52" s="121"/>
      <c r="W52" s="121"/>
      <c r="X52" s="121"/>
      <c r="Y52" s="121"/>
      <c r="Z52" s="121"/>
      <c r="AA52" s="121"/>
      <c r="AB52" s="121"/>
      <c r="AC52" s="121"/>
      <c r="AD52" s="121"/>
      <c r="AE52" s="121"/>
      <c r="AF52" s="121"/>
      <c r="AG52" s="121"/>
      <c r="AH52" s="121"/>
      <c r="AI52" s="121"/>
      <c r="AJ52" s="121"/>
      <c r="AK52" s="121"/>
      <c r="AL52" s="121"/>
      <c r="AM52" s="121"/>
      <c r="AN52" s="121"/>
      <c r="AO52" s="121"/>
      <c r="AP52" s="121"/>
      <c r="AQ52" s="121"/>
      <c r="AR52" s="121"/>
      <c r="AS52" s="121"/>
      <c r="AT52" s="121"/>
      <c r="AU52" s="121"/>
      <c r="AV52" s="121"/>
      <c r="AW52" s="121"/>
      <c r="AX52" s="121"/>
      <c r="AY52" s="121"/>
      <c r="AZ52" s="121"/>
      <c r="BA52" s="121"/>
      <c r="BB52" s="121"/>
      <c r="BC52" s="121"/>
      <c r="BD52" s="121"/>
      <c r="BE52" s="121"/>
      <c r="BF52" s="121"/>
      <c r="BG52" s="121"/>
      <c r="BH52" s="121"/>
      <c r="BI52" s="121"/>
      <c r="BJ52" s="122"/>
      <c r="BK52" s="93"/>
      <c r="BL52" s="94"/>
      <c r="BM52" s="95"/>
      <c r="BN52" s="179" t="str">
        <f t="shared" si="2"/>
        <v/>
      </c>
      <c r="BO52" s="177"/>
      <c r="BP52" s="14"/>
      <c r="BQ52" s="14"/>
      <c r="BR52" s="14"/>
      <c r="BS52" s="14"/>
      <c r="BT52" s="14"/>
      <c r="BU52" s="14"/>
      <c r="BV52" s="16"/>
      <c r="BW52" s="14"/>
      <c r="BX52" s="14"/>
      <c r="BY52" s="14"/>
      <c r="BZ52" s="14"/>
      <c r="CA52" s="14"/>
      <c r="CB52" s="14"/>
      <c r="CC52" s="14"/>
      <c r="CD52" s="14"/>
      <c r="CE52" s="14"/>
      <c r="CF52" s="14"/>
      <c r="CG52" s="14"/>
      <c r="CH52" s="14"/>
      <c r="CI52" s="14"/>
      <c r="CJ52" s="14"/>
      <c r="CK52" s="14"/>
      <c r="CL52" s="14"/>
      <c r="CM52" s="14"/>
      <c r="CN52" s="14"/>
      <c r="CO52" s="14"/>
      <c r="CP52" s="14"/>
      <c r="CQ52" s="14"/>
      <c r="CR52" s="14"/>
      <c r="CS52" s="14"/>
      <c r="CT52" s="14"/>
      <c r="CU52" s="14"/>
      <c r="CV52" s="14"/>
      <c r="CW52" s="14"/>
      <c r="CX52" s="14"/>
      <c r="CY52" s="14"/>
      <c r="CZ52" s="14"/>
      <c r="DA52" s="14"/>
      <c r="DB52" s="14"/>
      <c r="DC52" s="14"/>
      <c r="DD52" s="14"/>
      <c r="DE52" s="14"/>
      <c r="DF52" s="14"/>
      <c r="DG52" s="14"/>
      <c r="DH52" s="14"/>
      <c r="DI52" s="14"/>
      <c r="DJ52" s="14"/>
      <c r="DK52" s="14"/>
      <c r="DL52" s="14"/>
      <c r="DM52" s="14"/>
      <c r="DN52" s="14"/>
      <c r="DO52" s="14"/>
      <c r="DP52" s="26"/>
      <c r="DQ52" s="27"/>
      <c r="DR52" s="129"/>
      <c r="DS52" s="130">
        <f>TCP(BO52:DQ52,$BO$9:$DQ$9,data!$H$8)</f>
        <v>0</v>
      </c>
      <c r="DT52" s="135"/>
      <c r="DU52" s="121"/>
      <c r="DV52" s="121"/>
      <c r="DW52" s="134"/>
      <c r="DX52" s="132"/>
      <c r="DY52" s="136"/>
      <c r="DZ52" s="21"/>
      <c r="EA52" s="18"/>
      <c r="EB52" s="4"/>
      <c r="EI52" s="23"/>
      <c r="EJ52" s="23"/>
    </row>
    <row r="53" spans="1:140" s="103" customFormat="1" ht="15.75" x14ac:dyDescent="0.25">
      <c r="A53" s="12"/>
      <c r="B53" s="16"/>
      <c r="C53" s="24" t="str">
        <f t="shared" si="0"/>
        <v xml:space="preserve"> </v>
      </c>
      <c r="D53" s="25"/>
      <c r="E53" s="20"/>
      <c r="F53" s="19" t="str">
        <f t="shared" si="1"/>
        <v xml:space="preserve"> </v>
      </c>
      <c r="G53" s="180" t="str">
        <f t="shared" si="3"/>
        <v/>
      </c>
      <c r="H53" s="120"/>
      <c r="I53" s="121"/>
      <c r="J53" s="121"/>
      <c r="K53" s="121"/>
      <c r="L53" s="121"/>
      <c r="M53" s="121"/>
      <c r="N53" s="121"/>
      <c r="O53" s="121"/>
      <c r="P53" s="121"/>
      <c r="Q53" s="121"/>
      <c r="R53" s="121"/>
      <c r="S53" s="121"/>
      <c r="T53" s="121"/>
      <c r="U53" s="121"/>
      <c r="V53" s="121"/>
      <c r="W53" s="121"/>
      <c r="X53" s="121"/>
      <c r="Y53" s="121"/>
      <c r="Z53" s="121"/>
      <c r="AA53" s="121"/>
      <c r="AB53" s="121"/>
      <c r="AC53" s="121"/>
      <c r="AD53" s="121"/>
      <c r="AE53" s="121"/>
      <c r="AF53" s="121"/>
      <c r="AG53" s="121"/>
      <c r="AH53" s="121"/>
      <c r="AI53" s="121"/>
      <c r="AJ53" s="121"/>
      <c r="AK53" s="121"/>
      <c r="AL53" s="121"/>
      <c r="AM53" s="121"/>
      <c r="AN53" s="121"/>
      <c r="AO53" s="121"/>
      <c r="AP53" s="121"/>
      <c r="AQ53" s="121"/>
      <c r="AR53" s="121"/>
      <c r="AS53" s="121"/>
      <c r="AT53" s="121"/>
      <c r="AU53" s="121"/>
      <c r="AV53" s="121"/>
      <c r="AW53" s="121"/>
      <c r="AX53" s="121"/>
      <c r="AY53" s="121"/>
      <c r="AZ53" s="121"/>
      <c r="BA53" s="121"/>
      <c r="BB53" s="121"/>
      <c r="BC53" s="121"/>
      <c r="BD53" s="121"/>
      <c r="BE53" s="121"/>
      <c r="BF53" s="121"/>
      <c r="BG53" s="121"/>
      <c r="BH53" s="121"/>
      <c r="BI53" s="121"/>
      <c r="BJ53" s="122"/>
      <c r="BK53" s="93"/>
      <c r="BL53" s="94"/>
      <c r="BM53" s="95"/>
      <c r="BN53" s="179" t="str">
        <f t="shared" si="2"/>
        <v/>
      </c>
      <c r="BO53" s="177"/>
      <c r="BP53" s="14"/>
      <c r="BQ53" s="14"/>
      <c r="BR53" s="14"/>
      <c r="BS53" s="14"/>
      <c r="BT53" s="14"/>
      <c r="BU53" s="14"/>
      <c r="BV53" s="16"/>
      <c r="BW53" s="14"/>
      <c r="BX53" s="14"/>
      <c r="BY53" s="14"/>
      <c r="BZ53" s="14"/>
      <c r="CA53" s="14"/>
      <c r="CB53" s="14"/>
      <c r="CC53" s="14"/>
      <c r="CD53" s="14"/>
      <c r="CE53" s="14"/>
      <c r="CF53" s="14"/>
      <c r="CG53" s="14"/>
      <c r="CH53" s="14"/>
      <c r="CI53" s="14"/>
      <c r="CJ53" s="14"/>
      <c r="CK53" s="14"/>
      <c r="CL53" s="14"/>
      <c r="CM53" s="14"/>
      <c r="CN53" s="14"/>
      <c r="CO53" s="14"/>
      <c r="CP53" s="14"/>
      <c r="CQ53" s="14"/>
      <c r="CR53" s="14"/>
      <c r="CS53" s="14"/>
      <c r="CT53" s="14"/>
      <c r="CU53" s="14"/>
      <c r="CV53" s="14"/>
      <c r="CW53" s="14"/>
      <c r="CX53" s="14"/>
      <c r="CY53" s="14"/>
      <c r="CZ53" s="14"/>
      <c r="DA53" s="14"/>
      <c r="DB53" s="14"/>
      <c r="DC53" s="14"/>
      <c r="DD53" s="14"/>
      <c r="DE53" s="14"/>
      <c r="DF53" s="14"/>
      <c r="DG53" s="14"/>
      <c r="DH53" s="14"/>
      <c r="DI53" s="14"/>
      <c r="DJ53" s="14"/>
      <c r="DK53" s="14"/>
      <c r="DL53" s="14"/>
      <c r="DM53" s="14"/>
      <c r="DN53" s="14"/>
      <c r="DO53" s="14"/>
      <c r="DP53" s="26"/>
      <c r="DQ53" s="27"/>
      <c r="DR53" s="129"/>
      <c r="DS53" s="130">
        <f>TCP(BO53:DQ53,$BO$9:$DQ$9,data!$H$8)</f>
        <v>0</v>
      </c>
      <c r="DT53" s="135"/>
      <c r="DU53" s="121"/>
      <c r="DV53" s="121"/>
      <c r="DW53" s="134"/>
      <c r="DX53" s="132"/>
      <c r="DY53" s="136"/>
      <c r="DZ53" s="21"/>
      <c r="EA53" s="18"/>
      <c r="EB53" s="4"/>
      <c r="EI53" s="23"/>
      <c r="EJ53" s="23"/>
    </row>
    <row r="54" spans="1:140" s="103" customFormat="1" ht="15.75" x14ac:dyDescent="0.25">
      <c r="A54" s="12"/>
      <c r="B54" s="16"/>
      <c r="C54" s="24" t="str">
        <f t="shared" si="0"/>
        <v xml:space="preserve"> </v>
      </c>
      <c r="D54" s="25"/>
      <c r="E54" s="20"/>
      <c r="F54" s="19" t="str">
        <f t="shared" si="1"/>
        <v xml:space="preserve"> </v>
      </c>
      <c r="G54" s="180" t="str">
        <f t="shared" si="3"/>
        <v/>
      </c>
      <c r="H54" s="120"/>
      <c r="I54" s="121"/>
      <c r="J54" s="121"/>
      <c r="K54" s="121"/>
      <c r="L54" s="121"/>
      <c r="M54" s="121"/>
      <c r="N54" s="121"/>
      <c r="O54" s="121"/>
      <c r="P54" s="121"/>
      <c r="Q54" s="121"/>
      <c r="R54" s="121"/>
      <c r="S54" s="121"/>
      <c r="T54" s="121"/>
      <c r="U54" s="121"/>
      <c r="V54" s="121"/>
      <c r="W54" s="121"/>
      <c r="X54" s="121"/>
      <c r="Y54" s="121"/>
      <c r="Z54" s="121"/>
      <c r="AA54" s="121"/>
      <c r="AB54" s="121"/>
      <c r="AC54" s="121"/>
      <c r="AD54" s="121"/>
      <c r="AE54" s="121"/>
      <c r="AF54" s="121"/>
      <c r="AG54" s="121"/>
      <c r="AH54" s="121"/>
      <c r="AI54" s="121"/>
      <c r="AJ54" s="121"/>
      <c r="AK54" s="121"/>
      <c r="AL54" s="121"/>
      <c r="AM54" s="121"/>
      <c r="AN54" s="121"/>
      <c r="AO54" s="121"/>
      <c r="AP54" s="121"/>
      <c r="AQ54" s="121"/>
      <c r="AR54" s="121"/>
      <c r="AS54" s="121"/>
      <c r="AT54" s="121"/>
      <c r="AU54" s="121"/>
      <c r="AV54" s="121"/>
      <c r="AW54" s="121"/>
      <c r="AX54" s="121"/>
      <c r="AY54" s="121"/>
      <c r="AZ54" s="121"/>
      <c r="BA54" s="121"/>
      <c r="BB54" s="121"/>
      <c r="BC54" s="121"/>
      <c r="BD54" s="121"/>
      <c r="BE54" s="121"/>
      <c r="BF54" s="121"/>
      <c r="BG54" s="121"/>
      <c r="BH54" s="121"/>
      <c r="BI54" s="121"/>
      <c r="BJ54" s="122"/>
      <c r="BK54" s="93"/>
      <c r="BL54" s="94"/>
      <c r="BM54" s="95"/>
      <c r="BN54" s="179" t="str">
        <f t="shared" si="2"/>
        <v/>
      </c>
      <c r="BO54" s="177"/>
      <c r="BP54" s="14"/>
      <c r="BQ54" s="14"/>
      <c r="BR54" s="14"/>
      <c r="BS54" s="14"/>
      <c r="BT54" s="14"/>
      <c r="BU54" s="14"/>
      <c r="BV54" s="16"/>
      <c r="BW54" s="14"/>
      <c r="BX54" s="14"/>
      <c r="BY54" s="14"/>
      <c r="BZ54" s="14"/>
      <c r="CA54" s="14"/>
      <c r="CB54" s="14"/>
      <c r="CC54" s="14"/>
      <c r="CD54" s="14"/>
      <c r="CE54" s="14"/>
      <c r="CF54" s="14"/>
      <c r="CG54" s="14"/>
      <c r="CH54" s="14"/>
      <c r="CI54" s="14"/>
      <c r="CJ54" s="14"/>
      <c r="CK54" s="14"/>
      <c r="CL54" s="14"/>
      <c r="CM54" s="14"/>
      <c r="CN54" s="14"/>
      <c r="CO54" s="14"/>
      <c r="CP54" s="14"/>
      <c r="CQ54" s="14"/>
      <c r="CR54" s="14"/>
      <c r="CS54" s="14"/>
      <c r="CT54" s="14"/>
      <c r="CU54" s="14"/>
      <c r="CV54" s="14"/>
      <c r="CW54" s="14"/>
      <c r="CX54" s="14"/>
      <c r="CY54" s="14"/>
      <c r="CZ54" s="14"/>
      <c r="DA54" s="14"/>
      <c r="DB54" s="14"/>
      <c r="DC54" s="14"/>
      <c r="DD54" s="14"/>
      <c r="DE54" s="14"/>
      <c r="DF54" s="14"/>
      <c r="DG54" s="14"/>
      <c r="DH54" s="14"/>
      <c r="DI54" s="14"/>
      <c r="DJ54" s="14"/>
      <c r="DK54" s="14"/>
      <c r="DL54" s="14"/>
      <c r="DM54" s="14"/>
      <c r="DN54" s="14"/>
      <c r="DO54" s="14"/>
      <c r="DP54" s="26"/>
      <c r="DQ54" s="27"/>
      <c r="DR54" s="129"/>
      <c r="DS54" s="130">
        <f>TCP(BO54:DQ54,$BO$9:$DQ$9,data!$H$8)</f>
        <v>0</v>
      </c>
      <c r="DT54" s="135"/>
      <c r="DU54" s="121"/>
      <c r="DV54" s="121"/>
      <c r="DW54" s="134"/>
      <c r="DX54" s="132"/>
      <c r="DY54" s="136"/>
      <c r="DZ54" s="21"/>
      <c r="EA54" s="18"/>
      <c r="EB54" s="4"/>
      <c r="EI54" s="23"/>
      <c r="EJ54" s="23"/>
    </row>
    <row r="55" spans="1:140" s="103" customFormat="1" ht="15.75" x14ac:dyDescent="0.25">
      <c r="A55" s="12"/>
      <c r="B55" s="16"/>
      <c r="C55" s="24" t="str">
        <f t="shared" si="0"/>
        <v xml:space="preserve"> </v>
      </c>
      <c r="D55" s="25"/>
      <c r="E55" s="20"/>
      <c r="F55" s="19" t="str">
        <f t="shared" si="1"/>
        <v xml:space="preserve"> </v>
      </c>
      <c r="G55" s="180" t="str">
        <f t="shared" si="3"/>
        <v/>
      </c>
      <c r="H55" s="120"/>
      <c r="I55" s="121"/>
      <c r="J55" s="121"/>
      <c r="K55" s="121"/>
      <c r="L55" s="121"/>
      <c r="M55" s="121"/>
      <c r="N55" s="121"/>
      <c r="O55" s="121"/>
      <c r="P55" s="121"/>
      <c r="Q55" s="121"/>
      <c r="R55" s="121"/>
      <c r="S55" s="121"/>
      <c r="T55" s="121"/>
      <c r="U55" s="121"/>
      <c r="V55" s="121"/>
      <c r="W55" s="121"/>
      <c r="X55" s="121"/>
      <c r="Y55" s="121"/>
      <c r="Z55" s="121"/>
      <c r="AA55" s="121"/>
      <c r="AB55" s="121"/>
      <c r="AC55" s="121"/>
      <c r="AD55" s="121"/>
      <c r="AE55" s="121"/>
      <c r="AF55" s="121"/>
      <c r="AG55" s="121"/>
      <c r="AH55" s="121"/>
      <c r="AI55" s="121"/>
      <c r="AJ55" s="121"/>
      <c r="AK55" s="121"/>
      <c r="AL55" s="121"/>
      <c r="AM55" s="121"/>
      <c r="AN55" s="121"/>
      <c r="AO55" s="121"/>
      <c r="AP55" s="121"/>
      <c r="AQ55" s="121"/>
      <c r="AR55" s="121"/>
      <c r="AS55" s="121"/>
      <c r="AT55" s="121"/>
      <c r="AU55" s="121"/>
      <c r="AV55" s="121"/>
      <c r="AW55" s="121"/>
      <c r="AX55" s="121"/>
      <c r="AY55" s="121"/>
      <c r="AZ55" s="121"/>
      <c r="BA55" s="121"/>
      <c r="BB55" s="121"/>
      <c r="BC55" s="121"/>
      <c r="BD55" s="121"/>
      <c r="BE55" s="121"/>
      <c r="BF55" s="121"/>
      <c r="BG55" s="121"/>
      <c r="BH55" s="121"/>
      <c r="BI55" s="121"/>
      <c r="BJ55" s="122"/>
      <c r="BK55" s="93"/>
      <c r="BL55" s="94"/>
      <c r="BM55" s="95"/>
      <c r="BN55" s="179" t="str">
        <f t="shared" si="2"/>
        <v/>
      </c>
      <c r="BO55" s="177"/>
      <c r="BP55" s="14"/>
      <c r="BQ55" s="14"/>
      <c r="BR55" s="14"/>
      <c r="BS55" s="14"/>
      <c r="BT55" s="14"/>
      <c r="BU55" s="14"/>
      <c r="BV55" s="16"/>
      <c r="BW55" s="14"/>
      <c r="BX55" s="14"/>
      <c r="BY55" s="14"/>
      <c r="BZ55" s="14"/>
      <c r="CA55" s="14"/>
      <c r="CB55" s="14"/>
      <c r="CC55" s="14"/>
      <c r="CD55" s="14"/>
      <c r="CE55" s="14"/>
      <c r="CF55" s="14"/>
      <c r="CG55" s="14"/>
      <c r="CH55" s="14"/>
      <c r="CI55" s="14"/>
      <c r="CJ55" s="14"/>
      <c r="CK55" s="14"/>
      <c r="CL55" s="14"/>
      <c r="CM55" s="14"/>
      <c r="CN55" s="14"/>
      <c r="CO55" s="14"/>
      <c r="CP55" s="14"/>
      <c r="CQ55" s="14"/>
      <c r="CR55" s="14"/>
      <c r="CS55" s="14"/>
      <c r="CT55" s="14"/>
      <c r="CU55" s="14"/>
      <c r="CV55" s="14"/>
      <c r="CW55" s="14"/>
      <c r="CX55" s="14"/>
      <c r="CY55" s="14"/>
      <c r="CZ55" s="14"/>
      <c r="DA55" s="14"/>
      <c r="DB55" s="14"/>
      <c r="DC55" s="14"/>
      <c r="DD55" s="14"/>
      <c r="DE55" s="14"/>
      <c r="DF55" s="14"/>
      <c r="DG55" s="14"/>
      <c r="DH55" s="14"/>
      <c r="DI55" s="14"/>
      <c r="DJ55" s="14"/>
      <c r="DK55" s="14"/>
      <c r="DL55" s="14"/>
      <c r="DM55" s="14"/>
      <c r="DN55" s="14"/>
      <c r="DO55" s="14"/>
      <c r="DP55" s="26"/>
      <c r="DQ55" s="27"/>
      <c r="DR55" s="129"/>
      <c r="DS55" s="130">
        <f>TCP(BO55:DQ55,$BO$9:$DQ$9,data!$H$8)</f>
        <v>0</v>
      </c>
      <c r="DT55" s="135"/>
      <c r="DU55" s="121"/>
      <c r="DV55" s="121"/>
      <c r="DW55" s="134"/>
      <c r="DX55" s="132"/>
      <c r="DY55" s="136"/>
      <c r="DZ55" s="21"/>
      <c r="EA55" s="18"/>
      <c r="EB55" s="4"/>
      <c r="EI55" s="23"/>
      <c r="EJ55" s="23"/>
    </row>
    <row r="56" spans="1:140" s="103" customFormat="1" ht="15.75" x14ac:dyDescent="0.25">
      <c r="A56" s="12"/>
      <c r="B56" s="16"/>
      <c r="C56" s="24" t="str">
        <f t="shared" si="0"/>
        <v xml:space="preserve"> </v>
      </c>
      <c r="D56" s="25"/>
      <c r="E56" s="20"/>
      <c r="F56" s="19" t="str">
        <f t="shared" si="1"/>
        <v xml:space="preserve"> </v>
      </c>
      <c r="G56" s="180" t="str">
        <f t="shared" si="3"/>
        <v/>
      </c>
      <c r="H56" s="120"/>
      <c r="I56" s="121"/>
      <c r="J56" s="121"/>
      <c r="K56" s="121"/>
      <c r="L56" s="121"/>
      <c r="M56" s="121"/>
      <c r="N56" s="121"/>
      <c r="O56" s="121"/>
      <c r="P56" s="121"/>
      <c r="Q56" s="121"/>
      <c r="R56" s="121"/>
      <c r="S56" s="121"/>
      <c r="T56" s="121"/>
      <c r="U56" s="121"/>
      <c r="V56" s="121"/>
      <c r="W56" s="121"/>
      <c r="X56" s="121"/>
      <c r="Y56" s="121"/>
      <c r="Z56" s="121"/>
      <c r="AA56" s="121"/>
      <c r="AB56" s="121"/>
      <c r="AC56" s="121"/>
      <c r="AD56" s="121"/>
      <c r="AE56" s="121"/>
      <c r="AF56" s="121"/>
      <c r="AG56" s="121"/>
      <c r="AH56" s="121"/>
      <c r="AI56" s="121"/>
      <c r="AJ56" s="121"/>
      <c r="AK56" s="121"/>
      <c r="AL56" s="121"/>
      <c r="AM56" s="121"/>
      <c r="AN56" s="121"/>
      <c r="AO56" s="121"/>
      <c r="AP56" s="121"/>
      <c r="AQ56" s="121"/>
      <c r="AR56" s="121"/>
      <c r="AS56" s="121"/>
      <c r="AT56" s="121"/>
      <c r="AU56" s="121"/>
      <c r="AV56" s="121"/>
      <c r="AW56" s="121"/>
      <c r="AX56" s="121"/>
      <c r="AY56" s="121"/>
      <c r="AZ56" s="121"/>
      <c r="BA56" s="121"/>
      <c r="BB56" s="121"/>
      <c r="BC56" s="121"/>
      <c r="BD56" s="121"/>
      <c r="BE56" s="121"/>
      <c r="BF56" s="121"/>
      <c r="BG56" s="121"/>
      <c r="BH56" s="121"/>
      <c r="BI56" s="121"/>
      <c r="BJ56" s="122"/>
      <c r="BK56" s="93"/>
      <c r="BL56" s="94"/>
      <c r="BM56" s="95"/>
      <c r="BN56" s="179" t="str">
        <f t="shared" si="2"/>
        <v/>
      </c>
      <c r="BO56" s="177"/>
      <c r="BP56" s="14"/>
      <c r="BQ56" s="14"/>
      <c r="BR56" s="14"/>
      <c r="BS56" s="14"/>
      <c r="BT56" s="14"/>
      <c r="BU56" s="14"/>
      <c r="BV56" s="16"/>
      <c r="BW56" s="14"/>
      <c r="BX56" s="14"/>
      <c r="BY56" s="14"/>
      <c r="BZ56" s="14"/>
      <c r="CA56" s="14"/>
      <c r="CB56" s="14"/>
      <c r="CC56" s="14"/>
      <c r="CD56" s="14"/>
      <c r="CE56" s="14"/>
      <c r="CF56" s="14"/>
      <c r="CG56" s="14"/>
      <c r="CH56" s="14"/>
      <c r="CI56" s="14"/>
      <c r="CJ56" s="14"/>
      <c r="CK56" s="14"/>
      <c r="CL56" s="14"/>
      <c r="CM56" s="14"/>
      <c r="CN56" s="14"/>
      <c r="CO56" s="14"/>
      <c r="CP56" s="14"/>
      <c r="CQ56" s="14"/>
      <c r="CR56" s="14"/>
      <c r="CS56" s="14"/>
      <c r="CT56" s="14"/>
      <c r="CU56" s="14"/>
      <c r="CV56" s="14"/>
      <c r="CW56" s="14"/>
      <c r="CX56" s="14"/>
      <c r="CY56" s="14"/>
      <c r="CZ56" s="14"/>
      <c r="DA56" s="14"/>
      <c r="DB56" s="14"/>
      <c r="DC56" s="14"/>
      <c r="DD56" s="14"/>
      <c r="DE56" s="14"/>
      <c r="DF56" s="14"/>
      <c r="DG56" s="14"/>
      <c r="DH56" s="14"/>
      <c r="DI56" s="14"/>
      <c r="DJ56" s="14"/>
      <c r="DK56" s="14"/>
      <c r="DL56" s="14"/>
      <c r="DM56" s="14"/>
      <c r="DN56" s="14"/>
      <c r="DO56" s="14"/>
      <c r="DP56" s="26"/>
      <c r="DQ56" s="27"/>
      <c r="DR56" s="129"/>
      <c r="DS56" s="130">
        <f>TCP(BO56:DQ56,$BO$9:$DQ$9,data!$H$8)</f>
        <v>0</v>
      </c>
      <c r="DT56" s="135"/>
      <c r="DU56" s="121"/>
      <c r="DV56" s="121"/>
      <c r="DW56" s="134"/>
      <c r="DX56" s="132"/>
      <c r="DY56" s="136"/>
      <c r="DZ56" s="21"/>
      <c r="EA56" s="18"/>
      <c r="EB56" s="4"/>
      <c r="EI56" s="23"/>
      <c r="EJ56" s="23"/>
    </row>
    <row r="57" spans="1:140" s="191" customFormat="1" ht="15.75" x14ac:dyDescent="0.25">
      <c r="A57" s="12"/>
      <c r="B57" s="16"/>
      <c r="C57" s="24" t="str">
        <f t="shared" si="0"/>
        <v xml:space="preserve"> </v>
      </c>
      <c r="D57" s="25"/>
      <c r="E57" s="20"/>
      <c r="F57" s="19"/>
      <c r="G57" s="180"/>
      <c r="H57" s="120"/>
      <c r="I57" s="121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2"/>
      <c r="BK57" s="93"/>
      <c r="BL57" s="94"/>
      <c r="BM57" s="95"/>
      <c r="BN57" s="179" t="str">
        <f t="shared" si="2"/>
        <v/>
      </c>
      <c r="BO57" s="177"/>
      <c r="BP57" s="14"/>
      <c r="BQ57" s="14"/>
      <c r="BR57" s="14"/>
      <c r="BS57" s="14"/>
      <c r="BT57" s="14"/>
      <c r="BU57" s="14"/>
      <c r="BV57" s="16"/>
      <c r="BW57" s="14"/>
      <c r="BX57" s="14"/>
      <c r="BY57" s="14"/>
      <c r="BZ57" s="14"/>
      <c r="CA57" s="14"/>
      <c r="CB57" s="14"/>
      <c r="CC57" s="14"/>
      <c r="CD57" s="14"/>
      <c r="CE57" s="14"/>
      <c r="CF57" s="14"/>
      <c r="CG57" s="14"/>
      <c r="CH57" s="14"/>
      <c r="CI57" s="14"/>
      <c r="CJ57" s="14"/>
      <c r="CK57" s="14"/>
      <c r="CL57" s="14"/>
      <c r="CM57" s="14"/>
      <c r="CN57" s="14"/>
      <c r="CO57" s="14"/>
      <c r="CP57" s="14"/>
      <c r="CQ57" s="14"/>
      <c r="CR57" s="14"/>
      <c r="CS57" s="14"/>
      <c r="CT57" s="14"/>
      <c r="CU57" s="14"/>
      <c r="CV57" s="14"/>
      <c r="CW57" s="14"/>
      <c r="CX57" s="14"/>
      <c r="CY57" s="14"/>
      <c r="CZ57" s="14"/>
      <c r="DA57" s="14"/>
      <c r="DB57" s="14"/>
      <c r="DC57" s="14"/>
      <c r="DD57" s="14"/>
      <c r="DE57" s="14"/>
      <c r="DF57" s="14"/>
      <c r="DG57" s="14"/>
      <c r="DH57" s="14"/>
      <c r="DI57" s="14"/>
      <c r="DJ57" s="14"/>
      <c r="DK57" s="14"/>
      <c r="DL57" s="14"/>
      <c r="DM57" s="14"/>
      <c r="DN57" s="14"/>
      <c r="DO57" s="14"/>
      <c r="DP57" s="26"/>
      <c r="DQ57" s="27"/>
      <c r="DR57" s="129"/>
      <c r="DS57" s="130">
        <f>TCP(BO57:DQ57,$BO$9:$DQ$9,data!$H$8)</f>
        <v>0</v>
      </c>
      <c r="DT57" s="135"/>
      <c r="DU57" s="121"/>
      <c r="DV57" s="121"/>
      <c r="DW57" s="134"/>
      <c r="DX57" s="132"/>
      <c r="DY57" s="136"/>
      <c r="DZ57" s="21"/>
      <c r="EA57" s="18"/>
      <c r="EB57" s="4"/>
      <c r="EI57" s="23"/>
      <c r="EJ57" s="23"/>
    </row>
    <row r="58" spans="1:140" s="191" customFormat="1" ht="15.75" x14ac:dyDescent="0.25">
      <c r="A58" s="12"/>
      <c r="B58" s="16"/>
      <c r="C58" s="24" t="str">
        <f t="shared" si="0"/>
        <v xml:space="preserve"> </v>
      </c>
      <c r="D58" s="25"/>
      <c r="E58" s="20"/>
      <c r="F58" s="19"/>
      <c r="G58" s="180"/>
      <c r="H58" s="120"/>
      <c r="I58" s="121"/>
      <c r="J58" s="121"/>
      <c r="K58" s="121"/>
      <c r="L58" s="121"/>
      <c r="M58" s="121"/>
      <c r="N58" s="121"/>
      <c r="O58" s="121"/>
      <c r="P58" s="121"/>
      <c r="Q58" s="121"/>
      <c r="R58" s="121"/>
      <c r="S58" s="121"/>
      <c r="T58" s="121"/>
      <c r="U58" s="121"/>
      <c r="V58" s="121"/>
      <c r="W58" s="121"/>
      <c r="X58" s="121"/>
      <c r="Y58" s="121"/>
      <c r="Z58" s="121"/>
      <c r="AA58" s="121"/>
      <c r="AB58" s="121"/>
      <c r="AC58" s="121"/>
      <c r="AD58" s="121"/>
      <c r="AE58" s="121"/>
      <c r="AF58" s="121"/>
      <c r="AG58" s="121"/>
      <c r="AH58" s="121"/>
      <c r="AI58" s="121"/>
      <c r="AJ58" s="121"/>
      <c r="AK58" s="121"/>
      <c r="AL58" s="121"/>
      <c r="AM58" s="121"/>
      <c r="AN58" s="121"/>
      <c r="AO58" s="121"/>
      <c r="AP58" s="121"/>
      <c r="AQ58" s="121"/>
      <c r="AR58" s="121"/>
      <c r="AS58" s="121"/>
      <c r="AT58" s="121"/>
      <c r="AU58" s="121"/>
      <c r="AV58" s="121"/>
      <c r="AW58" s="121"/>
      <c r="AX58" s="121"/>
      <c r="AY58" s="121"/>
      <c r="AZ58" s="121"/>
      <c r="BA58" s="121"/>
      <c r="BB58" s="121"/>
      <c r="BC58" s="121"/>
      <c r="BD58" s="121"/>
      <c r="BE58" s="121"/>
      <c r="BF58" s="121"/>
      <c r="BG58" s="121"/>
      <c r="BH58" s="121"/>
      <c r="BI58" s="121"/>
      <c r="BJ58" s="122"/>
      <c r="BK58" s="93"/>
      <c r="BL58" s="94"/>
      <c r="BM58" s="95"/>
      <c r="BN58" s="179" t="str">
        <f t="shared" si="2"/>
        <v/>
      </c>
      <c r="BO58" s="177"/>
      <c r="BP58" s="14"/>
      <c r="BQ58" s="14"/>
      <c r="BR58" s="14"/>
      <c r="BS58" s="14"/>
      <c r="BT58" s="14"/>
      <c r="BU58" s="14"/>
      <c r="BV58" s="16"/>
      <c r="BW58" s="14"/>
      <c r="BX58" s="14"/>
      <c r="BY58" s="14"/>
      <c r="BZ58" s="14"/>
      <c r="CA58" s="14"/>
      <c r="CB58" s="14"/>
      <c r="CC58" s="14"/>
      <c r="CD58" s="14"/>
      <c r="CE58" s="14"/>
      <c r="CF58" s="14"/>
      <c r="CG58" s="14"/>
      <c r="CH58" s="14"/>
      <c r="CI58" s="14"/>
      <c r="CJ58" s="14"/>
      <c r="CK58" s="14"/>
      <c r="CL58" s="14"/>
      <c r="CM58" s="14"/>
      <c r="CN58" s="14"/>
      <c r="CO58" s="14"/>
      <c r="CP58" s="14"/>
      <c r="CQ58" s="14"/>
      <c r="CR58" s="14"/>
      <c r="CS58" s="14"/>
      <c r="CT58" s="14"/>
      <c r="CU58" s="14"/>
      <c r="CV58" s="14"/>
      <c r="CW58" s="14"/>
      <c r="CX58" s="14"/>
      <c r="CY58" s="14"/>
      <c r="CZ58" s="14"/>
      <c r="DA58" s="14"/>
      <c r="DB58" s="14"/>
      <c r="DC58" s="14"/>
      <c r="DD58" s="14"/>
      <c r="DE58" s="14"/>
      <c r="DF58" s="14"/>
      <c r="DG58" s="14"/>
      <c r="DH58" s="14"/>
      <c r="DI58" s="14"/>
      <c r="DJ58" s="14"/>
      <c r="DK58" s="14"/>
      <c r="DL58" s="14"/>
      <c r="DM58" s="14"/>
      <c r="DN58" s="14"/>
      <c r="DO58" s="14"/>
      <c r="DP58" s="26"/>
      <c r="DQ58" s="27"/>
      <c r="DR58" s="129"/>
      <c r="DS58" s="130">
        <f>TCP(BO58:DQ58,$BO$9:$DQ$9,data!$H$8)</f>
        <v>0</v>
      </c>
      <c r="DT58" s="135"/>
      <c r="DU58" s="121"/>
      <c r="DV58" s="121"/>
      <c r="DW58" s="134"/>
      <c r="DX58" s="132"/>
      <c r="DY58" s="136"/>
      <c r="DZ58" s="21"/>
      <c r="EA58" s="18"/>
      <c r="EB58" s="4"/>
      <c r="EI58" s="23"/>
      <c r="EJ58" s="23"/>
    </row>
    <row r="59" spans="1:140" s="191" customFormat="1" ht="15.75" x14ac:dyDescent="0.25">
      <c r="A59" s="12"/>
      <c r="B59" s="16"/>
      <c r="C59" s="24" t="str">
        <f t="shared" si="0"/>
        <v xml:space="preserve"> </v>
      </c>
      <c r="D59" s="25"/>
      <c r="E59" s="20"/>
      <c r="F59" s="19"/>
      <c r="G59" s="180"/>
      <c r="H59" s="120"/>
      <c r="I59" s="121"/>
      <c r="J59" s="121"/>
      <c r="K59" s="121"/>
      <c r="L59" s="121"/>
      <c r="M59" s="121"/>
      <c r="N59" s="121"/>
      <c r="O59" s="121"/>
      <c r="P59" s="121"/>
      <c r="Q59" s="121"/>
      <c r="R59" s="121"/>
      <c r="S59" s="121"/>
      <c r="T59" s="121"/>
      <c r="U59" s="121"/>
      <c r="V59" s="121"/>
      <c r="W59" s="121"/>
      <c r="X59" s="121"/>
      <c r="Y59" s="121"/>
      <c r="Z59" s="121"/>
      <c r="AA59" s="121"/>
      <c r="AB59" s="121"/>
      <c r="AC59" s="121"/>
      <c r="AD59" s="121"/>
      <c r="AE59" s="121"/>
      <c r="AF59" s="121"/>
      <c r="AG59" s="121"/>
      <c r="AH59" s="121"/>
      <c r="AI59" s="121"/>
      <c r="AJ59" s="121"/>
      <c r="AK59" s="121"/>
      <c r="AL59" s="121"/>
      <c r="AM59" s="121"/>
      <c r="AN59" s="121"/>
      <c r="AO59" s="121"/>
      <c r="AP59" s="121"/>
      <c r="AQ59" s="121"/>
      <c r="AR59" s="121"/>
      <c r="AS59" s="121"/>
      <c r="AT59" s="121"/>
      <c r="AU59" s="121"/>
      <c r="AV59" s="121"/>
      <c r="AW59" s="121"/>
      <c r="AX59" s="121"/>
      <c r="AY59" s="121"/>
      <c r="AZ59" s="121"/>
      <c r="BA59" s="121"/>
      <c r="BB59" s="121"/>
      <c r="BC59" s="121"/>
      <c r="BD59" s="121"/>
      <c r="BE59" s="121"/>
      <c r="BF59" s="121"/>
      <c r="BG59" s="121"/>
      <c r="BH59" s="121"/>
      <c r="BI59" s="121"/>
      <c r="BJ59" s="122"/>
      <c r="BK59" s="93"/>
      <c r="BL59" s="94"/>
      <c r="BM59" s="95"/>
      <c r="BN59" s="179" t="str">
        <f t="shared" si="2"/>
        <v/>
      </c>
      <c r="BO59" s="177"/>
      <c r="BP59" s="14"/>
      <c r="BQ59" s="14"/>
      <c r="BR59" s="14"/>
      <c r="BS59" s="14"/>
      <c r="BT59" s="14"/>
      <c r="BU59" s="14"/>
      <c r="BV59" s="16"/>
      <c r="BW59" s="14"/>
      <c r="BX59" s="14"/>
      <c r="BY59" s="14"/>
      <c r="BZ59" s="14"/>
      <c r="CA59" s="14"/>
      <c r="CB59" s="14"/>
      <c r="CC59" s="14"/>
      <c r="CD59" s="14"/>
      <c r="CE59" s="14"/>
      <c r="CF59" s="14"/>
      <c r="CG59" s="14"/>
      <c r="CH59" s="14"/>
      <c r="CI59" s="14"/>
      <c r="CJ59" s="14"/>
      <c r="CK59" s="14"/>
      <c r="CL59" s="14"/>
      <c r="CM59" s="14"/>
      <c r="CN59" s="14"/>
      <c r="CO59" s="14"/>
      <c r="CP59" s="14"/>
      <c r="CQ59" s="14"/>
      <c r="CR59" s="14"/>
      <c r="CS59" s="14"/>
      <c r="CT59" s="14"/>
      <c r="CU59" s="14"/>
      <c r="CV59" s="14"/>
      <c r="CW59" s="14"/>
      <c r="CX59" s="14"/>
      <c r="CY59" s="14"/>
      <c r="CZ59" s="14"/>
      <c r="DA59" s="14"/>
      <c r="DB59" s="14"/>
      <c r="DC59" s="14"/>
      <c r="DD59" s="14"/>
      <c r="DE59" s="14"/>
      <c r="DF59" s="14"/>
      <c r="DG59" s="14"/>
      <c r="DH59" s="14"/>
      <c r="DI59" s="14"/>
      <c r="DJ59" s="14"/>
      <c r="DK59" s="14"/>
      <c r="DL59" s="14"/>
      <c r="DM59" s="14"/>
      <c r="DN59" s="14"/>
      <c r="DO59" s="14"/>
      <c r="DP59" s="26"/>
      <c r="DQ59" s="27"/>
      <c r="DR59" s="129"/>
      <c r="DS59" s="130">
        <f>TCP(BO59:DQ59,$BO$9:$DQ$9,data!$H$8)</f>
        <v>0</v>
      </c>
      <c r="DT59" s="135"/>
      <c r="DU59" s="121"/>
      <c r="DV59" s="121"/>
      <c r="DW59" s="134"/>
      <c r="DX59" s="132"/>
      <c r="DY59" s="136"/>
      <c r="DZ59" s="21"/>
      <c r="EA59" s="18"/>
      <c r="EB59" s="4"/>
      <c r="EI59" s="23"/>
      <c r="EJ59" s="23"/>
    </row>
    <row r="60" spans="1:140" s="191" customFormat="1" ht="15.75" x14ac:dyDescent="0.25">
      <c r="A60" s="12"/>
      <c r="B60" s="16"/>
      <c r="C60" s="24" t="str">
        <f t="shared" si="0"/>
        <v xml:space="preserve"> </v>
      </c>
      <c r="D60" s="25"/>
      <c r="E60" s="20"/>
      <c r="F60" s="19"/>
      <c r="G60" s="180"/>
      <c r="H60" s="120"/>
      <c r="I60" s="121"/>
      <c r="J60" s="121"/>
      <c r="K60" s="121"/>
      <c r="L60" s="121"/>
      <c r="M60" s="121"/>
      <c r="N60" s="121"/>
      <c r="O60" s="121"/>
      <c r="P60" s="121"/>
      <c r="Q60" s="121"/>
      <c r="R60" s="121"/>
      <c r="S60" s="121"/>
      <c r="T60" s="121"/>
      <c r="U60" s="121"/>
      <c r="V60" s="121"/>
      <c r="W60" s="121"/>
      <c r="X60" s="121"/>
      <c r="Y60" s="121"/>
      <c r="Z60" s="121"/>
      <c r="AA60" s="121"/>
      <c r="AB60" s="121"/>
      <c r="AC60" s="121"/>
      <c r="AD60" s="121"/>
      <c r="AE60" s="121"/>
      <c r="AF60" s="121"/>
      <c r="AG60" s="121"/>
      <c r="AH60" s="121"/>
      <c r="AI60" s="121"/>
      <c r="AJ60" s="121"/>
      <c r="AK60" s="121"/>
      <c r="AL60" s="121"/>
      <c r="AM60" s="121"/>
      <c r="AN60" s="121"/>
      <c r="AO60" s="121"/>
      <c r="AP60" s="121"/>
      <c r="AQ60" s="121"/>
      <c r="AR60" s="121"/>
      <c r="AS60" s="121"/>
      <c r="AT60" s="121"/>
      <c r="AU60" s="121"/>
      <c r="AV60" s="121"/>
      <c r="AW60" s="121"/>
      <c r="AX60" s="121"/>
      <c r="AY60" s="121"/>
      <c r="AZ60" s="121"/>
      <c r="BA60" s="121"/>
      <c r="BB60" s="121"/>
      <c r="BC60" s="121"/>
      <c r="BD60" s="121"/>
      <c r="BE60" s="121"/>
      <c r="BF60" s="121"/>
      <c r="BG60" s="121"/>
      <c r="BH60" s="121"/>
      <c r="BI60" s="121"/>
      <c r="BJ60" s="122"/>
      <c r="BK60" s="93"/>
      <c r="BL60" s="94"/>
      <c r="BM60" s="95"/>
      <c r="BN60" s="179" t="str">
        <f t="shared" si="2"/>
        <v/>
      </c>
      <c r="BO60" s="177"/>
      <c r="BP60" s="14"/>
      <c r="BQ60" s="14"/>
      <c r="BR60" s="14"/>
      <c r="BS60" s="14"/>
      <c r="BT60" s="14"/>
      <c r="BU60" s="14"/>
      <c r="BV60" s="16"/>
      <c r="BW60" s="14"/>
      <c r="BX60" s="14"/>
      <c r="BY60" s="14"/>
      <c r="BZ60" s="14"/>
      <c r="CA60" s="14"/>
      <c r="CB60" s="14"/>
      <c r="CC60" s="14"/>
      <c r="CD60" s="14"/>
      <c r="CE60" s="14"/>
      <c r="CF60" s="14"/>
      <c r="CG60" s="14"/>
      <c r="CH60" s="14"/>
      <c r="CI60" s="14"/>
      <c r="CJ60" s="14"/>
      <c r="CK60" s="14"/>
      <c r="CL60" s="14"/>
      <c r="CM60" s="14"/>
      <c r="CN60" s="14"/>
      <c r="CO60" s="14"/>
      <c r="CP60" s="14"/>
      <c r="CQ60" s="14"/>
      <c r="CR60" s="14"/>
      <c r="CS60" s="14"/>
      <c r="CT60" s="14"/>
      <c r="CU60" s="14"/>
      <c r="CV60" s="14"/>
      <c r="CW60" s="14"/>
      <c r="CX60" s="14"/>
      <c r="CY60" s="14"/>
      <c r="CZ60" s="14"/>
      <c r="DA60" s="14"/>
      <c r="DB60" s="14"/>
      <c r="DC60" s="14"/>
      <c r="DD60" s="14"/>
      <c r="DE60" s="14"/>
      <c r="DF60" s="14"/>
      <c r="DG60" s="14"/>
      <c r="DH60" s="14"/>
      <c r="DI60" s="14"/>
      <c r="DJ60" s="14"/>
      <c r="DK60" s="14"/>
      <c r="DL60" s="14"/>
      <c r="DM60" s="14"/>
      <c r="DN60" s="14"/>
      <c r="DO60" s="14"/>
      <c r="DP60" s="26"/>
      <c r="DQ60" s="27"/>
      <c r="DR60" s="129"/>
      <c r="DS60" s="130">
        <f>TCP(BO60:DQ60,$BO$9:$DQ$9,data!$H$8)</f>
        <v>0</v>
      </c>
      <c r="DT60" s="135"/>
      <c r="DU60" s="121"/>
      <c r="DV60" s="121"/>
      <c r="DW60" s="134"/>
      <c r="DX60" s="132"/>
      <c r="DY60" s="136"/>
      <c r="DZ60" s="21"/>
      <c r="EA60" s="18"/>
      <c r="EB60" s="4"/>
      <c r="EI60" s="23"/>
      <c r="EJ60" s="23"/>
    </row>
    <row r="61" spans="1:140" s="191" customFormat="1" ht="15.75" x14ac:dyDescent="0.25">
      <c r="A61" s="12"/>
      <c r="B61" s="16"/>
      <c r="C61" s="24" t="str">
        <f t="shared" si="0"/>
        <v xml:space="preserve"> </v>
      </c>
      <c r="D61" s="25"/>
      <c r="E61" s="20"/>
      <c r="F61" s="19"/>
      <c r="G61" s="180"/>
      <c r="H61" s="120"/>
      <c r="I61" s="121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2"/>
      <c r="BK61" s="93"/>
      <c r="BL61" s="94"/>
      <c r="BM61" s="95"/>
      <c r="BN61" s="179" t="str">
        <f t="shared" si="2"/>
        <v/>
      </c>
      <c r="BO61" s="177"/>
      <c r="BP61" s="14"/>
      <c r="BQ61" s="14"/>
      <c r="BR61" s="14"/>
      <c r="BS61" s="14"/>
      <c r="BT61" s="14"/>
      <c r="BU61" s="14"/>
      <c r="BV61" s="16"/>
      <c r="BW61" s="14"/>
      <c r="BX61" s="14"/>
      <c r="BY61" s="14"/>
      <c r="BZ61" s="14"/>
      <c r="CA61" s="14"/>
      <c r="CB61" s="14"/>
      <c r="CC61" s="14"/>
      <c r="CD61" s="14"/>
      <c r="CE61" s="14"/>
      <c r="CF61" s="14"/>
      <c r="CG61" s="14"/>
      <c r="CH61" s="14"/>
      <c r="CI61" s="14"/>
      <c r="CJ61" s="14"/>
      <c r="CK61" s="14"/>
      <c r="CL61" s="14"/>
      <c r="CM61" s="14"/>
      <c r="CN61" s="14"/>
      <c r="CO61" s="14"/>
      <c r="CP61" s="14"/>
      <c r="CQ61" s="14"/>
      <c r="CR61" s="14"/>
      <c r="CS61" s="14"/>
      <c r="CT61" s="14"/>
      <c r="CU61" s="14"/>
      <c r="CV61" s="14"/>
      <c r="CW61" s="14"/>
      <c r="CX61" s="14"/>
      <c r="CY61" s="14"/>
      <c r="CZ61" s="14"/>
      <c r="DA61" s="14"/>
      <c r="DB61" s="14"/>
      <c r="DC61" s="14"/>
      <c r="DD61" s="14"/>
      <c r="DE61" s="14"/>
      <c r="DF61" s="14"/>
      <c r="DG61" s="14"/>
      <c r="DH61" s="14"/>
      <c r="DI61" s="14"/>
      <c r="DJ61" s="14"/>
      <c r="DK61" s="14"/>
      <c r="DL61" s="14"/>
      <c r="DM61" s="14"/>
      <c r="DN61" s="14"/>
      <c r="DO61" s="14"/>
      <c r="DP61" s="26"/>
      <c r="DQ61" s="27"/>
      <c r="DR61" s="129"/>
      <c r="DS61" s="130">
        <f>TCP(BO61:DQ61,$BO$9:$DQ$9,data!$H$8)</f>
        <v>0</v>
      </c>
      <c r="DT61" s="135"/>
      <c r="DU61" s="121"/>
      <c r="DV61" s="121"/>
      <c r="DW61" s="134"/>
      <c r="DX61" s="132"/>
      <c r="DY61" s="136"/>
      <c r="DZ61" s="21"/>
      <c r="EA61" s="18"/>
      <c r="EB61" s="4"/>
      <c r="EI61" s="23"/>
      <c r="EJ61" s="23"/>
    </row>
    <row r="62" spans="1:140" s="191" customFormat="1" ht="15.75" x14ac:dyDescent="0.25">
      <c r="A62" s="12"/>
      <c r="B62" s="16"/>
      <c r="C62" s="24" t="str">
        <f t="shared" si="0"/>
        <v xml:space="preserve"> </v>
      </c>
      <c r="D62" s="25"/>
      <c r="E62" s="20"/>
      <c r="F62" s="19"/>
      <c r="G62" s="180"/>
      <c r="H62" s="120"/>
      <c r="I62" s="121"/>
      <c r="J62" s="121"/>
      <c r="K62" s="121"/>
      <c r="L62" s="121"/>
      <c r="M62" s="121"/>
      <c r="N62" s="121"/>
      <c r="O62" s="121"/>
      <c r="P62" s="121"/>
      <c r="Q62" s="121"/>
      <c r="R62" s="121"/>
      <c r="S62" s="121"/>
      <c r="T62" s="121"/>
      <c r="U62" s="121"/>
      <c r="V62" s="121"/>
      <c r="W62" s="121"/>
      <c r="X62" s="121"/>
      <c r="Y62" s="121"/>
      <c r="Z62" s="121"/>
      <c r="AA62" s="121"/>
      <c r="AB62" s="121"/>
      <c r="AC62" s="121"/>
      <c r="AD62" s="121"/>
      <c r="AE62" s="121"/>
      <c r="AF62" s="121"/>
      <c r="AG62" s="121"/>
      <c r="AH62" s="121"/>
      <c r="AI62" s="121"/>
      <c r="AJ62" s="121"/>
      <c r="AK62" s="121"/>
      <c r="AL62" s="121"/>
      <c r="AM62" s="121"/>
      <c r="AN62" s="121"/>
      <c r="AO62" s="121"/>
      <c r="AP62" s="121"/>
      <c r="AQ62" s="121"/>
      <c r="AR62" s="121"/>
      <c r="AS62" s="121"/>
      <c r="AT62" s="121"/>
      <c r="AU62" s="121"/>
      <c r="AV62" s="121"/>
      <c r="AW62" s="121"/>
      <c r="AX62" s="121"/>
      <c r="AY62" s="121"/>
      <c r="AZ62" s="121"/>
      <c r="BA62" s="121"/>
      <c r="BB62" s="121"/>
      <c r="BC62" s="121"/>
      <c r="BD62" s="121"/>
      <c r="BE62" s="121"/>
      <c r="BF62" s="121"/>
      <c r="BG62" s="121"/>
      <c r="BH62" s="121"/>
      <c r="BI62" s="121"/>
      <c r="BJ62" s="122"/>
      <c r="BK62" s="93"/>
      <c r="BL62" s="94"/>
      <c r="BM62" s="95"/>
      <c r="BN62" s="179" t="str">
        <f t="shared" si="2"/>
        <v/>
      </c>
      <c r="BO62" s="177"/>
      <c r="BP62" s="14"/>
      <c r="BQ62" s="14"/>
      <c r="BR62" s="14"/>
      <c r="BS62" s="14"/>
      <c r="BT62" s="14"/>
      <c r="BU62" s="14"/>
      <c r="BV62" s="16"/>
      <c r="BW62" s="14"/>
      <c r="BX62" s="14"/>
      <c r="BY62" s="14"/>
      <c r="BZ62" s="14"/>
      <c r="CA62" s="14"/>
      <c r="CB62" s="14"/>
      <c r="CC62" s="14"/>
      <c r="CD62" s="14"/>
      <c r="CE62" s="14"/>
      <c r="CF62" s="14"/>
      <c r="CG62" s="14"/>
      <c r="CH62" s="14"/>
      <c r="CI62" s="14"/>
      <c r="CJ62" s="14"/>
      <c r="CK62" s="14"/>
      <c r="CL62" s="14"/>
      <c r="CM62" s="14"/>
      <c r="CN62" s="14"/>
      <c r="CO62" s="14"/>
      <c r="CP62" s="14"/>
      <c r="CQ62" s="14"/>
      <c r="CR62" s="14"/>
      <c r="CS62" s="14"/>
      <c r="CT62" s="14"/>
      <c r="CU62" s="14"/>
      <c r="CV62" s="14"/>
      <c r="CW62" s="14"/>
      <c r="CX62" s="14"/>
      <c r="CY62" s="14"/>
      <c r="CZ62" s="14"/>
      <c r="DA62" s="14"/>
      <c r="DB62" s="14"/>
      <c r="DC62" s="14"/>
      <c r="DD62" s="14"/>
      <c r="DE62" s="14"/>
      <c r="DF62" s="14"/>
      <c r="DG62" s="14"/>
      <c r="DH62" s="14"/>
      <c r="DI62" s="14"/>
      <c r="DJ62" s="14"/>
      <c r="DK62" s="14"/>
      <c r="DL62" s="14"/>
      <c r="DM62" s="14"/>
      <c r="DN62" s="14"/>
      <c r="DO62" s="14"/>
      <c r="DP62" s="26"/>
      <c r="DQ62" s="27"/>
      <c r="DR62" s="129"/>
      <c r="DS62" s="130">
        <f>TCP(BO62:DQ62,$BO$9:$DQ$9,data!$H$8)</f>
        <v>0</v>
      </c>
      <c r="DT62" s="135"/>
      <c r="DU62" s="121"/>
      <c r="DV62" s="121"/>
      <c r="DW62" s="134"/>
      <c r="DX62" s="132"/>
      <c r="DY62" s="136"/>
      <c r="DZ62" s="21"/>
      <c r="EA62" s="18"/>
      <c r="EB62" s="4"/>
      <c r="EI62" s="23"/>
      <c r="EJ62" s="23"/>
    </row>
    <row r="63" spans="1:140" s="191" customFormat="1" ht="15.75" x14ac:dyDescent="0.25">
      <c r="A63" s="12"/>
      <c r="B63" s="16"/>
      <c r="C63" s="24" t="str">
        <f t="shared" si="0"/>
        <v xml:space="preserve"> </v>
      </c>
      <c r="D63" s="25"/>
      <c r="E63" s="20"/>
      <c r="F63" s="19"/>
      <c r="G63" s="180"/>
      <c r="H63" s="120"/>
      <c r="I63" s="121"/>
      <c r="J63" s="121"/>
      <c r="K63" s="121"/>
      <c r="L63" s="121"/>
      <c r="M63" s="121"/>
      <c r="N63" s="121"/>
      <c r="O63" s="121"/>
      <c r="P63" s="121"/>
      <c r="Q63" s="121"/>
      <c r="R63" s="121"/>
      <c r="S63" s="121"/>
      <c r="T63" s="121"/>
      <c r="U63" s="121"/>
      <c r="V63" s="121"/>
      <c r="W63" s="121"/>
      <c r="X63" s="121"/>
      <c r="Y63" s="121"/>
      <c r="Z63" s="121"/>
      <c r="AA63" s="121"/>
      <c r="AB63" s="121"/>
      <c r="AC63" s="121"/>
      <c r="AD63" s="121"/>
      <c r="AE63" s="121"/>
      <c r="AF63" s="121"/>
      <c r="AG63" s="121"/>
      <c r="AH63" s="121"/>
      <c r="AI63" s="121"/>
      <c r="AJ63" s="121"/>
      <c r="AK63" s="121"/>
      <c r="AL63" s="121"/>
      <c r="AM63" s="121"/>
      <c r="AN63" s="121"/>
      <c r="AO63" s="121"/>
      <c r="AP63" s="121"/>
      <c r="AQ63" s="121"/>
      <c r="AR63" s="121"/>
      <c r="AS63" s="121"/>
      <c r="AT63" s="121"/>
      <c r="AU63" s="121"/>
      <c r="AV63" s="121"/>
      <c r="AW63" s="121"/>
      <c r="AX63" s="121"/>
      <c r="AY63" s="121"/>
      <c r="AZ63" s="121"/>
      <c r="BA63" s="121"/>
      <c r="BB63" s="121"/>
      <c r="BC63" s="121"/>
      <c r="BD63" s="121"/>
      <c r="BE63" s="121"/>
      <c r="BF63" s="121"/>
      <c r="BG63" s="121"/>
      <c r="BH63" s="121"/>
      <c r="BI63" s="121"/>
      <c r="BJ63" s="122"/>
      <c r="BK63" s="93"/>
      <c r="BL63" s="94"/>
      <c r="BM63" s="95"/>
      <c r="BN63" s="179" t="str">
        <f t="shared" si="2"/>
        <v/>
      </c>
      <c r="BO63" s="177"/>
      <c r="BP63" s="14"/>
      <c r="BQ63" s="14"/>
      <c r="BR63" s="14"/>
      <c r="BS63" s="14"/>
      <c r="BT63" s="14"/>
      <c r="BU63" s="14"/>
      <c r="BV63" s="16"/>
      <c r="BW63" s="14"/>
      <c r="BX63" s="14"/>
      <c r="BY63" s="14"/>
      <c r="BZ63" s="14"/>
      <c r="CA63" s="14"/>
      <c r="CB63" s="14"/>
      <c r="CC63" s="14"/>
      <c r="CD63" s="14"/>
      <c r="CE63" s="14"/>
      <c r="CF63" s="14"/>
      <c r="CG63" s="14"/>
      <c r="CH63" s="14"/>
      <c r="CI63" s="14"/>
      <c r="CJ63" s="14"/>
      <c r="CK63" s="14"/>
      <c r="CL63" s="14"/>
      <c r="CM63" s="14"/>
      <c r="CN63" s="14"/>
      <c r="CO63" s="14"/>
      <c r="CP63" s="14"/>
      <c r="CQ63" s="14"/>
      <c r="CR63" s="14"/>
      <c r="CS63" s="14"/>
      <c r="CT63" s="14"/>
      <c r="CU63" s="14"/>
      <c r="CV63" s="14"/>
      <c r="CW63" s="14"/>
      <c r="CX63" s="14"/>
      <c r="CY63" s="14"/>
      <c r="CZ63" s="14"/>
      <c r="DA63" s="14"/>
      <c r="DB63" s="14"/>
      <c r="DC63" s="14"/>
      <c r="DD63" s="14"/>
      <c r="DE63" s="14"/>
      <c r="DF63" s="14"/>
      <c r="DG63" s="14"/>
      <c r="DH63" s="14"/>
      <c r="DI63" s="14"/>
      <c r="DJ63" s="14"/>
      <c r="DK63" s="14"/>
      <c r="DL63" s="14"/>
      <c r="DM63" s="14"/>
      <c r="DN63" s="14"/>
      <c r="DO63" s="14"/>
      <c r="DP63" s="26"/>
      <c r="DQ63" s="27"/>
      <c r="DR63" s="129"/>
      <c r="DS63" s="130">
        <f>TCP(BO63:DQ63,$BO$9:$DQ$9,data!$H$8)</f>
        <v>0</v>
      </c>
      <c r="DT63" s="135"/>
      <c r="DU63" s="121"/>
      <c r="DV63" s="121"/>
      <c r="DW63" s="134"/>
      <c r="DX63" s="132"/>
      <c r="DY63" s="136"/>
      <c r="DZ63" s="21"/>
      <c r="EA63" s="18"/>
      <c r="EB63" s="4"/>
      <c r="EI63" s="23"/>
      <c r="EJ63" s="23"/>
    </row>
    <row r="64" spans="1:140" s="191" customFormat="1" ht="15.75" x14ac:dyDescent="0.25">
      <c r="A64" s="12"/>
      <c r="B64" s="16"/>
      <c r="C64" s="24" t="str">
        <f t="shared" si="0"/>
        <v xml:space="preserve"> </v>
      </c>
      <c r="D64" s="25"/>
      <c r="E64" s="20"/>
      <c r="F64" s="19"/>
      <c r="G64" s="180"/>
      <c r="H64" s="120"/>
      <c r="I64" s="121"/>
      <c r="J64" s="121"/>
      <c r="K64" s="121"/>
      <c r="L64" s="121"/>
      <c r="M64" s="121"/>
      <c r="N64" s="121"/>
      <c r="O64" s="121"/>
      <c r="P64" s="121"/>
      <c r="Q64" s="121"/>
      <c r="R64" s="121"/>
      <c r="S64" s="121"/>
      <c r="T64" s="121"/>
      <c r="U64" s="121"/>
      <c r="V64" s="121"/>
      <c r="W64" s="121"/>
      <c r="X64" s="121"/>
      <c r="Y64" s="121"/>
      <c r="Z64" s="121"/>
      <c r="AA64" s="121"/>
      <c r="AB64" s="121"/>
      <c r="AC64" s="121"/>
      <c r="AD64" s="121"/>
      <c r="AE64" s="121"/>
      <c r="AF64" s="121"/>
      <c r="AG64" s="121"/>
      <c r="AH64" s="121"/>
      <c r="AI64" s="121"/>
      <c r="AJ64" s="121"/>
      <c r="AK64" s="121"/>
      <c r="AL64" s="121"/>
      <c r="AM64" s="121"/>
      <c r="AN64" s="121"/>
      <c r="AO64" s="121"/>
      <c r="AP64" s="121"/>
      <c r="AQ64" s="121"/>
      <c r="AR64" s="121"/>
      <c r="AS64" s="121"/>
      <c r="AT64" s="121"/>
      <c r="AU64" s="121"/>
      <c r="AV64" s="121"/>
      <c r="AW64" s="121"/>
      <c r="AX64" s="121"/>
      <c r="AY64" s="121"/>
      <c r="AZ64" s="121"/>
      <c r="BA64" s="121"/>
      <c r="BB64" s="121"/>
      <c r="BC64" s="121"/>
      <c r="BD64" s="121"/>
      <c r="BE64" s="121"/>
      <c r="BF64" s="121"/>
      <c r="BG64" s="121"/>
      <c r="BH64" s="121"/>
      <c r="BI64" s="121"/>
      <c r="BJ64" s="122"/>
      <c r="BK64" s="93"/>
      <c r="BL64" s="94"/>
      <c r="BM64" s="95"/>
      <c r="BN64" s="179" t="str">
        <f t="shared" si="2"/>
        <v/>
      </c>
      <c r="BO64" s="177"/>
      <c r="BP64" s="14"/>
      <c r="BQ64" s="14"/>
      <c r="BR64" s="14"/>
      <c r="BS64" s="14"/>
      <c r="BT64" s="14"/>
      <c r="BU64" s="14"/>
      <c r="BV64" s="16"/>
      <c r="BW64" s="14"/>
      <c r="BX64" s="14"/>
      <c r="BY64" s="14"/>
      <c r="BZ64" s="14"/>
      <c r="CA64" s="14"/>
      <c r="CB64" s="14"/>
      <c r="CC64" s="14"/>
      <c r="CD64" s="14"/>
      <c r="CE64" s="14"/>
      <c r="CF64" s="14"/>
      <c r="CG64" s="14"/>
      <c r="CH64" s="14"/>
      <c r="CI64" s="14"/>
      <c r="CJ64" s="14"/>
      <c r="CK64" s="14"/>
      <c r="CL64" s="14"/>
      <c r="CM64" s="14"/>
      <c r="CN64" s="14"/>
      <c r="CO64" s="14"/>
      <c r="CP64" s="14"/>
      <c r="CQ64" s="14"/>
      <c r="CR64" s="14"/>
      <c r="CS64" s="14"/>
      <c r="CT64" s="14"/>
      <c r="CU64" s="14"/>
      <c r="CV64" s="14"/>
      <c r="CW64" s="14"/>
      <c r="CX64" s="14"/>
      <c r="CY64" s="14"/>
      <c r="CZ64" s="14"/>
      <c r="DA64" s="14"/>
      <c r="DB64" s="14"/>
      <c r="DC64" s="14"/>
      <c r="DD64" s="14"/>
      <c r="DE64" s="14"/>
      <c r="DF64" s="14"/>
      <c r="DG64" s="14"/>
      <c r="DH64" s="14"/>
      <c r="DI64" s="14"/>
      <c r="DJ64" s="14"/>
      <c r="DK64" s="14"/>
      <c r="DL64" s="14"/>
      <c r="DM64" s="14"/>
      <c r="DN64" s="14"/>
      <c r="DO64" s="14"/>
      <c r="DP64" s="26"/>
      <c r="DQ64" s="27"/>
      <c r="DR64" s="129"/>
      <c r="DS64" s="130">
        <f>TCP(BO64:DQ64,$BO$9:$DQ$9,data!$H$8)</f>
        <v>0</v>
      </c>
      <c r="DT64" s="135"/>
      <c r="DU64" s="121"/>
      <c r="DV64" s="121"/>
      <c r="DW64" s="134"/>
      <c r="DX64" s="132"/>
      <c r="DY64" s="136"/>
      <c r="DZ64" s="21"/>
      <c r="EA64" s="18"/>
      <c r="EB64" s="4"/>
      <c r="EI64" s="23"/>
      <c r="EJ64" s="23"/>
    </row>
    <row r="65" spans="1:140" s="191" customFormat="1" ht="15.75" x14ac:dyDescent="0.25">
      <c r="A65" s="12"/>
      <c r="B65" s="16"/>
      <c r="C65" s="24" t="str">
        <f t="shared" si="0"/>
        <v xml:space="preserve"> </v>
      </c>
      <c r="D65" s="25"/>
      <c r="E65" s="20"/>
      <c r="F65" s="19"/>
      <c r="G65" s="180"/>
      <c r="H65" s="120"/>
      <c r="I65" s="121"/>
      <c r="J65" s="121"/>
      <c r="K65" s="121"/>
      <c r="L65" s="121"/>
      <c r="M65" s="121"/>
      <c r="N65" s="121"/>
      <c r="O65" s="121"/>
      <c r="P65" s="121"/>
      <c r="Q65" s="121"/>
      <c r="R65" s="121"/>
      <c r="S65" s="121"/>
      <c r="T65" s="121"/>
      <c r="U65" s="121"/>
      <c r="V65" s="121"/>
      <c r="W65" s="121"/>
      <c r="X65" s="121"/>
      <c r="Y65" s="121"/>
      <c r="Z65" s="121"/>
      <c r="AA65" s="121"/>
      <c r="AB65" s="121"/>
      <c r="AC65" s="121"/>
      <c r="AD65" s="121"/>
      <c r="AE65" s="121"/>
      <c r="AF65" s="121"/>
      <c r="AG65" s="121"/>
      <c r="AH65" s="121"/>
      <c r="AI65" s="121"/>
      <c r="AJ65" s="121"/>
      <c r="AK65" s="121"/>
      <c r="AL65" s="121"/>
      <c r="AM65" s="121"/>
      <c r="AN65" s="121"/>
      <c r="AO65" s="121"/>
      <c r="AP65" s="121"/>
      <c r="AQ65" s="121"/>
      <c r="AR65" s="121"/>
      <c r="AS65" s="121"/>
      <c r="AT65" s="121"/>
      <c r="AU65" s="121"/>
      <c r="AV65" s="121"/>
      <c r="AW65" s="121"/>
      <c r="AX65" s="121"/>
      <c r="AY65" s="121"/>
      <c r="AZ65" s="121"/>
      <c r="BA65" s="121"/>
      <c r="BB65" s="121"/>
      <c r="BC65" s="121"/>
      <c r="BD65" s="121"/>
      <c r="BE65" s="121"/>
      <c r="BF65" s="121"/>
      <c r="BG65" s="121"/>
      <c r="BH65" s="121"/>
      <c r="BI65" s="121"/>
      <c r="BJ65" s="122"/>
      <c r="BK65" s="93"/>
      <c r="BL65" s="94"/>
      <c r="BM65" s="95"/>
      <c r="BN65" s="179" t="str">
        <f t="shared" si="2"/>
        <v/>
      </c>
      <c r="BO65" s="177"/>
      <c r="BP65" s="14"/>
      <c r="BQ65" s="14"/>
      <c r="BR65" s="14"/>
      <c r="BS65" s="14"/>
      <c r="BT65" s="14"/>
      <c r="BU65" s="14"/>
      <c r="BV65" s="16"/>
      <c r="BW65" s="14"/>
      <c r="BX65" s="14"/>
      <c r="BY65" s="14"/>
      <c r="BZ65" s="14"/>
      <c r="CA65" s="14"/>
      <c r="CB65" s="14"/>
      <c r="CC65" s="14"/>
      <c r="CD65" s="14"/>
      <c r="CE65" s="14"/>
      <c r="CF65" s="14"/>
      <c r="CG65" s="14"/>
      <c r="CH65" s="14"/>
      <c r="CI65" s="14"/>
      <c r="CJ65" s="14"/>
      <c r="CK65" s="14"/>
      <c r="CL65" s="14"/>
      <c r="CM65" s="14"/>
      <c r="CN65" s="14"/>
      <c r="CO65" s="14"/>
      <c r="CP65" s="14"/>
      <c r="CQ65" s="14"/>
      <c r="CR65" s="14"/>
      <c r="CS65" s="14"/>
      <c r="CT65" s="14"/>
      <c r="CU65" s="14"/>
      <c r="CV65" s="14"/>
      <c r="CW65" s="14"/>
      <c r="CX65" s="14"/>
      <c r="CY65" s="14"/>
      <c r="CZ65" s="14"/>
      <c r="DA65" s="14"/>
      <c r="DB65" s="14"/>
      <c r="DC65" s="14"/>
      <c r="DD65" s="14"/>
      <c r="DE65" s="14"/>
      <c r="DF65" s="14"/>
      <c r="DG65" s="14"/>
      <c r="DH65" s="14"/>
      <c r="DI65" s="14"/>
      <c r="DJ65" s="14"/>
      <c r="DK65" s="14"/>
      <c r="DL65" s="14"/>
      <c r="DM65" s="14"/>
      <c r="DN65" s="14"/>
      <c r="DO65" s="14"/>
      <c r="DP65" s="26"/>
      <c r="DQ65" s="27"/>
      <c r="DR65" s="129"/>
      <c r="DS65" s="130">
        <f>TCP(BO65:DQ65,$BO$9:$DQ$9,data!$H$8)</f>
        <v>0</v>
      </c>
      <c r="DT65" s="135"/>
      <c r="DU65" s="121"/>
      <c r="DV65" s="121"/>
      <c r="DW65" s="134"/>
      <c r="DX65" s="132"/>
      <c r="DY65" s="136"/>
      <c r="DZ65" s="21"/>
      <c r="EA65" s="18"/>
      <c r="EB65" s="4"/>
      <c r="EI65" s="23"/>
      <c r="EJ65" s="23"/>
    </row>
    <row r="66" spans="1:140" s="191" customFormat="1" ht="15.75" x14ac:dyDescent="0.25">
      <c r="A66" s="12"/>
      <c r="B66" s="16"/>
      <c r="C66" s="24" t="str">
        <f t="shared" si="0"/>
        <v xml:space="preserve"> </v>
      </c>
      <c r="D66" s="25"/>
      <c r="E66" s="20"/>
      <c r="F66" s="19"/>
      <c r="G66" s="180"/>
      <c r="H66" s="120"/>
      <c r="I66" s="121"/>
      <c r="J66" s="121"/>
      <c r="K66" s="121"/>
      <c r="L66" s="121"/>
      <c r="M66" s="121"/>
      <c r="N66" s="121"/>
      <c r="O66" s="121"/>
      <c r="P66" s="121"/>
      <c r="Q66" s="121"/>
      <c r="R66" s="121"/>
      <c r="S66" s="121"/>
      <c r="T66" s="121"/>
      <c r="U66" s="121"/>
      <c r="V66" s="121"/>
      <c r="W66" s="121"/>
      <c r="X66" s="121"/>
      <c r="Y66" s="121"/>
      <c r="Z66" s="121"/>
      <c r="AA66" s="121"/>
      <c r="AB66" s="121"/>
      <c r="AC66" s="121"/>
      <c r="AD66" s="121"/>
      <c r="AE66" s="121"/>
      <c r="AF66" s="121"/>
      <c r="AG66" s="121"/>
      <c r="AH66" s="121"/>
      <c r="AI66" s="121"/>
      <c r="AJ66" s="121"/>
      <c r="AK66" s="121"/>
      <c r="AL66" s="121"/>
      <c r="AM66" s="121"/>
      <c r="AN66" s="121"/>
      <c r="AO66" s="121"/>
      <c r="AP66" s="121"/>
      <c r="AQ66" s="121"/>
      <c r="AR66" s="121"/>
      <c r="AS66" s="121"/>
      <c r="AT66" s="121"/>
      <c r="AU66" s="121"/>
      <c r="AV66" s="121"/>
      <c r="AW66" s="121"/>
      <c r="AX66" s="121"/>
      <c r="AY66" s="121"/>
      <c r="AZ66" s="121"/>
      <c r="BA66" s="121"/>
      <c r="BB66" s="121"/>
      <c r="BC66" s="121"/>
      <c r="BD66" s="121"/>
      <c r="BE66" s="121"/>
      <c r="BF66" s="121"/>
      <c r="BG66" s="121"/>
      <c r="BH66" s="121"/>
      <c r="BI66" s="121"/>
      <c r="BJ66" s="122"/>
      <c r="BK66" s="93"/>
      <c r="BL66" s="94"/>
      <c r="BM66" s="95"/>
      <c r="BN66" s="179" t="str">
        <f t="shared" si="2"/>
        <v/>
      </c>
      <c r="BO66" s="177"/>
      <c r="BP66" s="14"/>
      <c r="BQ66" s="14"/>
      <c r="BR66" s="14"/>
      <c r="BS66" s="14"/>
      <c r="BT66" s="14"/>
      <c r="BU66" s="14"/>
      <c r="BV66" s="16"/>
      <c r="BW66" s="14"/>
      <c r="BX66" s="14"/>
      <c r="BY66" s="14"/>
      <c r="BZ66" s="14"/>
      <c r="CA66" s="14"/>
      <c r="CB66" s="14"/>
      <c r="CC66" s="14"/>
      <c r="CD66" s="14"/>
      <c r="CE66" s="14"/>
      <c r="CF66" s="14"/>
      <c r="CG66" s="14"/>
      <c r="CH66" s="14"/>
      <c r="CI66" s="14"/>
      <c r="CJ66" s="14"/>
      <c r="CK66" s="14"/>
      <c r="CL66" s="14"/>
      <c r="CM66" s="14"/>
      <c r="CN66" s="14"/>
      <c r="CO66" s="14"/>
      <c r="CP66" s="14"/>
      <c r="CQ66" s="14"/>
      <c r="CR66" s="14"/>
      <c r="CS66" s="14"/>
      <c r="CT66" s="14"/>
      <c r="CU66" s="14"/>
      <c r="CV66" s="14"/>
      <c r="CW66" s="14"/>
      <c r="CX66" s="14"/>
      <c r="CY66" s="14"/>
      <c r="CZ66" s="14"/>
      <c r="DA66" s="14"/>
      <c r="DB66" s="14"/>
      <c r="DC66" s="14"/>
      <c r="DD66" s="14"/>
      <c r="DE66" s="14"/>
      <c r="DF66" s="14"/>
      <c r="DG66" s="14"/>
      <c r="DH66" s="14"/>
      <c r="DI66" s="14"/>
      <c r="DJ66" s="14"/>
      <c r="DK66" s="14"/>
      <c r="DL66" s="14"/>
      <c r="DM66" s="14"/>
      <c r="DN66" s="14"/>
      <c r="DO66" s="14"/>
      <c r="DP66" s="26"/>
      <c r="DQ66" s="27"/>
      <c r="DR66" s="129"/>
      <c r="DS66" s="130">
        <f>TCP(BO66:DQ66,$BO$9:$DQ$9,data!$H$8)</f>
        <v>0</v>
      </c>
      <c r="DT66" s="135"/>
      <c r="DU66" s="121"/>
      <c r="DV66" s="121"/>
      <c r="DW66" s="134"/>
      <c r="DX66" s="132"/>
      <c r="DY66" s="136"/>
      <c r="DZ66" s="21"/>
      <c r="EA66" s="18"/>
      <c r="EB66" s="4"/>
      <c r="EI66" s="23"/>
      <c r="EJ66" s="23"/>
    </row>
    <row r="67" spans="1:140" s="191" customFormat="1" ht="15.75" x14ac:dyDescent="0.25">
      <c r="A67" s="12"/>
      <c r="B67" s="16"/>
      <c r="C67" s="24" t="str">
        <f t="shared" si="0"/>
        <v xml:space="preserve"> </v>
      </c>
      <c r="D67" s="25"/>
      <c r="E67" s="20"/>
      <c r="F67" s="19"/>
      <c r="G67" s="180"/>
      <c r="H67" s="120"/>
      <c r="I67" s="121"/>
      <c r="J67" s="121"/>
      <c r="K67" s="121"/>
      <c r="L67" s="121"/>
      <c r="M67" s="121"/>
      <c r="N67" s="121"/>
      <c r="O67" s="121"/>
      <c r="P67" s="121"/>
      <c r="Q67" s="121"/>
      <c r="R67" s="121"/>
      <c r="S67" s="121"/>
      <c r="T67" s="121"/>
      <c r="U67" s="121"/>
      <c r="V67" s="121"/>
      <c r="W67" s="12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  <c r="AP67" s="121"/>
      <c r="AQ67" s="121"/>
      <c r="AR67" s="121"/>
      <c r="AS67" s="121"/>
      <c r="AT67" s="121"/>
      <c r="AU67" s="121"/>
      <c r="AV67" s="121"/>
      <c r="AW67" s="121"/>
      <c r="AX67" s="121"/>
      <c r="AY67" s="121"/>
      <c r="AZ67" s="121"/>
      <c r="BA67" s="121"/>
      <c r="BB67" s="121"/>
      <c r="BC67" s="121"/>
      <c r="BD67" s="121"/>
      <c r="BE67" s="121"/>
      <c r="BF67" s="121"/>
      <c r="BG67" s="121"/>
      <c r="BH67" s="121"/>
      <c r="BI67" s="121"/>
      <c r="BJ67" s="122"/>
      <c r="BK67" s="93"/>
      <c r="BL67" s="94"/>
      <c r="BM67" s="95"/>
      <c r="BN67" s="179" t="str">
        <f t="shared" si="2"/>
        <v/>
      </c>
      <c r="BO67" s="177"/>
      <c r="BP67" s="14"/>
      <c r="BQ67" s="14"/>
      <c r="BR67" s="14"/>
      <c r="BS67" s="14"/>
      <c r="BT67" s="14"/>
      <c r="BU67" s="14"/>
      <c r="BV67" s="16"/>
      <c r="BW67" s="14"/>
      <c r="BX67" s="14"/>
      <c r="BY67" s="14"/>
      <c r="BZ67" s="14"/>
      <c r="CA67" s="14"/>
      <c r="CB67" s="14"/>
      <c r="CC67" s="14"/>
      <c r="CD67" s="14"/>
      <c r="CE67" s="14"/>
      <c r="CF67" s="14"/>
      <c r="CG67" s="14"/>
      <c r="CH67" s="14"/>
      <c r="CI67" s="14"/>
      <c r="CJ67" s="14"/>
      <c r="CK67" s="14"/>
      <c r="CL67" s="14"/>
      <c r="CM67" s="14"/>
      <c r="CN67" s="14"/>
      <c r="CO67" s="14"/>
      <c r="CP67" s="14"/>
      <c r="CQ67" s="14"/>
      <c r="CR67" s="14"/>
      <c r="CS67" s="14"/>
      <c r="CT67" s="14"/>
      <c r="CU67" s="14"/>
      <c r="CV67" s="14"/>
      <c r="CW67" s="14"/>
      <c r="CX67" s="14"/>
      <c r="CY67" s="14"/>
      <c r="CZ67" s="14"/>
      <c r="DA67" s="14"/>
      <c r="DB67" s="14"/>
      <c r="DC67" s="14"/>
      <c r="DD67" s="14"/>
      <c r="DE67" s="14"/>
      <c r="DF67" s="14"/>
      <c r="DG67" s="14"/>
      <c r="DH67" s="14"/>
      <c r="DI67" s="14"/>
      <c r="DJ67" s="14"/>
      <c r="DK67" s="14"/>
      <c r="DL67" s="14"/>
      <c r="DM67" s="14"/>
      <c r="DN67" s="14"/>
      <c r="DO67" s="14"/>
      <c r="DP67" s="26"/>
      <c r="DQ67" s="27"/>
      <c r="DR67" s="129"/>
      <c r="DS67" s="130">
        <f>TCP(BO67:DQ67,$BO$9:$DQ$9,data!$H$8)</f>
        <v>0</v>
      </c>
      <c r="DT67" s="135"/>
      <c r="DU67" s="121"/>
      <c r="DV67" s="121"/>
      <c r="DW67" s="134"/>
      <c r="DX67" s="132"/>
      <c r="DY67" s="136"/>
      <c r="DZ67" s="21"/>
      <c r="EA67" s="18"/>
      <c r="EB67" s="4"/>
      <c r="EI67" s="23"/>
      <c r="EJ67" s="23"/>
    </row>
    <row r="68" spans="1:140" s="191" customFormat="1" ht="15.75" x14ac:dyDescent="0.25">
      <c r="A68" s="12"/>
      <c r="B68" s="16"/>
      <c r="C68" s="24" t="str">
        <f t="shared" si="0"/>
        <v xml:space="preserve"> </v>
      </c>
      <c r="D68" s="25"/>
      <c r="E68" s="20"/>
      <c r="F68" s="19"/>
      <c r="G68" s="180"/>
      <c r="H68" s="120"/>
      <c r="I68" s="121"/>
      <c r="J68" s="121"/>
      <c r="K68" s="121"/>
      <c r="L68" s="121"/>
      <c r="M68" s="121"/>
      <c r="N68" s="121"/>
      <c r="O68" s="121"/>
      <c r="P68" s="121"/>
      <c r="Q68" s="121"/>
      <c r="R68" s="121"/>
      <c r="S68" s="121"/>
      <c r="T68" s="121"/>
      <c r="U68" s="121"/>
      <c r="V68" s="121"/>
      <c r="W68" s="121"/>
      <c r="X68" s="121"/>
      <c r="Y68" s="121"/>
      <c r="Z68" s="121"/>
      <c r="AA68" s="121"/>
      <c r="AB68" s="121"/>
      <c r="AC68" s="121"/>
      <c r="AD68" s="121"/>
      <c r="AE68" s="121"/>
      <c r="AF68" s="121"/>
      <c r="AG68" s="121"/>
      <c r="AH68" s="121"/>
      <c r="AI68" s="121"/>
      <c r="AJ68" s="121"/>
      <c r="AK68" s="121"/>
      <c r="AL68" s="121"/>
      <c r="AM68" s="121"/>
      <c r="AN68" s="121"/>
      <c r="AO68" s="121"/>
      <c r="AP68" s="121"/>
      <c r="AQ68" s="121"/>
      <c r="AR68" s="121"/>
      <c r="AS68" s="121"/>
      <c r="AT68" s="121"/>
      <c r="AU68" s="121"/>
      <c r="AV68" s="121"/>
      <c r="AW68" s="121"/>
      <c r="AX68" s="121"/>
      <c r="AY68" s="121"/>
      <c r="AZ68" s="121"/>
      <c r="BA68" s="121"/>
      <c r="BB68" s="121"/>
      <c r="BC68" s="121"/>
      <c r="BD68" s="121"/>
      <c r="BE68" s="121"/>
      <c r="BF68" s="121"/>
      <c r="BG68" s="121"/>
      <c r="BH68" s="121"/>
      <c r="BI68" s="121"/>
      <c r="BJ68" s="122"/>
      <c r="BK68" s="93"/>
      <c r="BL68" s="94"/>
      <c r="BM68" s="95"/>
      <c r="BN68" s="179" t="str">
        <f t="shared" si="2"/>
        <v/>
      </c>
      <c r="BO68" s="177"/>
      <c r="BP68" s="14"/>
      <c r="BQ68" s="14"/>
      <c r="BR68" s="14"/>
      <c r="BS68" s="14"/>
      <c r="BT68" s="14"/>
      <c r="BU68" s="14"/>
      <c r="BV68" s="16"/>
      <c r="BW68" s="14"/>
      <c r="BX68" s="14"/>
      <c r="BY68" s="14"/>
      <c r="BZ68" s="14"/>
      <c r="CA68" s="14"/>
      <c r="CB68" s="14"/>
      <c r="CC68" s="14"/>
      <c r="CD68" s="14"/>
      <c r="CE68" s="14"/>
      <c r="CF68" s="14"/>
      <c r="CG68" s="14"/>
      <c r="CH68" s="14"/>
      <c r="CI68" s="14"/>
      <c r="CJ68" s="14"/>
      <c r="CK68" s="14"/>
      <c r="CL68" s="14"/>
      <c r="CM68" s="14"/>
      <c r="CN68" s="14"/>
      <c r="CO68" s="14"/>
      <c r="CP68" s="14"/>
      <c r="CQ68" s="14"/>
      <c r="CR68" s="14"/>
      <c r="CS68" s="14"/>
      <c r="CT68" s="14"/>
      <c r="CU68" s="14"/>
      <c r="CV68" s="14"/>
      <c r="CW68" s="14"/>
      <c r="CX68" s="14"/>
      <c r="CY68" s="14"/>
      <c r="CZ68" s="14"/>
      <c r="DA68" s="14"/>
      <c r="DB68" s="14"/>
      <c r="DC68" s="14"/>
      <c r="DD68" s="14"/>
      <c r="DE68" s="14"/>
      <c r="DF68" s="14"/>
      <c r="DG68" s="14"/>
      <c r="DH68" s="14"/>
      <c r="DI68" s="14"/>
      <c r="DJ68" s="14"/>
      <c r="DK68" s="14"/>
      <c r="DL68" s="14"/>
      <c r="DM68" s="14"/>
      <c r="DN68" s="14"/>
      <c r="DO68" s="14"/>
      <c r="DP68" s="26"/>
      <c r="DQ68" s="27"/>
      <c r="DR68" s="129"/>
      <c r="DS68" s="130">
        <f>TCP(BO68:DQ68,$BO$9:$DQ$9,data!$H$8)</f>
        <v>0</v>
      </c>
      <c r="DT68" s="135"/>
      <c r="DU68" s="121"/>
      <c r="DV68" s="121"/>
      <c r="DW68" s="134"/>
      <c r="DX68" s="132"/>
      <c r="DY68" s="136"/>
      <c r="DZ68" s="21"/>
      <c r="EA68" s="18"/>
      <c r="EB68" s="4"/>
      <c r="EI68" s="23"/>
      <c r="EJ68" s="23"/>
    </row>
    <row r="69" spans="1:140" s="191" customFormat="1" ht="15.75" x14ac:dyDescent="0.25">
      <c r="A69" s="12"/>
      <c r="B69" s="16"/>
      <c r="C69" s="24" t="str">
        <f t="shared" si="0"/>
        <v xml:space="preserve"> </v>
      </c>
      <c r="D69" s="25"/>
      <c r="E69" s="20"/>
      <c r="F69" s="19"/>
      <c r="G69" s="180"/>
      <c r="H69" s="120"/>
      <c r="I69" s="121"/>
      <c r="J69" s="121"/>
      <c r="K69" s="121"/>
      <c r="L69" s="121"/>
      <c r="M69" s="121"/>
      <c r="N69" s="121"/>
      <c r="O69" s="121"/>
      <c r="P69" s="121"/>
      <c r="Q69" s="121"/>
      <c r="R69" s="121"/>
      <c r="S69" s="121"/>
      <c r="T69" s="121"/>
      <c r="U69" s="121"/>
      <c r="V69" s="121"/>
      <c r="W69" s="121"/>
      <c r="X69" s="121"/>
      <c r="Y69" s="121"/>
      <c r="Z69" s="121"/>
      <c r="AA69" s="121"/>
      <c r="AB69" s="121"/>
      <c r="AC69" s="121"/>
      <c r="AD69" s="121"/>
      <c r="AE69" s="121"/>
      <c r="AF69" s="121"/>
      <c r="AG69" s="121"/>
      <c r="AH69" s="121"/>
      <c r="AI69" s="121"/>
      <c r="AJ69" s="121"/>
      <c r="AK69" s="121"/>
      <c r="AL69" s="121"/>
      <c r="AM69" s="121"/>
      <c r="AN69" s="121"/>
      <c r="AO69" s="121"/>
      <c r="AP69" s="121"/>
      <c r="AQ69" s="121"/>
      <c r="AR69" s="121"/>
      <c r="AS69" s="121"/>
      <c r="AT69" s="121"/>
      <c r="AU69" s="121"/>
      <c r="AV69" s="121"/>
      <c r="AW69" s="121"/>
      <c r="AX69" s="121"/>
      <c r="AY69" s="121"/>
      <c r="AZ69" s="121"/>
      <c r="BA69" s="121"/>
      <c r="BB69" s="121"/>
      <c r="BC69" s="121"/>
      <c r="BD69" s="121"/>
      <c r="BE69" s="121"/>
      <c r="BF69" s="121"/>
      <c r="BG69" s="121"/>
      <c r="BH69" s="121"/>
      <c r="BI69" s="121"/>
      <c r="BJ69" s="122"/>
      <c r="BK69" s="93"/>
      <c r="BL69" s="94"/>
      <c r="BM69" s="95"/>
      <c r="BN69" s="179" t="str">
        <f t="shared" si="2"/>
        <v/>
      </c>
      <c r="BO69" s="177"/>
      <c r="BP69" s="14"/>
      <c r="BQ69" s="14"/>
      <c r="BR69" s="14"/>
      <c r="BS69" s="14"/>
      <c r="BT69" s="14"/>
      <c r="BU69" s="14"/>
      <c r="BV69" s="16"/>
      <c r="BW69" s="14"/>
      <c r="BX69" s="14"/>
      <c r="BY69" s="14"/>
      <c r="BZ69" s="14"/>
      <c r="CA69" s="14"/>
      <c r="CB69" s="14"/>
      <c r="CC69" s="14"/>
      <c r="CD69" s="14"/>
      <c r="CE69" s="14"/>
      <c r="CF69" s="14"/>
      <c r="CG69" s="14"/>
      <c r="CH69" s="14"/>
      <c r="CI69" s="14"/>
      <c r="CJ69" s="14"/>
      <c r="CK69" s="14"/>
      <c r="CL69" s="14"/>
      <c r="CM69" s="14"/>
      <c r="CN69" s="14"/>
      <c r="CO69" s="14"/>
      <c r="CP69" s="14"/>
      <c r="CQ69" s="14"/>
      <c r="CR69" s="14"/>
      <c r="CS69" s="14"/>
      <c r="CT69" s="14"/>
      <c r="CU69" s="14"/>
      <c r="CV69" s="14"/>
      <c r="CW69" s="14"/>
      <c r="CX69" s="14"/>
      <c r="CY69" s="14"/>
      <c r="CZ69" s="14"/>
      <c r="DA69" s="14"/>
      <c r="DB69" s="14"/>
      <c r="DC69" s="14"/>
      <c r="DD69" s="14"/>
      <c r="DE69" s="14"/>
      <c r="DF69" s="14"/>
      <c r="DG69" s="14"/>
      <c r="DH69" s="14"/>
      <c r="DI69" s="14"/>
      <c r="DJ69" s="14"/>
      <c r="DK69" s="14"/>
      <c r="DL69" s="14"/>
      <c r="DM69" s="14"/>
      <c r="DN69" s="14"/>
      <c r="DO69" s="14"/>
      <c r="DP69" s="26"/>
      <c r="DQ69" s="27"/>
      <c r="DR69" s="129"/>
      <c r="DS69" s="130">
        <f>TCP(BO69:DQ69,$BO$9:$DQ$9,data!$H$8)</f>
        <v>0</v>
      </c>
      <c r="DT69" s="135"/>
      <c r="DU69" s="121"/>
      <c r="DV69" s="121"/>
      <c r="DW69" s="134"/>
      <c r="DX69" s="132"/>
      <c r="DY69" s="136"/>
      <c r="DZ69" s="21"/>
      <c r="EA69" s="18"/>
      <c r="EB69" s="4"/>
      <c r="EI69" s="23"/>
      <c r="EJ69" s="23"/>
    </row>
    <row r="70" spans="1:140" s="191" customFormat="1" ht="15.75" x14ac:dyDescent="0.25">
      <c r="A70" s="12"/>
      <c r="B70" s="16"/>
      <c r="C70" s="24" t="str">
        <f t="shared" si="0"/>
        <v xml:space="preserve"> </v>
      </c>
      <c r="D70" s="25"/>
      <c r="E70" s="20"/>
      <c r="F70" s="19"/>
      <c r="G70" s="180"/>
      <c r="H70" s="120"/>
      <c r="I70" s="121"/>
      <c r="J70" s="121"/>
      <c r="K70" s="121"/>
      <c r="L70" s="121"/>
      <c r="M70" s="121"/>
      <c r="N70" s="121"/>
      <c r="O70" s="121"/>
      <c r="P70" s="121"/>
      <c r="Q70" s="121"/>
      <c r="R70" s="121"/>
      <c r="S70" s="121"/>
      <c r="T70" s="121"/>
      <c r="U70" s="121"/>
      <c r="V70" s="121"/>
      <c r="W70" s="121"/>
      <c r="X70" s="121"/>
      <c r="Y70" s="121"/>
      <c r="Z70" s="121"/>
      <c r="AA70" s="121"/>
      <c r="AB70" s="121"/>
      <c r="AC70" s="121"/>
      <c r="AD70" s="121"/>
      <c r="AE70" s="121"/>
      <c r="AF70" s="121"/>
      <c r="AG70" s="121"/>
      <c r="AH70" s="121"/>
      <c r="AI70" s="121"/>
      <c r="AJ70" s="121"/>
      <c r="AK70" s="121"/>
      <c r="AL70" s="121"/>
      <c r="AM70" s="121"/>
      <c r="AN70" s="121"/>
      <c r="AO70" s="121"/>
      <c r="AP70" s="121"/>
      <c r="AQ70" s="121"/>
      <c r="AR70" s="121"/>
      <c r="AS70" s="121"/>
      <c r="AT70" s="121"/>
      <c r="AU70" s="121"/>
      <c r="AV70" s="121"/>
      <c r="AW70" s="121"/>
      <c r="AX70" s="121"/>
      <c r="AY70" s="121"/>
      <c r="AZ70" s="121"/>
      <c r="BA70" s="121"/>
      <c r="BB70" s="121"/>
      <c r="BC70" s="121"/>
      <c r="BD70" s="121"/>
      <c r="BE70" s="121"/>
      <c r="BF70" s="121"/>
      <c r="BG70" s="121"/>
      <c r="BH70" s="121"/>
      <c r="BI70" s="121"/>
      <c r="BJ70" s="122"/>
      <c r="BK70" s="93"/>
      <c r="BL70" s="94"/>
      <c r="BM70" s="95"/>
      <c r="BN70" s="179" t="str">
        <f t="shared" si="2"/>
        <v/>
      </c>
      <c r="BO70" s="177"/>
      <c r="BP70" s="14"/>
      <c r="BQ70" s="14"/>
      <c r="BR70" s="14"/>
      <c r="BS70" s="14"/>
      <c r="BT70" s="14"/>
      <c r="BU70" s="14"/>
      <c r="BV70" s="16"/>
      <c r="BW70" s="14"/>
      <c r="BX70" s="14"/>
      <c r="BY70" s="14"/>
      <c r="BZ70" s="14"/>
      <c r="CA70" s="14"/>
      <c r="CB70" s="14"/>
      <c r="CC70" s="14"/>
      <c r="CD70" s="14"/>
      <c r="CE70" s="14"/>
      <c r="CF70" s="14"/>
      <c r="CG70" s="14"/>
      <c r="CH70" s="14"/>
      <c r="CI70" s="14"/>
      <c r="CJ70" s="14"/>
      <c r="CK70" s="14"/>
      <c r="CL70" s="14"/>
      <c r="CM70" s="14"/>
      <c r="CN70" s="14"/>
      <c r="CO70" s="14"/>
      <c r="CP70" s="14"/>
      <c r="CQ70" s="14"/>
      <c r="CR70" s="14"/>
      <c r="CS70" s="14"/>
      <c r="CT70" s="14"/>
      <c r="CU70" s="14"/>
      <c r="CV70" s="14"/>
      <c r="CW70" s="14"/>
      <c r="CX70" s="14"/>
      <c r="CY70" s="14"/>
      <c r="CZ70" s="14"/>
      <c r="DA70" s="14"/>
      <c r="DB70" s="14"/>
      <c r="DC70" s="14"/>
      <c r="DD70" s="14"/>
      <c r="DE70" s="14"/>
      <c r="DF70" s="14"/>
      <c r="DG70" s="14"/>
      <c r="DH70" s="14"/>
      <c r="DI70" s="14"/>
      <c r="DJ70" s="14"/>
      <c r="DK70" s="14"/>
      <c r="DL70" s="14"/>
      <c r="DM70" s="14"/>
      <c r="DN70" s="14"/>
      <c r="DO70" s="14"/>
      <c r="DP70" s="26"/>
      <c r="DQ70" s="27"/>
      <c r="DR70" s="129"/>
      <c r="DS70" s="130">
        <f>TCP(BO70:DQ70,$BO$9:$DQ$9,data!$H$8)</f>
        <v>0</v>
      </c>
      <c r="DT70" s="135"/>
      <c r="DU70" s="121"/>
      <c r="DV70" s="121"/>
      <c r="DW70" s="134"/>
      <c r="DX70" s="132"/>
      <c r="DY70" s="136"/>
      <c r="DZ70" s="21"/>
      <c r="EA70" s="18"/>
      <c r="EB70" s="4"/>
      <c r="EI70" s="23"/>
      <c r="EJ70" s="23"/>
    </row>
    <row r="71" spans="1:140" s="191" customFormat="1" ht="15.75" x14ac:dyDescent="0.25">
      <c r="A71" s="12"/>
      <c r="B71" s="16"/>
      <c r="C71" s="24" t="str">
        <f t="shared" si="0"/>
        <v xml:space="preserve"> </v>
      </c>
      <c r="D71" s="25"/>
      <c r="E71" s="20"/>
      <c r="F71" s="19"/>
      <c r="G71" s="180"/>
      <c r="H71" s="120"/>
      <c r="I71" s="121"/>
      <c r="J71" s="121"/>
      <c r="K71" s="121"/>
      <c r="L71" s="121"/>
      <c r="M71" s="121"/>
      <c r="N71" s="121"/>
      <c r="O71" s="121"/>
      <c r="P71" s="121"/>
      <c r="Q71" s="121"/>
      <c r="R71" s="121"/>
      <c r="S71" s="121"/>
      <c r="T71" s="121"/>
      <c r="U71" s="121"/>
      <c r="V71" s="121"/>
      <c r="W71" s="121"/>
      <c r="X71" s="121"/>
      <c r="Y71" s="121"/>
      <c r="Z71" s="121"/>
      <c r="AA71" s="121"/>
      <c r="AB71" s="121"/>
      <c r="AC71" s="121"/>
      <c r="AD71" s="121"/>
      <c r="AE71" s="121"/>
      <c r="AF71" s="121"/>
      <c r="AG71" s="121"/>
      <c r="AH71" s="121"/>
      <c r="AI71" s="121"/>
      <c r="AJ71" s="121"/>
      <c r="AK71" s="121"/>
      <c r="AL71" s="121"/>
      <c r="AM71" s="121"/>
      <c r="AN71" s="121"/>
      <c r="AO71" s="121"/>
      <c r="AP71" s="121"/>
      <c r="AQ71" s="121"/>
      <c r="AR71" s="121"/>
      <c r="AS71" s="121"/>
      <c r="AT71" s="121"/>
      <c r="AU71" s="121"/>
      <c r="AV71" s="121"/>
      <c r="AW71" s="121"/>
      <c r="AX71" s="121"/>
      <c r="AY71" s="121"/>
      <c r="AZ71" s="121"/>
      <c r="BA71" s="121"/>
      <c r="BB71" s="121"/>
      <c r="BC71" s="121"/>
      <c r="BD71" s="121"/>
      <c r="BE71" s="121"/>
      <c r="BF71" s="121"/>
      <c r="BG71" s="121"/>
      <c r="BH71" s="121"/>
      <c r="BI71" s="121"/>
      <c r="BJ71" s="122"/>
      <c r="BK71" s="93"/>
      <c r="BL71" s="94"/>
      <c r="BM71" s="95"/>
      <c r="BN71" s="179" t="str">
        <f t="shared" si="2"/>
        <v/>
      </c>
      <c r="BO71" s="177"/>
      <c r="BP71" s="14"/>
      <c r="BQ71" s="14"/>
      <c r="BR71" s="14"/>
      <c r="BS71" s="14"/>
      <c r="BT71" s="14"/>
      <c r="BU71" s="14"/>
      <c r="BV71" s="16"/>
      <c r="BW71" s="14"/>
      <c r="BX71" s="14"/>
      <c r="BY71" s="14"/>
      <c r="BZ71" s="14"/>
      <c r="CA71" s="14"/>
      <c r="CB71" s="14"/>
      <c r="CC71" s="14"/>
      <c r="CD71" s="14"/>
      <c r="CE71" s="14"/>
      <c r="CF71" s="14"/>
      <c r="CG71" s="14"/>
      <c r="CH71" s="14"/>
      <c r="CI71" s="14"/>
      <c r="CJ71" s="14"/>
      <c r="CK71" s="14"/>
      <c r="CL71" s="14"/>
      <c r="CM71" s="14"/>
      <c r="CN71" s="14"/>
      <c r="CO71" s="14"/>
      <c r="CP71" s="14"/>
      <c r="CQ71" s="14"/>
      <c r="CR71" s="14"/>
      <c r="CS71" s="14"/>
      <c r="CT71" s="14"/>
      <c r="CU71" s="14"/>
      <c r="CV71" s="14"/>
      <c r="CW71" s="14"/>
      <c r="CX71" s="14"/>
      <c r="CY71" s="14"/>
      <c r="CZ71" s="14"/>
      <c r="DA71" s="14"/>
      <c r="DB71" s="14"/>
      <c r="DC71" s="14"/>
      <c r="DD71" s="14"/>
      <c r="DE71" s="14"/>
      <c r="DF71" s="14"/>
      <c r="DG71" s="14"/>
      <c r="DH71" s="14"/>
      <c r="DI71" s="14"/>
      <c r="DJ71" s="14"/>
      <c r="DK71" s="14"/>
      <c r="DL71" s="14"/>
      <c r="DM71" s="14"/>
      <c r="DN71" s="14"/>
      <c r="DO71" s="14"/>
      <c r="DP71" s="26"/>
      <c r="DQ71" s="27"/>
      <c r="DR71" s="129"/>
      <c r="DS71" s="130">
        <f>TCP(BO71:DQ71,$BO$9:$DQ$9,data!$H$8)</f>
        <v>0</v>
      </c>
      <c r="DT71" s="135"/>
      <c r="DU71" s="121"/>
      <c r="DV71" s="121"/>
      <c r="DW71" s="134"/>
      <c r="DX71" s="132"/>
      <c r="DY71" s="136"/>
      <c r="DZ71" s="21"/>
      <c r="EA71" s="18"/>
      <c r="EB71" s="4"/>
      <c r="EI71" s="23"/>
      <c r="EJ71" s="23"/>
    </row>
    <row r="72" spans="1:140" s="191" customFormat="1" ht="15.75" x14ac:dyDescent="0.25">
      <c r="A72" s="12"/>
      <c r="B72" s="16"/>
      <c r="C72" s="24" t="str">
        <f t="shared" si="0"/>
        <v xml:space="preserve"> </v>
      </c>
      <c r="D72" s="25"/>
      <c r="E72" s="20"/>
      <c r="F72" s="19"/>
      <c r="G72" s="180"/>
      <c r="H72" s="120"/>
      <c r="I72" s="121"/>
      <c r="J72" s="121"/>
      <c r="K72" s="121"/>
      <c r="L72" s="121"/>
      <c r="M72" s="121"/>
      <c r="N72" s="121"/>
      <c r="O72" s="121"/>
      <c r="P72" s="121"/>
      <c r="Q72" s="121"/>
      <c r="R72" s="121"/>
      <c r="S72" s="121"/>
      <c r="T72" s="121"/>
      <c r="U72" s="121"/>
      <c r="V72" s="121"/>
      <c r="W72" s="121"/>
      <c r="X72" s="121"/>
      <c r="Y72" s="121"/>
      <c r="Z72" s="121"/>
      <c r="AA72" s="121"/>
      <c r="AB72" s="121"/>
      <c r="AC72" s="121"/>
      <c r="AD72" s="121"/>
      <c r="AE72" s="121"/>
      <c r="AF72" s="121"/>
      <c r="AG72" s="121"/>
      <c r="AH72" s="121"/>
      <c r="AI72" s="121"/>
      <c r="AJ72" s="121"/>
      <c r="AK72" s="121"/>
      <c r="AL72" s="121"/>
      <c r="AM72" s="121"/>
      <c r="AN72" s="121"/>
      <c r="AO72" s="121"/>
      <c r="AP72" s="121"/>
      <c r="AQ72" s="121"/>
      <c r="AR72" s="121"/>
      <c r="AS72" s="121"/>
      <c r="AT72" s="121"/>
      <c r="AU72" s="121"/>
      <c r="AV72" s="121"/>
      <c r="AW72" s="121"/>
      <c r="AX72" s="121"/>
      <c r="AY72" s="121"/>
      <c r="AZ72" s="121"/>
      <c r="BA72" s="121"/>
      <c r="BB72" s="121"/>
      <c r="BC72" s="121"/>
      <c r="BD72" s="121"/>
      <c r="BE72" s="121"/>
      <c r="BF72" s="121"/>
      <c r="BG72" s="121"/>
      <c r="BH72" s="121"/>
      <c r="BI72" s="121"/>
      <c r="BJ72" s="122"/>
      <c r="BK72" s="93"/>
      <c r="BL72" s="94"/>
      <c r="BM72" s="95"/>
      <c r="BN72" s="179" t="str">
        <f t="shared" si="2"/>
        <v/>
      </c>
      <c r="BO72" s="177"/>
      <c r="BP72" s="14"/>
      <c r="BQ72" s="14"/>
      <c r="BR72" s="14"/>
      <c r="BS72" s="14"/>
      <c r="BT72" s="14"/>
      <c r="BU72" s="14"/>
      <c r="BV72" s="16"/>
      <c r="BW72" s="14"/>
      <c r="BX72" s="14"/>
      <c r="BY72" s="14"/>
      <c r="BZ72" s="14"/>
      <c r="CA72" s="14"/>
      <c r="CB72" s="14"/>
      <c r="CC72" s="14"/>
      <c r="CD72" s="14"/>
      <c r="CE72" s="14"/>
      <c r="CF72" s="14"/>
      <c r="CG72" s="14"/>
      <c r="CH72" s="14"/>
      <c r="CI72" s="14"/>
      <c r="CJ72" s="14"/>
      <c r="CK72" s="14"/>
      <c r="CL72" s="14"/>
      <c r="CM72" s="14"/>
      <c r="CN72" s="14"/>
      <c r="CO72" s="14"/>
      <c r="CP72" s="14"/>
      <c r="CQ72" s="14"/>
      <c r="CR72" s="14"/>
      <c r="CS72" s="14"/>
      <c r="CT72" s="14"/>
      <c r="CU72" s="14"/>
      <c r="CV72" s="14"/>
      <c r="CW72" s="14"/>
      <c r="CX72" s="14"/>
      <c r="CY72" s="14"/>
      <c r="CZ72" s="14"/>
      <c r="DA72" s="14"/>
      <c r="DB72" s="14"/>
      <c r="DC72" s="14"/>
      <c r="DD72" s="14"/>
      <c r="DE72" s="14"/>
      <c r="DF72" s="14"/>
      <c r="DG72" s="14"/>
      <c r="DH72" s="14"/>
      <c r="DI72" s="14"/>
      <c r="DJ72" s="14"/>
      <c r="DK72" s="14"/>
      <c r="DL72" s="14"/>
      <c r="DM72" s="14"/>
      <c r="DN72" s="14"/>
      <c r="DO72" s="14"/>
      <c r="DP72" s="26"/>
      <c r="DQ72" s="27"/>
      <c r="DR72" s="129"/>
      <c r="DS72" s="130">
        <f>TCP(BO72:DQ72,$BO$9:$DQ$9,data!$H$8)</f>
        <v>0</v>
      </c>
      <c r="DT72" s="135"/>
      <c r="DU72" s="121"/>
      <c r="DV72" s="121"/>
      <c r="DW72" s="134"/>
      <c r="DX72" s="132"/>
      <c r="DY72" s="136"/>
      <c r="DZ72" s="21"/>
      <c r="EA72" s="18"/>
      <c r="EB72" s="4"/>
      <c r="EI72" s="23"/>
      <c r="EJ72" s="23"/>
    </row>
    <row r="73" spans="1:140" s="191" customFormat="1" ht="15.75" x14ac:dyDescent="0.25">
      <c r="A73" s="12"/>
      <c r="B73" s="16"/>
      <c r="C73" s="24" t="str">
        <f t="shared" si="0"/>
        <v xml:space="preserve"> </v>
      </c>
      <c r="D73" s="25"/>
      <c r="E73" s="20"/>
      <c r="F73" s="19"/>
      <c r="G73" s="180"/>
      <c r="H73" s="120"/>
      <c r="I73" s="121"/>
      <c r="J73" s="121"/>
      <c r="K73" s="121"/>
      <c r="L73" s="121"/>
      <c r="M73" s="121"/>
      <c r="N73" s="121"/>
      <c r="O73" s="121"/>
      <c r="P73" s="121"/>
      <c r="Q73" s="121"/>
      <c r="R73" s="121"/>
      <c r="S73" s="121"/>
      <c r="T73" s="121"/>
      <c r="U73" s="121"/>
      <c r="V73" s="121"/>
      <c r="W73" s="121"/>
      <c r="X73" s="121"/>
      <c r="Y73" s="121"/>
      <c r="Z73" s="121"/>
      <c r="AA73" s="121"/>
      <c r="AB73" s="121"/>
      <c r="AC73" s="121"/>
      <c r="AD73" s="121"/>
      <c r="AE73" s="121"/>
      <c r="AF73" s="121"/>
      <c r="AG73" s="121"/>
      <c r="AH73" s="121"/>
      <c r="AI73" s="121"/>
      <c r="AJ73" s="121"/>
      <c r="AK73" s="121"/>
      <c r="AL73" s="121"/>
      <c r="AM73" s="121"/>
      <c r="AN73" s="121"/>
      <c r="AO73" s="121"/>
      <c r="AP73" s="121"/>
      <c r="AQ73" s="121"/>
      <c r="AR73" s="121"/>
      <c r="AS73" s="121"/>
      <c r="AT73" s="121"/>
      <c r="AU73" s="121"/>
      <c r="AV73" s="121"/>
      <c r="AW73" s="121"/>
      <c r="AX73" s="121"/>
      <c r="AY73" s="121"/>
      <c r="AZ73" s="121"/>
      <c r="BA73" s="121"/>
      <c r="BB73" s="121"/>
      <c r="BC73" s="121"/>
      <c r="BD73" s="121"/>
      <c r="BE73" s="121"/>
      <c r="BF73" s="121"/>
      <c r="BG73" s="121"/>
      <c r="BH73" s="121"/>
      <c r="BI73" s="121"/>
      <c r="BJ73" s="122"/>
      <c r="BK73" s="93"/>
      <c r="BL73" s="94"/>
      <c r="BM73" s="95"/>
      <c r="BN73" s="179" t="str">
        <f t="shared" si="2"/>
        <v/>
      </c>
      <c r="BO73" s="177"/>
      <c r="BP73" s="14"/>
      <c r="BQ73" s="14"/>
      <c r="BR73" s="14"/>
      <c r="BS73" s="14"/>
      <c r="BT73" s="14"/>
      <c r="BU73" s="14"/>
      <c r="BV73" s="16"/>
      <c r="BW73" s="14"/>
      <c r="BX73" s="14"/>
      <c r="BY73" s="14"/>
      <c r="BZ73" s="14"/>
      <c r="CA73" s="14"/>
      <c r="CB73" s="14"/>
      <c r="CC73" s="14"/>
      <c r="CD73" s="14"/>
      <c r="CE73" s="14"/>
      <c r="CF73" s="14"/>
      <c r="CG73" s="14"/>
      <c r="CH73" s="14"/>
      <c r="CI73" s="14"/>
      <c r="CJ73" s="14"/>
      <c r="CK73" s="14"/>
      <c r="CL73" s="14"/>
      <c r="CM73" s="14"/>
      <c r="CN73" s="14"/>
      <c r="CO73" s="14"/>
      <c r="CP73" s="14"/>
      <c r="CQ73" s="14"/>
      <c r="CR73" s="14"/>
      <c r="CS73" s="14"/>
      <c r="CT73" s="14"/>
      <c r="CU73" s="14"/>
      <c r="CV73" s="14"/>
      <c r="CW73" s="14"/>
      <c r="CX73" s="14"/>
      <c r="CY73" s="14"/>
      <c r="CZ73" s="14"/>
      <c r="DA73" s="14"/>
      <c r="DB73" s="14"/>
      <c r="DC73" s="14"/>
      <c r="DD73" s="14"/>
      <c r="DE73" s="14"/>
      <c r="DF73" s="14"/>
      <c r="DG73" s="14"/>
      <c r="DH73" s="14"/>
      <c r="DI73" s="14"/>
      <c r="DJ73" s="14"/>
      <c r="DK73" s="14"/>
      <c r="DL73" s="14"/>
      <c r="DM73" s="14"/>
      <c r="DN73" s="14"/>
      <c r="DO73" s="14"/>
      <c r="DP73" s="26"/>
      <c r="DQ73" s="27"/>
      <c r="DR73" s="129"/>
      <c r="DS73" s="130">
        <f>TCP(BO73:DQ73,$BO$9:$DQ$9,data!$H$8)</f>
        <v>0</v>
      </c>
      <c r="DT73" s="135"/>
      <c r="DU73" s="121"/>
      <c r="DV73" s="121"/>
      <c r="DW73" s="134"/>
      <c r="DX73" s="132"/>
      <c r="DY73" s="136"/>
      <c r="DZ73" s="21"/>
      <c r="EA73" s="18"/>
      <c r="EB73" s="4"/>
      <c r="EI73" s="23"/>
      <c r="EJ73" s="23"/>
    </row>
    <row r="74" spans="1:140" s="191" customFormat="1" ht="15.75" x14ac:dyDescent="0.25">
      <c r="A74" s="12"/>
      <c r="B74" s="16"/>
      <c r="C74" s="24" t="str">
        <f t="shared" si="0"/>
        <v xml:space="preserve"> </v>
      </c>
      <c r="D74" s="25"/>
      <c r="E74" s="20"/>
      <c r="F74" s="19"/>
      <c r="G74" s="180"/>
      <c r="H74" s="120"/>
      <c r="I74" s="121"/>
      <c r="J74" s="121"/>
      <c r="K74" s="121"/>
      <c r="L74" s="121"/>
      <c r="M74" s="121"/>
      <c r="N74" s="121"/>
      <c r="O74" s="121"/>
      <c r="P74" s="121"/>
      <c r="Q74" s="121"/>
      <c r="R74" s="121"/>
      <c r="S74" s="121"/>
      <c r="T74" s="121"/>
      <c r="U74" s="121"/>
      <c r="V74" s="121"/>
      <c r="W74" s="121"/>
      <c r="X74" s="121"/>
      <c r="Y74" s="121"/>
      <c r="Z74" s="121"/>
      <c r="AA74" s="121"/>
      <c r="AB74" s="121"/>
      <c r="AC74" s="121"/>
      <c r="AD74" s="121"/>
      <c r="AE74" s="121"/>
      <c r="AF74" s="121"/>
      <c r="AG74" s="121"/>
      <c r="AH74" s="121"/>
      <c r="AI74" s="121"/>
      <c r="AJ74" s="121"/>
      <c r="AK74" s="121"/>
      <c r="AL74" s="121"/>
      <c r="AM74" s="121"/>
      <c r="AN74" s="121"/>
      <c r="AO74" s="121"/>
      <c r="AP74" s="121"/>
      <c r="AQ74" s="121"/>
      <c r="AR74" s="121"/>
      <c r="AS74" s="121"/>
      <c r="AT74" s="121"/>
      <c r="AU74" s="121"/>
      <c r="AV74" s="121"/>
      <c r="AW74" s="121"/>
      <c r="AX74" s="121"/>
      <c r="AY74" s="121"/>
      <c r="AZ74" s="121"/>
      <c r="BA74" s="121"/>
      <c r="BB74" s="121"/>
      <c r="BC74" s="121"/>
      <c r="BD74" s="121"/>
      <c r="BE74" s="121"/>
      <c r="BF74" s="121"/>
      <c r="BG74" s="121"/>
      <c r="BH74" s="121"/>
      <c r="BI74" s="121"/>
      <c r="BJ74" s="122"/>
      <c r="BK74" s="93"/>
      <c r="BL74" s="94"/>
      <c r="BM74" s="95"/>
      <c r="BN74" s="179" t="str">
        <f t="shared" si="2"/>
        <v/>
      </c>
      <c r="BO74" s="177"/>
      <c r="BP74" s="14"/>
      <c r="BQ74" s="14"/>
      <c r="BR74" s="14"/>
      <c r="BS74" s="14"/>
      <c r="BT74" s="14"/>
      <c r="BU74" s="14"/>
      <c r="BV74" s="16"/>
      <c r="BW74" s="14"/>
      <c r="BX74" s="14"/>
      <c r="BY74" s="14"/>
      <c r="BZ74" s="14"/>
      <c r="CA74" s="14"/>
      <c r="CB74" s="14"/>
      <c r="CC74" s="14"/>
      <c r="CD74" s="14"/>
      <c r="CE74" s="14"/>
      <c r="CF74" s="14"/>
      <c r="CG74" s="14"/>
      <c r="CH74" s="14"/>
      <c r="CI74" s="14"/>
      <c r="CJ74" s="14"/>
      <c r="CK74" s="14"/>
      <c r="CL74" s="14"/>
      <c r="CM74" s="14"/>
      <c r="CN74" s="14"/>
      <c r="CO74" s="14"/>
      <c r="CP74" s="14"/>
      <c r="CQ74" s="14"/>
      <c r="CR74" s="14"/>
      <c r="CS74" s="14"/>
      <c r="CT74" s="14"/>
      <c r="CU74" s="14"/>
      <c r="CV74" s="14"/>
      <c r="CW74" s="14"/>
      <c r="CX74" s="14"/>
      <c r="CY74" s="14"/>
      <c r="CZ74" s="14"/>
      <c r="DA74" s="14"/>
      <c r="DB74" s="14"/>
      <c r="DC74" s="14"/>
      <c r="DD74" s="14"/>
      <c r="DE74" s="14"/>
      <c r="DF74" s="14"/>
      <c r="DG74" s="14"/>
      <c r="DH74" s="14"/>
      <c r="DI74" s="14"/>
      <c r="DJ74" s="14"/>
      <c r="DK74" s="14"/>
      <c r="DL74" s="14"/>
      <c r="DM74" s="14"/>
      <c r="DN74" s="14"/>
      <c r="DO74" s="14"/>
      <c r="DP74" s="26"/>
      <c r="DQ74" s="27"/>
      <c r="DR74" s="129"/>
      <c r="DS74" s="130">
        <f>TCP(BO74:DQ74,$BO$9:$DQ$9,data!$H$8)</f>
        <v>0</v>
      </c>
      <c r="DT74" s="135"/>
      <c r="DU74" s="121"/>
      <c r="DV74" s="121"/>
      <c r="DW74" s="134"/>
      <c r="DX74" s="132"/>
      <c r="DY74" s="136"/>
      <c r="DZ74" s="21"/>
      <c r="EA74" s="18"/>
      <c r="EB74" s="4"/>
      <c r="EI74" s="23"/>
      <c r="EJ74" s="23"/>
    </row>
    <row r="75" spans="1:140" s="191" customFormat="1" ht="15.75" x14ac:dyDescent="0.25">
      <c r="A75" s="12"/>
      <c r="B75" s="16"/>
      <c r="C75" s="24" t="str">
        <f t="shared" si="0"/>
        <v xml:space="preserve"> </v>
      </c>
      <c r="D75" s="25"/>
      <c r="E75" s="20"/>
      <c r="F75" s="19"/>
      <c r="G75" s="180"/>
      <c r="H75" s="120"/>
      <c r="I75" s="121"/>
      <c r="J75" s="121"/>
      <c r="K75" s="121"/>
      <c r="L75" s="121"/>
      <c r="M75" s="121"/>
      <c r="N75" s="121"/>
      <c r="O75" s="121"/>
      <c r="P75" s="121"/>
      <c r="Q75" s="121"/>
      <c r="R75" s="121"/>
      <c r="S75" s="121"/>
      <c r="T75" s="121"/>
      <c r="U75" s="121"/>
      <c r="V75" s="121"/>
      <c r="W75" s="121"/>
      <c r="X75" s="121"/>
      <c r="Y75" s="121"/>
      <c r="Z75" s="121"/>
      <c r="AA75" s="121"/>
      <c r="AB75" s="121"/>
      <c r="AC75" s="121"/>
      <c r="AD75" s="121"/>
      <c r="AE75" s="121"/>
      <c r="AF75" s="121"/>
      <c r="AG75" s="121"/>
      <c r="AH75" s="121"/>
      <c r="AI75" s="121"/>
      <c r="AJ75" s="121"/>
      <c r="AK75" s="121"/>
      <c r="AL75" s="121"/>
      <c r="AM75" s="121"/>
      <c r="AN75" s="121"/>
      <c r="AO75" s="121"/>
      <c r="AP75" s="121"/>
      <c r="AQ75" s="121"/>
      <c r="AR75" s="121"/>
      <c r="AS75" s="121"/>
      <c r="AT75" s="121"/>
      <c r="AU75" s="121"/>
      <c r="AV75" s="121"/>
      <c r="AW75" s="121"/>
      <c r="AX75" s="121"/>
      <c r="AY75" s="121"/>
      <c r="AZ75" s="121"/>
      <c r="BA75" s="121"/>
      <c r="BB75" s="121"/>
      <c r="BC75" s="121"/>
      <c r="BD75" s="121"/>
      <c r="BE75" s="121"/>
      <c r="BF75" s="121"/>
      <c r="BG75" s="121"/>
      <c r="BH75" s="121"/>
      <c r="BI75" s="121"/>
      <c r="BJ75" s="122"/>
      <c r="BK75" s="93"/>
      <c r="BL75" s="94"/>
      <c r="BM75" s="95"/>
      <c r="BN75" s="179" t="str">
        <f t="shared" si="2"/>
        <v/>
      </c>
      <c r="BO75" s="177"/>
      <c r="BP75" s="14"/>
      <c r="BQ75" s="14"/>
      <c r="BR75" s="14"/>
      <c r="BS75" s="14"/>
      <c r="BT75" s="14"/>
      <c r="BU75" s="14"/>
      <c r="BV75" s="16"/>
      <c r="BW75" s="14"/>
      <c r="BX75" s="14"/>
      <c r="BY75" s="14"/>
      <c r="BZ75" s="14"/>
      <c r="CA75" s="14"/>
      <c r="CB75" s="14"/>
      <c r="CC75" s="14"/>
      <c r="CD75" s="14"/>
      <c r="CE75" s="14"/>
      <c r="CF75" s="14"/>
      <c r="CG75" s="14"/>
      <c r="CH75" s="14"/>
      <c r="CI75" s="14"/>
      <c r="CJ75" s="14"/>
      <c r="CK75" s="14"/>
      <c r="CL75" s="14"/>
      <c r="CM75" s="14"/>
      <c r="CN75" s="14"/>
      <c r="CO75" s="14"/>
      <c r="CP75" s="14"/>
      <c r="CQ75" s="14"/>
      <c r="CR75" s="14"/>
      <c r="CS75" s="14"/>
      <c r="CT75" s="14"/>
      <c r="CU75" s="14"/>
      <c r="CV75" s="14"/>
      <c r="CW75" s="14"/>
      <c r="CX75" s="14"/>
      <c r="CY75" s="14"/>
      <c r="CZ75" s="14"/>
      <c r="DA75" s="14"/>
      <c r="DB75" s="14"/>
      <c r="DC75" s="14"/>
      <c r="DD75" s="14"/>
      <c r="DE75" s="14"/>
      <c r="DF75" s="14"/>
      <c r="DG75" s="14"/>
      <c r="DH75" s="14"/>
      <c r="DI75" s="14"/>
      <c r="DJ75" s="14"/>
      <c r="DK75" s="14"/>
      <c r="DL75" s="14"/>
      <c r="DM75" s="14"/>
      <c r="DN75" s="14"/>
      <c r="DO75" s="14"/>
      <c r="DP75" s="26"/>
      <c r="DQ75" s="27"/>
      <c r="DR75" s="129"/>
      <c r="DS75" s="130">
        <f>TCP(BO75:DQ75,$BO$9:$DQ$9,data!$H$8)</f>
        <v>0</v>
      </c>
      <c r="DT75" s="135"/>
      <c r="DU75" s="121"/>
      <c r="DV75" s="121"/>
      <c r="DW75" s="134"/>
      <c r="DX75" s="132"/>
      <c r="DY75" s="136"/>
      <c r="DZ75" s="21"/>
      <c r="EA75" s="18"/>
      <c r="EB75" s="4"/>
      <c r="EI75" s="23"/>
      <c r="EJ75" s="23"/>
    </row>
    <row r="76" spans="1:140" s="191" customFormat="1" ht="15.75" x14ac:dyDescent="0.25">
      <c r="A76" s="12"/>
      <c r="B76" s="16"/>
      <c r="C76" s="24" t="str">
        <f t="shared" ref="C76:C139" si="4">D76 &amp; " " &amp; E76</f>
        <v xml:space="preserve"> </v>
      </c>
      <c r="D76" s="25"/>
      <c r="E76" s="20"/>
      <c r="F76" s="19"/>
      <c r="G76" s="180"/>
      <c r="H76" s="120"/>
      <c r="I76" s="121"/>
      <c r="J76" s="121"/>
      <c r="K76" s="121"/>
      <c r="L76" s="121"/>
      <c r="M76" s="121"/>
      <c r="N76" s="121"/>
      <c r="O76" s="121"/>
      <c r="P76" s="121"/>
      <c r="Q76" s="121"/>
      <c r="R76" s="121"/>
      <c r="S76" s="121"/>
      <c r="T76" s="121"/>
      <c r="U76" s="121"/>
      <c r="V76" s="121"/>
      <c r="W76" s="121"/>
      <c r="X76" s="121"/>
      <c r="Y76" s="121"/>
      <c r="Z76" s="121"/>
      <c r="AA76" s="121"/>
      <c r="AB76" s="121"/>
      <c r="AC76" s="121"/>
      <c r="AD76" s="121"/>
      <c r="AE76" s="121"/>
      <c r="AF76" s="121"/>
      <c r="AG76" s="121"/>
      <c r="AH76" s="121"/>
      <c r="AI76" s="121"/>
      <c r="AJ76" s="121"/>
      <c r="AK76" s="121"/>
      <c r="AL76" s="121"/>
      <c r="AM76" s="121"/>
      <c r="AN76" s="121"/>
      <c r="AO76" s="121"/>
      <c r="AP76" s="121"/>
      <c r="AQ76" s="121"/>
      <c r="AR76" s="121"/>
      <c r="AS76" s="121"/>
      <c r="AT76" s="121"/>
      <c r="AU76" s="121"/>
      <c r="AV76" s="121"/>
      <c r="AW76" s="121"/>
      <c r="AX76" s="121"/>
      <c r="AY76" s="121"/>
      <c r="AZ76" s="121"/>
      <c r="BA76" s="121"/>
      <c r="BB76" s="121"/>
      <c r="BC76" s="121"/>
      <c r="BD76" s="121"/>
      <c r="BE76" s="121"/>
      <c r="BF76" s="121"/>
      <c r="BG76" s="121"/>
      <c r="BH76" s="121"/>
      <c r="BI76" s="121"/>
      <c r="BJ76" s="122"/>
      <c r="BK76" s="93"/>
      <c r="BL76" s="94"/>
      <c r="BM76" s="95"/>
      <c r="BN76" s="179" t="str">
        <f t="shared" si="2"/>
        <v/>
      </c>
      <c r="BO76" s="177"/>
      <c r="BP76" s="14"/>
      <c r="BQ76" s="14"/>
      <c r="BR76" s="14"/>
      <c r="BS76" s="14"/>
      <c r="BT76" s="14"/>
      <c r="BU76" s="14"/>
      <c r="BV76" s="16"/>
      <c r="BW76" s="14"/>
      <c r="BX76" s="14"/>
      <c r="BY76" s="14"/>
      <c r="BZ76" s="14"/>
      <c r="CA76" s="14"/>
      <c r="CB76" s="14"/>
      <c r="CC76" s="14"/>
      <c r="CD76" s="14"/>
      <c r="CE76" s="14"/>
      <c r="CF76" s="14"/>
      <c r="CG76" s="14"/>
      <c r="CH76" s="14"/>
      <c r="CI76" s="14"/>
      <c r="CJ76" s="14"/>
      <c r="CK76" s="14"/>
      <c r="CL76" s="14"/>
      <c r="CM76" s="14"/>
      <c r="CN76" s="14"/>
      <c r="CO76" s="14"/>
      <c r="CP76" s="14"/>
      <c r="CQ76" s="14"/>
      <c r="CR76" s="14"/>
      <c r="CS76" s="14"/>
      <c r="CT76" s="14"/>
      <c r="CU76" s="14"/>
      <c r="CV76" s="14"/>
      <c r="CW76" s="14"/>
      <c r="CX76" s="14"/>
      <c r="CY76" s="14"/>
      <c r="CZ76" s="14"/>
      <c r="DA76" s="14"/>
      <c r="DB76" s="14"/>
      <c r="DC76" s="14"/>
      <c r="DD76" s="14"/>
      <c r="DE76" s="14"/>
      <c r="DF76" s="14"/>
      <c r="DG76" s="14"/>
      <c r="DH76" s="14"/>
      <c r="DI76" s="14"/>
      <c r="DJ76" s="14"/>
      <c r="DK76" s="14"/>
      <c r="DL76" s="14"/>
      <c r="DM76" s="14"/>
      <c r="DN76" s="14"/>
      <c r="DO76" s="14"/>
      <c r="DP76" s="26"/>
      <c r="DQ76" s="27"/>
      <c r="DR76" s="129"/>
      <c r="DS76" s="130">
        <f>TCP(BO76:DQ76,$BO$9:$DQ$9,data!$H$8)</f>
        <v>0</v>
      </c>
      <c r="DT76" s="135"/>
      <c r="DU76" s="121"/>
      <c r="DV76" s="121"/>
      <c r="DW76" s="134"/>
      <c r="DX76" s="132"/>
      <c r="DY76" s="136"/>
      <c r="DZ76" s="21"/>
      <c r="EA76" s="18"/>
      <c r="EB76" s="4"/>
      <c r="EI76" s="23"/>
      <c r="EJ76" s="23"/>
    </row>
    <row r="77" spans="1:140" s="191" customFormat="1" ht="15.75" x14ac:dyDescent="0.25">
      <c r="A77" s="12"/>
      <c r="B77" s="16"/>
      <c r="C77" s="24" t="str">
        <f t="shared" si="4"/>
        <v xml:space="preserve"> </v>
      </c>
      <c r="D77" s="25"/>
      <c r="E77" s="20"/>
      <c r="F77" s="19"/>
      <c r="G77" s="180"/>
      <c r="H77" s="120"/>
      <c r="I77" s="121"/>
      <c r="J77" s="121"/>
      <c r="K77" s="121"/>
      <c r="L77" s="121"/>
      <c r="M77" s="121"/>
      <c r="N77" s="121"/>
      <c r="O77" s="121"/>
      <c r="P77" s="121"/>
      <c r="Q77" s="121"/>
      <c r="R77" s="121"/>
      <c r="S77" s="121"/>
      <c r="T77" s="121"/>
      <c r="U77" s="121"/>
      <c r="V77" s="121"/>
      <c r="W77" s="121"/>
      <c r="X77" s="121"/>
      <c r="Y77" s="121"/>
      <c r="Z77" s="121"/>
      <c r="AA77" s="121"/>
      <c r="AB77" s="121"/>
      <c r="AC77" s="121"/>
      <c r="AD77" s="121"/>
      <c r="AE77" s="121"/>
      <c r="AF77" s="121"/>
      <c r="AG77" s="121"/>
      <c r="AH77" s="121"/>
      <c r="AI77" s="121"/>
      <c r="AJ77" s="121"/>
      <c r="AK77" s="121"/>
      <c r="AL77" s="121"/>
      <c r="AM77" s="121"/>
      <c r="AN77" s="121"/>
      <c r="AO77" s="121"/>
      <c r="AP77" s="121"/>
      <c r="AQ77" s="121"/>
      <c r="AR77" s="121"/>
      <c r="AS77" s="121"/>
      <c r="AT77" s="121"/>
      <c r="AU77" s="121"/>
      <c r="AV77" s="121"/>
      <c r="AW77" s="121"/>
      <c r="AX77" s="121"/>
      <c r="AY77" s="121"/>
      <c r="AZ77" s="121"/>
      <c r="BA77" s="121"/>
      <c r="BB77" s="121"/>
      <c r="BC77" s="121"/>
      <c r="BD77" s="121"/>
      <c r="BE77" s="121"/>
      <c r="BF77" s="121"/>
      <c r="BG77" s="121"/>
      <c r="BH77" s="121"/>
      <c r="BI77" s="121"/>
      <c r="BJ77" s="122"/>
      <c r="BK77" s="93"/>
      <c r="BL77" s="94"/>
      <c r="BM77" s="95"/>
      <c r="BN77" s="179" t="str">
        <f t="shared" ref="BN77:BN140" si="5">IF(BO77&lt;&gt;"", $BO$7 &amp; "/" &amp; $BO$9 &amp; "/" &amp; BO77 &amp; ", ","") &amp; IF(BP77&lt;&gt;"", $BP$7 &amp; "/" &amp; $BP$9 &amp; "/" &amp; BP77 &amp; ", ","") &amp; IF(BQ77&lt;&gt;"", $BQ$7 &amp; "/" &amp; $BQ$9 &amp; "/" &amp; BQ77 &amp; ", ","") &amp; IF(BR77&lt;&gt;"", $BR$7 &amp; "/" &amp; $BR$9 &amp; "/" &amp; BR77 &amp; ", ","") &amp; IF(BS77&lt;&gt;"", $BS$7 &amp; "/" &amp; $BS$9 &amp; "/" &amp; BS77 &amp; ", ","") &amp; IF(BT77&lt;&gt;"", $BT$7 &amp; "/" &amp; $BT$9 &amp; "/" &amp; BT77 &amp; ", ","") &amp; IF(BU77&lt;&gt;"", $BU$7 &amp; "/" &amp; $BU$9 &amp; "/" &amp; BU77 &amp; ", ","") &amp; IF(BV77&lt;&gt;"", $BV$7 &amp; "/" &amp; $BV$9 &amp; "/" &amp; BV77 &amp; ", ","") &amp; IF(BW77&lt;&gt;"", $BW$7 &amp; "/" &amp; $BW$9 &amp; "/" &amp; BW77 &amp; ", ","") &amp; IF(BX77&lt;&gt;"", $BX$7 &amp; "/" &amp; $BX$9 &amp; "/" &amp; BX77 &amp; ", ","") &amp; IF(BY77&lt;&gt;"", $BY$7 &amp; "/" &amp; $BY$9 &amp; "/" &amp; BY77 &amp; ", ","") &amp; IF(BZ77&lt;&gt;"", $BZ$7 &amp; "/" &amp; $BZ$9 &amp; "/" &amp; BZ77 &amp; ", ","") &amp; IF(CA77&lt;&gt;"", $CA$7 &amp; "/" &amp; $CA$9 &amp; "/" &amp; CA77 &amp; ", ","") &amp; IF(CB77&lt;&gt;"", $CB$7 &amp; "/" &amp; $CB$9 &amp; "/" &amp; CB77 &amp; ", ","") &amp; IF(CC77&lt;&gt;"", $CC$7 &amp; "/" &amp; $CC$9 &amp; "/" &amp; CC77 &amp; ", ","") &amp; IF(CD77&lt;&gt;"", $CD$7 &amp; "/" &amp; $CD$9 &amp; "/" &amp; CD77 &amp; ", ","") &amp; IF(CE77&lt;&gt;"", $CE$7 &amp; "/" &amp; $CE$9 &amp; "/" &amp; CE77 &amp; ", ","") &amp; IF(CF77&lt;&gt;"", $CF$7 &amp; "/" &amp; $CF$9 &amp; "/" &amp; CF77 &amp; ", ","") &amp; IF(CG77&lt;&gt;"", $CG$7 &amp; "/" &amp; $CG$9 &amp; "/" &amp; CG77 &amp; ", ","") &amp; IF(CH77&lt;&gt;"", $CH$7 &amp; "/" &amp; $CH$9 &amp; "/" &amp; CH77 &amp; ", ","") &amp; IF(CI77&lt;&gt;"", $CI$7 &amp; "/" &amp; $CI$9 &amp; "/" &amp; CI77 &amp; ", ","") &amp; IF(CJ77&lt;&gt;"", $CJ$7 &amp; "/" &amp; $CJ$9 &amp; "/" &amp; CJ77 &amp; ", ","") &amp; IF(CK77&lt;&gt;"", $CK$7 &amp; "/" &amp; $CK$9 &amp; "/" &amp; CK77 &amp; ", ","") &amp; IF(CL77&lt;&gt;"", $CL$7 &amp; "/" &amp; $CL$9 &amp; "/" &amp; CL77 &amp; ", ","") &amp; IF(CM77&lt;&gt;"", $CM$7 &amp; "/" &amp; $CM$9 &amp; "/" &amp; CM77 &amp; ", ","") &amp; IF(CN77&lt;&gt;"", $CN$7 &amp; "/" &amp; $CN$9 &amp; "/" &amp; CN77 &amp; ", ","") &amp; IF(CO77&lt;&gt;"", $CO$7 &amp; "/" &amp; $CO$9 &amp; "/" &amp; CO77 &amp; ", ","") &amp; IF(CP77&lt;&gt;"", $CP$7 &amp; "/" &amp; $CP$9 &amp; "/" &amp; CP77 &amp; ", ","") &amp; IF(CQ77&lt;&gt;"", $CQ$7 &amp; "/" &amp; $CQ$9 &amp; "/" &amp; CQ77 &amp; ", ","") &amp; IF(CR77&lt;&gt;"", $CR$7 &amp; "/" &amp; $CR$9 &amp; "/" &amp; CR77 &amp; ", ","") &amp; IF(CS77&lt;&gt;"", $CS$7 &amp; "/" &amp; $CS$9 &amp; "/" &amp; CS77 &amp; ", ","") &amp; IF(CT77&lt;&gt;"", $CT$7 &amp; "/" &amp; $CT$9 &amp; "/" &amp; CT77 &amp; ", ","") &amp; IF(CU77&lt;&gt;"", $CU$7 &amp; "/" &amp; $CU$9 &amp; "/" &amp; CU77 &amp; ", ","") &amp; IF(CV77&lt;&gt;"", $CV$7 &amp; "/" &amp; $CV$9 &amp; "/" &amp; CV77 &amp; ", ","") &amp; IF(CW77&lt;&gt;"", $CW$7 &amp; "/" &amp; $CW$9 &amp; "/" &amp; CW77 &amp; ", ","") &amp; IF(CX77&lt;&gt;"", $CX$7 &amp; "/" &amp; $CX$9 &amp; "/" &amp; CX77 &amp; ", ","") &amp; IF(CY77&lt;&gt;"", $CY$7 &amp; "/" &amp; $CY$9 &amp; "/" &amp; CY77 &amp; ", ","") &amp; IF(CZ77&lt;&gt;"", $CZ$7 &amp; "/" &amp; $CZ$9 &amp; "/" &amp; CZ77 &amp; ", ","") &amp; IF(DA77&lt;&gt;"", $DA$7 &amp; "/" &amp; $DA$9 &amp; "/" &amp; DA77 &amp; ", ","") &amp; IF(DB77&lt;&gt;"", $DB$7 &amp; "/" &amp; $DB$9 &amp; "/" &amp; DB77 &amp; ", ","") &amp; IF(DC77&lt;&gt;"", $DC$7 &amp; "/" &amp; $DC$9 &amp; "/" &amp; DC77 &amp; ", ","") &amp; IF(DD77&lt;&gt;"", $DD$7 &amp; "/" &amp; $DD$9 &amp; "/" &amp; DD77 &amp; ", ","") &amp; IF(DE77&lt;&gt;"", $DE$7 &amp; "/" &amp; $DE$9 &amp; "/" &amp; DE77 &amp; ", ","") &amp; IF(DF77&lt;&gt;"", $DF$7 &amp; "/" &amp; $DF$9 &amp; "/" &amp; DF77 &amp; ", ","") &amp; IF(DG77&lt;&gt;"", $DG$7 &amp; "/" &amp; $DG$9 &amp; "/" &amp; DG77 &amp; ", ","") &amp; IF(DH77&lt;&gt;"", $DH$7 &amp; "/" &amp; $DH$9 &amp; "/" &amp; DH77 &amp; ", ","") &amp; IF(DI77&lt;&gt;"", $DI$7 &amp; "/" &amp; $DI$9 &amp; "/" &amp; DI77 &amp; ", ","") &amp; IF(DJ77&lt;&gt;"", $DJ$7 &amp; "/" &amp; $DJ$9 &amp; "/" &amp; DJ77 &amp; ", ","") &amp; IF(DK77&lt;&gt;"", $DK$7 &amp; "/" &amp; $DK$9 &amp; "/" &amp; DK77 &amp; ", ","") &amp; IF(DL77&lt;&gt;"", $DL$7 &amp; "/" &amp; $DL$9 &amp; "/" &amp; DL77 &amp; ", ","") &amp; IF(DM77&lt;&gt;"", $DM$7 &amp; "/" &amp; $DM$9 &amp; "/" &amp; DM77 &amp; ", ","") &amp; IF(DN77&lt;&gt;"", $DN$7 &amp; "/" &amp; $DN$9 &amp; "/" &amp; DN77 &amp; ", ","") &amp; IF(DO77&lt;&gt;"", $DO$7 &amp; "/" &amp; $DO$9 &amp; "/" &amp; DO77 &amp; ", ","") &amp; IF(DP77&lt;&gt;"", $DP$7 &amp; "/" &amp; $DP$9 &amp; "/" &amp; DP77 &amp; ", ","") &amp; IF(DQ77&lt;&gt;"", $DQ$7 &amp; "/" &amp; $DQ$9 &amp; "/" &amp; DQ77 &amp; ", ","")</f>
        <v/>
      </c>
      <c r="BO77" s="177"/>
      <c r="BP77" s="14"/>
      <c r="BQ77" s="14"/>
      <c r="BR77" s="14"/>
      <c r="BS77" s="14"/>
      <c r="BT77" s="14"/>
      <c r="BU77" s="14"/>
      <c r="BV77" s="16"/>
      <c r="BW77" s="14"/>
      <c r="BX77" s="14"/>
      <c r="BY77" s="14"/>
      <c r="BZ77" s="14"/>
      <c r="CA77" s="14"/>
      <c r="CB77" s="14"/>
      <c r="CC77" s="14"/>
      <c r="CD77" s="14"/>
      <c r="CE77" s="14"/>
      <c r="CF77" s="14"/>
      <c r="CG77" s="14"/>
      <c r="CH77" s="14"/>
      <c r="CI77" s="14"/>
      <c r="CJ77" s="14"/>
      <c r="CK77" s="14"/>
      <c r="CL77" s="14"/>
      <c r="CM77" s="14"/>
      <c r="CN77" s="14"/>
      <c r="CO77" s="14"/>
      <c r="CP77" s="14"/>
      <c r="CQ77" s="14"/>
      <c r="CR77" s="14"/>
      <c r="CS77" s="14"/>
      <c r="CT77" s="14"/>
      <c r="CU77" s="14"/>
      <c r="CV77" s="14"/>
      <c r="CW77" s="14"/>
      <c r="CX77" s="14"/>
      <c r="CY77" s="14"/>
      <c r="CZ77" s="14"/>
      <c r="DA77" s="14"/>
      <c r="DB77" s="14"/>
      <c r="DC77" s="14"/>
      <c r="DD77" s="14"/>
      <c r="DE77" s="14"/>
      <c r="DF77" s="14"/>
      <c r="DG77" s="14"/>
      <c r="DH77" s="14"/>
      <c r="DI77" s="14"/>
      <c r="DJ77" s="14"/>
      <c r="DK77" s="14"/>
      <c r="DL77" s="14"/>
      <c r="DM77" s="14"/>
      <c r="DN77" s="14"/>
      <c r="DO77" s="14"/>
      <c r="DP77" s="26"/>
      <c r="DQ77" s="27"/>
      <c r="DR77" s="129"/>
      <c r="DS77" s="130">
        <f>TCP(BO77:DQ77,$BO$9:$DQ$9,data!$H$8)</f>
        <v>0</v>
      </c>
      <c r="DT77" s="135"/>
      <c r="DU77" s="121"/>
      <c r="DV77" s="121"/>
      <c r="DW77" s="134"/>
      <c r="DX77" s="132"/>
      <c r="DY77" s="136"/>
      <c r="DZ77" s="21"/>
      <c r="EA77" s="18"/>
      <c r="EB77" s="4"/>
      <c r="EI77" s="23"/>
      <c r="EJ77" s="23"/>
    </row>
    <row r="78" spans="1:140" s="191" customFormat="1" ht="15.75" x14ac:dyDescent="0.25">
      <c r="A78" s="12"/>
      <c r="B78" s="16"/>
      <c r="C78" s="24" t="str">
        <f t="shared" si="4"/>
        <v xml:space="preserve"> </v>
      </c>
      <c r="D78" s="25"/>
      <c r="E78" s="20"/>
      <c r="F78" s="19"/>
      <c r="G78" s="180"/>
      <c r="H78" s="120"/>
      <c r="I78" s="121"/>
      <c r="J78" s="121"/>
      <c r="K78" s="121"/>
      <c r="L78" s="121"/>
      <c r="M78" s="121"/>
      <c r="N78" s="121"/>
      <c r="O78" s="121"/>
      <c r="P78" s="121"/>
      <c r="Q78" s="121"/>
      <c r="R78" s="121"/>
      <c r="S78" s="121"/>
      <c r="T78" s="121"/>
      <c r="U78" s="121"/>
      <c r="V78" s="121"/>
      <c r="W78" s="121"/>
      <c r="X78" s="121"/>
      <c r="Y78" s="121"/>
      <c r="Z78" s="121"/>
      <c r="AA78" s="121"/>
      <c r="AB78" s="121"/>
      <c r="AC78" s="121"/>
      <c r="AD78" s="121"/>
      <c r="AE78" s="121"/>
      <c r="AF78" s="121"/>
      <c r="AG78" s="121"/>
      <c r="AH78" s="121"/>
      <c r="AI78" s="121"/>
      <c r="AJ78" s="121"/>
      <c r="AK78" s="121"/>
      <c r="AL78" s="121"/>
      <c r="AM78" s="121"/>
      <c r="AN78" s="121"/>
      <c r="AO78" s="121"/>
      <c r="AP78" s="121"/>
      <c r="AQ78" s="121"/>
      <c r="AR78" s="121"/>
      <c r="AS78" s="121"/>
      <c r="AT78" s="121"/>
      <c r="AU78" s="121"/>
      <c r="AV78" s="121"/>
      <c r="AW78" s="121"/>
      <c r="AX78" s="121"/>
      <c r="AY78" s="121"/>
      <c r="AZ78" s="121"/>
      <c r="BA78" s="121"/>
      <c r="BB78" s="121"/>
      <c r="BC78" s="121"/>
      <c r="BD78" s="121"/>
      <c r="BE78" s="121"/>
      <c r="BF78" s="121"/>
      <c r="BG78" s="121"/>
      <c r="BH78" s="121"/>
      <c r="BI78" s="121"/>
      <c r="BJ78" s="122"/>
      <c r="BK78" s="93"/>
      <c r="BL78" s="94"/>
      <c r="BM78" s="95"/>
      <c r="BN78" s="179" t="str">
        <f t="shared" si="5"/>
        <v/>
      </c>
      <c r="BO78" s="177"/>
      <c r="BP78" s="14"/>
      <c r="BQ78" s="14"/>
      <c r="BR78" s="14"/>
      <c r="BS78" s="14"/>
      <c r="BT78" s="14"/>
      <c r="BU78" s="14"/>
      <c r="BV78" s="16"/>
      <c r="BW78" s="14"/>
      <c r="BX78" s="14"/>
      <c r="BY78" s="14"/>
      <c r="BZ78" s="14"/>
      <c r="CA78" s="14"/>
      <c r="CB78" s="14"/>
      <c r="CC78" s="14"/>
      <c r="CD78" s="14"/>
      <c r="CE78" s="14"/>
      <c r="CF78" s="14"/>
      <c r="CG78" s="14"/>
      <c r="CH78" s="14"/>
      <c r="CI78" s="14"/>
      <c r="CJ78" s="14"/>
      <c r="CK78" s="14"/>
      <c r="CL78" s="14"/>
      <c r="CM78" s="14"/>
      <c r="CN78" s="14"/>
      <c r="CO78" s="14"/>
      <c r="CP78" s="14"/>
      <c r="CQ78" s="14"/>
      <c r="CR78" s="14"/>
      <c r="CS78" s="14"/>
      <c r="CT78" s="14"/>
      <c r="CU78" s="14"/>
      <c r="CV78" s="14"/>
      <c r="CW78" s="14"/>
      <c r="CX78" s="14"/>
      <c r="CY78" s="14"/>
      <c r="CZ78" s="14"/>
      <c r="DA78" s="14"/>
      <c r="DB78" s="14"/>
      <c r="DC78" s="14"/>
      <c r="DD78" s="14"/>
      <c r="DE78" s="14"/>
      <c r="DF78" s="14"/>
      <c r="DG78" s="14"/>
      <c r="DH78" s="14"/>
      <c r="DI78" s="14"/>
      <c r="DJ78" s="14"/>
      <c r="DK78" s="14"/>
      <c r="DL78" s="14"/>
      <c r="DM78" s="14"/>
      <c r="DN78" s="14"/>
      <c r="DO78" s="14"/>
      <c r="DP78" s="26"/>
      <c r="DQ78" s="27"/>
      <c r="DR78" s="129"/>
      <c r="DS78" s="130">
        <f>TCP(BO78:DQ78,$BO$9:$DQ$9,data!$H$8)</f>
        <v>0</v>
      </c>
      <c r="DT78" s="135"/>
      <c r="DU78" s="121"/>
      <c r="DV78" s="121"/>
      <c r="DW78" s="134"/>
      <c r="DX78" s="132"/>
      <c r="DY78" s="136"/>
      <c r="DZ78" s="21"/>
      <c r="EA78" s="18"/>
      <c r="EB78" s="4"/>
      <c r="EI78" s="23"/>
      <c r="EJ78" s="23"/>
    </row>
    <row r="79" spans="1:140" s="191" customFormat="1" ht="15.75" x14ac:dyDescent="0.25">
      <c r="A79" s="12"/>
      <c r="B79" s="16"/>
      <c r="C79" s="24" t="str">
        <f t="shared" si="4"/>
        <v xml:space="preserve"> </v>
      </c>
      <c r="D79" s="25"/>
      <c r="E79" s="20"/>
      <c r="F79" s="19"/>
      <c r="G79" s="180"/>
      <c r="H79" s="120"/>
      <c r="I79" s="121"/>
      <c r="J79" s="121"/>
      <c r="K79" s="121"/>
      <c r="L79" s="121"/>
      <c r="M79" s="121"/>
      <c r="N79" s="121"/>
      <c r="O79" s="121"/>
      <c r="P79" s="121"/>
      <c r="Q79" s="121"/>
      <c r="R79" s="121"/>
      <c r="S79" s="121"/>
      <c r="T79" s="121"/>
      <c r="U79" s="121"/>
      <c r="V79" s="121"/>
      <c r="W79" s="121"/>
      <c r="X79" s="121"/>
      <c r="Y79" s="121"/>
      <c r="Z79" s="121"/>
      <c r="AA79" s="121"/>
      <c r="AB79" s="121"/>
      <c r="AC79" s="121"/>
      <c r="AD79" s="121"/>
      <c r="AE79" s="121"/>
      <c r="AF79" s="121"/>
      <c r="AG79" s="121"/>
      <c r="AH79" s="121"/>
      <c r="AI79" s="121"/>
      <c r="AJ79" s="121"/>
      <c r="AK79" s="121"/>
      <c r="AL79" s="121"/>
      <c r="AM79" s="121"/>
      <c r="AN79" s="121"/>
      <c r="AO79" s="121"/>
      <c r="AP79" s="121"/>
      <c r="AQ79" s="121"/>
      <c r="AR79" s="121"/>
      <c r="AS79" s="121"/>
      <c r="AT79" s="121"/>
      <c r="AU79" s="121"/>
      <c r="AV79" s="121"/>
      <c r="AW79" s="121"/>
      <c r="AX79" s="121"/>
      <c r="AY79" s="121"/>
      <c r="AZ79" s="121"/>
      <c r="BA79" s="121"/>
      <c r="BB79" s="121"/>
      <c r="BC79" s="121"/>
      <c r="BD79" s="121"/>
      <c r="BE79" s="121"/>
      <c r="BF79" s="121"/>
      <c r="BG79" s="121"/>
      <c r="BH79" s="121"/>
      <c r="BI79" s="121"/>
      <c r="BJ79" s="122"/>
      <c r="BK79" s="93"/>
      <c r="BL79" s="94"/>
      <c r="BM79" s="95"/>
      <c r="BN79" s="179" t="str">
        <f t="shared" si="5"/>
        <v/>
      </c>
      <c r="BO79" s="177"/>
      <c r="BP79" s="14"/>
      <c r="BQ79" s="14"/>
      <c r="BR79" s="14"/>
      <c r="BS79" s="14"/>
      <c r="BT79" s="14"/>
      <c r="BU79" s="14"/>
      <c r="BV79" s="16"/>
      <c r="BW79" s="14"/>
      <c r="BX79" s="14"/>
      <c r="BY79" s="14"/>
      <c r="BZ79" s="14"/>
      <c r="CA79" s="14"/>
      <c r="CB79" s="14"/>
      <c r="CC79" s="14"/>
      <c r="CD79" s="14"/>
      <c r="CE79" s="14"/>
      <c r="CF79" s="14"/>
      <c r="CG79" s="14"/>
      <c r="CH79" s="14"/>
      <c r="CI79" s="14"/>
      <c r="CJ79" s="14"/>
      <c r="CK79" s="14"/>
      <c r="CL79" s="14"/>
      <c r="CM79" s="14"/>
      <c r="CN79" s="14"/>
      <c r="CO79" s="14"/>
      <c r="CP79" s="14"/>
      <c r="CQ79" s="14"/>
      <c r="CR79" s="14"/>
      <c r="CS79" s="14"/>
      <c r="CT79" s="14"/>
      <c r="CU79" s="14"/>
      <c r="CV79" s="14"/>
      <c r="CW79" s="14"/>
      <c r="CX79" s="14"/>
      <c r="CY79" s="14"/>
      <c r="CZ79" s="14"/>
      <c r="DA79" s="14"/>
      <c r="DB79" s="14"/>
      <c r="DC79" s="14"/>
      <c r="DD79" s="14"/>
      <c r="DE79" s="14"/>
      <c r="DF79" s="14"/>
      <c r="DG79" s="14"/>
      <c r="DH79" s="14"/>
      <c r="DI79" s="14"/>
      <c r="DJ79" s="14"/>
      <c r="DK79" s="14"/>
      <c r="DL79" s="14"/>
      <c r="DM79" s="14"/>
      <c r="DN79" s="14"/>
      <c r="DO79" s="14"/>
      <c r="DP79" s="26"/>
      <c r="DQ79" s="27"/>
      <c r="DR79" s="129"/>
      <c r="DS79" s="130">
        <f>TCP(BO79:DQ79,$BO$9:$DQ$9,data!$H$8)</f>
        <v>0</v>
      </c>
      <c r="DT79" s="135"/>
      <c r="DU79" s="121"/>
      <c r="DV79" s="121"/>
      <c r="DW79" s="134"/>
      <c r="DX79" s="132"/>
      <c r="DY79" s="136"/>
      <c r="DZ79" s="21"/>
      <c r="EA79" s="18"/>
      <c r="EB79" s="4"/>
      <c r="EI79" s="23"/>
      <c r="EJ79" s="23"/>
    </row>
    <row r="80" spans="1:140" s="191" customFormat="1" ht="15.75" x14ac:dyDescent="0.25">
      <c r="A80" s="12"/>
      <c r="B80" s="16"/>
      <c r="C80" s="24" t="str">
        <f t="shared" si="4"/>
        <v xml:space="preserve"> </v>
      </c>
      <c r="D80" s="25"/>
      <c r="E80" s="20"/>
      <c r="F80" s="19"/>
      <c r="G80" s="180"/>
      <c r="H80" s="120"/>
      <c r="I80" s="121"/>
      <c r="J80" s="121"/>
      <c r="K80" s="121"/>
      <c r="L80" s="121"/>
      <c r="M80" s="121"/>
      <c r="N80" s="121"/>
      <c r="O80" s="121"/>
      <c r="P80" s="121"/>
      <c r="Q80" s="121"/>
      <c r="R80" s="121"/>
      <c r="S80" s="121"/>
      <c r="T80" s="121"/>
      <c r="U80" s="121"/>
      <c r="V80" s="121"/>
      <c r="W80" s="121"/>
      <c r="X80" s="121"/>
      <c r="Y80" s="121"/>
      <c r="Z80" s="121"/>
      <c r="AA80" s="121"/>
      <c r="AB80" s="121"/>
      <c r="AC80" s="121"/>
      <c r="AD80" s="121"/>
      <c r="AE80" s="121"/>
      <c r="AF80" s="121"/>
      <c r="AG80" s="121"/>
      <c r="AH80" s="121"/>
      <c r="AI80" s="121"/>
      <c r="AJ80" s="121"/>
      <c r="AK80" s="121"/>
      <c r="AL80" s="121"/>
      <c r="AM80" s="121"/>
      <c r="AN80" s="121"/>
      <c r="AO80" s="121"/>
      <c r="AP80" s="121"/>
      <c r="AQ80" s="121"/>
      <c r="AR80" s="121"/>
      <c r="AS80" s="121"/>
      <c r="AT80" s="121"/>
      <c r="AU80" s="121"/>
      <c r="AV80" s="121"/>
      <c r="AW80" s="121"/>
      <c r="AX80" s="121"/>
      <c r="AY80" s="121"/>
      <c r="AZ80" s="121"/>
      <c r="BA80" s="121"/>
      <c r="BB80" s="121"/>
      <c r="BC80" s="121"/>
      <c r="BD80" s="121"/>
      <c r="BE80" s="121"/>
      <c r="BF80" s="121"/>
      <c r="BG80" s="121"/>
      <c r="BH80" s="121"/>
      <c r="BI80" s="121"/>
      <c r="BJ80" s="122"/>
      <c r="BK80" s="93"/>
      <c r="BL80" s="94"/>
      <c r="BM80" s="95"/>
      <c r="BN80" s="179" t="str">
        <f t="shared" si="5"/>
        <v/>
      </c>
      <c r="BO80" s="177"/>
      <c r="BP80" s="14"/>
      <c r="BQ80" s="14"/>
      <c r="BR80" s="14"/>
      <c r="BS80" s="14"/>
      <c r="BT80" s="14"/>
      <c r="BU80" s="14"/>
      <c r="BV80" s="16"/>
      <c r="BW80" s="14"/>
      <c r="BX80" s="14"/>
      <c r="BY80" s="14"/>
      <c r="BZ80" s="14"/>
      <c r="CA80" s="14"/>
      <c r="CB80" s="14"/>
      <c r="CC80" s="14"/>
      <c r="CD80" s="14"/>
      <c r="CE80" s="14"/>
      <c r="CF80" s="14"/>
      <c r="CG80" s="14"/>
      <c r="CH80" s="14"/>
      <c r="CI80" s="14"/>
      <c r="CJ80" s="14"/>
      <c r="CK80" s="14"/>
      <c r="CL80" s="14"/>
      <c r="CM80" s="14"/>
      <c r="CN80" s="14"/>
      <c r="CO80" s="14"/>
      <c r="CP80" s="14"/>
      <c r="CQ80" s="14"/>
      <c r="CR80" s="14"/>
      <c r="CS80" s="14"/>
      <c r="CT80" s="14"/>
      <c r="CU80" s="14"/>
      <c r="CV80" s="14"/>
      <c r="CW80" s="14"/>
      <c r="CX80" s="14"/>
      <c r="CY80" s="14"/>
      <c r="CZ80" s="14"/>
      <c r="DA80" s="14"/>
      <c r="DB80" s="14"/>
      <c r="DC80" s="14"/>
      <c r="DD80" s="14"/>
      <c r="DE80" s="14"/>
      <c r="DF80" s="14"/>
      <c r="DG80" s="14"/>
      <c r="DH80" s="14"/>
      <c r="DI80" s="14"/>
      <c r="DJ80" s="14"/>
      <c r="DK80" s="14"/>
      <c r="DL80" s="14"/>
      <c r="DM80" s="14"/>
      <c r="DN80" s="14"/>
      <c r="DO80" s="14"/>
      <c r="DP80" s="26"/>
      <c r="DQ80" s="27"/>
      <c r="DR80" s="129"/>
      <c r="DS80" s="130">
        <f>TCP(BO80:DQ80,$BO$9:$DQ$9,data!$H$8)</f>
        <v>0</v>
      </c>
      <c r="DT80" s="135"/>
      <c r="DU80" s="121"/>
      <c r="DV80" s="121"/>
      <c r="DW80" s="134"/>
      <c r="DX80" s="132"/>
      <c r="DY80" s="136"/>
      <c r="DZ80" s="21"/>
      <c r="EA80" s="18"/>
      <c r="EB80" s="4"/>
      <c r="EI80" s="23"/>
      <c r="EJ80" s="23"/>
    </row>
    <row r="81" spans="1:140" s="191" customFormat="1" ht="15.75" x14ac:dyDescent="0.25">
      <c r="A81" s="12"/>
      <c r="B81" s="16"/>
      <c r="C81" s="24" t="str">
        <f t="shared" si="4"/>
        <v xml:space="preserve"> </v>
      </c>
      <c r="D81" s="25"/>
      <c r="E81" s="20"/>
      <c r="F81" s="19"/>
      <c r="G81" s="180"/>
      <c r="H81" s="120"/>
      <c r="I81" s="121"/>
      <c r="J81" s="121"/>
      <c r="K81" s="121"/>
      <c r="L81" s="121"/>
      <c r="M81" s="121"/>
      <c r="N81" s="121"/>
      <c r="O81" s="121"/>
      <c r="P81" s="121"/>
      <c r="Q81" s="121"/>
      <c r="R81" s="121"/>
      <c r="S81" s="121"/>
      <c r="T81" s="121"/>
      <c r="U81" s="121"/>
      <c r="V81" s="121"/>
      <c r="W81" s="121"/>
      <c r="X81" s="121"/>
      <c r="Y81" s="121"/>
      <c r="Z81" s="121"/>
      <c r="AA81" s="121"/>
      <c r="AB81" s="121"/>
      <c r="AC81" s="121"/>
      <c r="AD81" s="121"/>
      <c r="AE81" s="121"/>
      <c r="AF81" s="121"/>
      <c r="AG81" s="121"/>
      <c r="AH81" s="121"/>
      <c r="AI81" s="121"/>
      <c r="AJ81" s="121"/>
      <c r="AK81" s="121"/>
      <c r="AL81" s="121"/>
      <c r="AM81" s="121"/>
      <c r="AN81" s="121"/>
      <c r="AO81" s="121"/>
      <c r="AP81" s="121"/>
      <c r="AQ81" s="121"/>
      <c r="AR81" s="121"/>
      <c r="AS81" s="121"/>
      <c r="AT81" s="121"/>
      <c r="AU81" s="121"/>
      <c r="AV81" s="121"/>
      <c r="AW81" s="121"/>
      <c r="AX81" s="121"/>
      <c r="AY81" s="121"/>
      <c r="AZ81" s="121"/>
      <c r="BA81" s="121"/>
      <c r="BB81" s="121"/>
      <c r="BC81" s="121"/>
      <c r="BD81" s="121"/>
      <c r="BE81" s="121"/>
      <c r="BF81" s="121"/>
      <c r="BG81" s="121"/>
      <c r="BH81" s="121"/>
      <c r="BI81" s="121"/>
      <c r="BJ81" s="122"/>
      <c r="BK81" s="93"/>
      <c r="BL81" s="94"/>
      <c r="BM81" s="95"/>
      <c r="BN81" s="179" t="str">
        <f t="shared" si="5"/>
        <v/>
      </c>
      <c r="BO81" s="177"/>
      <c r="BP81" s="14"/>
      <c r="BQ81" s="14"/>
      <c r="BR81" s="14"/>
      <c r="BS81" s="14"/>
      <c r="BT81" s="14"/>
      <c r="BU81" s="14"/>
      <c r="BV81" s="16"/>
      <c r="BW81" s="14"/>
      <c r="BX81" s="14"/>
      <c r="BY81" s="14"/>
      <c r="BZ81" s="14"/>
      <c r="CA81" s="14"/>
      <c r="CB81" s="14"/>
      <c r="CC81" s="14"/>
      <c r="CD81" s="14"/>
      <c r="CE81" s="14"/>
      <c r="CF81" s="14"/>
      <c r="CG81" s="14"/>
      <c r="CH81" s="14"/>
      <c r="CI81" s="14"/>
      <c r="CJ81" s="14"/>
      <c r="CK81" s="14"/>
      <c r="CL81" s="14"/>
      <c r="CM81" s="14"/>
      <c r="CN81" s="14"/>
      <c r="CO81" s="14"/>
      <c r="CP81" s="14"/>
      <c r="CQ81" s="14"/>
      <c r="CR81" s="14"/>
      <c r="CS81" s="14"/>
      <c r="CT81" s="14"/>
      <c r="CU81" s="14"/>
      <c r="CV81" s="14"/>
      <c r="CW81" s="14"/>
      <c r="CX81" s="14"/>
      <c r="CY81" s="14"/>
      <c r="CZ81" s="14"/>
      <c r="DA81" s="14"/>
      <c r="DB81" s="14"/>
      <c r="DC81" s="14"/>
      <c r="DD81" s="14"/>
      <c r="DE81" s="14"/>
      <c r="DF81" s="14"/>
      <c r="DG81" s="14"/>
      <c r="DH81" s="14"/>
      <c r="DI81" s="14"/>
      <c r="DJ81" s="14"/>
      <c r="DK81" s="14"/>
      <c r="DL81" s="14"/>
      <c r="DM81" s="14"/>
      <c r="DN81" s="14"/>
      <c r="DO81" s="14"/>
      <c r="DP81" s="26"/>
      <c r="DQ81" s="27"/>
      <c r="DR81" s="129"/>
      <c r="DS81" s="130">
        <f>TCP(BO81:DQ81,$BO$9:$DQ$9,data!$H$8)</f>
        <v>0</v>
      </c>
      <c r="DT81" s="135"/>
      <c r="DU81" s="121"/>
      <c r="DV81" s="121"/>
      <c r="DW81" s="134"/>
      <c r="DX81" s="132"/>
      <c r="DY81" s="136"/>
      <c r="DZ81" s="21"/>
      <c r="EA81" s="18"/>
      <c r="EB81" s="4"/>
      <c r="EI81" s="23"/>
      <c r="EJ81" s="23"/>
    </row>
    <row r="82" spans="1:140" s="191" customFormat="1" ht="15.75" x14ac:dyDescent="0.25">
      <c r="A82" s="12"/>
      <c r="B82" s="16"/>
      <c r="C82" s="24" t="str">
        <f t="shared" si="4"/>
        <v xml:space="preserve"> </v>
      </c>
      <c r="D82" s="25"/>
      <c r="E82" s="20"/>
      <c r="F82" s="19"/>
      <c r="G82" s="180"/>
      <c r="H82" s="120"/>
      <c r="I82" s="121"/>
      <c r="J82" s="121"/>
      <c r="K82" s="121"/>
      <c r="L82" s="121"/>
      <c r="M82" s="121"/>
      <c r="N82" s="121"/>
      <c r="O82" s="121"/>
      <c r="P82" s="121"/>
      <c r="Q82" s="121"/>
      <c r="R82" s="121"/>
      <c r="S82" s="121"/>
      <c r="T82" s="121"/>
      <c r="U82" s="121"/>
      <c r="V82" s="121"/>
      <c r="W82" s="121"/>
      <c r="X82" s="121"/>
      <c r="Y82" s="121"/>
      <c r="Z82" s="121"/>
      <c r="AA82" s="121"/>
      <c r="AB82" s="121"/>
      <c r="AC82" s="121"/>
      <c r="AD82" s="121"/>
      <c r="AE82" s="121"/>
      <c r="AF82" s="121"/>
      <c r="AG82" s="121"/>
      <c r="AH82" s="121"/>
      <c r="AI82" s="121"/>
      <c r="AJ82" s="121"/>
      <c r="AK82" s="121"/>
      <c r="AL82" s="121"/>
      <c r="AM82" s="121"/>
      <c r="AN82" s="121"/>
      <c r="AO82" s="121"/>
      <c r="AP82" s="121"/>
      <c r="AQ82" s="121"/>
      <c r="AR82" s="121"/>
      <c r="AS82" s="121"/>
      <c r="AT82" s="121"/>
      <c r="AU82" s="121"/>
      <c r="AV82" s="121"/>
      <c r="AW82" s="121"/>
      <c r="AX82" s="121"/>
      <c r="AY82" s="121"/>
      <c r="AZ82" s="121"/>
      <c r="BA82" s="121"/>
      <c r="BB82" s="121"/>
      <c r="BC82" s="121"/>
      <c r="BD82" s="121"/>
      <c r="BE82" s="121"/>
      <c r="BF82" s="121"/>
      <c r="BG82" s="121"/>
      <c r="BH82" s="121"/>
      <c r="BI82" s="121"/>
      <c r="BJ82" s="122"/>
      <c r="BK82" s="93"/>
      <c r="BL82" s="94"/>
      <c r="BM82" s="95"/>
      <c r="BN82" s="179" t="str">
        <f t="shared" si="5"/>
        <v/>
      </c>
      <c r="BO82" s="177"/>
      <c r="BP82" s="14"/>
      <c r="BQ82" s="14"/>
      <c r="BR82" s="14"/>
      <c r="BS82" s="14"/>
      <c r="BT82" s="14"/>
      <c r="BU82" s="14"/>
      <c r="BV82" s="16"/>
      <c r="BW82" s="14"/>
      <c r="BX82" s="14"/>
      <c r="BY82" s="14"/>
      <c r="BZ82" s="14"/>
      <c r="CA82" s="14"/>
      <c r="CB82" s="14"/>
      <c r="CC82" s="14"/>
      <c r="CD82" s="14"/>
      <c r="CE82" s="14"/>
      <c r="CF82" s="14"/>
      <c r="CG82" s="14"/>
      <c r="CH82" s="14"/>
      <c r="CI82" s="14"/>
      <c r="CJ82" s="14"/>
      <c r="CK82" s="14"/>
      <c r="CL82" s="14"/>
      <c r="CM82" s="14"/>
      <c r="CN82" s="14"/>
      <c r="CO82" s="14"/>
      <c r="CP82" s="14"/>
      <c r="CQ82" s="14"/>
      <c r="CR82" s="14"/>
      <c r="CS82" s="14"/>
      <c r="CT82" s="14"/>
      <c r="CU82" s="14"/>
      <c r="CV82" s="14"/>
      <c r="CW82" s="14"/>
      <c r="CX82" s="14"/>
      <c r="CY82" s="14"/>
      <c r="CZ82" s="14"/>
      <c r="DA82" s="14"/>
      <c r="DB82" s="14"/>
      <c r="DC82" s="14"/>
      <c r="DD82" s="14"/>
      <c r="DE82" s="14"/>
      <c r="DF82" s="14"/>
      <c r="DG82" s="14"/>
      <c r="DH82" s="14"/>
      <c r="DI82" s="14"/>
      <c r="DJ82" s="14"/>
      <c r="DK82" s="14"/>
      <c r="DL82" s="14"/>
      <c r="DM82" s="14"/>
      <c r="DN82" s="14"/>
      <c r="DO82" s="14"/>
      <c r="DP82" s="26"/>
      <c r="DQ82" s="27"/>
      <c r="DR82" s="129"/>
      <c r="DS82" s="130">
        <f>TCP(BO82:DQ82,$BO$9:$DQ$9,data!$H$8)</f>
        <v>0</v>
      </c>
      <c r="DT82" s="135"/>
      <c r="DU82" s="121"/>
      <c r="DV82" s="121"/>
      <c r="DW82" s="134"/>
      <c r="DX82" s="132"/>
      <c r="DY82" s="136"/>
      <c r="DZ82" s="21"/>
      <c r="EA82" s="18"/>
      <c r="EB82" s="4"/>
      <c r="EI82" s="23"/>
      <c r="EJ82" s="23"/>
    </row>
    <row r="83" spans="1:140" s="191" customFormat="1" ht="15.75" x14ac:dyDescent="0.25">
      <c r="A83" s="12"/>
      <c r="B83" s="16"/>
      <c r="C83" s="24" t="str">
        <f t="shared" si="4"/>
        <v xml:space="preserve"> </v>
      </c>
      <c r="D83" s="25"/>
      <c r="E83" s="20"/>
      <c r="F83" s="19"/>
      <c r="G83" s="180"/>
      <c r="H83" s="120"/>
      <c r="I83" s="121"/>
      <c r="J83" s="121"/>
      <c r="K83" s="121"/>
      <c r="L83" s="121"/>
      <c r="M83" s="121"/>
      <c r="N83" s="121"/>
      <c r="O83" s="121"/>
      <c r="P83" s="121"/>
      <c r="Q83" s="121"/>
      <c r="R83" s="121"/>
      <c r="S83" s="121"/>
      <c r="T83" s="121"/>
      <c r="U83" s="121"/>
      <c r="V83" s="121"/>
      <c r="W83" s="121"/>
      <c r="X83" s="121"/>
      <c r="Y83" s="121"/>
      <c r="Z83" s="121"/>
      <c r="AA83" s="121"/>
      <c r="AB83" s="121"/>
      <c r="AC83" s="121"/>
      <c r="AD83" s="121"/>
      <c r="AE83" s="121"/>
      <c r="AF83" s="121"/>
      <c r="AG83" s="121"/>
      <c r="AH83" s="121"/>
      <c r="AI83" s="121"/>
      <c r="AJ83" s="121"/>
      <c r="AK83" s="121"/>
      <c r="AL83" s="121"/>
      <c r="AM83" s="121"/>
      <c r="AN83" s="121"/>
      <c r="AO83" s="121"/>
      <c r="AP83" s="121"/>
      <c r="AQ83" s="121"/>
      <c r="AR83" s="121"/>
      <c r="AS83" s="121"/>
      <c r="AT83" s="121"/>
      <c r="AU83" s="121"/>
      <c r="AV83" s="121"/>
      <c r="AW83" s="121"/>
      <c r="AX83" s="121"/>
      <c r="AY83" s="121"/>
      <c r="AZ83" s="121"/>
      <c r="BA83" s="121"/>
      <c r="BB83" s="121"/>
      <c r="BC83" s="121"/>
      <c r="BD83" s="121"/>
      <c r="BE83" s="121"/>
      <c r="BF83" s="121"/>
      <c r="BG83" s="121"/>
      <c r="BH83" s="121"/>
      <c r="BI83" s="121"/>
      <c r="BJ83" s="122"/>
      <c r="BK83" s="93"/>
      <c r="BL83" s="94"/>
      <c r="BM83" s="95"/>
      <c r="BN83" s="179" t="str">
        <f t="shared" si="5"/>
        <v/>
      </c>
      <c r="BO83" s="177"/>
      <c r="BP83" s="14"/>
      <c r="BQ83" s="14"/>
      <c r="BR83" s="14"/>
      <c r="BS83" s="14"/>
      <c r="BT83" s="14"/>
      <c r="BU83" s="14"/>
      <c r="BV83" s="16"/>
      <c r="BW83" s="14"/>
      <c r="BX83" s="14"/>
      <c r="BY83" s="14"/>
      <c r="BZ83" s="14"/>
      <c r="CA83" s="14"/>
      <c r="CB83" s="14"/>
      <c r="CC83" s="14"/>
      <c r="CD83" s="14"/>
      <c r="CE83" s="14"/>
      <c r="CF83" s="14"/>
      <c r="CG83" s="14"/>
      <c r="CH83" s="14"/>
      <c r="CI83" s="14"/>
      <c r="CJ83" s="14"/>
      <c r="CK83" s="14"/>
      <c r="CL83" s="14"/>
      <c r="CM83" s="14"/>
      <c r="CN83" s="14"/>
      <c r="CO83" s="14"/>
      <c r="CP83" s="14"/>
      <c r="CQ83" s="14"/>
      <c r="CR83" s="14"/>
      <c r="CS83" s="14"/>
      <c r="CT83" s="14"/>
      <c r="CU83" s="14"/>
      <c r="CV83" s="14"/>
      <c r="CW83" s="14"/>
      <c r="CX83" s="14"/>
      <c r="CY83" s="14"/>
      <c r="CZ83" s="14"/>
      <c r="DA83" s="14"/>
      <c r="DB83" s="14"/>
      <c r="DC83" s="14"/>
      <c r="DD83" s="14"/>
      <c r="DE83" s="14"/>
      <c r="DF83" s="14"/>
      <c r="DG83" s="14"/>
      <c r="DH83" s="14"/>
      <c r="DI83" s="14"/>
      <c r="DJ83" s="14"/>
      <c r="DK83" s="14"/>
      <c r="DL83" s="14"/>
      <c r="DM83" s="14"/>
      <c r="DN83" s="14"/>
      <c r="DO83" s="14"/>
      <c r="DP83" s="26"/>
      <c r="DQ83" s="27"/>
      <c r="DR83" s="129"/>
      <c r="DS83" s="130">
        <f>TCP(BO83:DQ83,$BO$9:$DQ$9,data!$H$8)</f>
        <v>0</v>
      </c>
      <c r="DT83" s="135"/>
      <c r="DU83" s="121"/>
      <c r="DV83" s="121"/>
      <c r="DW83" s="134"/>
      <c r="DX83" s="132"/>
      <c r="DY83" s="136"/>
      <c r="DZ83" s="21"/>
      <c r="EA83" s="18"/>
      <c r="EB83" s="4"/>
      <c r="EI83" s="23"/>
      <c r="EJ83" s="23"/>
    </row>
    <row r="84" spans="1:140" s="191" customFormat="1" ht="15.75" x14ac:dyDescent="0.25">
      <c r="A84" s="12"/>
      <c r="B84" s="16"/>
      <c r="C84" s="24" t="str">
        <f t="shared" si="4"/>
        <v xml:space="preserve"> </v>
      </c>
      <c r="D84" s="25"/>
      <c r="E84" s="20"/>
      <c r="F84" s="19"/>
      <c r="G84" s="180"/>
      <c r="H84" s="120"/>
      <c r="I84" s="121"/>
      <c r="J84" s="121"/>
      <c r="K84" s="121"/>
      <c r="L84" s="121"/>
      <c r="M84" s="121"/>
      <c r="N84" s="121"/>
      <c r="O84" s="121"/>
      <c r="P84" s="121"/>
      <c r="Q84" s="121"/>
      <c r="R84" s="121"/>
      <c r="S84" s="121"/>
      <c r="T84" s="121"/>
      <c r="U84" s="121"/>
      <c r="V84" s="121"/>
      <c r="W84" s="121"/>
      <c r="X84" s="121"/>
      <c r="Y84" s="121"/>
      <c r="Z84" s="121"/>
      <c r="AA84" s="121"/>
      <c r="AB84" s="121"/>
      <c r="AC84" s="121"/>
      <c r="AD84" s="121"/>
      <c r="AE84" s="121"/>
      <c r="AF84" s="121"/>
      <c r="AG84" s="121"/>
      <c r="AH84" s="121"/>
      <c r="AI84" s="121"/>
      <c r="AJ84" s="121"/>
      <c r="AK84" s="121"/>
      <c r="AL84" s="121"/>
      <c r="AM84" s="121"/>
      <c r="AN84" s="121"/>
      <c r="AO84" s="121"/>
      <c r="AP84" s="121"/>
      <c r="AQ84" s="121"/>
      <c r="AR84" s="121"/>
      <c r="AS84" s="121"/>
      <c r="AT84" s="121"/>
      <c r="AU84" s="121"/>
      <c r="AV84" s="121"/>
      <c r="AW84" s="121"/>
      <c r="AX84" s="121"/>
      <c r="AY84" s="121"/>
      <c r="AZ84" s="121"/>
      <c r="BA84" s="121"/>
      <c r="BB84" s="121"/>
      <c r="BC84" s="121"/>
      <c r="BD84" s="121"/>
      <c r="BE84" s="121"/>
      <c r="BF84" s="121"/>
      <c r="BG84" s="121"/>
      <c r="BH84" s="121"/>
      <c r="BI84" s="121"/>
      <c r="BJ84" s="122"/>
      <c r="BK84" s="93"/>
      <c r="BL84" s="94"/>
      <c r="BM84" s="95"/>
      <c r="BN84" s="179" t="str">
        <f t="shared" si="5"/>
        <v/>
      </c>
      <c r="BO84" s="177"/>
      <c r="BP84" s="14"/>
      <c r="BQ84" s="14"/>
      <c r="BR84" s="14"/>
      <c r="BS84" s="14"/>
      <c r="BT84" s="14"/>
      <c r="BU84" s="14"/>
      <c r="BV84" s="16"/>
      <c r="BW84" s="14"/>
      <c r="BX84" s="14"/>
      <c r="BY84" s="14"/>
      <c r="BZ84" s="14"/>
      <c r="CA84" s="14"/>
      <c r="CB84" s="14"/>
      <c r="CC84" s="14"/>
      <c r="CD84" s="14"/>
      <c r="CE84" s="14"/>
      <c r="CF84" s="14"/>
      <c r="CG84" s="14"/>
      <c r="CH84" s="14"/>
      <c r="CI84" s="14"/>
      <c r="CJ84" s="14"/>
      <c r="CK84" s="14"/>
      <c r="CL84" s="14"/>
      <c r="CM84" s="14"/>
      <c r="CN84" s="14"/>
      <c r="CO84" s="14"/>
      <c r="CP84" s="14"/>
      <c r="CQ84" s="14"/>
      <c r="CR84" s="14"/>
      <c r="CS84" s="14"/>
      <c r="CT84" s="14"/>
      <c r="CU84" s="14"/>
      <c r="CV84" s="14"/>
      <c r="CW84" s="14"/>
      <c r="CX84" s="14"/>
      <c r="CY84" s="14"/>
      <c r="CZ84" s="14"/>
      <c r="DA84" s="14"/>
      <c r="DB84" s="14"/>
      <c r="DC84" s="14"/>
      <c r="DD84" s="14"/>
      <c r="DE84" s="14"/>
      <c r="DF84" s="14"/>
      <c r="DG84" s="14"/>
      <c r="DH84" s="14"/>
      <c r="DI84" s="14"/>
      <c r="DJ84" s="14"/>
      <c r="DK84" s="14"/>
      <c r="DL84" s="14"/>
      <c r="DM84" s="14"/>
      <c r="DN84" s="14"/>
      <c r="DO84" s="14"/>
      <c r="DP84" s="26"/>
      <c r="DQ84" s="27"/>
      <c r="DR84" s="129"/>
      <c r="DS84" s="130">
        <f>TCP(BO84:DQ84,$BO$9:$DQ$9,data!$H$8)</f>
        <v>0</v>
      </c>
      <c r="DT84" s="135"/>
      <c r="DU84" s="121"/>
      <c r="DV84" s="121"/>
      <c r="DW84" s="134"/>
      <c r="DX84" s="132"/>
      <c r="DY84" s="136"/>
      <c r="DZ84" s="21"/>
      <c r="EA84" s="18"/>
      <c r="EB84" s="4"/>
      <c r="EI84" s="23"/>
      <c r="EJ84" s="23"/>
    </row>
    <row r="85" spans="1:140" s="191" customFormat="1" ht="15.75" x14ac:dyDescent="0.25">
      <c r="A85" s="12"/>
      <c r="B85" s="16"/>
      <c r="C85" s="24" t="str">
        <f t="shared" si="4"/>
        <v xml:space="preserve"> </v>
      </c>
      <c r="D85" s="25"/>
      <c r="E85" s="20"/>
      <c r="F85" s="19"/>
      <c r="G85" s="180"/>
      <c r="H85" s="120"/>
      <c r="I85" s="121"/>
      <c r="J85" s="121"/>
      <c r="K85" s="121"/>
      <c r="L85" s="121"/>
      <c r="M85" s="121"/>
      <c r="N85" s="121"/>
      <c r="O85" s="121"/>
      <c r="P85" s="121"/>
      <c r="Q85" s="121"/>
      <c r="R85" s="121"/>
      <c r="S85" s="121"/>
      <c r="T85" s="121"/>
      <c r="U85" s="121"/>
      <c r="V85" s="121"/>
      <c r="W85" s="121"/>
      <c r="X85" s="121"/>
      <c r="Y85" s="121"/>
      <c r="Z85" s="121"/>
      <c r="AA85" s="121"/>
      <c r="AB85" s="121"/>
      <c r="AC85" s="121"/>
      <c r="AD85" s="121"/>
      <c r="AE85" s="121"/>
      <c r="AF85" s="121"/>
      <c r="AG85" s="121"/>
      <c r="AH85" s="121"/>
      <c r="AI85" s="121"/>
      <c r="AJ85" s="121"/>
      <c r="AK85" s="121"/>
      <c r="AL85" s="121"/>
      <c r="AM85" s="121"/>
      <c r="AN85" s="121"/>
      <c r="AO85" s="121"/>
      <c r="AP85" s="121"/>
      <c r="AQ85" s="121"/>
      <c r="AR85" s="121"/>
      <c r="AS85" s="121"/>
      <c r="AT85" s="121"/>
      <c r="AU85" s="121"/>
      <c r="AV85" s="121"/>
      <c r="AW85" s="121"/>
      <c r="AX85" s="121"/>
      <c r="AY85" s="121"/>
      <c r="AZ85" s="121"/>
      <c r="BA85" s="121"/>
      <c r="BB85" s="121"/>
      <c r="BC85" s="121"/>
      <c r="BD85" s="121"/>
      <c r="BE85" s="121"/>
      <c r="BF85" s="121"/>
      <c r="BG85" s="121"/>
      <c r="BH85" s="121"/>
      <c r="BI85" s="121"/>
      <c r="BJ85" s="122"/>
      <c r="BK85" s="93"/>
      <c r="BL85" s="94"/>
      <c r="BM85" s="95"/>
      <c r="BN85" s="179" t="str">
        <f t="shared" si="5"/>
        <v/>
      </c>
      <c r="BO85" s="177"/>
      <c r="BP85" s="14"/>
      <c r="BQ85" s="14"/>
      <c r="BR85" s="14"/>
      <c r="BS85" s="14"/>
      <c r="BT85" s="14"/>
      <c r="BU85" s="14"/>
      <c r="BV85" s="16"/>
      <c r="BW85" s="14"/>
      <c r="BX85" s="14"/>
      <c r="BY85" s="14"/>
      <c r="BZ85" s="14"/>
      <c r="CA85" s="14"/>
      <c r="CB85" s="14"/>
      <c r="CC85" s="14"/>
      <c r="CD85" s="14"/>
      <c r="CE85" s="14"/>
      <c r="CF85" s="14"/>
      <c r="CG85" s="14"/>
      <c r="CH85" s="14"/>
      <c r="CI85" s="14"/>
      <c r="CJ85" s="14"/>
      <c r="CK85" s="14"/>
      <c r="CL85" s="14"/>
      <c r="CM85" s="14"/>
      <c r="CN85" s="14"/>
      <c r="CO85" s="14"/>
      <c r="CP85" s="14"/>
      <c r="CQ85" s="14"/>
      <c r="CR85" s="14"/>
      <c r="CS85" s="14"/>
      <c r="CT85" s="14"/>
      <c r="CU85" s="14"/>
      <c r="CV85" s="14"/>
      <c r="CW85" s="14"/>
      <c r="CX85" s="14"/>
      <c r="CY85" s="14"/>
      <c r="CZ85" s="14"/>
      <c r="DA85" s="14"/>
      <c r="DB85" s="14"/>
      <c r="DC85" s="14"/>
      <c r="DD85" s="14"/>
      <c r="DE85" s="14"/>
      <c r="DF85" s="14"/>
      <c r="DG85" s="14"/>
      <c r="DH85" s="14"/>
      <c r="DI85" s="14"/>
      <c r="DJ85" s="14"/>
      <c r="DK85" s="14"/>
      <c r="DL85" s="14"/>
      <c r="DM85" s="14"/>
      <c r="DN85" s="14"/>
      <c r="DO85" s="14"/>
      <c r="DP85" s="26"/>
      <c r="DQ85" s="27"/>
      <c r="DR85" s="129"/>
      <c r="DS85" s="130">
        <f>TCP(BO85:DQ85,$BO$9:$DQ$9,data!$H$8)</f>
        <v>0</v>
      </c>
      <c r="DT85" s="135"/>
      <c r="DU85" s="121"/>
      <c r="DV85" s="121"/>
      <c r="DW85" s="134"/>
      <c r="DX85" s="132"/>
      <c r="DY85" s="136"/>
      <c r="DZ85" s="21"/>
      <c r="EA85" s="18"/>
      <c r="EB85" s="4"/>
      <c r="EI85" s="23"/>
      <c r="EJ85" s="23"/>
    </row>
    <row r="86" spans="1:140" s="191" customFormat="1" ht="15.75" x14ac:dyDescent="0.25">
      <c r="A86" s="12"/>
      <c r="B86" s="16"/>
      <c r="C86" s="24" t="str">
        <f t="shared" si="4"/>
        <v xml:space="preserve"> </v>
      </c>
      <c r="D86" s="25"/>
      <c r="E86" s="20"/>
      <c r="F86" s="19"/>
      <c r="G86" s="180"/>
      <c r="H86" s="120"/>
      <c r="I86" s="121"/>
      <c r="J86" s="121"/>
      <c r="K86" s="121"/>
      <c r="L86" s="121"/>
      <c r="M86" s="121"/>
      <c r="N86" s="121"/>
      <c r="O86" s="121"/>
      <c r="P86" s="121"/>
      <c r="Q86" s="121"/>
      <c r="R86" s="121"/>
      <c r="S86" s="121"/>
      <c r="T86" s="121"/>
      <c r="U86" s="121"/>
      <c r="V86" s="121"/>
      <c r="W86" s="121"/>
      <c r="X86" s="121"/>
      <c r="Y86" s="121"/>
      <c r="Z86" s="121"/>
      <c r="AA86" s="121"/>
      <c r="AB86" s="121"/>
      <c r="AC86" s="121"/>
      <c r="AD86" s="121"/>
      <c r="AE86" s="121"/>
      <c r="AF86" s="121"/>
      <c r="AG86" s="121"/>
      <c r="AH86" s="121"/>
      <c r="AI86" s="121"/>
      <c r="AJ86" s="121"/>
      <c r="AK86" s="121"/>
      <c r="AL86" s="121"/>
      <c r="AM86" s="121"/>
      <c r="AN86" s="121"/>
      <c r="AO86" s="121"/>
      <c r="AP86" s="121"/>
      <c r="AQ86" s="121"/>
      <c r="AR86" s="121"/>
      <c r="AS86" s="121"/>
      <c r="AT86" s="121"/>
      <c r="AU86" s="121"/>
      <c r="AV86" s="121"/>
      <c r="AW86" s="121"/>
      <c r="AX86" s="121"/>
      <c r="AY86" s="121"/>
      <c r="AZ86" s="121"/>
      <c r="BA86" s="121"/>
      <c r="BB86" s="121"/>
      <c r="BC86" s="121"/>
      <c r="BD86" s="121"/>
      <c r="BE86" s="121"/>
      <c r="BF86" s="121"/>
      <c r="BG86" s="121"/>
      <c r="BH86" s="121"/>
      <c r="BI86" s="121"/>
      <c r="BJ86" s="122"/>
      <c r="BK86" s="93"/>
      <c r="BL86" s="94"/>
      <c r="BM86" s="95"/>
      <c r="BN86" s="179" t="str">
        <f t="shared" si="5"/>
        <v/>
      </c>
      <c r="BO86" s="177"/>
      <c r="BP86" s="14"/>
      <c r="BQ86" s="14"/>
      <c r="BR86" s="14"/>
      <c r="BS86" s="14"/>
      <c r="BT86" s="14"/>
      <c r="BU86" s="14"/>
      <c r="BV86" s="16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4"/>
      <c r="CI86" s="14"/>
      <c r="CJ86" s="14"/>
      <c r="CK86" s="14"/>
      <c r="CL86" s="14"/>
      <c r="CM86" s="14"/>
      <c r="CN86" s="14"/>
      <c r="CO86" s="14"/>
      <c r="CP86" s="14"/>
      <c r="CQ86" s="14"/>
      <c r="CR86" s="14"/>
      <c r="CS86" s="14"/>
      <c r="CT86" s="14"/>
      <c r="CU86" s="14"/>
      <c r="CV86" s="14"/>
      <c r="CW86" s="14"/>
      <c r="CX86" s="14"/>
      <c r="CY86" s="14"/>
      <c r="CZ86" s="14"/>
      <c r="DA86" s="14"/>
      <c r="DB86" s="14"/>
      <c r="DC86" s="14"/>
      <c r="DD86" s="14"/>
      <c r="DE86" s="14"/>
      <c r="DF86" s="14"/>
      <c r="DG86" s="14"/>
      <c r="DH86" s="14"/>
      <c r="DI86" s="14"/>
      <c r="DJ86" s="14"/>
      <c r="DK86" s="14"/>
      <c r="DL86" s="14"/>
      <c r="DM86" s="14"/>
      <c r="DN86" s="14"/>
      <c r="DO86" s="14"/>
      <c r="DP86" s="26"/>
      <c r="DQ86" s="27"/>
      <c r="DR86" s="129"/>
      <c r="DS86" s="130">
        <f>TCP(BO86:DQ86,$BO$9:$DQ$9,data!$H$8)</f>
        <v>0</v>
      </c>
      <c r="DT86" s="135"/>
      <c r="DU86" s="121"/>
      <c r="DV86" s="121"/>
      <c r="DW86" s="134"/>
      <c r="DX86" s="132"/>
      <c r="DY86" s="136"/>
      <c r="DZ86" s="21"/>
      <c r="EA86" s="18"/>
      <c r="EB86" s="4"/>
      <c r="EI86" s="23"/>
      <c r="EJ86" s="23"/>
    </row>
    <row r="87" spans="1:140" s="191" customFormat="1" ht="15.75" x14ac:dyDescent="0.25">
      <c r="A87" s="12"/>
      <c r="B87" s="16"/>
      <c r="C87" s="24" t="str">
        <f t="shared" si="4"/>
        <v xml:space="preserve"> </v>
      </c>
      <c r="D87" s="25"/>
      <c r="E87" s="20"/>
      <c r="F87" s="19"/>
      <c r="G87" s="180"/>
      <c r="H87" s="120"/>
      <c r="I87" s="121"/>
      <c r="J87" s="121"/>
      <c r="K87" s="121"/>
      <c r="L87" s="121"/>
      <c r="M87" s="121"/>
      <c r="N87" s="121"/>
      <c r="O87" s="121"/>
      <c r="P87" s="121"/>
      <c r="Q87" s="121"/>
      <c r="R87" s="121"/>
      <c r="S87" s="121"/>
      <c r="T87" s="121"/>
      <c r="U87" s="121"/>
      <c r="V87" s="121"/>
      <c r="W87" s="121"/>
      <c r="X87" s="121"/>
      <c r="Y87" s="121"/>
      <c r="Z87" s="121"/>
      <c r="AA87" s="121"/>
      <c r="AB87" s="121"/>
      <c r="AC87" s="121"/>
      <c r="AD87" s="121"/>
      <c r="AE87" s="121"/>
      <c r="AF87" s="121"/>
      <c r="AG87" s="121"/>
      <c r="AH87" s="121"/>
      <c r="AI87" s="121"/>
      <c r="AJ87" s="121"/>
      <c r="AK87" s="121"/>
      <c r="AL87" s="121"/>
      <c r="AM87" s="121"/>
      <c r="AN87" s="121"/>
      <c r="AO87" s="121"/>
      <c r="AP87" s="121"/>
      <c r="AQ87" s="121"/>
      <c r="AR87" s="121"/>
      <c r="AS87" s="121"/>
      <c r="AT87" s="121"/>
      <c r="AU87" s="121"/>
      <c r="AV87" s="121"/>
      <c r="AW87" s="121"/>
      <c r="AX87" s="121"/>
      <c r="AY87" s="121"/>
      <c r="AZ87" s="121"/>
      <c r="BA87" s="121"/>
      <c r="BB87" s="121"/>
      <c r="BC87" s="121"/>
      <c r="BD87" s="121"/>
      <c r="BE87" s="121"/>
      <c r="BF87" s="121"/>
      <c r="BG87" s="121"/>
      <c r="BH87" s="121"/>
      <c r="BI87" s="121"/>
      <c r="BJ87" s="122"/>
      <c r="BK87" s="93"/>
      <c r="BL87" s="94"/>
      <c r="BM87" s="95"/>
      <c r="BN87" s="179" t="str">
        <f t="shared" si="5"/>
        <v/>
      </c>
      <c r="BO87" s="177"/>
      <c r="BP87" s="14"/>
      <c r="BQ87" s="14"/>
      <c r="BR87" s="14"/>
      <c r="BS87" s="14"/>
      <c r="BT87" s="14"/>
      <c r="BU87" s="14"/>
      <c r="BV87" s="16"/>
      <c r="BW87" s="14"/>
      <c r="BX87" s="14"/>
      <c r="BY87" s="14"/>
      <c r="BZ87" s="14"/>
      <c r="CA87" s="14"/>
      <c r="CB87" s="14"/>
      <c r="CC87" s="14"/>
      <c r="CD87" s="14"/>
      <c r="CE87" s="14"/>
      <c r="CF87" s="14"/>
      <c r="CG87" s="14"/>
      <c r="CH87" s="14"/>
      <c r="CI87" s="14"/>
      <c r="CJ87" s="14"/>
      <c r="CK87" s="14"/>
      <c r="CL87" s="14"/>
      <c r="CM87" s="14"/>
      <c r="CN87" s="14"/>
      <c r="CO87" s="14"/>
      <c r="CP87" s="14"/>
      <c r="CQ87" s="14"/>
      <c r="CR87" s="14"/>
      <c r="CS87" s="14"/>
      <c r="CT87" s="14"/>
      <c r="CU87" s="14"/>
      <c r="CV87" s="14"/>
      <c r="CW87" s="14"/>
      <c r="CX87" s="14"/>
      <c r="CY87" s="14"/>
      <c r="CZ87" s="14"/>
      <c r="DA87" s="14"/>
      <c r="DB87" s="14"/>
      <c r="DC87" s="14"/>
      <c r="DD87" s="14"/>
      <c r="DE87" s="14"/>
      <c r="DF87" s="14"/>
      <c r="DG87" s="14"/>
      <c r="DH87" s="14"/>
      <c r="DI87" s="14"/>
      <c r="DJ87" s="14"/>
      <c r="DK87" s="14"/>
      <c r="DL87" s="14"/>
      <c r="DM87" s="14"/>
      <c r="DN87" s="14"/>
      <c r="DO87" s="14"/>
      <c r="DP87" s="26"/>
      <c r="DQ87" s="27"/>
      <c r="DR87" s="129"/>
      <c r="DS87" s="130">
        <f>TCP(BO87:DQ87,$BO$9:$DQ$9,data!$H$8)</f>
        <v>0</v>
      </c>
      <c r="DT87" s="135"/>
      <c r="DU87" s="121"/>
      <c r="DV87" s="121"/>
      <c r="DW87" s="134"/>
      <c r="DX87" s="132"/>
      <c r="DY87" s="136"/>
      <c r="DZ87" s="21"/>
      <c r="EA87" s="18"/>
      <c r="EB87" s="4"/>
      <c r="EI87" s="23"/>
      <c r="EJ87" s="23"/>
    </row>
    <row r="88" spans="1:140" s="191" customFormat="1" ht="15.75" x14ac:dyDescent="0.25">
      <c r="A88" s="12"/>
      <c r="B88" s="16"/>
      <c r="C88" s="24" t="str">
        <f t="shared" si="4"/>
        <v xml:space="preserve"> </v>
      </c>
      <c r="D88" s="25"/>
      <c r="E88" s="20"/>
      <c r="F88" s="19"/>
      <c r="G88" s="180"/>
      <c r="H88" s="120"/>
      <c r="I88" s="121"/>
      <c r="J88" s="121"/>
      <c r="K88" s="121"/>
      <c r="L88" s="121"/>
      <c r="M88" s="121"/>
      <c r="N88" s="121"/>
      <c r="O88" s="121"/>
      <c r="P88" s="121"/>
      <c r="Q88" s="121"/>
      <c r="R88" s="121"/>
      <c r="S88" s="121"/>
      <c r="T88" s="121"/>
      <c r="U88" s="121"/>
      <c r="V88" s="121"/>
      <c r="W88" s="121"/>
      <c r="X88" s="121"/>
      <c r="Y88" s="121"/>
      <c r="Z88" s="121"/>
      <c r="AA88" s="121"/>
      <c r="AB88" s="121"/>
      <c r="AC88" s="121"/>
      <c r="AD88" s="121"/>
      <c r="AE88" s="121"/>
      <c r="AF88" s="121"/>
      <c r="AG88" s="121"/>
      <c r="AH88" s="121"/>
      <c r="AI88" s="121"/>
      <c r="AJ88" s="121"/>
      <c r="AK88" s="121"/>
      <c r="AL88" s="121"/>
      <c r="AM88" s="121"/>
      <c r="AN88" s="121"/>
      <c r="AO88" s="121"/>
      <c r="AP88" s="121"/>
      <c r="AQ88" s="121"/>
      <c r="AR88" s="121"/>
      <c r="AS88" s="121"/>
      <c r="AT88" s="121"/>
      <c r="AU88" s="121"/>
      <c r="AV88" s="121"/>
      <c r="AW88" s="121"/>
      <c r="AX88" s="121"/>
      <c r="AY88" s="121"/>
      <c r="AZ88" s="121"/>
      <c r="BA88" s="121"/>
      <c r="BB88" s="121"/>
      <c r="BC88" s="121"/>
      <c r="BD88" s="121"/>
      <c r="BE88" s="121"/>
      <c r="BF88" s="121"/>
      <c r="BG88" s="121"/>
      <c r="BH88" s="121"/>
      <c r="BI88" s="121"/>
      <c r="BJ88" s="122"/>
      <c r="BK88" s="93"/>
      <c r="BL88" s="94"/>
      <c r="BM88" s="95"/>
      <c r="BN88" s="179" t="str">
        <f t="shared" si="5"/>
        <v/>
      </c>
      <c r="BO88" s="177"/>
      <c r="BP88" s="14"/>
      <c r="BQ88" s="14"/>
      <c r="BR88" s="14"/>
      <c r="BS88" s="14"/>
      <c r="BT88" s="14"/>
      <c r="BU88" s="14"/>
      <c r="BV88" s="16"/>
      <c r="BW88" s="14"/>
      <c r="BX88" s="14"/>
      <c r="BY88" s="14"/>
      <c r="BZ88" s="14"/>
      <c r="CA88" s="14"/>
      <c r="CB88" s="14"/>
      <c r="CC88" s="14"/>
      <c r="CD88" s="14"/>
      <c r="CE88" s="14"/>
      <c r="CF88" s="14"/>
      <c r="CG88" s="14"/>
      <c r="CH88" s="14"/>
      <c r="CI88" s="14"/>
      <c r="CJ88" s="14"/>
      <c r="CK88" s="14"/>
      <c r="CL88" s="14"/>
      <c r="CM88" s="14"/>
      <c r="CN88" s="14"/>
      <c r="CO88" s="14"/>
      <c r="CP88" s="14"/>
      <c r="CQ88" s="14"/>
      <c r="CR88" s="14"/>
      <c r="CS88" s="14"/>
      <c r="CT88" s="14"/>
      <c r="CU88" s="14"/>
      <c r="CV88" s="14"/>
      <c r="CW88" s="14"/>
      <c r="CX88" s="14"/>
      <c r="CY88" s="14"/>
      <c r="CZ88" s="14"/>
      <c r="DA88" s="14"/>
      <c r="DB88" s="14"/>
      <c r="DC88" s="14"/>
      <c r="DD88" s="14"/>
      <c r="DE88" s="14"/>
      <c r="DF88" s="14"/>
      <c r="DG88" s="14"/>
      <c r="DH88" s="14"/>
      <c r="DI88" s="14"/>
      <c r="DJ88" s="14"/>
      <c r="DK88" s="14"/>
      <c r="DL88" s="14"/>
      <c r="DM88" s="14"/>
      <c r="DN88" s="14"/>
      <c r="DO88" s="14"/>
      <c r="DP88" s="26"/>
      <c r="DQ88" s="27"/>
      <c r="DR88" s="129"/>
      <c r="DS88" s="130">
        <f>TCP(BO88:DQ88,$BO$9:$DQ$9,data!$H$8)</f>
        <v>0</v>
      </c>
      <c r="DT88" s="135"/>
      <c r="DU88" s="121"/>
      <c r="DV88" s="121"/>
      <c r="DW88" s="134"/>
      <c r="DX88" s="132"/>
      <c r="DY88" s="136"/>
      <c r="DZ88" s="21"/>
      <c r="EA88" s="18"/>
      <c r="EB88" s="4"/>
      <c r="EI88" s="23"/>
      <c r="EJ88" s="23"/>
    </row>
    <row r="89" spans="1:140" s="191" customFormat="1" ht="15.75" x14ac:dyDescent="0.25">
      <c r="A89" s="12"/>
      <c r="B89" s="16"/>
      <c r="C89" s="24" t="str">
        <f t="shared" si="4"/>
        <v xml:space="preserve"> </v>
      </c>
      <c r="D89" s="25"/>
      <c r="E89" s="20"/>
      <c r="F89" s="19"/>
      <c r="G89" s="180"/>
      <c r="H89" s="120"/>
      <c r="I89" s="121"/>
      <c r="J89" s="121"/>
      <c r="K89" s="121"/>
      <c r="L89" s="121"/>
      <c r="M89" s="121"/>
      <c r="N89" s="121"/>
      <c r="O89" s="121"/>
      <c r="P89" s="121"/>
      <c r="Q89" s="121"/>
      <c r="R89" s="121"/>
      <c r="S89" s="121"/>
      <c r="T89" s="121"/>
      <c r="U89" s="121"/>
      <c r="V89" s="121"/>
      <c r="W89" s="121"/>
      <c r="X89" s="121"/>
      <c r="Y89" s="121"/>
      <c r="Z89" s="121"/>
      <c r="AA89" s="121"/>
      <c r="AB89" s="121"/>
      <c r="AC89" s="121"/>
      <c r="AD89" s="121"/>
      <c r="AE89" s="121"/>
      <c r="AF89" s="121"/>
      <c r="AG89" s="121"/>
      <c r="AH89" s="121"/>
      <c r="AI89" s="121"/>
      <c r="AJ89" s="121"/>
      <c r="AK89" s="121"/>
      <c r="AL89" s="121"/>
      <c r="AM89" s="121"/>
      <c r="AN89" s="121"/>
      <c r="AO89" s="121"/>
      <c r="AP89" s="121"/>
      <c r="AQ89" s="121"/>
      <c r="AR89" s="121"/>
      <c r="AS89" s="121"/>
      <c r="AT89" s="121"/>
      <c r="AU89" s="121"/>
      <c r="AV89" s="121"/>
      <c r="AW89" s="121"/>
      <c r="AX89" s="121"/>
      <c r="AY89" s="121"/>
      <c r="AZ89" s="121"/>
      <c r="BA89" s="121"/>
      <c r="BB89" s="121"/>
      <c r="BC89" s="121"/>
      <c r="BD89" s="121"/>
      <c r="BE89" s="121"/>
      <c r="BF89" s="121"/>
      <c r="BG89" s="121"/>
      <c r="BH89" s="121"/>
      <c r="BI89" s="121"/>
      <c r="BJ89" s="122"/>
      <c r="BK89" s="93"/>
      <c r="BL89" s="94"/>
      <c r="BM89" s="95"/>
      <c r="BN89" s="179" t="str">
        <f t="shared" si="5"/>
        <v/>
      </c>
      <c r="BO89" s="177"/>
      <c r="BP89" s="14"/>
      <c r="BQ89" s="14"/>
      <c r="BR89" s="14"/>
      <c r="BS89" s="14"/>
      <c r="BT89" s="14"/>
      <c r="BU89" s="14"/>
      <c r="BV89" s="16"/>
      <c r="BW89" s="14"/>
      <c r="BX89" s="14"/>
      <c r="BY89" s="14"/>
      <c r="BZ89" s="14"/>
      <c r="CA89" s="14"/>
      <c r="CB89" s="14"/>
      <c r="CC89" s="14"/>
      <c r="CD89" s="14"/>
      <c r="CE89" s="14"/>
      <c r="CF89" s="14"/>
      <c r="CG89" s="14"/>
      <c r="CH89" s="14"/>
      <c r="CI89" s="14"/>
      <c r="CJ89" s="14"/>
      <c r="CK89" s="14"/>
      <c r="CL89" s="14"/>
      <c r="CM89" s="14"/>
      <c r="CN89" s="14"/>
      <c r="CO89" s="14"/>
      <c r="CP89" s="14"/>
      <c r="CQ89" s="14"/>
      <c r="CR89" s="14"/>
      <c r="CS89" s="14"/>
      <c r="CT89" s="14"/>
      <c r="CU89" s="14"/>
      <c r="CV89" s="14"/>
      <c r="CW89" s="14"/>
      <c r="CX89" s="14"/>
      <c r="CY89" s="14"/>
      <c r="CZ89" s="14"/>
      <c r="DA89" s="14"/>
      <c r="DB89" s="14"/>
      <c r="DC89" s="14"/>
      <c r="DD89" s="14"/>
      <c r="DE89" s="14"/>
      <c r="DF89" s="14"/>
      <c r="DG89" s="14"/>
      <c r="DH89" s="14"/>
      <c r="DI89" s="14"/>
      <c r="DJ89" s="14"/>
      <c r="DK89" s="14"/>
      <c r="DL89" s="14"/>
      <c r="DM89" s="14"/>
      <c r="DN89" s="14"/>
      <c r="DO89" s="14"/>
      <c r="DP89" s="26"/>
      <c r="DQ89" s="27"/>
      <c r="DR89" s="129"/>
      <c r="DS89" s="130">
        <f>TCP(BO89:DQ89,$BO$9:$DQ$9,data!$H$8)</f>
        <v>0</v>
      </c>
      <c r="DT89" s="135"/>
      <c r="DU89" s="121"/>
      <c r="DV89" s="121"/>
      <c r="DW89" s="134"/>
      <c r="DX89" s="132"/>
      <c r="DY89" s="136"/>
      <c r="DZ89" s="21"/>
      <c r="EA89" s="18"/>
      <c r="EB89" s="4"/>
      <c r="EI89" s="23"/>
      <c r="EJ89" s="23"/>
    </row>
    <row r="90" spans="1:140" s="191" customFormat="1" ht="15.75" x14ac:dyDescent="0.25">
      <c r="A90" s="12"/>
      <c r="B90" s="16"/>
      <c r="C90" s="24" t="str">
        <f t="shared" si="4"/>
        <v xml:space="preserve"> </v>
      </c>
      <c r="D90" s="25"/>
      <c r="E90" s="20"/>
      <c r="F90" s="19"/>
      <c r="G90" s="180"/>
      <c r="H90" s="120"/>
      <c r="I90" s="121"/>
      <c r="J90" s="121"/>
      <c r="K90" s="121"/>
      <c r="L90" s="121"/>
      <c r="M90" s="121"/>
      <c r="N90" s="121"/>
      <c r="O90" s="121"/>
      <c r="P90" s="121"/>
      <c r="Q90" s="121"/>
      <c r="R90" s="121"/>
      <c r="S90" s="121"/>
      <c r="T90" s="121"/>
      <c r="U90" s="121"/>
      <c r="V90" s="121"/>
      <c r="W90" s="121"/>
      <c r="X90" s="121"/>
      <c r="Y90" s="121"/>
      <c r="Z90" s="121"/>
      <c r="AA90" s="121"/>
      <c r="AB90" s="121"/>
      <c r="AC90" s="121"/>
      <c r="AD90" s="121"/>
      <c r="AE90" s="121"/>
      <c r="AF90" s="121"/>
      <c r="AG90" s="121"/>
      <c r="AH90" s="121"/>
      <c r="AI90" s="121"/>
      <c r="AJ90" s="121"/>
      <c r="AK90" s="121"/>
      <c r="AL90" s="121"/>
      <c r="AM90" s="121"/>
      <c r="AN90" s="121"/>
      <c r="AO90" s="121"/>
      <c r="AP90" s="121"/>
      <c r="AQ90" s="121"/>
      <c r="AR90" s="121"/>
      <c r="AS90" s="121"/>
      <c r="AT90" s="121"/>
      <c r="AU90" s="121"/>
      <c r="AV90" s="121"/>
      <c r="AW90" s="121"/>
      <c r="AX90" s="121"/>
      <c r="AY90" s="121"/>
      <c r="AZ90" s="121"/>
      <c r="BA90" s="121"/>
      <c r="BB90" s="121"/>
      <c r="BC90" s="121"/>
      <c r="BD90" s="121"/>
      <c r="BE90" s="121"/>
      <c r="BF90" s="121"/>
      <c r="BG90" s="121"/>
      <c r="BH90" s="121"/>
      <c r="BI90" s="121"/>
      <c r="BJ90" s="122"/>
      <c r="BK90" s="93"/>
      <c r="BL90" s="94"/>
      <c r="BM90" s="95"/>
      <c r="BN90" s="179" t="str">
        <f t="shared" si="5"/>
        <v/>
      </c>
      <c r="BO90" s="177"/>
      <c r="BP90" s="14"/>
      <c r="BQ90" s="14"/>
      <c r="BR90" s="14"/>
      <c r="BS90" s="14"/>
      <c r="BT90" s="14"/>
      <c r="BU90" s="14"/>
      <c r="BV90" s="16"/>
      <c r="BW90" s="14"/>
      <c r="BX90" s="14"/>
      <c r="BY90" s="14"/>
      <c r="BZ90" s="14"/>
      <c r="CA90" s="14"/>
      <c r="CB90" s="14"/>
      <c r="CC90" s="14"/>
      <c r="CD90" s="14"/>
      <c r="CE90" s="14"/>
      <c r="CF90" s="14"/>
      <c r="CG90" s="14"/>
      <c r="CH90" s="14"/>
      <c r="CI90" s="14"/>
      <c r="CJ90" s="14"/>
      <c r="CK90" s="14"/>
      <c r="CL90" s="14"/>
      <c r="CM90" s="14"/>
      <c r="CN90" s="14"/>
      <c r="CO90" s="14"/>
      <c r="CP90" s="14"/>
      <c r="CQ90" s="14"/>
      <c r="CR90" s="14"/>
      <c r="CS90" s="14"/>
      <c r="CT90" s="14"/>
      <c r="CU90" s="14"/>
      <c r="CV90" s="14"/>
      <c r="CW90" s="14"/>
      <c r="CX90" s="14"/>
      <c r="CY90" s="14"/>
      <c r="CZ90" s="14"/>
      <c r="DA90" s="14"/>
      <c r="DB90" s="14"/>
      <c r="DC90" s="14"/>
      <c r="DD90" s="14"/>
      <c r="DE90" s="14"/>
      <c r="DF90" s="14"/>
      <c r="DG90" s="14"/>
      <c r="DH90" s="14"/>
      <c r="DI90" s="14"/>
      <c r="DJ90" s="14"/>
      <c r="DK90" s="14"/>
      <c r="DL90" s="14"/>
      <c r="DM90" s="14"/>
      <c r="DN90" s="14"/>
      <c r="DO90" s="14"/>
      <c r="DP90" s="26"/>
      <c r="DQ90" s="27"/>
      <c r="DR90" s="129"/>
      <c r="DS90" s="130">
        <f>TCP(BO90:DQ90,$BO$9:$DQ$9,data!$H$8)</f>
        <v>0</v>
      </c>
      <c r="DT90" s="135"/>
      <c r="DU90" s="121"/>
      <c r="DV90" s="121"/>
      <c r="DW90" s="134"/>
      <c r="DX90" s="132"/>
      <c r="DY90" s="136"/>
      <c r="DZ90" s="21"/>
      <c r="EA90" s="18"/>
      <c r="EB90" s="4"/>
      <c r="EI90" s="23"/>
      <c r="EJ90" s="23"/>
    </row>
    <row r="91" spans="1:140" s="191" customFormat="1" ht="15.75" x14ac:dyDescent="0.25">
      <c r="A91" s="12"/>
      <c r="B91" s="16"/>
      <c r="C91" s="24" t="str">
        <f t="shared" si="4"/>
        <v xml:space="preserve"> </v>
      </c>
      <c r="D91" s="25"/>
      <c r="E91" s="20"/>
      <c r="F91" s="19"/>
      <c r="G91" s="180"/>
      <c r="H91" s="120"/>
      <c r="I91" s="121"/>
      <c r="J91" s="121"/>
      <c r="K91" s="121"/>
      <c r="L91" s="121"/>
      <c r="M91" s="121"/>
      <c r="N91" s="121"/>
      <c r="O91" s="121"/>
      <c r="P91" s="121"/>
      <c r="Q91" s="121"/>
      <c r="R91" s="121"/>
      <c r="S91" s="121"/>
      <c r="T91" s="121"/>
      <c r="U91" s="121"/>
      <c r="V91" s="121"/>
      <c r="W91" s="121"/>
      <c r="X91" s="121"/>
      <c r="Y91" s="121"/>
      <c r="Z91" s="121"/>
      <c r="AA91" s="121"/>
      <c r="AB91" s="121"/>
      <c r="AC91" s="121"/>
      <c r="AD91" s="121"/>
      <c r="AE91" s="121"/>
      <c r="AF91" s="121"/>
      <c r="AG91" s="121"/>
      <c r="AH91" s="121"/>
      <c r="AI91" s="121"/>
      <c r="AJ91" s="121"/>
      <c r="AK91" s="121"/>
      <c r="AL91" s="121"/>
      <c r="AM91" s="121"/>
      <c r="AN91" s="121"/>
      <c r="AO91" s="121"/>
      <c r="AP91" s="121"/>
      <c r="AQ91" s="121"/>
      <c r="AR91" s="121"/>
      <c r="AS91" s="121"/>
      <c r="AT91" s="121"/>
      <c r="AU91" s="121"/>
      <c r="AV91" s="121"/>
      <c r="AW91" s="121"/>
      <c r="AX91" s="121"/>
      <c r="AY91" s="121"/>
      <c r="AZ91" s="121"/>
      <c r="BA91" s="121"/>
      <c r="BB91" s="121"/>
      <c r="BC91" s="121"/>
      <c r="BD91" s="121"/>
      <c r="BE91" s="121"/>
      <c r="BF91" s="121"/>
      <c r="BG91" s="121"/>
      <c r="BH91" s="121"/>
      <c r="BI91" s="121"/>
      <c r="BJ91" s="122"/>
      <c r="BK91" s="93"/>
      <c r="BL91" s="94"/>
      <c r="BM91" s="95"/>
      <c r="BN91" s="179" t="str">
        <f t="shared" si="5"/>
        <v/>
      </c>
      <c r="BO91" s="177"/>
      <c r="BP91" s="14"/>
      <c r="BQ91" s="14"/>
      <c r="BR91" s="14"/>
      <c r="BS91" s="14"/>
      <c r="BT91" s="14"/>
      <c r="BU91" s="14"/>
      <c r="BV91" s="16"/>
      <c r="BW91" s="14"/>
      <c r="BX91" s="14"/>
      <c r="BY91" s="14"/>
      <c r="BZ91" s="14"/>
      <c r="CA91" s="14"/>
      <c r="CB91" s="14"/>
      <c r="CC91" s="14"/>
      <c r="CD91" s="14"/>
      <c r="CE91" s="14"/>
      <c r="CF91" s="14"/>
      <c r="CG91" s="14"/>
      <c r="CH91" s="14"/>
      <c r="CI91" s="14"/>
      <c r="CJ91" s="14"/>
      <c r="CK91" s="14"/>
      <c r="CL91" s="14"/>
      <c r="CM91" s="14"/>
      <c r="CN91" s="14"/>
      <c r="CO91" s="14"/>
      <c r="CP91" s="14"/>
      <c r="CQ91" s="14"/>
      <c r="CR91" s="14"/>
      <c r="CS91" s="14"/>
      <c r="CT91" s="14"/>
      <c r="CU91" s="14"/>
      <c r="CV91" s="14"/>
      <c r="CW91" s="14"/>
      <c r="CX91" s="14"/>
      <c r="CY91" s="14"/>
      <c r="CZ91" s="14"/>
      <c r="DA91" s="14"/>
      <c r="DB91" s="14"/>
      <c r="DC91" s="14"/>
      <c r="DD91" s="14"/>
      <c r="DE91" s="14"/>
      <c r="DF91" s="14"/>
      <c r="DG91" s="14"/>
      <c r="DH91" s="14"/>
      <c r="DI91" s="14"/>
      <c r="DJ91" s="14"/>
      <c r="DK91" s="14"/>
      <c r="DL91" s="14"/>
      <c r="DM91" s="14"/>
      <c r="DN91" s="14"/>
      <c r="DO91" s="14"/>
      <c r="DP91" s="26"/>
      <c r="DQ91" s="27"/>
      <c r="DR91" s="129"/>
      <c r="DS91" s="130">
        <f>TCP(BO91:DQ91,$BO$9:$DQ$9,data!$H$8)</f>
        <v>0</v>
      </c>
      <c r="DT91" s="135"/>
      <c r="DU91" s="121"/>
      <c r="DV91" s="121"/>
      <c r="DW91" s="134"/>
      <c r="DX91" s="132"/>
      <c r="DY91" s="136"/>
      <c r="DZ91" s="21"/>
      <c r="EA91" s="18"/>
      <c r="EB91" s="4"/>
      <c r="EI91" s="23"/>
      <c r="EJ91" s="23"/>
    </row>
    <row r="92" spans="1:140" s="191" customFormat="1" ht="15.75" x14ac:dyDescent="0.25">
      <c r="A92" s="12"/>
      <c r="B92" s="16"/>
      <c r="C92" s="24" t="str">
        <f t="shared" si="4"/>
        <v xml:space="preserve"> </v>
      </c>
      <c r="D92" s="25"/>
      <c r="E92" s="20"/>
      <c r="F92" s="19"/>
      <c r="G92" s="180"/>
      <c r="H92" s="120"/>
      <c r="I92" s="121"/>
      <c r="J92" s="121"/>
      <c r="K92" s="121"/>
      <c r="L92" s="121"/>
      <c r="M92" s="121"/>
      <c r="N92" s="121"/>
      <c r="O92" s="121"/>
      <c r="P92" s="121"/>
      <c r="Q92" s="121"/>
      <c r="R92" s="121"/>
      <c r="S92" s="121"/>
      <c r="T92" s="121"/>
      <c r="U92" s="121"/>
      <c r="V92" s="121"/>
      <c r="W92" s="121"/>
      <c r="X92" s="121"/>
      <c r="Y92" s="121"/>
      <c r="Z92" s="121"/>
      <c r="AA92" s="121"/>
      <c r="AB92" s="121"/>
      <c r="AC92" s="121"/>
      <c r="AD92" s="121"/>
      <c r="AE92" s="121"/>
      <c r="AF92" s="121"/>
      <c r="AG92" s="121"/>
      <c r="AH92" s="121"/>
      <c r="AI92" s="121"/>
      <c r="AJ92" s="121"/>
      <c r="AK92" s="121"/>
      <c r="AL92" s="121"/>
      <c r="AM92" s="121"/>
      <c r="AN92" s="121"/>
      <c r="AO92" s="121"/>
      <c r="AP92" s="121"/>
      <c r="AQ92" s="121"/>
      <c r="AR92" s="121"/>
      <c r="AS92" s="121"/>
      <c r="AT92" s="121"/>
      <c r="AU92" s="121"/>
      <c r="AV92" s="121"/>
      <c r="AW92" s="121"/>
      <c r="AX92" s="121"/>
      <c r="AY92" s="121"/>
      <c r="AZ92" s="121"/>
      <c r="BA92" s="121"/>
      <c r="BB92" s="121"/>
      <c r="BC92" s="121"/>
      <c r="BD92" s="121"/>
      <c r="BE92" s="121"/>
      <c r="BF92" s="121"/>
      <c r="BG92" s="121"/>
      <c r="BH92" s="121"/>
      <c r="BI92" s="121"/>
      <c r="BJ92" s="122"/>
      <c r="BK92" s="93"/>
      <c r="BL92" s="94"/>
      <c r="BM92" s="95"/>
      <c r="BN92" s="179" t="str">
        <f t="shared" si="5"/>
        <v/>
      </c>
      <c r="BO92" s="177"/>
      <c r="BP92" s="14"/>
      <c r="BQ92" s="14"/>
      <c r="BR92" s="14"/>
      <c r="BS92" s="14"/>
      <c r="BT92" s="14"/>
      <c r="BU92" s="14"/>
      <c r="BV92" s="16"/>
      <c r="BW92" s="14"/>
      <c r="BX92" s="14"/>
      <c r="BY92" s="14"/>
      <c r="BZ92" s="14"/>
      <c r="CA92" s="14"/>
      <c r="CB92" s="14"/>
      <c r="CC92" s="14"/>
      <c r="CD92" s="14"/>
      <c r="CE92" s="14"/>
      <c r="CF92" s="14"/>
      <c r="CG92" s="14"/>
      <c r="CH92" s="14"/>
      <c r="CI92" s="14"/>
      <c r="CJ92" s="14"/>
      <c r="CK92" s="14"/>
      <c r="CL92" s="14"/>
      <c r="CM92" s="14"/>
      <c r="CN92" s="14"/>
      <c r="CO92" s="14"/>
      <c r="CP92" s="14"/>
      <c r="CQ92" s="14"/>
      <c r="CR92" s="14"/>
      <c r="CS92" s="14"/>
      <c r="CT92" s="14"/>
      <c r="CU92" s="14"/>
      <c r="CV92" s="14"/>
      <c r="CW92" s="14"/>
      <c r="CX92" s="14"/>
      <c r="CY92" s="14"/>
      <c r="CZ92" s="14"/>
      <c r="DA92" s="14"/>
      <c r="DB92" s="14"/>
      <c r="DC92" s="14"/>
      <c r="DD92" s="14"/>
      <c r="DE92" s="14"/>
      <c r="DF92" s="14"/>
      <c r="DG92" s="14"/>
      <c r="DH92" s="14"/>
      <c r="DI92" s="14"/>
      <c r="DJ92" s="14"/>
      <c r="DK92" s="14"/>
      <c r="DL92" s="14"/>
      <c r="DM92" s="14"/>
      <c r="DN92" s="14"/>
      <c r="DO92" s="14"/>
      <c r="DP92" s="26"/>
      <c r="DQ92" s="27"/>
      <c r="DR92" s="129"/>
      <c r="DS92" s="130">
        <f>TCP(BO92:DQ92,$BO$9:$DQ$9,data!$H$8)</f>
        <v>0</v>
      </c>
      <c r="DT92" s="135"/>
      <c r="DU92" s="121"/>
      <c r="DV92" s="121"/>
      <c r="DW92" s="134"/>
      <c r="DX92" s="132"/>
      <c r="DY92" s="136"/>
      <c r="DZ92" s="21"/>
      <c r="EA92" s="18"/>
      <c r="EB92" s="4"/>
      <c r="EI92" s="23"/>
      <c r="EJ92" s="23"/>
    </row>
    <row r="93" spans="1:140" s="191" customFormat="1" ht="15.75" x14ac:dyDescent="0.25">
      <c r="A93" s="12"/>
      <c r="B93" s="16"/>
      <c r="C93" s="24" t="str">
        <f t="shared" si="4"/>
        <v xml:space="preserve"> </v>
      </c>
      <c r="D93" s="25"/>
      <c r="E93" s="20"/>
      <c r="F93" s="19"/>
      <c r="G93" s="180"/>
      <c r="H93" s="120"/>
      <c r="I93" s="121"/>
      <c r="J93" s="121"/>
      <c r="K93" s="121"/>
      <c r="L93" s="121"/>
      <c r="M93" s="121"/>
      <c r="N93" s="121"/>
      <c r="O93" s="121"/>
      <c r="P93" s="121"/>
      <c r="Q93" s="121"/>
      <c r="R93" s="121"/>
      <c r="S93" s="121"/>
      <c r="T93" s="121"/>
      <c r="U93" s="121"/>
      <c r="V93" s="121"/>
      <c r="W93" s="121"/>
      <c r="X93" s="121"/>
      <c r="Y93" s="121"/>
      <c r="Z93" s="121"/>
      <c r="AA93" s="121"/>
      <c r="AB93" s="121"/>
      <c r="AC93" s="121"/>
      <c r="AD93" s="121"/>
      <c r="AE93" s="121"/>
      <c r="AF93" s="121"/>
      <c r="AG93" s="121"/>
      <c r="AH93" s="121"/>
      <c r="AI93" s="121"/>
      <c r="AJ93" s="121"/>
      <c r="AK93" s="121"/>
      <c r="AL93" s="121"/>
      <c r="AM93" s="121"/>
      <c r="AN93" s="121"/>
      <c r="AO93" s="121"/>
      <c r="AP93" s="121"/>
      <c r="AQ93" s="121"/>
      <c r="AR93" s="121"/>
      <c r="AS93" s="121"/>
      <c r="AT93" s="121"/>
      <c r="AU93" s="121"/>
      <c r="AV93" s="121"/>
      <c r="AW93" s="121"/>
      <c r="AX93" s="121"/>
      <c r="AY93" s="121"/>
      <c r="AZ93" s="121"/>
      <c r="BA93" s="121"/>
      <c r="BB93" s="121"/>
      <c r="BC93" s="121"/>
      <c r="BD93" s="121"/>
      <c r="BE93" s="121"/>
      <c r="BF93" s="121"/>
      <c r="BG93" s="121"/>
      <c r="BH93" s="121"/>
      <c r="BI93" s="121"/>
      <c r="BJ93" s="122"/>
      <c r="BK93" s="93"/>
      <c r="BL93" s="94"/>
      <c r="BM93" s="95"/>
      <c r="BN93" s="179" t="str">
        <f t="shared" si="5"/>
        <v/>
      </c>
      <c r="BO93" s="177"/>
      <c r="BP93" s="14"/>
      <c r="BQ93" s="14"/>
      <c r="BR93" s="14"/>
      <c r="BS93" s="14"/>
      <c r="BT93" s="14"/>
      <c r="BU93" s="14"/>
      <c r="BV93" s="16"/>
      <c r="BW93" s="14"/>
      <c r="BX93" s="14"/>
      <c r="BY93" s="14"/>
      <c r="BZ93" s="14"/>
      <c r="CA93" s="14"/>
      <c r="CB93" s="14"/>
      <c r="CC93" s="14"/>
      <c r="CD93" s="14"/>
      <c r="CE93" s="14"/>
      <c r="CF93" s="14"/>
      <c r="CG93" s="14"/>
      <c r="CH93" s="14"/>
      <c r="CI93" s="14"/>
      <c r="CJ93" s="14"/>
      <c r="CK93" s="14"/>
      <c r="CL93" s="14"/>
      <c r="CM93" s="14"/>
      <c r="CN93" s="14"/>
      <c r="CO93" s="14"/>
      <c r="CP93" s="14"/>
      <c r="CQ93" s="14"/>
      <c r="CR93" s="14"/>
      <c r="CS93" s="14"/>
      <c r="CT93" s="14"/>
      <c r="CU93" s="14"/>
      <c r="CV93" s="14"/>
      <c r="CW93" s="14"/>
      <c r="CX93" s="14"/>
      <c r="CY93" s="14"/>
      <c r="CZ93" s="14"/>
      <c r="DA93" s="14"/>
      <c r="DB93" s="14"/>
      <c r="DC93" s="14"/>
      <c r="DD93" s="14"/>
      <c r="DE93" s="14"/>
      <c r="DF93" s="14"/>
      <c r="DG93" s="14"/>
      <c r="DH93" s="14"/>
      <c r="DI93" s="14"/>
      <c r="DJ93" s="14"/>
      <c r="DK93" s="14"/>
      <c r="DL93" s="14"/>
      <c r="DM93" s="14"/>
      <c r="DN93" s="14"/>
      <c r="DO93" s="14"/>
      <c r="DP93" s="26"/>
      <c r="DQ93" s="27"/>
      <c r="DR93" s="129"/>
      <c r="DS93" s="130">
        <f>TCP(BO93:DQ93,$BO$9:$DQ$9,data!$H$8)</f>
        <v>0</v>
      </c>
      <c r="DT93" s="135"/>
      <c r="DU93" s="121"/>
      <c r="DV93" s="121"/>
      <c r="DW93" s="134"/>
      <c r="DX93" s="132"/>
      <c r="DY93" s="136"/>
      <c r="DZ93" s="21"/>
      <c r="EA93" s="18"/>
      <c r="EB93" s="4"/>
      <c r="EI93" s="23"/>
      <c r="EJ93" s="23"/>
    </row>
    <row r="94" spans="1:140" s="191" customFormat="1" ht="15.75" x14ac:dyDescent="0.25">
      <c r="A94" s="12"/>
      <c r="B94" s="16"/>
      <c r="C94" s="24" t="str">
        <f t="shared" si="4"/>
        <v xml:space="preserve"> </v>
      </c>
      <c r="D94" s="25"/>
      <c r="E94" s="20"/>
      <c r="F94" s="19"/>
      <c r="G94" s="180"/>
      <c r="H94" s="120"/>
      <c r="I94" s="121"/>
      <c r="J94" s="121"/>
      <c r="K94" s="121"/>
      <c r="L94" s="121"/>
      <c r="M94" s="121"/>
      <c r="N94" s="121"/>
      <c r="O94" s="121"/>
      <c r="P94" s="121"/>
      <c r="Q94" s="121"/>
      <c r="R94" s="121"/>
      <c r="S94" s="121"/>
      <c r="T94" s="121"/>
      <c r="U94" s="121"/>
      <c r="V94" s="121"/>
      <c r="W94" s="121"/>
      <c r="X94" s="121"/>
      <c r="Y94" s="121"/>
      <c r="Z94" s="121"/>
      <c r="AA94" s="121"/>
      <c r="AB94" s="121"/>
      <c r="AC94" s="121"/>
      <c r="AD94" s="121"/>
      <c r="AE94" s="121"/>
      <c r="AF94" s="121"/>
      <c r="AG94" s="121"/>
      <c r="AH94" s="121"/>
      <c r="AI94" s="121"/>
      <c r="AJ94" s="121"/>
      <c r="AK94" s="121"/>
      <c r="AL94" s="121"/>
      <c r="AM94" s="121"/>
      <c r="AN94" s="121"/>
      <c r="AO94" s="121"/>
      <c r="AP94" s="121"/>
      <c r="AQ94" s="121"/>
      <c r="AR94" s="121"/>
      <c r="AS94" s="121"/>
      <c r="AT94" s="121"/>
      <c r="AU94" s="121"/>
      <c r="AV94" s="121"/>
      <c r="AW94" s="121"/>
      <c r="AX94" s="121"/>
      <c r="AY94" s="121"/>
      <c r="AZ94" s="121"/>
      <c r="BA94" s="121"/>
      <c r="BB94" s="121"/>
      <c r="BC94" s="121"/>
      <c r="BD94" s="121"/>
      <c r="BE94" s="121"/>
      <c r="BF94" s="121"/>
      <c r="BG94" s="121"/>
      <c r="BH94" s="121"/>
      <c r="BI94" s="121"/>
      <c r="BJ94" s="122"/>
      <c r="BK94" s="93"/>
      <c r="BL94" s="94"/>
      <c r="BM94" s="95"/>
      <c r="BN94" s="179" t="str">
        <f t="shared" si="5"/>
        <v/>
      </c>
      <c r="BO94" s="177"/>
      <c r="BP94" s="14"/>
      <c r="BQ94" s="14"/>
      <c r="BR94" s="14"/>
      <c r="BS94" s="14"/>
      <c r="BT94" s="14"/>
      <c r="BU94" s="14"/>
      <c r="BV94" s="16"/>
      <c r="BW94" s="14"/>
      <c r="BX94" s="14"/>
      <c r="BY94" s="14"/>
      <c r="BZ94" s="14"/>
      <c r="CA94" s="14"/>
      <c r="CB94" s="14"/>
      <c r="CC94" s="14"/>
      <c r="CD94" s="14"/>
      <c r="CE94" s="14"/>
      <c r="CF94" s="14"/>
      <c r="CG94" s="14"/>
      <c r="CH94" s="14"/>
      <c r="CI94" s="14"/>
      <c r="CJ94" s="14"/>
      <c r="CK94" s="14"/>
      <c r="CL94" s="14"/>
      <c r="CM94" s="14"/>
      <c r="CN94" s="14"/>
      <c r="CO94" s="14"/>
      <c r="CP94" s="14"/>
      <c r="CQ94" s="14"/>
      <c r="CR94" s="14"/>
      <c r="CS94" s="14"/>
      <c r="CT94" s="14"/>
      <c r="CU94" s="14"/>
      <c r="CV94" s="14"/>
      <c r="CW94" s="14"/>
      <c r="CX94" s="14"/>
      <c r="CY94" s="14"/>
      <c r="CZ94" s="14"/>
      <c r="DA94" s="14"/>
      <c r="DB94" s="14"/>
      <c r="DC94" s="14"/>
      <c r="DD94" s="14"/>
      <c r="DE94" s="14"/>
      <c r="DF94" s="14"/>
      <c r="DG94" s="14"/>
      <c r="DH94" s="14"/>
      <c r="DI94" s="14"/>
      <c r="DJ94" s="14"/>
      <c r="DK94" s="14"/>
      <c r="DL94" s="14"/>
      <c r="DM94" s="14"/>
      <c r="DN94" s="14"/>
      <c r="DO94" s="14"/>
      <c r="DP94" s="26"/>
      <c r="DQ94" s="27"/>
      <c r="DR94" s="129"/>
      <c r="DS94" s="130">
        <f>TCP(BO94:DQ94,$BO$9:$DQ$9,data!$H$8)</f>
        <v>0</v>
      </c>
      <c r="DT94" s="135"/>
      <c r="DU94" s="121"/>
      <c r="DV94" s="121"/>
      <c r="DW94" s="134"/>
      <c r="DX94" s="132"/>
      <c r="DY94" s="136"/>
      <c r="DZ94" s="21"/>
      <c r="EA94" s="18"/>
      <c r="EB94" s="4"/>
      <c r="EI94" s="23"/>
      <c r="EJ94" s="23"/>
    </row>
    <row r="95" spans="1:140" s="191" customFormat="1" ht="15.75" x14ac:dyDescent="0.25">
      <c r="A95" s="12"/>
      <c r="B95" s="16"/>
      <c r="C95" s="24" t="str">
        <f t="shared" si="4"/>
        <v xml:space="preserve"> </v>
      </c>
      <c r="D95" s="25"/>
      <c r="E95" s="20"/>
      <c r="F95" s="19"/>
      <c r="G95" s="180"/>
      <c r="H95" s="120"/>
      <c r="I95" s="121"/>
      <c r="J95" s="121"/>
      <c r="K95" s="121"/>
      <c r="L95" s="121"/>
      <c r="M95" s="121"/>
      <c r="N95" s="121"/>
      <c r="O95" s="121"/>
      <c r="P95" s="121"/>
      <c r="Q95" s="121"/>
      <c r="R95" s="121"/>
      <c r="S95" s="121"/>
      <c r="T95" s="121"/>
      <c r="U95" s="121"/>
      <c r="V95" s="121"/>
      <c r="W95" s="121"/>
      <c r="X95" s="121"/>
      <c r="Y95" s="121"/>
      <c r="Z95" s="121"/>
      <c r="AA95" s="121"/>
      <c r="AB95" s="121"/>
      <c r="AC95" s="121"/>
      <c r="AD95" s="121"/>
      <c r="AE95" s="121"/>
      <c r="AF95" s="121"/>
      <c r="AG95" s="121"/>
      <c r="AH95" s="121"/>
      <c r="AI95" s="121"/>
      <c r="AJ95" s="121"/>
      <c r="AK95" s="121"/>
      <c r="AL95" s="121"/>
      <c r="AM95" s="121"/>
      <c r="AN95" s="121"/>
      <c r="AO95" s="121"/>
      <c r="AP95" s="121"/>
      <c r="AQ95" s="121"/>
      <c r="AR95" s="121"/>
      <c r="AS95" s="121"/>
      <c r="AT95" s="121"/>
      <c r="AU95" s="121"/>
      <c r="AV95" s="121"/>
      <c r="AW95" s="121"/>
      <c r="AX95" s="121"/>
      <c r="AY95" s="121"/>
      <c r="AZ95" s="121"/>
      <c r="BA95" s="121"/>
      <c r="BB95" s="121"/>
      <c r="BC95" s="121"/>
      <c r="BD95" s="121"/>
      <c r="BE95" s="121"/>
      <c r="BF95" s="121"/>
      <c r="BG95" s="121"/>
      <c r="BH95" s="121"/>
      <c r="BI95" s="121"/>
      <c r="BJ95" s="122"/>
      <c r="BK95" s="93"/>
      <c r="BL95" s="94"/>
      <c r="BM95" s="95"/>
      <c r="BN95" s="179" t="str">
        <f t="shared" si="5"/>
        <v/>
      </c>
      <c r="BO95" s="177"/>
      <c r="BP95" s="14"/>
      <c r="BQ95" s="14"/>
      <c r="BR95" s="14"/>
      <c r="BS95" s="14"/>
      <c r="BT95" s="14"/>
      <c r="BU95" s="14"/>
      <c r="BV95" s="16"/>
      <c r="BW95" s="14"/>
      <c r="BX95" s="14"/>
      <c r="BY95" s="14"/>
      <c r="BZ95" s="14"/>
      <c r="CA95" s="14"/>
      <c r="CB95" s="14"/>
      <c r="CC95" s="14"/>
      <c r="CD95" s="14"/>
      <c r="CE95" s="14"/>
      <c r="CF95" s="14"/>
      <c r="CG95" s="14"/>
      <c r="CH95" s="14"/>
      <c r="CI95" s="14"/>
      <c r="CJ95" s="14"/>
      <c r="CK95" s="14"/>
      <c r="CL95" s="14"/>
      <c r="CM95" s="14"/>
      <c r="CN95" s="14"/>
      <c r="CO95" s="14"/>
      <c r="CP95" s="14"/>
      <c r="CQ95" s="14"/>
      <c r="CR95" s="14"/>
      <c r="CS95" s="14"/>
      <c r="CT95" s="14"/>
      <c r="CU95" s="14"/>
      <c r="CV95" s="14"/>
      <c r="CW95" s="14"/>
      <c r="CX95" s="14"/>
      <c r="CY95" s="14"/>
      <c r="CZ95" s="14"/>
      <c r="DA95" s="14"/>
      <c r="DB95" s="14"/>
      <c r="DC95" s="14"/>
      <c r="DD95" s="14"/>
      <c r="DE95" s="14"/>
      <c r="DF95" s="14"/>
      <c r="DG95" s="14"/>
      <c r="DH95" s="14"/>
      <c r="DI95" s="14"/>
      <c r="DJ95" s="14"/>
      <c r="DK95" s="14"/>
      <c r="DL95" s="14"/>
      <c r="DM95" s="14"/>
      <c r="DN95" s="14"/>
      <c r="DO95" s="14"/>
      <c r="DP95" s="26"/>
      <c r="DQ95" s="27"/>
      <c r="DR95" s="129"/>
      <c r="DS95" s="130">
        <f>TCP(BO95:DQ95,$BO$9:$DQ$9,data!$H$8)</f>
        <v>0</v>
      </c>
      <c r="DT95" s="135"/>
      <c r="DU95" s="121"/>
      <c r="DV95" s="121"/>
      <c r="DW95" s="134"/>
      <c r="DX95" s="132"/>
      <c r="DY95" s="136"/>
      <c r="DZ95" s="21"/>
      <c r="EA95" s="18"/>
      <c r="EB95" s="4"/>
      <c r="EI95" s="23"/>
      <c r="EJ95" s="23"/>
    </row>
    <row r="96" spans="1:140" s="191" customFormat="1" ht="15.75" x14ac:dyDescent="0.25">
      <c r="A96" s="12"/>
      <c r="B96" s="16"/>
      <c r="C96" s="24" t="str">
        <f t="shared" si="4"/>
        <v xml:space="preserve"> </v>
      </c>
      <c r="D96" s="25"/>
      <c r="E96" s="20"/>
      <c r="F96" s="19"/>
      <c r="G96" s="180"/>
      <c r="H96" s="120"/>
      <c r="I96" s="121"/>
      <c r="J96" s="121"/>
      <c r="K96" s="121"/>
      <c r="L96" s="121"/>
      <c r="M96" s="121"/>
      <c r="N96" s="121"/>
      <c r="O96" s="121"/>
      <c r="P96" s="121"/>
      <c r="Q96" s="121"/>
      <c r="R96" s="121"/>
      <c r="S96" s="121"/>
      <c r="T96" s="121"/>
      <c r="U96" s="121"/>
      <c r="V96" s="121"/>
      <c r="W96" s="121"/>
      <c r="X96" s="121"/>
      <c r="Y96" s="121"/>
      <c r="Z96" s="121"/>
      <c r="AA96" s="121"/>
      <c r="AB96" s="121"/>
      <c r="AC96" s="121"/>
      <c r="AD96" s="121"/>
      <c r="AE96" s="121"/>
      <c r="AF96" s="121"/>
      <c r="AG96" s="121"/>
      <c r="AH96" s="121"/>
      <c r="AI96" s="121"/>
      <c r="AJ96" s="121"/>
      <c r="AK96" s="121"/>
      <c r="AL96" s="121"/>
      <c r="AM96" s="121"/>
      <c r="AN96" s="121"/>
      <c r="AO96" s="121"/>
      <c r="AP96" s="121"/>
      <c r="AQ96" s="121"/>
      <c r="AR96" s="121"/>
      <c r="AS96" s="121"/>
      <c r="AT96" s="121"/>
      <c r="AU96" s="121"/>
      <c r="AV96" s="121"/>
      <c r="AW96" s="121"/>
      <c r="AX96" s="121"/>
      <c r="AY96" s="121"/>
      <c r="AZ96" s="121"/>
      <c r="BA96" s="121"/>
      <c r="BB96" s="121"/>
      <c r="BC96" s="121"/>
      <c r="BD96" s="121"/>
      <c r="BE96" s="121"/>
      <c r="BF96" s="121"/>
      <c r="BG96" s="121"/>
      <c r="BH96" s="121"/>
      <c r="BI96" s="121"/>
      <c r="BJ96" s="122"/>
      <c r="BK96" s="93"/>
      <c r="BL96" s="94"/>
      <c r="BM96" s="95"/>
      <c r="BN96" s="179" t="str">
        <f t="shared" si="5"/>
        <v/>
      </c>
      <c r="BO96" s="177"/>
      <c r="BP96" s="14"/>
      <c r="BQ96" s="14"/>
      <c r="BR96" s="14"/>
      <c r="BS96" s="14"/>
      <c r="BT96" s="14"/>
      <c r="BU96" s="14"/>
      <c r="BV96" s="16"/>
      <c r="BW96" s="14"/>
      <c r="BX96" s="14"/>
      <c r="BY96" s="14"/>
      <c r="BZ96" s="14"/>
      <c r="CA96" s="14"/>
      <c r="CB96" s="14"/>
      <c r="CC96" s="14"/>
      <c r="CD96" s="14"/>
      <c r="CE96" s="14"/>
      <c r="CF96" s="14"/>
      <c r="CG96" s="14"/>
      <c r="CH96" s="14"/>
      <c r="CI96" s="14"/>
      <c r="CJ96" s="14"/>
      <c r="CK96" s="14"/>
      <c r="CL96" s="14"/>
      <c r="CM96" s="14"/>
      <c r="CN96" s="14"/>
      <c r="CO96" s="14"/>
      <c r="CP96" s="14"/>
      <c r="CQ96" s="14"/>
      <c r="CR96" s="14"/>
      <c r="CS96" s="14"/>
      <c r="CT96" s="14"/>
      <c r="CU96" s="14"/>
      <c r="CV96" s="14"/>
      <c r="CW96" s="14"/>
      <c r="CX96" s="14"/>
      <c r="CY96" s="14"/>
      <c r="CZ96" s="14"/>
      <c r="DA96" s="14"/>
      <c r="DB96" s="14"/>
      <c r="DC96" s="14"/>
      <c r="DD96" s="14"/>
      <c r="DE96" s="14"/>
      <c r="DF96" s="14"/>
      <c r="DG96" s="14"/>
      <c r="DH96" s="14"/>
      <c r="DI96" s="14"/>
      <c r="DJ96" s="14"/>
      <c r="DK96" s="14"/>
      <c r="DL96" s="14"/>
      <c r="DM96" s="14"/>
      <c r="DN96" s="14"/>
      <c r="DO96" s="14"/>
      <c r="DP96" s="26"/>
      <c r="DQ96" s="27"/>
      <c r="DR96" s="129"/>
      <c r="DS96" s="130">
        <f>TCP(BO96:DQ96,$BO$9:$DQ$9,data!$H$8)</f>
        <v>0</v>
      </c>
      <c r="DT96" s="135"/>
      <c r="DU96" s="121"/>
      <c r="DV96" s="121"/>
      <c r="DW96" s="134"/>
      <c r="DX96" s="132"/>
      <c r="DY96" s="136"/>
      <c r="DZ96" s="21"/>
      <c r="EA96" s="18"/>
      <c r="EB96" s="4"/>
      <c r="EI96" s="23"/>
      <c r="EJ96" s="23"/>
    </row>
    <row r="97" spans="1:140" s="191" customFormat="1" ht="15.75" x14ac:dyDescent="0.25">
      <c r="A97" s="12"/>
      <c r="B97" s="16"/>
      <c r="C97" s="24" t="str">
        <f t="shared" si="4"/>
        <v xml:space="preserve"> </v>
      </c>
      <c r="D97" s="25"/>
      <c r="E97" s="20"/>
      <c r="F97" s="19"/>
      <c r="G97" s="180"/>
      <c r="H97" s="120"/>
      <c r="I97" s="121"/>
      <c r="J97" s="121"/>
      <c r="K97" s="121"/>
      <c r="L97" s="121"/>
      <c r="M97" s="121"/>
      <c r="N97" s="121"/>
      <c r="O97" s="121"/>
      <c r="P97" s="121"/>
      <c r="Q97" s="121"/>
      <c r="R97" s="121"/>
      <c r="S97" s="121"/>
      <c r="T97" s="121"/>
      <c r="U97" s="121"/>
      <c r="V97" s="121"/>
      <c r="W97" s="121"/>
      <c r="X97" s="121"/>
      <c r="Y97" s="121"/>
      <c r="Z97" s="121"/>
      <c r="AA97" s="121"/>
      <c r="AB97" s="121"/>
      <c r="AC97" s="121"/>
      <c r="AD97" s="121"/>
      <c r="AE97" s="121"/>
      <c r="AF97" s="121"/>
      <c r="AG97" s="121"/>
      <c r="AH97" s="121"/>
      <c r="AI97" s="121"/>
      <c r="AJ97" s="121"/>
      <c r="AK97" s="121"/>
      <c r="AL97" s="121"/>
      <c r="AM97" s="121"/>
      <c r="AN97" s="121"/>
      <c r="AO97" s="121"/>
      <c r="AP97" s="121"/>
      <c r="AQ97" s="121"/>
      <c r="AR97" s="121"/>
      <c r="AS97" s="121"/>
      <c r="AT97" s="121"/>
      <c r="AU97" s="121"/>
      <c r="AV97" s="121"/>
      <c r="AW97" s="121"/>
      <c r="AX97" s="121"/>
      <c r="AY97" s="121"/>
      <c r="AZ97" s="121"/>
      <c r="BA97" s="121"/>
      <c r="BB97" s="121"/>
      <c r="BC97" s="121"/>
      <c r="BD97" s="121"/>
      <c r="BE97" s="121"/>
      <c r="BF97" s="121"/>
      <c r="BG97" s="121"/>
      <c r="BH97" s="121"/>
      <c r="BI97" s="121"/>
      <c r="BJ97" s="122"/>
      <c r="BK97" s="93"/>
      <c r="BL97" s="94"/>
      <c r="BM97" s="95"/>
      <c r="BN97" s="179" t="str">
        <f t="shared" si="5"/>
        <v/>
      </c>
      <c r="BO97" s="177"/>
      <c r="BP97" s="14"/>
      <c r="BQ97" s="14"/>
      <c r="BR97" s="14"/>
      <c r="BS97" s="14"/>
      <c r="BT97" s="14"/>
      <c r="BU97" s="14"/>
      <c r="BV97" s="16"/>
      <c r="BW97" s="14"/>
      <c r="BX97" s="14"/>
      <c r="BY97" s="14"/>
      <c r="BZ97" s="14"/>
      <c r="CA97" s="14"/>
      <c r="CB97" s="14"/>
      <c r="CC97" s="14"/>
      <c r="CD97" s="14"/>
      <c r="CE97" s="14"/>
      <c r="CF97" s="14"/>
      <c r="CG97" s="14"/>
      <c r="CH97" s="14"/>
      <c r="CI97" s="14"/>
      <c r="CJ97" s="14"/>
      <c r="CK97" s="14"/>
      <c r="CL97" s="14"/>
      <c r="CM97" s="14"/>
      <c r="CN97" s="14"/>
      <c r="CO97" s="14"/>
      <c r="CP97" s="14"/>
      <c r="CQ97" s="14"/>
      <c r="CR97" s="14"/>
      <c r="CS97" s="14"/>
      <c r="CT97" s="14"/>
      <c r="CU97" s="14"/>
      <c r="CV97" s="14"/>
      <c r="CW97" s="14"/>
      <c r="CX97" s="14"/>
      <c r="CY97" s="14"/>
      <c r="CZ97" s="14"/>
      <c r="DA97" s="14"/>
      <c r="DB97" s="14"/>
      <c r="DC97" s="14"/>
      <c r="DD97" s="14"/>
      <c r="DE97" s="14"/>
      <c r="DF97" s="14"/>
      <c r="DG97" s="14"/>
      <c r="DH97" s="14"/>
      <c r="DI97" s="14"/>
      <c r="DJ97" s="14"/>
      <c r="DK97" s="14"/>
      <c r="DL97" s="14"/>
      <c r="DM97" s="14"/>
      <c r="DN97" s="14"/>
      <c r="DO97" s="14"/>
      <c r="DP97" s="26"/>
      <c r="DQ97" s="27"/>
      <c r="DR97" s="129"/>
      <c r="DS97" s="130">
        <f>TCP(BO97:DQ97,$BO$9:$DQ$9,data!$H$8)</f>
        <v>0</v>
      </c>
      <c r="DT97" s="135"/>
      <c r="DU97" s="121"/>
      <c r="DV97" s="121"/>
      <c r="DW97" s="134"/>
      <c r="DX97" s="132"/>
      <c r="DY97" s="136"/>
      <c r="DZ97" s="21"/>
      <c r="EA97" s="18"/>
      <c r="EB97" s="4"/>
      <c r="EI97" s="23"/>
      <c r="EJ97" s="23"/>
    </row>
    <row r="98" spans="1:140" s="191" customFormat="1" ht="15.75" x14ac:dyDescent="0.25">
      <c r="A98" s="12"/>
      <c r="B98" s="16"/>
      <c r="C98" s="24" t="str">
        <f t="shared" si="4"/>
        <v xml:space="preserve"> </v>
      </c>
      <c r="D98" s="25"/>
      <c r="E98" s="20"/>
      <c r="F98" s="19"/>
      <c r="G98" s="180"/>
      <c r="H98" s="120"/>
      <c r="I98" s="121"/>
      <c r="J98" s="121"/>
      <c r="K98" s="121"/>
      <c r="L98" s="121"/>
      <c r="M98" s="121"/>
      <c r="N98" s="121"/>
      <c r="O98" s="121"/>
      <c r="P98" s="121"/>
      <c r="Q98" s="121"/>
      <c r="R98" s="121"/>
      <c r="S98" s="121"/>
      <c r="T98" s="121"/>
      <c r="U98" s="121"/>
      <c r="V98" s="121"/>
      <c r="W98" s="121"/>
      <c r="X98" s="121"/>
      <c r="Y98" s="121"/>
      <c r="Z98" s="121"/>
      <c r="AA98" s="121"/>
      <c r="AB98" s="121"/>
      <c r="AC98" s="121"/>
      <c r="AD98" s="121"/>
      <c r="AE98" s="121"/>
      <c r="AF98" s="121"/>
      <c r="AG98" s="121"/>
      <c r="AH98" s="121"/>
      <c r="AI98" s="121"/>
      <c r="AJ98" s="121"/>
      <c r="AK98" s="121"/>
      <c r="AL98" s="121"/>
      <c r="AM98" s="121"/>
      <c r="AN98" s="121"/>
      <c r="AO98" s="121"/>
      <c r="AP98" s="121"/>
      <c r="AQ98" s="121"/>
      <c r="AR98" s="121"/>
      <c r="AS98" s="121"/>
      <c r="AT98" s="121"/>
      <c r="AU98" s="121"/>
      <c r="AV98" s="121"/>
      <c r="AW98" s="121"/>
      <c r="AX98" s="121"/>
      <c r="AY98" s="121"/>
      <c r="AZ98" s="121"/>
      <c r="BA98" s="121"/>
      <c r="BB98" s="121"/>
      <c r="BC98" s="121"/>
      <c r="BD98" s="121"/>
      <c r="BE98" s="121"/>
      <c r="BF98" s="121"/>
      <c r="BG98" s="121"/>
      <c r="BH98" s="121"/>
      <c r="BI98" s="121"/>
      <c r="BJ98" s="122"/>
      <c r="BK98" s="93"/>
      <c r="BL98" s="94"/>
      <c r="BM98" s="95"/>
      <c r="BN98" s="179" t="str">
        <f t="shared" si="5"/>
        <v/>
      </c>
      <c r="BO98" s="177"/>
      <c r="BP98" s="14"/>
      <c r="BQ98" s="14"/>
      <c r="BR98" s="14"/>
      <c r="BS98" s="14"/>
      <c r="BT98" s="14"/>
      <c r="BU98" s="14"/>
      <c r="BV98" s="16"/>
      <c r="BW98" s="14"/>
      <c r="BX98" s="14"/>
      <c r="BY98" s="14"/>
      <c r="BZ98" s="14"/>
      <c r="CA98" s="14"/>
      <c r="CB98" s="14"/>
      <c r="CC98" s="14"/>
      <c r="CD98" s="14"/>
      <c r="CE98" s="14"/>
      <c r="CF98" s="14"/>
      <c r="CG98" s="14"/>
      <c r="CH98" s="14"/>
      <c r="CI98" s="14"/>
      <c r="CJ98" s="14"/>
      <c r="CK98" s="14"/>
      <c r="CL98" s="14"/>
      <c r="CM98" s="14"/>
      <c r="CN98" s="14"/>
      <c r="CO98" s="14"/>
      <c r="CP98" s="14"/>
      <c r="CQ98" s="14"/>
      <c r="CR98" s="14"/>
      <c r="CS98" s="14"/>
      <c r="CT98" s="14"/>
      <c r="CU98" s="14"/>
      <c r="CV98" s="14"/>
      <c r="CW98" s="14"/>
      <c r="CX98" s="14"/>
      <c r="CY98" s="14"/>
      <c r="CZ98" s="14"/>
      <c r="DA98" s="14"/>
      <c r="DB98" s="14"/>
      <c r="DC98" s="14"/>
      <c r="DD98" s="14"/>
      <c r="DE98" s="14"/>
      <c r="DF98" s="14"/>
      <c r="DG98" s="14"/>
      <c r="DH98" s="14"/>
      <c r="DI98" s="14"/>
      <c r="DJ98" s="14"/>
      <c r="DK98" s="14"/>
      <c r="DL98" s="14"/>
      <c r="DM98" s="14"/>
      <c r="DN98" s="14"/>
      <c r="DO98" s="14"/>
      <c r="DP98" s="26"/>
      <c r="DQ98" s="27"/>
      <c r="DR98" s="129"/>
      <c r="DS98" s="130">
        <f>TCP(BO98:DQ98,$BO$9:$DQ$9,data!$H$8)</f>
        <v>0</v>
      </c>
      <c r="DT98" s="135"/>
      <c r="DU98" s="121"/>
      <c r="DV98" s="121"/>
      <c r="DW98" s="134"/>
      <c r="DX98" s="132"/>
      <c r="DY98" s="136"/>
      <c r="DZ98" s="21"/>
      <c r="EA98" s="18"/>
      <c r="EB98" s="4"/>
      <c r="EI98" s="23"/>
      <c r="EJ98" s="23"/>
    </row>
    <row r="99" spans="1:140" s="191" customFormat="1" ht="15.75" x14ac:dyDescent="0.25">
      <c r="A99" s="12"/>
      <c r="B99" s="16"/>
      <c r="C99" s="24" t="str">
        <f t="shared" si="4"/>
        <v xml:space="preserve"> </v>
      </c>
      <c r="D99" s="25"/>
      <c r="E99" s="20"/>
      <c r="F99" s="19"/>
      <c r="G99" s="180"/>
      <c r="H99" s="120"/>
      <c r="I99" s="121"/>
      <c r="J99" s="121"/>
      <c r="K99" s="121"/>
      <c r="L99" s="121"/>
      <c r="M99" s="121"/>
      <c r="N99" s="121"/>
      <c r="O99" s="121"/>
      <c r="P99" s="121"/>
      <c r="Q99" s="121"/>
      <c r="R99" s="121"/>
      <c r="S99" s="121"/>
      <c r="T99" s="121"/>
      <c r="U99" s="121"/>
      <c r="V99" s="121"/>
      <c r="W99" s="121"/>
      <c r="X99" s="121"/>
      <c r="Y99" s="121"/>
      <c r="Z99" s="121"/>
      <c r="AA99" s="121"/>
      <c r="AB99" s="121"/>
      <c r="AC99" s="121"/>
      <c r="AD99" s="121"/>
      <c r="AE99" s="121"/>
      <c r="AF99" s="121"/>
      <c r="AG99" s="121"/>
      <c r="AH99" s="121"/>
      <c r="AI99" s="121"/>
      <c r="AJ99" s="121"/>
      <c r="AK99" s="121"/>
      <c r="AL99" s="121"/>
      <c r="AM99" s="121"/>
      <c r="AN99" s="121"/>
      <c r="AO99" s="121"/>
      <c r="AP99" s="121"/>
      <c r="AQ99" s="121"/>
      <c r="AR99" s="121"/>
      <c r="AS99" s="121"/>
      <c r="AT99" s="121"/>
      <c r="AU99" s="121"/>
      <c r="AV99" s="121"/>
      <c r="AW99" s="121"/>
      <c r="AX99" s="121"/>
      <c r="AY99" s="121"/>
      <c r="AZ99" s="121"/>
      <c r="BA99" s="121"/>
      <c r="BB99" s="121"/>
      <c r="BC99" s="121"/>
      <c r="BD99" s="121"/>
      <c r="BE99" s="121"/>
      <c r="BF99" s="121"/>
      <c r="BG99" s="121"/>
      <c r="BH99" s="121"/>
      <c r="BI99" s="121"/>
      <c r="BJ99" s="122"/>
      <c r="BK99" s="93"/>
      <c r="BL99" s="94"/>
      <c r="BM99" s="95"/>
      <c r="BN99" s="179" t="str">
        <f t="shared" si="5"/>
        <v/>
      </c>
      <c r="BO99" s="177"/>
      <c r="BP99" s="14"/>
      <c r="BQ99" s="14"/>
      <c r="BR99" s="14"/>
      <c r="BS99" s="14"/>
      <c r="BT99" s="14"/>
      <c r="BU99" s="14"/>
      <c r="BV99" s="16"/>
      <c r="BW99" s="14"/>
      <c r="BX99" s="14"/>
      <c r="BY99" s="14"/>
      <c r="BZ99" s="14"/>
      <c r="CA99" s="14"/>
      <c r="CB99" s="14"/>
      <c r="CC99" s="14"/>
      <c r="CD99" s="14"/>
      <c r="CE99" s="14"/>
      <c r="CF99" s="14"/>
      <c r="CG99" s="14"/>
      <c r="CH99" s="14"/>
      <c r="CI99" s="14"/>
      <c r="CJ99" s="14"/>
      <c r="CK99" s="14"/>
      <c r="CL99" s="14"/>
      <c r="CM99" s="14"/>
      <c r="CN99" s="14"/>
      <c r="CO99" s="14"/>
      <c r="CP99" s="14"/>
      <c r="CQ99" s="14"/>
      <c r="CR99" s="14"/>
      <c r="CS99" s="14"/>
      <c r="CT99" s="14"/>
      <c r="CU99" s="14"/>
      <c r="CV99" s="14"/>
      <c r="CW99" s="14"/>
      <c r="CX99" s="14"/>
      <c r="CY99" s="14"/>
      <c r="CZ99" s="14"/>
      <c r="DA99" s="14"/>
      <c r="DB99" s="14"/>
      <c r="DC99" s="14"/>
      <c r="DD99" s="14"/>
      <c r="DE99" s="14"/>
      <c r="DF99" s="14"/>
      <c r="DG99" s="14"/>
      <c r="DH99" s="14"/>
      <c r="DI99" s="14"/>
      <c r="DJ99" s="14"/>
      <c r="DK99" s="14"/>
      <c r="DL99" s="14"/>
      <c r="DM99" s="14"/>
      <c r="DN99" s="14"/>
      <c r="DO99" s="14"/>
      <c r="DP99" s="26"/>
      <c r="DQ99" s="27"/>
      <c r="DR99" s="129"/>
      <c r="DS99" s="130">
        <f>TCP(BO99:DQ99,$BO$9:$DQ$9,data!$H$8)</f>
        <v>0</v>
      </c>
      <c r="DT99" s="135"/>
      <c r="DU99" s="121"/>
      <c r="DV99" s="121"/>
      <c r="DW99" s="134"/>
      <c r="DX99" s="132"/>
      <c r="DY99" s="136"/>
      <c r="DZ99" s="21"/>
      <c r="EA99" s="18"/>
      <c r="EB99" s="4"/>
      <c r="EI99" s="23"/>
      <c r="EJ99" s="23"/>
    </row>
    <row r="100" spans="1:140" s="191" customFormat="1" ht="15.75" x14ac:dyDescent="0.25">
      <c r="A100" s="12"/>
      <c r="B100" s="16"/>
      <c r="C100" s="24" t="str">
        <f t="shared" si="4"/>
        <v xml:space="preserve"> </v>
      </c>
      <c r="D100" s="25"/>
      <c r="E100" s="20"/>
      <c r="F100" s="19"/>
      <c r="G100" s="180"/>
      <c r="H100" s="120"/>
      <c r="I100" s="121"/>
      <c r="J100" s="121"/>
      <c r="K100" s="121"/>
      <c r="L100" s="121"/>
      <c r="M100" s="121"/>
      <c r="N100" s="121"/>
      <c r="O100" s="121"/>
      <c r="P100" s="121"/>
      <c r="Q100" s="121"/>
      <c r="R100" s="121"/>
      <c r="S100" s="121"/>
      <c r="T100" s="121"/>
      <c r="U100" s="121"/>
      <c r="V100" s="121"/>
      <c r="W100" s="121"/>
      <c r="X100" s="121"/>
      <c r="Y100" s="121"/>
      <c r="Z100" s="121"/>
      <c r="AA100" s="121"/>
      <c r="AB100" s="121"/>
      <c r="AC100" s="121"/>
      <c r="AD100" s="121"/>
      <c r="AE100" s="121"/>
      <c r="AF100" s="121"/>
      <c r="AG100" s="121"/>
      <c r="AH100" s="121"/>
      <c r="AI100" s="121"/>
      <c r="AJ100" s="121"/>
      <c r="AK100" s="121"/>
      <c r="AL100" s="121"/>
      <c r="AM100" s="121"/>
      <c r="AN100" s="121"/>
      <c r="AO100" s="121"/>
      <c r="AP100" s="121"/>
      <c r="AQ100" s="121"/>
      <c r="AR100" s="121"/>
      <c r="AS100" s="121"/>
      <c r="AT100" s="121"/>
      <c r="AU100" s="121"/>
      <c r="AV100" s="121"/>
      <c r="AW100" s="121"/>
      <c r="AX100" s="121"/>
      <c r="AY100" s="121"/>
      <c r="AZ100" s="121"/>
      <c r="BA100" s="121"/>
      <c r="BB100" s="121"/>
      <c r="BC100" s="121"/>
      <c r="BD100" s="121"/>
      <c r="BE100" s="121"/>
      <c r="BF100" s="121"/>
      <c r="BG100" s="121"/>
      <c r="BH100" s="121"/>
      <c r="BI100" s="121"/>
      <c r="BJ100" s="122"/>
      <c r="BK100" s="93"/>
      <c r="BL100" s="94"/>
      <c r="BM100" s="95"/>
      <c r="BN100" s="179" t="str">
        <f t="shared" si="5"/>
        <v/>
      </c>
      <c r="BO100" s="177"/>
      <c r="BP100" s="14"/>
      <c r="BQ100" s="14"/>
      <c r="BR100" s="14"/>
      <c r="BS100" s="14"/>
      <c r="BT100" s="14"/>
      <c r="BU100" s="14"/>
      <c r="BV100" s="16"/>
      <c r="BW100" s="14"/>
      <c r="BX100" s="14"/>
      <c r="BY100" s="14"/>
      <c r="BZ100" s="14"/>
      <c r="CA100" s="14"/>
      <c r="CB100" s="14"/>
      <c r="CC100" s="14"/>
      <c r="CD100" s="14"/>
      <c r="CE100" s="14"/>
      <c r="CF100" s="14"/>
      <c r="CG100" s="14"/>
      <c r="CH100" s="14"/>
      <c r="CI100" s="14"/>
      <c r="CJ100" s="14"/>
      <c r="CK100" s="14"/>
      <c r="CL100" s="14"/>
      <c r="CM100" s="14"/>
      <c r="CN100" s="14"/>
      <c r="CO100" s="14"/>
      <c r="CP100" s="14"/>
      <c r="CQ100" s="14"/>
      <c r="CR100" s="14"/>
      <c r="CS100" s="14"/>
      <c r="CT100" s="14"/>
      <c r="CU100" s="14"/>
      <c r="CV100" s="14"/>
      <c r="CW100" s="14"/>
      <c r="CX100" s="14"/>
      <c r="CY100" s="14"/>
      <c r="CZ100" s="14"/>
      <c r="DA100" s="14"/>
      <c r="DB100" s="14"/>
      <c r="DC100" s="14"/>
      <c r="DD100" s="14"/>
      <c r="DE100" s="14"/>
      <c r="DF100" s="14"/>
      <c r="DG100" s="14"/>
      <c r="DH100" s="14"/>
      <c r="DI100" s="14"/>
      <c r="DJ100" s="14"/>
      <c r="DK100" s="14"/>
      <c r="DL100" s="14"/>
      <c r="DM100" s="14"/>
      <c r="DN100" s="14"/>
      <c r="DO100" s="14"/>
      <c r="DP100" s="26"/>
      <c r="DQ100" s="27"/>
      <c r="DR100" s="129"/>
      <c r="DS100" s="130">
        <f>TCP(BO100:DQ100,$BO$9:$DQ$9,data!$H$8)</f>
        <v>0</v>
      </c>
      <c r="DT100" s="135"/>
      <c r="DU100" s="121"/>
      <c r="DV100" s="121"/>
      <c r="DW100" s="134"/>
      <c r="DX100" s="132"/>
      <c r="DY100" s="136"/>
      <c r="DZ100" s="21"/>
      <c r="EA100" s="18"/>
      <c r="EB100" s="4"/>
      <c r="EI100" s="23"/>
      <c r="EJ100" s="23"/>
    </row>
    <row r="101" spans="1:140" s="191" customFormat="1" ht="15.75" x14ac:dyDescent="0.25">
      <c r="A101" s="12"/>
      <c r="B101" s="16"/>
      <c r="C101" s="24" t="str">
        <f t="shared" si="4"/>
        <v xml:space="preserve"> </v>
      </c>
      <c r="D101" s="25"/>
      <c r="E101" s="20"/>
      <c r="F101" s="19"/>
      <c r="G101" s="180"/>
      <c r="H101" s="120"/>
      <c r="I101" s="121"/>
      <c r="J101" s="121"/>
      <c r="K101" s="121"/>
      <c r="L101" s="121"/>
      <c r="M101" s="121"/>
      <c r="N101" s="121"/>
      <c r="O101" s="121"/>
      <c r="P101" s="121"/>
      <c r="Q101" s="121"/>
      <c r="R101" s="121"/>
      <c r="S101" s="121"/>
      <c r="T101" s="121"/>
      <c r="U101" s="121"/>
      <c r="V101" s="121"/>
      <c r="W101" s="121"/>
      <c r="X101" s="121"/>
      <c r="Y101" s="121"/>
      <c r="Z101" s="121"/>
      <c r="AA101" s="121"/>
      <c r="AB101" s="121"/>
      <c r="AC101" s="121"/>
      <c r="AD101" s="121"/>
      <c r="AE101" s="121"/>
      <c r="AF101" s="121"/>
      <c r="AG101" s="121"/>
      <c r="AH101" s="121"/>
      <c r="AI101" s="121"/>
      <c r="AJ101" s="121"/>
      <c r="AK101" s="121"/>
      <c r="AL101" s="121"/>
      <c r="AM101" s="121"/>
      <c r="AN101" s="121"/>
      <c r="AO101" s="121"/>
      <c r="AP101" s="121"/>
      <c r="AQ101" s="121"/>
      <c r="AR101" s="121"/>
      <c r="AS101" s="121"/>
      <c r="AT101" s="121"/>
      <c r="AU101" s="121"/>
      <c r="AV101" s="121"/>
      <c r="AW101" s="121"/>
      <c r="AX101" s="121"/>
      <c r="AY101" s="121"/>
      <c r="AZ101" s="121"/>
      <c r="BA101" s="121"/>
      <c r="BB101" s="121"/>
      <c r="BC101" s="121"/>
      <c r="BD101" s="121"/>
      <c r="BE101" s="121"/>
      <c r="BF101" s="121"/>
      <c r="BG101" s="121"/>
      <c r="BH101" s="121"/>
      <c r="BI101" s="121"/>
      <c r="BJ101" s="122"/>
      <c r="BK101" s="93"/>
      <c r="BL101" s="94"/>
      <c r="BM101" s="95"/>
      <c r="BN101" s="179" t="str">
        <f t="shared" si="5"/>
        <v/>
      </c>
      <c r="BO101" s="177"/>
      <c r="BP101" s="14"/>
      <c r="BQ101" s="14"/>
      <c r="BR101" s="14"/>
      <c r="BS101" s="14"/>
      <c r="BT101" s="14"/>
      <c r="BU101" s="14"/>
      <c r="BV101" s="16"/>
      <c r="BW101" s="14"/>
      <c r="BX101" s="14"/>
      <c r="BY101" s="14"/>
      <c r="BZ101" s="14"/>
      <c r="CA101" s="14"/>
      <c r="CB101" s="14"/>
      <c r="CC101" s="14"/>
      <c r="CD101" s="14"/>
      <c r="CE101" s="14"/>
      <c r="CF101" s="14"/>
      <c r="CG101" s="14"/>
      <c r="CH101" s="14"/>
      <c r="CI101" s="14"/>
      <c r="CJ101" s="14"/>
      <c r="CK101" s="14"/>
      <c r="CL101" s="14"/>
      <c r="CM101" s="14"/>
      <c r="CN101" s="14"/>
      <c r="CO101" s="14"/>
      <c r="CP101" s="14"/>
      <c r="CQ101" s="14"/>
      <c r="CR101" s="14"/>
      <c r="CS101" s="14"/>
      <c r="CT101" s="14"/>
      <c r="CU101" s="14"/>
      <c r="CV101" s="14"/>
      <c r="CW101" s="14"/>
      <c r="CX101" s="14"/>
      <c r="CY101" s="14"/>
      <c r="CZ101" s="14"/>
      <c r="DA101" s="14"/>
      <c r="DB101" s="14"/>
      <c r="DC101" s="14"/>
      <c r="DD101" s="14"/>
      <c r="DE101" s="14"/>
      <c r="DF101" s="14"/>
      <c r="DG101" s="14"/>
      <c r="DH101" s="14"/>
      <c r="DI101" s="14"/>
      <c r="DJ101" s="14"/>
      <c r="DK101" s="14"/>
      <c r="DL101" s="14"/>
      <c r="DM101" s="14"/>
      <c r="DN101" s="14"/>
      <c r="DO101" s="14"/>
      <c r="DP101" s="26"/>
      <c r="DQ101" s="27"/>
      <c r="DR101" s="129"/>
      <c r="DS101" s="130">
        <f>TCP(BO101:DQ101,$BO$9:$DQ$9,data!$H$8)</f>
        <v>0</v>
      </c>
      <c r="DT101" s="135"/>
      <c r="DU101" s="121"/>
      <c r="DV101" s="121"/>
      <c r="DW101" s="134"/>
      <c r="DX101" s="132"/>
      <c r="DY101" s="136"/>
      <c r="DZ101" s="21"/>
      <c r="EA101" s="18"/>
      <c r="EB101" s="4"/>
      <c r="EI101" s="23"/>
      <c r="EJ101" s="23"/>
    </row>
    <row r="102" spans="1:140" s="191" customFormat="1" ht="15.75" x14ac:dyDescent="0.25">
      <c r="A102" s="12"/>
      <c r="B102" s="16"/>
      <c r="C102" s="24" t="str">
        <f t="shared" si="4"/>
        <v xml:space="preserve"> </v>
      </c>
      <c r="D102" s="25"/>
      <c r="E102" s="20"/>
      <c r="F102" s="19"/>
      <c r="G102" s="180"/>
      <c r="H102" s="120"/>
      <c r="I102" s="121"/>
      <c r="J102" s="121"/>
      <c r="K102" s="121"/>
      <c r="L102" s="121"/>
      <c r="M102" s="121"/>
      <c r="N102" s="121"/>
      <c r="O102" s="121"/>
      <c r="P102" s="121"/>
      <c r="Q102" s="121"/>
      <c r="R102" s="121"/>
      <c r="S102" s="121"/>
      <c r="T102" s="121"/>
      <c r="U102" s="121"/>
      <c r="V102" s="121"/>
      <c r="W102" s="121"/>
      <c r="X102" s="121"/>
      <c r="Y102" s="121"/>
      <c r="Z102" s="121"/>
      <c r="AA102" s="121"/>
      <c r="AB102" s="121"/>
      <c r="AC102" s="121"/>
      <c r="AD102" s="121"/>
      <c r="AE102" s="121"/>
      <c r="AF102" s="121"/>
      <c r="AG102" s="121"/>
      <c r="AH102" s="121"/>
      <c r="AI102" s="121"/>
      <c r="AJ102" s="121"/>
      <c r="AK102" s="121"/>
      <c r="AL102" s="121"/>
      <c r="AM102" s="121"/>
      <c r="AN102" s="121"/>
      <c r="AO102" s="121"/>
      <c r="AP102" s="121"/>
      <c r="AQ102" s="121"/>
      <c r="AR102" s="121"/>
      <c r="AS102" s="121"/>
      <c r="AT102" s="121"/>
      <c r="AU102" s="121"/>
      <c r="AV102" s="121"/>
      <c r="AW102" s="121"/>
      <c r="AX102" s="121"/>
      <c r="AY102" s="121"/>
      <c r="AZ102" s="121"/>
      <c r="BA102" s="121"/>
      <c r="BB102" s="121"/>
      <c r="BC102" s="121"/>
      <c r="BD102" s="121"/>
      <c r="BE102" s="121"/>
      <c r="BF102" s="121"/>
      <c r="BG102" s="121"/>
      <c r="BH102" s="121"/>
      <c r="BI102" s="121"/>
      <c r="BJ102" s="122"/>
      <c r="BK102" s="93"/>
      <c r="BL102" s="94"/>
      <c r="BM102" s="95"/>
      <c r="BN102" s="179" t="str">
        <f t="shared" si="5"/>
        <v/>
      </c>
      <c r="BO102" s="177"/>
      <c r="BP102" s="14"/>
      <c r="BQ102" s="14"/>
      <c r="BR102" s="14"/>
      <c r="BS102" s="14"/>
      <c r="BT102" s="14"/>
      <c r="BU102" s="14"/>
      <c r="BV102" s="16"/>
      <c r="BW102" s="14"/>
      <c r="BX102" s="14"/>
      <c r="BY102" s="14"/>
      <c r="BZ102" s="14"/>
      <c r="CA102" s="14"/>
      <c r="CB102" s="14"/>
      <c r="CC102" s="14"/>
      <c r="CD102" s="14"/>
      <c r="CE102" s="14"/>
      <c r="CF102" s="14"/>
      <c r="CG102" s="14"/>
      <c r="CH102" s="14"/>
      <c r="CI102" s="14"/>
      <c r="CJ102" s="14"/>
      <c r="CK102" s="14"/>
      <c r="CL102" s="14"/>
      <c r="CM102" s="14"/>
      <c r="CN102" s="14"/>
      <c r="CO102" s="14"/>
      <c r="CP102" s="14"/>
      <c r="CQ102" s="14"/>
      <c r="CR102" s="14"/>
      <c r="CS102" s="14"/>
      <c r="CT102" s="14"/>
      <c r="CU102" s="14"/>
      <c r="CV102" s="14"/>
      <c r="CW102" s="14"/>
      <c r="CX102" s="14"/>
      <c r="CY102" s="14"/>
      <c r="CZ102" s="14"/>
      <c r="DA102" s="14"/>
      <c r="DB102" s="14"/>
      <c r="DC102" s="14"/>
      <c r="DD102" s="14"/>
      <c r="DE102" s="14"/>
      <c r="DF102" s="14"/>
      <c r="DG102" s="14"/>
      <c r="DH102" s="14"/>
      <c r="DI102" s="14"/>
      <c r="DJ102" s="14"/>
      <c r="DK102" s="14"/>
      <c r="DL102" s="14"/>
      <c r="DM102" s="14"/>
      <c r="DN102" s="14"/>
      <c r="DO102" s="14"/>
      <c r="DP102" s="26"/>
      <c r="DQ102" s="27"/>
      <c r="DR102" s="129"/>
      <c r="DS102" s="130">
        <f>TCP(BO102:DQ102,$BO$9:$DQ$9,data!$H$8)</f>
        <v>0</v>
      </c>
      <c r="DT102" s="135"/>
      <c r="DU102" s="121"/>
      <c r="DV102" s="121"/>
      <c r="DW102" s="134"/>
      <c r="DX102" s="132"/>
      <c r="DY102" s="136"/>
      <c r="DZ102" s="21"/>
      <c r="EA102" s="18"/>
      <c r="EB102" s="4"/>
      <c r="EI102" s="23"/>
      <c r="EJ102" s="23"/>
    </row>
    <row r="103" spans="1:140" s="191" customFormat="1" ht="15.75" x14ac:dyDescent="0.25">
      <c r="A103" s="12"/>
      <c r="B103" s="16"/>
      <c r="C103" s="24" t="str">
        <f t="shared" si="4"/>
        <v xml:space="preserve"> </v>
      </c>
      <c r="D103" s="25"/>
      <c r="E103" s="20"/>
      <c r="F103" s="19"/>
      <c r="G103" s="180"/>
      <c r="H103" s="120"/>
      <c r="I103" s="121"/>
      <c r="J103" s="121"/>
      <c r="K103" s="121"/>
      <c r="L103" s="121"/>
      <c r="M103" s="121"/>
      <c r="N103" s="121"/>
      <c r="O103" s="121"/>
      <c r="P103" s="121"/>
      <c r="Q103" s="121"/>
      <c r="R103" s="121"/>
      <c r="S103" s="121"/>
      <c r="T103" s="121"/>
      <c r="U103" s="121"/>
      <c r="V103" s="121"/>
      <c r="W103" s="121"/>
      <c r="X103" s="121"/>
      <c r="Y103" s="121"/>
      <c r="Z103" s="121"/>
      <c r="AA103" s="121"/>
      <c r="AB103" s="121"/>
      <c r="AC103" s="121"/>
      <c r="AD103" s="121"/>
      <c r="AE103" s="121"/>
      <c r="AF103" s="121"/>
      <c r="AG103" s="121"/>
      <c r="AH103" s="121"/>
      <c r="AI103" s="121"/>
      <c r="AJ103" s="121"/>
      <c r="AK103" s="121"/>
      <c r="AL103" s="121"/>
      <c r="AM103" s="121"/>
      <c r="AN103" s="121"/>
      <c r="AO103" s="121"/>
      <c r="AP103" s="121"/>
      <c r="AQ103" s="121"/>
      <c r="AR103" s="121"/>
      <c r="AS103" s="121"/>
      <c r="AT103" s="121"/>
      <c r="AU103" s="121"/>
      <c r="AV103" s="121"/>
      <c r="AW103" s="121"/>
      <c r="AX103" s="121"/>
      <c r="AY103" s="121"/>
      <c r="AZ103" s="121"/>
      <c r="BA103" s="121"/>
      <c r="BB103" s="121"/>
      <c r="BC103" s="121"/>
      <c r="BD103" s="121"/>
      <c r="BE103" s="121"/>
      <c r="BF103" s="121"/>
      <c r="BG103" s="121"/>
      <c r="BH103" s="121"/>
      <c r="BI103" s="121"/>
      <c r="BJ103" s="122"/>
      <c r="BK103" s="93"/>
      <c r="BL103" s="94"/>
      <c r="BM103" s="95"/>
      <c r="BN103" s="179" t="str">
        <f t="shared" si="5"/>
        <v/>
      </c>
      <c r="BO103" s="177"/>
      <c r="BP103" s="14"/>
      <c r="BQ103" s="14"/>
      <c r="BR103" s="14"/>
      <c r="BS103" s="14"/>
      <c r="BT103" s="14"/>
      <c r="BU103" s="14"/>
      <c r="BV103" s="16"/>
      <c r="BW103" s="14"/>
      <c r="BX103" s="14"/>
      <c r="BY103" s="14"/>
      <c r="BZ103" s="14"/>
      <c r="CA103" s="14"/>
      <c r="CB103" s="14"/>
      <c r="CC103" s="14"/>
      <c r="CD103" s="14"/>
      <c r="CE103" s="14"/>
      <c r="CF103" s="14"/>
      <c r="CG103" s="14"/>
      <c r="CH103" s="14"/>
      <c r="CI103" s="14"/>
      <c r="CJ103" s="14"/>
      <c r="CK103" s="14"/>
      <c r="CL103" s="14"/>
      <c r="CM103" s="14"/>
      <c r="CN103" s="14"/>
      <c r="CO103" s="14"/>
      <c r="CP103" s="14"/>
      <c r="CQ103" s="14"/>
      <c r="CR103" s="14"/>
      <c r="CS103" s="14"/>
      <c r="CT103" s="14"/>
      <c r="CU103" s="14"/>
      <c r="CV103" s="14"/>
      <c r="CW103" s="14"/>
      <c r="CX103" s="14"/>
      <c r="CY103" s="14"/>
      <c r="CZ103" s="14"/>
      <c r="DA103" s="14"/>
      <c r="DB103" s="14"/>
      <c r="DC103" s="14"/>
      <c r="DD103" s="14"/>
      <c r="DE103" s="14"/>
      <c r="DF103" s="14"/>
      <c r="DG103" s="14"/>
      <c r="DH103" s="14"/>
      <c r="DI103" s="14"/>
      <c r="DJ103" s="14"/>
      <c r="DK103" s="14"/>
      <c r="DL103" s="14"/>
      <c r="DM103" s="14"/>
      <c r="DN103" s="14"/>
      <c r="DO103" s="14"/>
      <c r="DP103" s="26"/>
      <c r="DQ103" s="27"/>
      <c r="DR103" s="129"/>
      <c r="DS103" s="130">
        <f>TCP(BO103:DQ103,$BO$9:$DQ$9,data!$H$8)</f>
        <v>0</v>
      </c>
      <c r="DT103" s="135"/>
      <c r="DU103" s="121"/>
      <c r="DV103" s="121"/>
      <c r="DW103" s="134"/>
      <c r="DX103" s="132"/>
      <c r="DY103" s="136"/>
      <c r="DZ103" s="21"/>
      <c r="EA103" s="18"/>
      <c r="EB103" s="4"/>
      <c r="EI103" s="23"/>
      <c r="EJ103" s="23"/>
    </row>
    <row r="104" spans="1:140" s="191" customFormat="1" ht="15.75" x14ac:dyDescent="0.25">
      <c r="A104" s="12"/>
      <c r="B104" s="16"/>
      <c r="C104" s="24" t="str">
        <f t="shared" si="4"/>
        <v xml:space="preserve"> </v>
      </c>
      <c r="D104" s="25"/>
      <c r="E104" s="20"/>
      <c r="F104" s="19"/>
      <c r="G104" s="180"/>
      <c r="H104" s="120"/>
      <c r="I104" s="121"/>
      <c r="J104" s="121"/>
      <c r="K104" s="121"/>
      <c r="L104" s="121"/>
      <c r="M104" s="121"/>
      <c r="N104" s="121"/>
      <c r="O104" s="121"/>
      <c r="P104" s="121"/>
      <c r="Q104" s="121"/>
      <c r="R104" s="121"/>
      <c r="S104" s="121"/>
      <c r="T104" s="121"/>
      <c r="U104" s="121"/>
      <c r="V104" s="121"/>
      <c r="W104" s="121"/>
      <c r="X104" s="121"/>
      <c r="Y104" s="121"/>
      <c r="Z104" s="121"/>
      <c r="AA104" s="121"/>
      <c r="AB104" s="121"/>
      <c r="AC104" s="121"/>
      <c r="AD104" s="121"/>
      <c r="AE104" s="121"/>
      <c r="AF104" s="121"/>
      <c r="AG104" s="121"/>
      <c r="AH104" s="121"/>
      <c r="AI104" s="121"/>
      <c r="AJ104" s="121"/>
      <c r="AK104" s="121"/>
      <c r="AL104" s="121"/>
      <c r="AM104" s="121"/>
      <c r="AN104" s="121"/>
      <c r="AO104" s="121"/>
      <c r="AP104" s="121"/>
      <c r="AQ104" s="121"/>
      <c r="AR104" s="121"/>
      <c r="AS104" s="121"/>
      <c r="AT104" s="121"/>
      <c r="AU104" s="121"/>
      <c r="AV104" s="121"/>
      <c r="AW104" s="121"/>
      <c r="AX104" s="121"/>
      <c r="AY104" s="121"/>
      <c r="AZ104" s="121"/>
      <c r="BA104" s="121"/>
      <c r="BB104" s="121"/>
      <c r="BC104" s="121"/>
      <c r="BD104" s="121"/>
      <c r="BE104" s="121"/>
      <c r="BF104" s="121"/>
      <c r="BG104" s="121"/>
      <c r="BH104" s="121"/>
      <c r="BI104" s="121"/>
      <c r="BJ104" s="122"/>
      <c r="BK104" s="93"/>
      <c r="BL104" s="94"/>
      <c r="BM104" s="95"/>
      <c r="BN104" s="179" t="str">
        <f t="shared" si="5"/>
        <v/>
      </c>
      <c r="BO104" s="177"/>
      <c r="BP104" s="14"/>
      <c r="BQ104" s="14"/>
      <c r="BR104" s="14"/>
      <c r="BS104" s="14"/>
      <c r="BT104" s="14"/>
      <c r="BU104" s="14"/>
      <c r="BV104" s="16"/>
      <c r="BW104" s="14"/>
      <c r="BX104" s="14"/>
      <c r="BY104" s="14"/>
      <c r="BZ104" s="14"/>
      <c r="CA104" s="14"/>
      <c r="CB104" s="14"/>
      <c r="CC104" s="14"/>
      <c r="CD104" s="14"/>
      <c r="CE104" s="14"/>
      <c r="CF104" s="14"/>
      <c r="CG104" s="14"/>
      <c r="CH104" s="14"/>
      <c r="CI104" s="14"/>
      <c r="CJ104" s="14"/>
      <c r="CK104" s="14"/>
      <c r="CL104" s="14"/>
      <c r="CM104" s="14"/>
      <c r="CN104" s="14"/>
      <c r="CO104" s="14"/>
      <c r="CP104" s="14"/>
      <c r="CQ104" s="14"/>
      <c r="CR104" s="14"/>
      <c r="CS104" s="14"/>
      <c r="CT104" s="14"/>
      <c r="CU104" s="14"/>
      <c r="CV104" s="14"/>
      <c r="CW104" s="14"/>
      <c r="CX104" s="14"/>
      <c r="CY104" s="14"/>
      <c r="CZ104" s="14"/>
      <c r="DA104" s="14"/>
      <c r="DB104" s="14"/>
      <c r="DC104" s="14"/>
      <c r="DD104" s="14"/>
      <c r="DE104" s="14"/>
      <c r="DF104" s="14"/>
      <c r="DG104" s="14"/>
      <c r="DH104" s="14"/>
      <c r="DI104" s="14"/>
      <c r="DJ104" s="14"/>
      <c r="DK104" s="14"/>
      <c r="DL104" s="14"/>
      <c r="DM104" s="14"/>
      <c r="DN104" s="14"/>
      <c r="DO104" s="14"/>
      <c r="DP104" s="26"/>
      <c r="DQ104" s="27"/>
      <c r="DR104" s="129"/>
      <c r="DS104" s="130">
        <f>TCP(BO104:DQ104,$BO$9:$DQ$9,data!$H$8)</f>
        <v>0</v>
      </c>
      <c r="DT104" s="135"/>
      <c r="DU104" s="121"/>
      <c r="DV104" s="121"/>
      <c r="DW104" s="134"/>
      <c r="DX104" s="132"/>
      <c r="DY104" s="136"/>
      <c r="DZ104" s="21"/>
      <c r="EA104" s="18"/>
      <c r="EB104" s="4"/>
      <c r="EI104" s="23"/>
      <c r="EJ104" s="23"/>
    </row>
    <row r="105" spans="1:140" s="191" customFormat="1" ht="15.75" x14ac:dyDescent="0.25">
      <c r="A105" s="12"/>
      <c r="B105" s="16"/>
      <c r="C105" s="24" t="str">
        <f t="shared" si="4"/>
        <v xml:space="preserve"> </v>
      </c>
      <c r="D105" s="25"/>
      <c r="E105" s="20"/>
      <c r="F105" s="19"/>
      <c r="G105" s="180"/>
      <c r="H105" s="120"/>
      <c r="I105" s="121"/>
      <c r="J105" s="121"/>
      <c r="K105" s="121"/>
      <c r="L105" s="121"/>
      <c r="M105" s="121"/>
      <c r="N105" s="121"/>
      <c r="O105" s="121"/>
      <c r="P105" s="121"/>
      <c r="Q105" s="121"/>
      <c r="R105" s="121"/>
      <c r="S105" s="121"/>
      <c r="T105" s="121"/>
      <c r="U105" s="121"/>
      <c r="V105" s="121"/>
      <c r="W105" s="121"/>
      <c r="X105" s="121"/>
      <c r="Y105" s="121"/>
      <c r="Z105" s="121"/>
      <c r="AA105" s="121"/>
      <c r="AB105" s="121"/>
      <c r="AC105" s="121"/>
      <c r="AD105" s="121"/>
      <c r="AE105" s="121"/>
      <c r="AF105" s="121"/>
      <c r="AG105" s="121"/>
      <c r="AH105" s="121"/>
      <c r="AI105" s="121"/>
      <c r="AJ105" s="121"/>
      <c r="AK105" s="121"/>
      <c r="AL105" s="121"/>
      <c r="AM105" s="121"/>
      <c r="AN105" s="121"/>
      <c r="AO105" s="121"/>
      <c r="AP105" s="121"/>
      <c r="AQ105" s="121"/>
      <c r="AR105" s="121"/>
      <c r="AS105" s="121"/>
      <c r="AT105" s="121"/>
      <c r="AU105" s="121"/>
      <c r="AV105" s="121"/>
      <c r="AW105" s="121"/>
      <c r="AX105" s="121"/>
      <c r="AY105" s="121"/>
      <c r="AZ105" s="121"/>
      <c r="BA105" s="121"/>
      <c r="BB105" s="121"/>
      <c r="BC105" s="121"/>
      <c r="BD105" s="121"/>
      <c r="BE105" s="121"/>
      <c r="BF105" s="121"/>
      <c r="BG105" s="121"/>
      <c r="BH105" s="121"/>
      <c r="BI105" s="121"/>
      <c r="BJ105" s="122"/>
      <c r="BK105" s="93"/>
      <c r="BL105" s="94"/>
      <c r="BM105" s="95"/>
      <c r="BN105" s="179" t="str">
        <f t="shared" si="5"/>
        <v/>
      </c>
      <c r="BO105" s="177"/>
      <c r="BP105" s="14"/>
      <c r="BQ105" s="14"/>
      <c r="BR105" s="14"/>
      <c r="BS105" s="14"/>
      <c r="BT105" s="14"/>
      <c r="BU105" s="14"/>
      <c r="BV105" s="16"/>
      <c r="BW105" s="14"/>
      <c r="BX105" s="14"/>
      <c r="BY105" s="14"/>
      <c r="BZ105" s="14"/>
      <c r="CA105" s="14"/>
      <c r="CB105" s="14"/>
      <c r="CC105" s="14"/>
      <c r="CD105" s="14"/>
      <c r="CE105" s="14"/>
      <c r="CF105" s="14"/>
      <c r="CG105" s="14"/>
      <c r="CH105" s="14"/>
      <c r="CI105" s="14"/>
      <c r="CJ105" s="14"/>
      <c r="CK105" s="14"/>
      <c r="CL105" s="14"/>
      <c r="CM105" s="14"/>
      <c r="CN105" s="14"/>
      <c r="CO105" s="14"/>
      <c r="CP105" s="14"/>
      <c r="CQ105" s="14"/>
      <c r="CR105" s="14"/>
      <c r="CS105" s="14"/>
      <c r="CT105" s="14"/>
      <c r="CU105" s="14"/>
      <c r="CV105" s="14"/>
      <c r="CW105" s="14"/>
      <c r="CX105" s="14"/>
      <c r="CY105" s="14"/>
      <c r="CZ105" s="14"/>
      <c r="DA105" s="14"/>
      <c r="DB105" s="14"/>
      <c r="DC105" s="14"/>
      <c r="DD105" s="14"/>
      <c r="DE105" s="14"/>
      <c r="DF105" s="14"/>
      <c r="DG105" s="14"/>
      <c r="DH105" s="14"/>
      <c r="DI105" s="14"/>
      <c r="DJ105" s="14"/>
      <c r="DK105" s="14"/>
      <c r="DL105" s="14"/>
      <c r="DM105" s="14"/>
      <c r="DN105" s="14"/>
      <c r="DO105" s="14"/>
      <c r="DP105" s="26"/>
      <c r="DQ105" s="27"/>
      <c r="DR105" s="129"/>
      <c r="DS105" s="130">
        <f>TCP(BO105:DQ105,$BO$9:$DQ$9,data!$H$8)</f>
        <v>0</v>
      </c>
      <c r="DT105" s="135"/>
      <c r="DU105" s="121"/>
      <c r="DV105" s="121"/>
      <c r="DW105" s="134"/>
      <c r="DX105" s="132"/>
      <c r="DY105" s="136"/>
      <c r="DZ105" s="21"/>
      <c r="EA105" s="18"/>
      <c r="EB105" s="4"/>
      <c r="EI105" s="23"/>
      <c r="EJ105" s="23"/>
    </row>
    <row r="106" spans="1:140" s="191" customFormat="1" ht="15.75" x14ac:dyDescent="0.25">
      <c r="A106" s="12"/>
      <c r="B106" s="16"/>
      <c r="C106" s="24" t="str">
        <f t="shared" si="4"/>
        <v xml:space="preserve"> </v>
      </c>
      <c r="D106" s="25"/>
      <c r="E106" s="20"/>
      <c r="F106" s="19"/>
      <c r="G106" s="180"/>
      <c r="H106" s="120"/>
      <c r="I106" s="121"/>
      <c r="J106" s="121"/>
      <c r="K106" s="121"/>
      <c r="L106" s="121"/>
      <c r="M106" s="121"/>
      <c r="N106" s="121"/>
      <c r="O106" s="121"/>
      <c r="P106" s="121"/>
      <c r="Q106" s="121"/>
      <c r="R106" s="121"/>
      <c r="S106" s="121"/>
      <c r="T106" s="121"/>
      <c r="U106" s="121"/>
      <c r="V106" s="121"/>
      <c r="W106" s="121"/>
      <c r="X106" s="121"/>
      <c r="Y106" s="121"/>
      <c r="Z106" s="121"/>
      <c r="AA106" s="121"/>
      <c r="AB106" s="121"/>
      <c r="AC106" s="121"/>
      <c r="AD106" s="121"/>
      <c r="AE106" s="121"/>
      <c r="AF106" s="121"/>
      <c r="AG106" s="121"/>
      <c r="AH106" s="121"/>
      <c r="AI106" s="121"/>
      <c r="AJ106" s="121"/>
      <c r="AK106" s="121"/>
      <c r="AL106" s="121"/>
      <c r="AM106" s="121"/>
      <c r="AN106" s="121"/>
      <c r="AO106" s="121"/>
      <c r="AP106" s="121"/>
      <c r="AQ106" s="121"/>
      <c r="AR106" s="121"/>
      <c r="AS106" s="121"/>
      <c r="AT106" s="121"/>
      <c r="AU106" s="121"/>
      <c r="AV106" s="121"/>
      <c r="AW106" s="121"/>
      <c r="AX106" s="121"/>
      <c r="AY106" s="121"/>
      <c r="AZ106" s="121"/>
      <c r="BA106" s="121"/>
      <c r="BB106" s="121"/>
      <c r="BC106" s="121"/>
      <c r="BD106" s="121"/>
      <c r="BE106" s="121"/>
      <c r="BF106" s="121"/>
      <c r="BG106" s="121"/>
      <c r="BH106" s="121"/>
      <c r="BI106" s="121"/>
      <c r="BJ106" s="122"/>
      <c r="BK106" s="93"/>
      <c r="BL106" s="94"/>
      <c r="BM106" s="95"/>
      <c r="BN106" s="179" t="str">
        <f t="shared" si="5"/>
        <v/>
      </c>
      <c r="BO106" s="177"/>
      <c r="BP106" s="14"/>
      <c r="BQ106" s="14"/>
      <c r="BR106" s="14"/>
      <c r="BS106" s="14"/>
      <c r="BT106" s="14"/>
      <c r="BU106" s="14"/>
      <c r="BV106" s="16"/>
      <c r="BW106" s="14"/>
      <c r="BX106" s="14"/>
      <c r="BY106" s="14"/>
      <c r="BZ106" s="14"/>
      <c r="CA106" s="14"/>
      <c r="CB106" s="14"/>
      <c r="CC106" s="14"/>
      <c r="CD106" s="14"/>
      <c r="CE106" s="14"/>
      <c r="CF106" s="14"/>
      <c r="CG106" s="14"/>
      <c r="CH106" s="14"/>
      <c r="CI106" s="14"/>
      <c r="CJ106" s="14"/>
      <c r="CK106" s="14"/>
      <c r="CL106" s="14"/>
      <c r="CM106" s="14"/>
      <c r="CN106" s="14"/>
      <c r="CO106" s="14"/>
      <c r="CP106" s="14"/>
      <c r="CQ106" s="14"/>
      <c r="CR106" s="14"/>
      <c r="CS106" s="14"/>
      <c r="CT106" s="14"/>
      <c r="CU106" s="14"/>
      <c r="CV106" s="14"/>
      <c r="CW106" s="14"/>
      <c r="CX106" s="14"/>
      <c r="CY106" s="14"/>
      <c r="CZ106" s="14"/>
      <c r="DA106" s="14"/>
      <c r="DB106" s="14"/>
      <c r="DC106" s="14"/>
      <c r="DD106" s="14"/>
      <c r="DE106" s="14"/>
      <c r="DF106" s="14"/>
      <c r="DG106" s="14"/>
      <c r="DH106" s="14"/>
      <c r="DI106" s="14"/>
      <c r="DJ106" s="14"/>
      <c r="DK106" s="14"/>
      <c r="DL106" s="14"/>
      <c r="DM106" s="14"/>
      <c r="DN106" s="14"/>
      <c r="DO106" s="14"/>
      <c r="DP106" s="26"/>
      <c r="DQ106" s="27"/>
      <c r="DR106" s="129"/>
      <c r="DS106" s="130">
        <f>TCP(BO106:DQ106,$BO$9:$DQ$9,data!$H$8)</f>
        <v>0</v>
      </c>
      <c r="DT106" s="135"/>
      <c r="DU106" s="121"/>
      <c r="DV106" s="121"/>
      <c r="DW106" s="134"/>
      <c r="DX106" s="132"/>
      <c r="DY106" s="136"/>
      <c r="DZ106" s="21"/>
      <c r="EA106" s="18"/>
      <c r="EB106" s="4"/>
      <c r="EI106" s="23"/>
      <c r="EJ106" s="23"/>
    </row>
    <row r="107" spans="1:140" s="191" customFormat="1" ht="15.75" x14ac:dyDescent="0.25">
      <c r="A107" s="12"/>
      <c r="B107" s="16"/>
      <c r="C107" s="24" t="str">
        <f t="shared" si="4"/>
        <v xml:space="preserve"> </v>
      </c>
      <c r="D107" s="25"/>
      <c r="E107" s="20"/>
      <c r="F107" s="19"/>
      <c r="G107" s="180"/>
      <c r="H107" s="120"/>
      <c r="I107" s="121"/>
      <c r="J107" s="121"/>
      <c r="K107" s="121"/>
      <c r="L107" s="121"/>
      <c r="M107" s="121"/>
      <c r="N107" s="121"/>
      <c r="O107" s="121"/>
      <c r="P107" s="121"/>
      <c r="Q107" s="121"/>
      <c r="R107" s="121"/>
      <c r="S107" s="121"/>
      <c r="T107" s="121"/>
      <c r="U107" s="121"/>
      <c r="V107" s="121"/>
      <c r="W107" s="121"/>
      <c r="X107" s="121"/>
      <c r="Y107" s="121"/>
      <c r="Z107" s="121"/>
      <c r="AA107" s="121"/>
      <c r="AB107" s="121"/>
      <c r="AC107" s="121"/>
      <c r="AD107" s="121"/>
      <c r="AE107" s="121"/>
      <c r="AF107" s="121"/>
      <c r="AG107" s="121"/>
      <c r="AH107" s="121"/>
      <c r="AI107" s="121"/>
      <c r="AJ107" s="121"/>
      <c r="AK107" s="121"/>
      <c r="AL107" s="121"/>
      <c r="AM107" s="121"/>
      <c r="AN107" s="121"/>
      <c r="AO107" s="121"/>
      <c r="AP107" s="121"/>
      <c r="AQ107" s="121"/>
      <c r="AR107" s="121"/>
      <c r="AS107" s="121"/>
      <c r="AT107" s="121"/>
      <c r="AU107" s="121"/>
      <c r="AV107" s="121"/>
      <c r="AW107" s="121"/>
      <c r="AX107" s="121"/>
      <c r="AY107" s="121"/>
      <c r="AZ107" s="121"/>
      <c r="BA107" s="121"/>
      <c r="BB107" s="121"/>
      <c r="BC107" s="121"/>
      <c r="BD107" s="121"/>
      <c r="BE107" s="121"/>
      <c r="BF107" s="121"/>
      <c r="BG107" s="121"/>
      <c r="BH107" s="121"/>
      <c r="BI107" s="121"/>
      <c r="BJ107" s="122"/>
      <c r="BK107" s="93"/>
      <c r="BL107" s="94"/>
      <c r="BM107" s="95"/>
      <c r="BN107" s="179" t="str">
        <f t="shared" si="5"/>
        <v/>
      </c>
      <c r="BO107" s="177"/>
      <c r="BP107" s="14"/>
      <c r="BQ107" s="14"/>
      <c r="BR107" s="14"/>
      <c r="BS107" s="14"/>
      <c r="BT107" s="14"/>
      <c r="BU107" s="14"/>
      <c r="BV107" s="16"/>
      <c r="BW107" s="14"/>
      <c r="BX107" s="14"/>
      <c r="BY107" s="14"/>
      <c r="BZ107" s="14"/>
      <c r="CA107" s="14"/>
      <c r="CB107" s="14"/>
      <c r="CC107" s="14"/>
      <c r="CD107" s="14"/>
      <c r="CE107" s="14"/>
      <c r="CF107" s="14"/>
      <c r="CG107" s="14"/>
      <c r="CH107" s="14"/>
      <c r="CI107" s="14"/>
      <c r="CJ107" s="14"/>
      <c r="CK107" s="14"/>
      <c r="CL107" s="14"/>
      <c r="CM107" s="14"/>
      <c r="CN107" s="14"/>
      <c r="CO107" s="14"/>
      <c r="CP107" s="14"/>
      <c r="CQ107" s="14"/>
      <c r="CR107" s="14"/>
      <c r="CS107" s="14"/>
      <c r="CT107" s="14"/>
      <c r="CU107" s="14"/>
      <c r="CV107" s="14"/>
      <c r="CW107" s="14"/>
      <c r="CX107" s="14"/>
      <c r="CY107" s="14"/>
      <c r="CZ107" s="14"/>
      <c r="DA107" s="14"/>
      <c r="DB107" s="14"/>
      <c r="DC107" s="14"/>
      <c r="DD107" s="14"/>
      <c r="DE107" s="14"/>
      <c r="DF107" s="14"/>
      <c r="DG107" s="14"/>
      <c r="DH107" s="14"/>
      <c r="DI107" s="14"/>
      <c r="DJ107" s="14"/>
      <c r="DK107" s="14"/>
      <c r="DL107" s="14"/>
      <c r="DM107" s="14"/>
      <c r="DN107" s="14"/>
      <c r="DO107" s="14"/>
      <c r="DP107" s="26"/>
      <c r="DQ107" s="27"/>
      <c r="DR107" s="129"/>
      <c r="DS107" s="130">
        <f>TCP(BO107:DQ107,$BO$9:$DQ$9,data!$H$8)</f>
        <v>0</v>
      </c>
      <c r="DT107" s="135"/>
      <c r="DU107" s="121"/>
      <c r="DV107" s="121"/>
      <c r="DW107" s="134"/>
      <c r="DX107" s="132"/>
      <c r="DY107" s="136"/>
      <c r="DZ107" s="21"/>
      <c r="EA107" s="18"/>
      <c r="EB107" s="4"/>
      <c r="EI107" s="23"/>
      <c r="EJ107" s="23"/>
    </row>
    <row r="108" spans="1:140" s="191" customFormat="1" ht="15.75" x14ac:dyDescent="0.25">
      <c r="A108" s="12"/>
      <c r="B108" s="16"/>
      <c r="C108" s="24" t="str">
        <f t="shared" si="4"/>
        <v xml:space="preserve"> </v>
      </c>
      <c r="D108" s="25"/>
      <c r="E108" s="20"/>
      <c r="F108" s="19"/>
      <c r="G108" s="180"/>
      <c r="H108" s="120"/>
      <c r="I108" s="121"/>
      <c r="J108" s="121"/>
      <c r="K108" s="121"/>
      <c r="L108" s="121"/>
      <c r="M108" s="121"/>
      <c r="N108" s="121"/>
      <c r="O108" s="121"/>
      <c r="P108" s="121"/>
      <c r="Q108" s="121"/>
      <c r="R108" s="121"/>
      <c r="S108" s="121"/>
      <c r="T108" s="121"/>
      <c r="U108" s="121"/>
      <c r="V108" s="121"/>
      <c r="W108" s="121"/>
      <c r="X108" s="121"/>
      <c r="Y108" s="121"/>
      <c r="Z108" s="121"/>
      <c r="AA108" s="121"/>
      <c r="AB108" s="121"/>
      <c r="AC108" s="121"/>
      <c r="AD108" s="121"/>
      <c r="AE108" s="121"/>
      <c r="AF108" s="121"/>
      <c r="AG108" s="121"/>
      <c r="AH108" s="121"/>
      <c r="AI108" s="121"/>
      <c r="AJ108" s="121"/>
      <c r="AK108" s="121"/>
      <c r="AL108" s="121"/>
      <c r="AM108" s="121"/>
      <c r="AN108" s="121"/>
      <c r="AO108" s="121"/>
      <c r="AP108" s="121"/>
      <c r="AQ108" s="121"/>
      <c r="AR108" s="121"/>
      <c r="AS108" s="121"/>
      <c r="AT108" s="121"/>
      <c r="AU108" s="121"/>
      <c r="AV108" s="121"/>
      <c r="AW108" s="121"/>
      <c r="AX108" s="121"/>
      <c r="AY108" s="121"/>
      <c r="AZ108" s="121"/>
      <c r="BA108" s="121"/>
      <c r="BB108" s="121"/>
      <c r="BC108" s="121"/>
      <c r="BD108" s="121"/>
      <c r="BE108" s="121"/>
      <c r="BF108" s="121"/>
      <c r="BG108" s="121"/>
      <c r="BH108" s="121"/>
      <c r="BI108" s="121"/>
      <c r="BJ108" s="122"/>
      <c r="BK108" s="93"/>
      <c r="BL108" s="94"/>
      <c r="BM108" s="95"/>
      <c r="BN108" s="179" t="str">
        <f t="shared" si="5"/>
        <v/>
      </c>
      <c r="BO108" s="177"/>
      <c r="BP108" s="14"/>
      <c r="BQ108" s="14"/>
      <c r="BR108" s="14"/>
      <c r="BS108" s="14"/>
      <c r="BT108" s="14"/>
      <c r="BU108" s="14"/>
      <c r="BV108" s="16"/>
      <c r="BW108" s="14"/>
      <c r="BX108" s="14"/>
      <c r="BY108" s="14"/>
      <c r="BZ108" s="14"/>
      <c r="CA108" s="14"/>
      <c r="CB108" s="14"/>
      <c r="CC108" s="14"/>
      <c r="CD108" s="14"/>
      <c r="CE108" s="14"/>
      <c r="CF108" s="14"/>
      <c r="CG108" s="14"/>
      <c r="CH108" s="14"/>
      <c r="CI108" s="14"/>
      <c r="CJ108" s="14"/>
      <c r="CK108" s="14"/>
      <c r="CL108" s="14"/>
      <c r="CM108" s="14"/>
      <c r="CN108" s="14"/>
      <c r="CO108" s="14"/>
      <c r="CP108" s="14"/>
      <c r="CQ108" s="14"/>
      <c r="CR108" s="14"/>
      <c r="CS108" s="14"/>
      <c r="CT108" s="14"/>
      <c r="CU108" s="14"/>
      <c r="CV108" s="14"/>
      <c r="CW108" s="14"/>
      <c r="CX108" s="14"/>
      <c r="CY108" s="14"/>
      <c r="CZ108" s="14"/>
      <c r="DA108" s="14"/>
      <c r="DB108" s="14"/>
      <c r="DC108" s="14"/>
      <c r="DD108" s="14"/>
      <c r="DE108" s="14"/>
      <c r="DF108" s="14"/>
      <c r="DG108" s="14"/>
      <c r="DH108" s="14"/>
      <c r="DI108" s="14"/>
      <c r="DJ108" s="14"/>
      <c r="DK108" s="14"/>
      <c r="DL108" s="14"/>
      <c r="DM108" s="14"/>
      <c r="DN108" s="14"/>
      <c r="DO108" s="14"/>
      <c r="DP108" s="26"/>
      <c r="DQ108" s="27"/>
      <c r="DR108" s="129"/>
      <c r="DS108" s="130">
        <f>TCP(BO108:DQ108,$BO$9:$DQ$9,data!$H$8)</f>
        <v>0</v>
      </c>
      <c r="DT108" s="135"/>
      <c r="DU108" s="121"/>
      <c r="DV108" s="121"/>
      <c r="DW108" s="134"/>
      <c r="DX108" s="132"/>
      <c r="DY108" s="136"/>
      <c r="DZ108" s="21"/>
      <c r="EA108" s="18"/>
      <c r="EB108" s="4"/>
      <c r="EI108" s="23"/>
      <c r="EJ108" s="23"/>
    </row>
    <row r="109" spans="1:140" s="191" customFormat="1" ht="15.75" x14ac:dyDescent="0.25">
      <c r="A109" s="12"/>
      <c r="B109" s="16"/>
      <c r="C109" s="24" t="str">
        <f t="shared" si="4"/>
        <v xml:space="preserve"> </v>
      </c>
      <c r="D109" s="25"/>
      <c r="E109" s="20"/>
      <c r="F109" s="19"/>
      <c r="G109" s="180"/>
      <c r="H109" s="120"/>
      <c r="I109" s="121"/>
      <c r="J109" s="121"/>
      <c r="K109" s="121"/>
      <c r="L109" s="121"/>
      <c r="M109" s="121"/>
      <c r="N109" s="121"/>
      <c r="O109" s="121"/>
      <c r="P109" s="121"/>
      <c r="Q109" s="121"/>
      <c r="R109" s="121"/>
      <c r="S109" s="121"/>
      <c r="T109" s="121"/>
      <c r="U109" s="121"/>
      <c r="V109" s="121"/>
      <c r="W109" s="121"/>
      <c r="X109" s="121"/>
      <c r="Y109" s="121"/>
      <c r="Z109" s="121"/>
      <c r="AA109" s="121"/>
      <c r="AB109" s="121"/>
      <c r="AC109" s="121"/>
      <c r="AD109" s="121"/>
      <c r="AE109" s="121"/>
      <c r="AF109" s="121"/>
      <c r="AG109" s="121"/>
      <c r="AH109" s="121"/>
      <c r="AI109" s="121"/>
      <c r="AJ109" s="121"/>
      <c r="AK109" s="121"/>
      <c r="AL109" s="121"/>
      <c r="AM109" s="121"/>
      <c r="AN109" s="121"/>
      <c r="AO109" s="121"/>
      <c r="AP109" s="121"/>
      <c r="AQ109" s="121"/>
      <c r="AR109" s="121"/>
      <c r="AS109" s="121"/>
      <c r="AT109" s="121"/>
      <c r="AU109" s="121"/>
      <c r="AV109" s="121"/>
      <c r="AW109" s="121"/>
      <c r="AX109" s="121"/>
      <c r="AY109" s="121"/>
      <c r="AZ109" s="121"/>
      <c r="BA109" s="121"/>
      <c r="BB109" s="121"/>
      <c r="BC109" s="121"/>
      <c r="BD109" s="121"/>
      <c r="BE109" s="121"/>
      <c r="BF109" s="121"/>
      <c r="BG109" s="121"/>
      <c r="BH109" s="121"/>
      <c r="BI109" s="121"/>
      <c r="BJ109" s="122"/>
      <c r="BK109" s="93"/>
      <c r="BL109" s="94"/>
      <c r="BM109" s="95"/>
      <c r="BN109" s="179" t="str">
        <f t="shared" si="5"/>
        <v/>
      </c>
      <c r="BO109" s="177"/>
      <c r="BP109" s="14"/>
      <c r="BQ109" s="14"/>
      <c r="BR109" s="14"/>
      <c r="BS109" s="14"/>
      <c r="BT109" s="14"/>
      <c r="BU109" s="14"/>
      <c r="BV109" s="16"/>
      <c r="BW109" s="14"/>
      <c r="BX109" s="14"/>
      <c r="BY109" s="14"/>
      <c r="BZ109" s="14"/>
      <c r="CA109" s="14"/>
      <c r="CB109" s="14"/>
      <c r="CC109" s="14"/>
      <c r="CD109" s="14"/>
      <c r="CE109" s="14"/>
      <c r="CF109" s="14"/>
      <c r="CG109" s="14"/>
      <c r="CH109" s="14"/>
      <c r="CI109" s="14"/>
      <c r="CJ109" s="14"/>
      <c r="CK109" s="14"/>
      <c r="CL109" s="14"/>
      <c r="CM109" s="14"/>
      <c r="CN109" s="14"/>
      <c r="CO109" s="14"/>
      <c r="CP109" s="14"/>
      <c r="CQ109" s="14"/>
      <c r="CR109" s="14"/>
      <c r="CS109" s="14"/>
      <c r="CT109" s="14"/>
      <c r="CU109" s="14"/>
      <c r="CV109" s="14"/>
      <c r="CW109" s="14"/>
      <c r="CX109" s="14"/>
      <c r="CY109" s="14"/>
      <c r="CZ109" s="14"/>
      <c r="DA109" s="14"/>
      <c r="DB109" s="14"/>
      <c r="DC109" s="14"/>
      <c r="DD109" s="14"/>
      <c r="DE109" s="14"/>
      <c r="DF109" s="14"/>
      <c r="DG109" s="14"/>
      <c r="DH109" s="14"/>
      <c r="DI109" s="14"/>
      <c r="DJ109" s="14"/>
      <c r="DK109" s="14"/>
      <c r="DL109" s="14"/>
      <c r="DM109" s="14"/>
      <c r="DN109" s="14"/>
      <c r="DO109" s="14"/>
      <c r="DP109" s="26"/>
      <c r="DQ109" s="27"/>
      <c r="DR109" s="129"/>
      <c r="DS109" s="130">
        <f>TCP(BO109:DQ109,$BO$9:$DQ$9,data!$H$8)</f>
        <v>0</v>
      </c>
      <c r="DT109" s="135"/>
      <c r="DU109" s="121"/>
      <c r="DV109" s="121"/>
      <c r="DW109" s="134"/>
      <c r="DX109" s="132"/>
      <c r="DY109" s="136"/>
      <c r="DZ109" s="21"/>
      <c r="EA109" s="18"/>
      <c r="EB109" s="4"/>
      <c r="EI109" s="23"/>
      <c r="EJ109" s="23"/>
    </row>
    <row r="110" spans="1:140" s="191" customFormat="1" ht="15.75" x14ac:dyDescent="0.25">
      <c r="A110" s="12"/>
      <c r="B110" s="16"/>
      <c r="C110" s="24" t="str">
        <f t="shared" si="4"/>
        <v xml:space="preserve"> </v>
      </c>
      <c r="D110" s="25"/>
      <c r="E110" s="20"/>
      <c r="F110" s="19"/>
      <c r="G110" s="180"/>
      <c r="H110" s="120"/>
      <c r="I110" s="121"/>
      <c r="J110" s="121"/>
      <c r="K110" s="121"/>
      <c r="L110" s="121"/>
      <c r="M110" s="121"/>
      <c r="N110" s="121"/>
      <c r="O110" s="121"/>
      <c r="P110" s="121"/>
      <c r="Q110" s="121"/>
      <c r="R110" s="121"/>
      <c r="S110" s="121"/>
      <c r="T110" s="121"/>
      <c r="U110" s="121"/>
      <c r="V110" s="121"/>
      <c r="W110" s="121"/>
      <c r="X110" s="121"/>
      <c r="Y110" s="121"/>
      <c r="Z110" s="121"/>
      <c r="AA110" s="121"/>
      <c r="AB110" s="121"/>
      <c r="AC110" s="121"/>
      <c r="AD110" s="121"/>
      <c r="AE110" s="121"/>
      <c r="AF110" s="121"/>
      <c r="AG110" s="121"/>
      <c r="AH110" s="121"/>
      <c r="AI110" s="121"/>
      <c r="AJ110" s="121"/>
      <c r="AK110" s="121"/>
      <c r="AL110" s="121"/>
      <c r="AM110" s="121"/>
      <c r="AN110" s="121"/>
      <c r="AO110" s="121"/>
      <c r="AP110" s="121"/>
      <c r="AQ110" s="121"/>
      <c r="AR110" s="121"/>
      <c r="AS110" s="121"/>
      <c r="AT110" s="121"/>
      <c r="AU110" s="121"/>
      <c r="AV110" s="121"/>
      <c r="AW110" s="121"/>
      <c r="AX110" s="121"/>
      <c r="AY110" s="121"/>
      <c r="AZ110" s="121"/>
      <c r="BA110" s="121"/>
      <c r="BB110" s="121"/>
      <c r="BC110" s="121"/>
      <c r="BD110" s="121"/>
      <c r="BE110" s="121"/>
      <c r="BF110" s="121"/>
      <c r="BG110" s="121"/>
      <c r="BH110" s="121"/>
      <c r="BI110" s="121"/>
      <c r="BJ110" s="122"/>
      <c r="BK110" s="93"/>
      <c r="BL110" s="94"/>
      <c r="BM110" s="95"/>
      <c r="BN110" s="179" t="str">
        <f t="shared" si="5"/>
        <v/>
      </c>
      <c r="BO110" s="177"/>
      <c r="BP110" s="14"/>
      <c r="BQ110" s="14"/>
      <c r="BR110" s="14"/>
      <c r="BS110" s="14"/>
      <c r="BT110" s="14"/>
      <c r="BU110" s="14"/>
      <c r="BV110" s="16"/>
      <c r="BW110" s="14"/>
      <c r="BX110" s="14"/>
      <c r="BY110" s="14"/>
      <c r="BZ110" s="14"/>
      <c r="CA110" s="14"/>
      <c r="CB110" s="14"/>
      <c r="CC110" s="14"/>
      <c r="CD110" s="14"/>
      <c r="CE110" s="14"/>
      <c r="CF110" s="14"/>
      <c r="CG110" s="14"/>
      <c r="CH110" s="14"/>
      <c r="CI110" s="14"/>
      <c r="CJ110" s="14"/>
      <c r="CK110" s="14"/>
      <c r="CL110" s="14"/>
      <c r="CM110" s="14"/>
      <c r="CN110" s="14"/>
      <c r="CO110" s="14"/>
      <c r="CP110" s="14"/>
      <c r="CQ110" s="14"/>
      <c r="CR110" s="14"/>
      <c r="CS110" s="14"/>
      <c r="CT110" s="14"/>
      <c r="CU110" s="14"/>
      <c r="CV110" s="14"/>
      <c r="CW110" s="14"/>
      <c r="CX110" s="14"/>
      <c r="CY110" s="14"/>
      <c r="CZ110" s="14"/>
      <c r="DA110" s="14"/>
      <c r="DB110" s="14"/>
      <c r="DC110" s="14"/>
      <c r="DD110" s="14"/>
      <c r="DE110" s="14"/>
      <c r="DF110" s="14"/>
      <c r="DG110" s="14"/>
      <c r="DH110" s="14"/>
      <c r="DI110" s="14"/>
      <c r="DJ110" s="14"/>
      <c r="DK110" s="14"/>
      <c r="DL110" s="14"/>
      <c r="DM110" s="14"/>
      <c r="DN110" s="14"/>
      <c r="DO110" s="14"/>
      <c r="DP110" s="26"/>
      <c r="DQ110" s="27"/>
      <c r="DR110" s="129"/>
      <c r="DS110" s="130">
        <f>TCP(BO110:DQ110,$BO$9:$DQ$9,data!$H$8)</f>
        <v>0</v>
      </c>
      <c r="DT110" s="135"/>
      <c r="DU110" s="121"/>
      <c r="DV110" s="121"/>
      <c r="DW110" s="134"/>
      <c r="DX110" s="132"/>
      <c r="DY110" s="136"/>
      <c r="DZ110" s="21"/>
      <c r="EA110" s="18"/>
      <c r="EB110" s="4"/>
      <c r="EI110" s="23"/>
      <c r="EJ110" s="23"/>
    </row>
    <row r="111" spans="1:140" s="191" customFormat="1" ht="15.75" x14ac:dyDescent="0.25">
      <c r="A111" s="12"/>
      <c r="B111" s="16"/>
      <c r="C111" s="24" t="str">
        <f t="shared" si="4"/>
        <v xml:space="preserve"> </v>
      </c>
      <c r="D111" s="25"/>
      <c r="E111" s="20"/>
      <c r="F111" s="19"/>
      <c r="G111" s="180"/>
      <c r="H111" s="120"/>
      <c r="I111" s="121"/>
      <c r="J111" s="121"/>
      <c r="K111" s="121"/>
      <c r="L111" s="121"/>
      <c r="M111" s="121"/>
      <c r="N111" s="121"/>
      <c r="O111" s="121"/>
      <c r="P111" s="121"/>
      <c r="Q111" s="121"/>
      <c r="R111" s="121"/>
      <c r="S111" s="121"/>
      <c r="T111" s="121"/>
      <c r="U111" s="121"/>
      <c r="V111" s="121"/>
      <c r="W111" s="121"/>
      <c r="X111" s="121"/>
      <c r="Y111" s="121"/>
      <c r="Z111" s="121"/>
      <c r="AA111" s="121"/>
      <c r="AB111" s="121"/>
      <c r="AC111" s="121"/>
      <c r="AD111" s="121"/>
      <c r="AE111" s="121"/>
      <c r="AF111" s="121"/>
      <c r="AG111" s="121"/>
      <c r="AH111" s="121"/>
      <c r="AI111" s="121"/>
      <c r="AJ111" s="121"/>
      <c r="AK111" s="121"/>
      <c r="AL111" s="121"/>
      <c r="AM111" s="121"/>
      <c r="AN111" s="121"/>
      <c r="AO111" s="121"/>
      <c r="AP111" s="121"/>
      <c r="AQ111" s="121"/>
      <c r="AR111" s="121"/>
      <c r="AS111" s="121"/>
      <c r="AT111" s="121"/>
      <c r="AU111" s="121"/>
      <c r="AV111" s="121"/>
      <c r="AW111" s="121"/>
      <c r="AX111" s="121"/>
      <c r="AY111" s="121"/>
      <c r="AZ111" s="121"/>
      <c r="BA111" s="121"/>
      <c r="BB111" s="121"/>
      <c r="BC111" s="121"/>
      <c r="BD111" s="121"/>
      <c r="BE111" s="121"/>
      <c r="BF111" s="121"/>
      <c r="BG111" s="121"/>
      <c r="BH111" s="121"/>
      <c r="BI111" s="121"/>
      <c r="BJ111" s="122"/>
      <c r="BK111" s="93"/>
      <c r="BL111" s="94"/>
      <c r="BM111" s="95"/>
      <c r="BN111" s="179" t="str">
        <f t="shared" si="5"/>
        <v/>
      </c>
      <c r="BO111" s="177"/>
      <c r="BP111" s="14"/>
      <c r="BQ111" s="14"/>
      <c r="BR111" s="14"/>
      <c r="BS111" s="14"/>
      <c r="BT111" s="14"/>
      <c r="BU111" s="14"/>
      <c r="BV111" s="16"/>
      <c r="BW111" s="14"/>
      <c r="BX111" s="14"/>
      <c r="BY111" s="14"/>
      <c r="BZ111" s="14"/>
      <c r="CA111" s="14"/>
      <c r="CB111" s="14"/>
      <c r="CC111" s="14"/>
      <c r="CD111" s="14"/>
      <c r="CE111" s="14"/>
      <c r="CF111" s="14"/>
      <c r="CG111" s="14"/>
      <c r="CH111" s="14"/>
      <c r="CI111" s="14"/>
      <c r="CJ111" s="14"/>
      <c r="CK111" s="14"/>
      <c r="CL111" s="14"/>
      <c r="CM111" s="14"/>
      <c r="CN111" s="14"/>
      <c r="CO111" s="14"/>
      <c r="CP111" s="14"/>
      <c r="CQ111" s="14"/>
      <c r="CR111" s="14"/>
      <c r="CS111" s="14"/>
      <c r="CT111" s="14"/>
      <c r="CU111" s="14"/>
      <c r="CV111" s="14"/>
      <c r="CW111" s="14"/>
      <c r="CX111" s="14"/>
      <c r="CY111" s="14"/>
      <c r="CZ111" s="14"/>
      <c r="DA111" s="14"/>
      <c r="DB111" s="14"/>
      <c r="DC111" s="14"/>
      <c r="DD111" s="14"/>
      <c r="DE111" s="14"/>
      <c r="DF111" s="14"/>
      <c r="DG111" s="14"/>
      <c r="DH111" s="14"/>
      <c r="DI111" s="14"/>
      <c r="DJ111" s="14"/>
      <c r="DK111" s="14"/>
      <c r="DL111" s="14"/>
      <c r="DM111" s="14"/>
      <c r="DN111" s="14"/>
      <c r="DO111" s="14"/>
      <c r="DP111" s="26"/>
      <c r="DQ111" s="27"/>
      <c r="DR111" s="129"/>
      <c r="DS111" s="130">
        <f>TCP(BO111:DQ111,$BO$9:$DQ$9,data!$H$8)</f>
        <v>0</v>
      </c>
      <c r="DT111" s="135"/>
      <c r="DU111" s="121"/>
      <c r="DV111" s="121"/>
      <c r="DW111" s="134"/>
      <c r="DX111" s="132"/>
      <c r="DY111" s="136"/>
      <c r="DZ111" s="21"/>
      <c r="EA111" s="18"/>
      <c r="EB111" s="4"/>
      <c r="EI111" s="23"/>
      <c r="EJ111" s="23"/>
    </row>
    <row r="112" spans="1:140" s="191" customFormat="1" ht="15.75" x14ac:dyDescent="0.25">
      <c r="A112" s="12"/>
      <c r="B112" s="16"/>
      <c r="C112" s="24" t="str">
        <f t="shared" si="4"/>
        <v xml:space="preserve"> </v>
      </c>
      <c r="D112" s="25"/>
      <c r="E112" s="20"/>
      <c r="F112" s="19"/>
      <c r="G112" s="180"/>
      <c r="H112" s="120"/>
      <c r="I112" s="121"/>
      <c r="J112" s="121"/>
      <c r="K112" s="121"/>
      <c r="L112" s="121"/>
      <c r="M112" s="121"/>
      <c r="N112" s="121"/>
      <c r="O112" s="121"/>
      <c r="P112" s="121"/>
      <c r="Q112" s="121"/>
      <c r="R112" s="121"/>
      <c r="S112" s="121"/>
      <c r="T112" s="121"/>
      <c r="U112" s="121"/>
      <c r="V112" s="121"/>
      <c r="W112" s="121"/>
      <c r="X112" s="121"/>
      <c r="Y112" s="121"/>
      <c r="Z112" s="121"/>
      <c r="AA112" s="121"/>
      <c r="AB112" s="121"/>
      <c r="AC112" s="121"/>
      <c r="AD112" s="121"/>
      <c r="AE112" s="121"/>
      <c r="AF112" s="121"/>
      <c r="AG112" s="121"/>
      <c r="AH112" s="121"/>
      <c r="AI112" s="121"/>
      <c r="AJ112" s="121"/>
      <c r="AK112" s="121"/>
      <c r="AL112" s="121"/>
      <c r="AM112" s="121"/>
      <c r="AN112" s="121"/>
      <c r="AO112" s="121"/>
      <c r="AP112" s="121"/>
      <c r="AQ112" s="121"/>
      <c r="AR112" s="121"/>
      <c r="AS112" s="121"/>
      <c r="AT112" s="121"/>
      <c r="AU112" s="121"/>
      <c r="AV112" s="121"/>
      <c r="AW112" s="121"/>
      <c r="AX112" s="121"/>
      <c r="AY112" s="121"/>
      <c r="AZ112" s="121"/>
      <c r="BA112" s="121"/>
      <c r="BB112" s="121"/>
      <c r="BC112" s="121"/>
      <c r="BD112" s="121"/>
      <c r="BE112" s="121"/>
      <c r="BF112" s="121"/>
      <c r="BG112" s="121"/>
      <c r="BH112" s="121"/>
      <c r="BI112" s="121"/>
      <c r="BJ112" s="122"/>
      <c r="BK112" s="93"/>
      <c r="BL112" s="94"/>
      <c r="BM112" s="95"/>
      <c r="BN112" s="179" t="str">
        <f t="shared" si="5"/>
        <v/>
      </c>
      <c r="BO112" s="177"/>
      <c r="BP112" s="14"/>
      <c r="BQ112" s="14"/>
      <c r="BR112" s="14"/>
      <c r="BS112" s="14"/>
      <c r="BT112" s="14"/>
      <c r="BU112" s="14"/>
      <c r="BV112" s="16"/>
      <c r="BW112" s="14"/>
      <c r="BX112" s="14"/>
      <c r="BY112" s="14"/>
      <c r="BZ112" s="14"/>
      <c r="CA112" s="14"/>
      <c r="CB112" s="14"/>
      <c r="CC112" s="14"/>
      <c r="CD112" s="14"/>
      <c r="CE112" s="14"/>
      <c r="CF112" s="14"/>
      <c r="CG112" s="14"/>
      <c r="CH112" s="14"/>
      <c r="CI112" s="14"/>
      <c r="CJ112" s="14"/>
      <c r="CK112" s="14"/>
      <c r="CL112" s="14"/>
      <c r="CM112" s="14"/>
      <c r="CN112" s="14"/>
      <c r="CO112" s="14"/>
      <c r="CP112" s="14"/>
      <c r="CQ112" s="14"/>
      <c r="CR112" s="14"/>
      <c r="CS112" s="14"/>
      <c r="CT112" s="14"/>
      <c r="CU112" s="14"/>
      <c r="CV112" s="14"/>
      <c r="CW112" s="14"/>
      <c r="CX112" s="14"/>
      <c r="CY112" s="14"/>
      <c r="CZ112" s="14"/>
      <c r="DA112" s="14"/>
      <c r="DB112" s="14"/>
      <c r="DC112" s="14"/>
      <c r="DD112" s="14"/>
      <c r="DE112" s="14"/>
      <c r="DF112" s="14"/>
      <c r="DG112" s="14"/>
      <c r="DH112" s="14"/>
      <c r="DI112" s="14"/>
      <c r="DJ112" s="14"/>
      <c r="DK112" s="14"/>
      <c r="DL112" s="14"/>
      <c r="DM112" s="14"/>
      <c r="DN112" s="14"/>
      <c r="DO112" s="14"/>
      <c r="DP112" s="26"/>
      <c r="DQ112" s="27"/>
      <c r="DR112" s="129"/>
      <c r="DS112" s="130">
        <f>TCP(BO112:DQ112,$BO$9:$DQ$9,data!$H$8)</f>
        <v>0</v>
      </c>
      <c r="DT112" s="135"/>
      <c r="DU112" s="121"/>
      <c r="DV112" s="121"/>
      <c r="DW112" s="134"/>
      <c r="DX112" s="132"/>
      <c r="DY112" s="136"/>
      <c r="DZ112" s="21"/>
      <c r="EA112" s="18"/>
      <c r="EB112" s="4"/>
      <c r="EI112" s="23"/>
      <c r="EJ112" s="23"/>
    </row>
    <row r="113" spans="1:140" s="191" customFormat="1" ht="15.75" x14ac:dyDescent="0.25">
      <c r="A113" s="12"/>
      <c r="B113" s="16"/>
      <c r="C113" s="24" t="str">
        <f t="shared" si="4"/>
        <v xml:space="preserve"> </v>
      </c>
      <c r="D113" s="25"/>
      <c r="E113" s="20"/>
      <c r="F113" s="19"/>
      <c r="G113" s="180"/>
      <c r="H113" s="120"/>
      <c r="I113" s="121"/>
      <c r="J113" s="121"/>
      <c r="K113" s="121"/>
      <c r="L113" s="121"/>
      <c r="M113" s="121"/>
      <c r="N113" s="121"/>
      <c r="O113" s="121"/>
      <c r="P113" s="121"/>
      <c r="Q113" s="121"/>
      <c r="R113" s="121"/>
      <c r="S113" s="121"/>
      <c r="T113" s="121"/>
      <c r="U113" s="121"/>
      <c r="V113" s="121"/>
      <c r="W113" s="121"/>
      <c r="X113" s="121"/>
      <c r="Y113" s="121"/>
      <c r="Z113" s="121"/>
      <c r="AA113" s="121"/>
      <c r="AB113" s="121"/>
      <c r="AC113" s="121"/>
      <c r="AD113" s="121"/>
      <c r="AE113" s="121"/>
      <c r="AF113" s="121"/>
      <c r="AG113" s="121"/>
      <c r="AH113" s="121"/>
      <c r="AI113" s="121"/>
      <c r="AJ113" s="121"/>
      <c r="AK113" s="121"/>
      <c r="AL113" s="121"/>
      <c r="AM113" s="121"/>
      <c r="AN113" s="121"/>
      <c r="AO113" s="121"/>
      <c r="AP113" s="121"/>
      <c r="AQ113" s="121"/>
      <c r="AR113" s="121"/>
      <c r="AS113" s="121"/>
      <c r="AT113" s="121"/>
      <c r="AU113" s="121"/>
      <c r="AV113" s="121"/>
      <c r="AW113" s="121"/>
      <c r="AX113" s="121"/>
      <c r="AY113" s="121"/>
      <c r="AZ113" s="121"/>
      <c r="BA113" s="121"/>
      <c r="BB113" s="121"/>
      <c r="BC113" s="121"/>
      <c r="BD113" s="121"/>
      <c r="BE113" s="121"/>
      <c r="BF113" s="121"/>
      <c r="BG113" s="121"/>
      <c r="BH113" s="121"/>
      <c r="BI113" s="121"/>
      <c r="BJ113" s="122"/>
      <c r="BK113" s="93"/>
      <c r="BL113" s="94"/>
      <c r="BM113" s="95"/>
      <c r="BN113" s="179" t="str">
        <f t="shared" si="5"/>
        <v/>
      </c>
      <c r="BO113" s="177"/>
      <c r="BP113" s="14"/>
      <c r="BQ113" s="14"/>
      <c r="BR113" s="14"/>
      <c r="BS113" s="14"/>
      <c r="BT113" s="14"/>
      <c r="BU113" s="14"/>
      <c r="BV113" s="16"/>
      <c r="BW113" s="14"/>
      <c r="BX113" s="14"/>
      <c r="BY113" s="14"/>
      <c r="BZ113" s="14"/>
      <c r="CA113" s="14"/>
      <c r="CB113" s="14"/>
      <c r="CC113" s="14"/>
      <c r="CD113" s="14"/>
      <c r="CE113" s="14"/>
      <c r="CF113" s="14"/>
      <c r="CG113" s="14"/>
      <c r="CH113" s="14"/>
      <c r="CI113" s="14"/>
      <c r="CJ113" s="14"/>
      <c r="CK113" s="14"/>
      <c r="CL113" s="14"/>
      <c r="CM113" s="14"/>
      <c r="CN113" s="14"/>
      <c r="CO113" s="14"/>
      <c r="CP113" s="14"/>
      <c r="CQ113" s="14"/>
      <c r="CR113" s="14"/>
      <c r="CS113" s="14"/>
      <c r="CT113" s="14"/>
      <c r="CU113" s="14"/>
      <c r="CV113" s="14"/>
      <c r="CW113" s="14"/>
      <c r="CX113" s="14"/>
      <c r="CY113" s="14"/>
      <c r="CZ113" s="14"/>
      <c r="DA113" s="14"/>
      <c r="DB113" s="14"/>
      <c r="DC113" s="14"/>
      <c r="DD113" s="14"/>
      <c r="DE113" s="14"/>
      <c r="DF113" s="14"/>
      <c r="DG113" s="14"/>
      <c r="DH113" s="14"/>
      <c r="DI113" s="14"/>
      <c r="DJ113" s="14"/>
      <c r="DK113" s="14"/>
      <c r="DL113" s="14"/>
      <c r="DM113" s="14"/>
      <c r="DN113" s="14"/>
      <c r="DO113" s="14"/>
      <c r="DP113" s="26"/>
      <c r="DQ113" s="27"/>
      <c r="DR113" s="129"/>
      <c r="DS113" s="130">
        <f>TCP(BO113:DQ113,$BO$9:$DQ$9,data!$H$8)</f>
        <v>0</v>
      </c>
      <c r="DT113" s="135"/>
      <c r="DU113" s="121"/>
      <c r="DV113" s="121"/>
      <c r="DW113" s="134"/>
      <c r="DX113" s="132"/>
      <c r="DY113" s="136"/>
      <c r="DZ113" s="21"/>
      <c r="EA113" s="18"/>
      <c r="EB113" s="4"/>
      <c r="EI113" s="23"/>
      <c r="EJ113" s="23"/>
    </row>
    <row r="114" spans="1:140" s="191" customFormat="1" ht="15.75" x14ac:dyDescent="0.25">
      <c r="A114" s="12"/>
      <c r="B114" s="16"/>
      <c r="C114" s="24" t="str">
        <f t="shared" si="4"/>
        <v xml:space="preserve"> </v>
      </c>
      <c r="D114" s="25"/>
      <c r="E114" s="20"/>
      <c r="F114" s="19"/>
      <c r="G114" s="180"/>
      <c r="H114" s="120"/>
      <c r="I114" s="121"/>
      <c r="J114" s="121"/>
      <c r="K114" s="121"/>
      <c r="L114" s="121"/>
      <c r="M114" s="121"/>
      <c r="N114" s="121"/>
      <c r="O114" s="121"/>
      <c r="P114" s="121"/>
      <c r="Q114" s="121"/>
      <c r="R114" s="121"/>
      <c r="S114" s="121"/>
      <c r="T114" s="121"/>
      <c r="U114" s="121"/>
      <c r="V114" s="121"/>
      <c r="W114" s="121"/>
      <c r="X114" s="121"/>
      <c r="Y114" s="121"/>
      <c r="Z114" s="121"/>
      <c r="AA114" s="121"/>
      <c r="AB114" s="121"/>
      <c r="AC114" s="121"/>
      <c r="AD114" s="121"/>
      <c r="AE114" s="121"/>
      <c r="AF114" s="121"/>
      <c r="AG114" s="121"/>
      <c r="AH114" s="121"/>
      <c r="AI114" s="121"/>
      <c r="AJ114" s="121"/>
      <c r="AK114" s="121"/>
      <c r="AL114" s="121"/>
      <c r="AM114" s="121"/>
      <c r="AN114" s="121"/>
      <c r="AO114" s="121"/>
      <c r="AP114" s="121"/>
      <c r="AQ114" s="121"/>
      <c r="AR114" s="121"/>
      <c r="AS114" s="121"/>
      <c r="AT114" s="121"/>
      <c r="AU114" s="121"/>
      <c r="AV114" s="121"/>
      <c r="AW114" s="121"/>
      <c r="AX114" s="121"/>
      <c r="AY114" s="121"/>
      <c r="AZ114" s="121"/>
      <c r="BA114" s="121"/>
      <c r="BB114" s="121"/>
      <c r="BC114" s="121"/>
      <c r="BD114" s="121"/>
      <c r="BE114" s="121"/>
      <c r="BF114" s="121"/>
      <c r="BG114" s="121"/>
      <c r="BH114" s="121"/>
      <c r="BI114" s="121"/>
      <c r="BJ114" s="122"/>
      <c r="BK114" s="93"/>
      <c r="BL114" s="94"/>
      <c r="BM114" s="95"/>
      <c r="BN114" s="179" t="str">
        <f t="shared" si="5"/>
        <v/>
      </c>
      <c r="BO114" s="177"/>
      <c r="BP114" s="14"/>
      <c r="BQ114" s="14"/>
      <c r="BR114" s="14"/>
      <c r="BS114" s="14"/>
      <c r="BT114" s="14"/>
      <c r="BU114" s="14"/>
      <c r="BV114" s="16"/>
      <c r="BW114" s="14"/>
      <c r="BX114" s="14"/>
      <c r="BY114" s="14"/>
      <c r="BZ114" s="14"/>
      <c r="CA114" s="14"/>
      <c r="CB114" s="14"/>
      <c r="CC114" s="14"/>
      <c r="CD114" s="14"/>
      <c r="CE114" s="14"/>
      <c r="CF114" s="14"/>
      <c r="CG114" s="14"/>
      <c r="CH114" s="14"/>
      <c r="CI114" s="14"/>
      <c r="CJ114" s="14"/>
      <c r="CK114" s="14"/>
      <c r="CL114" s="14"/>
      <c r="CM114" s="14"/>
      <c r="CN114" s="14"/>
      <c r="CO114" s="14"/>
      <c r="CP114" s="14"/>
      <c r="CQ114" s="14"/>
      <c r="CR114" s="14"/>
      <c r="CS114" s="14"/>
      <c r="CT114" s="14"/>
      <c r="CU114" s="14"/>
      <c r="CV114" s="14"/>
      <c r="CW114" s="14"/>
      <c r="CX114" s="14"/>
      <c r="CY114" s="14"/>
      <c r="CZ114" s="14"/>
      <c r="DA114" s="14"/>
      <c r="DB114" s="14"/>
      <c r="DC114" s="14"/>
      <c r="DD114" s="14"/>
      <c r="DE114" s="14"/>
      <c r="DF114" s="14"/>
      <c r="DG114" s="14"/>
      <c r="DH114" s="14"/>
      <c r="DI114" s="14"/>
      <c r="DJ114" s="14"/>
      <c r="DK114" s="14"/>
      <c r="DL114" s="14"/>
      <c r="DM114" s="14"/>
      <c r="DN114" s="14"/>
      <c r="DO114" s="14"/>
      <c r="DP114" s="26"/>
      <c r="DQ114" s="27"/>
      <c r="DR114" s="129"/>
      <c r="DS114" s="130">
        <f>TCP(BO114:DQ114,$BO$9:$DQ$9,data!$H$8)</f>
        <v>0</v>
      </c>
      <c r="DT114" s="135"/>
      <c r="DU114" s="121"/>
      <c r="DV114" s="121"/>
      <c r="DW114" s="134"/>
      <c r="DX114" s="132"/>
      <c r="DY114" s="136"/>
      <c r="DZ114" s="21"/>
      <c r="EA114" s="18"/>
      <c r="EB114" s="4"/>
      <c r="EI114" s="23"/>
      <c r="EJ114" s="23"/>
    </row>
    <row r="115" spans="1:140" s="191" customFormat="1" ht="15.75" x14ac:dyDescent="0.25">
      <c r="A115" s="12"/>
      <c r="B115" s="16"/>
      <c r="C115" s="24" t="str">
        <f t="shared" si="4"/>
        <v xml:space="preserve"> </v>
      </c>
      <c r="D115" s="25"/>
      <c r="E115" s="20"/>
      <c r="F115" s="19"/>
      <c r="G115" s="180"/>
      <c r="H115" s="120"/>
      <c r="I115" s="121"/>
      <c r="J115" s="121"/>
      <c r="K115" s="121"/>
      <c r="L115" s="121"/>
      <c r="M115" s="121"/>
      <c r="N115" s="121"/>
      <c r="O115" s="121"/>
      <c r="P115" s="121"/>
      <c r="Q115" s="121"/>
      <c r="R115" s="121"/>
      <c r="S115" s="121"/>
      <c r="T115" s="121"/>
      <c r="U115" s="121"/>
      <c r="V115" s="121"/>
      <c r="W115" s="121"/>
      <c r="X115" s="121"/>
      <c r="Y115" s="121"/>
      <c r="Z115" s="121"/>
      <c r="AA115" s="121"/>
      <c r="AB115" s="121"/>
      <c r="AC115" s="121"/>
      <c r="AD115" s="121"/>
      <c r="AE115" s="121"/>
      <c r="AF115" s="121"/>
      <c r="AG115" s="121"/>
      <c r="AH115" s="121"/>
      <c r="AI115" s="121"/>
      <c r="AJ115" s="121"/>
      <c r="AK115" s="121"/>
      <c r="AL115" s="121"/>
      <c r="AM115" s="121"/>
      <c r="AN115" s="121"/>
      <c r="AO115" s="121"/>
      <c r="AP115" s="121"/>
      <c r="AQ115" s="121"/>
      <c r="AR115" s="121"/>
      <c r="AS115" s="121"/>
      <c r="AT115" s="121"/>
      <c r="AU115" s="121"/>
      <c r="AV115" s="121"/>
      <c r="AW115" s="121"/>
      <c r="AX115" s="121"/>
      <c r="AY115" s="121"/>
      <c r="AZ115" s="121"/>
      <c r="BA115" s="121"/>
      <c r="BB115" s="121"/>
      <c r="BC115" s="121"/>
      <c r="BD115" s="121"/>
      <c r="BE115" s="121"/>
      <c r="BF115" s="121"/>
      <c r="BG115" s="121"/>
      <c r="BH115" s="121"/>
      <c r="BI115" s="121"/>
      <c r="BJ115" s="122"/>
      <c r="BK115" s="93"/>
      <c r="BL115" s="94"/>
      <c r="BM115" s="95"/>
      <c r="BN115" s="179" t="str">
        <f t="shared" si="5"/>
        <v/>
      </c>
      <c r="BO115" s="177"/>
      <c r="BP115" s="14"/>
      <c r="BQ115" s="14"/>
      <c r="BR115" s="14"/>
      <c r="BS115" s="14"/>
      <c r="BT115" s="14"/>
      <c r="BU115" s="14"/>
      <c r="BV115" s="16"/>
      <c r="BW115" s="14"/>
      <c r="BX115" s="14"/>
      <c r="BY115" s="14"/>
      <c r="BZ115" s="14"/>
      <c r="CA115" s="14"/>
      <c r="CB115" s="14"/>
      <c r="CC115" s="14"/>
      <c r="CD115" s="14"/>
      <c r="CE115" s="14"/>
      <c r="CF115" s="14"/>
      <c r="CG115" s="14"/>
      <c r="CH115" s="14"/>
      <c r="CI115" s="14"/>
      <c r="CJ115" s="14"/>
      <c r="CK115" s="14"/>
      <c r="CL115" s="14"/>
      <c r="CM115" s="14"/>
      <c r="CN115" s="14"/>
      <c r="CO115" s="14"/>
      <c r="CP115" s="14"/>
      <c r="CQ115" s="14"/>
      <c r="CR115" s="14"/>
      <c r="CS115" s="14"/>
      <c r="CT115" s="14"/>
      <c r="CU115" s="14"/>
      <c r="CV115" s="14"/>
      <c r="CW115" s="14"/>
      <c r="CX115" s="14"/>
      <c r="CY115" s="14"/>
      <c r="CZ115" s="14"/>
      <c r="DA115" s="14"/>
      <c r="DB115" s="14"/>
      <c r="DC115" s="14"/>
      <c r="DD115" s="14"/>
      <c r="DE115" s="14"/>
      <c r="DF115" s="14"/>
      <c r="DG115" s="14"/>
      <c r="DH115" s="14"/>
      <c r="DI115" s="14"/>
      <c r="DJ115" s="14"/>
      <c r="DK115" s="14"/>
      <c r="DL115" s="14"/>
      <c r="DM115" s="14"/>
      <c r="DN115" s="14"/>
      <c r="DO115" s="14"/>
      <c r="DP115" s="26"/>
      <c r="DQ115" s="27"/>
      <c r="DR115" s="129"/>
      <c r="DS115" s="130">
        <f>TCP(BO115:DQ115,$BO$9:$DQ$9,data!$H$8)</f>
        <v>0</v>
      </c>
      <c r="DT115" s="135"/>
      <c r="DU115" s="121"/>
      <c r="DV115" s="121"/>
      <c r="DW115" s="134"/>
      <c r="DX115" s="132"/>
      <c r="DY115" s="136"/>
      <c r="DZ115" s="21"/>
      <c r="EA115" s="18"/>
      <c r="EB115" s="4"/>
      <c r="EI115" s="23"/>
      <c r="EJ115" s="23"/>
    </row>
    <row r="116" spans="1:140" s="191" customFormat="1" ht="15.75" x14ac:dyDescent="0.25">
      <c r="A116" s="12"/>
      <c r="B116" s="16"/>
      <c r="C116" s="24" t="str">
        <f t="shared" si="4"/>
        <v xml:space="preserve"> </v>
      </c>
      <c r="D116" s="25"/>
      <c r="E116" s="20"/>
      <c r="F116" s="19"/>
      <c r="G116" s="180"/>
      <c r="H116" s="120"/>
      <c r="I116" s="121"/>
      <c r="J116" s="121"/>
      <c r="K116" s="121"/>
      <c r="L116" s="121"/>
      <c r="M116" s="121"/>
      <c r="N116" s="121"/>
      <c r="O116" s="121"/>
      <c r="P116" s="121"/>
      <c r="Q116" s="121"/>
      <c r="R116" s="121"/>
      <c r="S116" s="121"/>
      <c r="T116" s="121"/>
      <c r="U116" s="121"/>
      <c r="V116" s="121"/>
      <c r="W116" s="121"/>
      <c r="X116" s="121"/>
      <c r="Y116" s="121"/>
      <c r="Z116" s="121"/>
      <c r="AA116" s="121"/>
      <c r="AB116" s="121"/>
      <c r="AC116" s="121"/>
      <c r="AD116" s="121"/>
      <c r="AE116" s="121"/>
      <c r="AF116" s="121"/>
      <c r="AG116" s="121"/>
      <c r="AH116" s="121"/>
      <c r="AI116" s="121"/>
      <c r="AJ116" s="121"/>
      <c r="AK116" s="121"/>
      <c r="AL116" s="121"/>
      <c r="AM116" s="121"/>
      <c r="AN116" s="121"/>
      <c r="AO116" s="121"/>
      <c r="AP116" s="121"/>
      <c r="AQ116" s="121"/>
      <c r="AR116" s="121"/>
      <c r="AS116" s="121"/>
      <c r="AT116" s="121"/>
      <c r="AU116" s="121"/>
      <c r="AV116" s="121"/>
      <c r="AW116" s="121"/>
      <c r="AX116" s="121"/>
      <c r="AY116" s="121"/>
      <c r="AZ116" s="121"/>
      <c r="BA116" s="121"/>
      <c r="BB116" s="121"/>
      <c r="BC116" s="121"/>
      <c r="BD116" s="121"/>
      <c r="BE116" s="121"/>
      <c r="BF116" s="121"/>
      <c r="BG116" s="121"/>
      <c r="BH116" s="121"/>
      <c r="BI116" s="121"/>
      <c r="BJ116" s="122"/>
      <c r="BK116" s="93"/>
      <c r="BL116" s="94"/>
      <c r="BM116" s="95"/>
      <c r="BN116" s="179" t="str">
        <f t="shared" si="5"/>
        <v/>
      </c>
      <c r="BO116" s="177"/>
      <c r="BP116" s="14"/>
      <c r="BQ116" s="14"/>
      <c r="BR116" s="14"/>
      <c r="BS116" s="14"/>
      <c r="BT116" s="14"/>
      <c r="BU116" s="14"/>
      <c r="BV116" s="16"/>
      <c r="BW116" s="14"/>
      <c r="BX116" s="14"/>
      <c r="BY116" s="14"/>
      <c r="BZ116" s="14"/>
      <c r="CA116" s="14"/>
      <c r="CB116" s="14"/>
      <c r="CC116" s="14"/>
      <c r="CD116" s="14"/>
      <c r="CE116" s="14"/>
      <c r="CF116" s="14"/>
      <c r="CG116" s="14"/>
      <c r="CH116" s="14"/>
      <c r="CI116" s="14"/>
      <c r="CJ116" s="14"/>
      <c r="CK116" s="14"/>
      <c r="CL116" s="14"/>
      <c r="CM116" s="14"/>
      <c r="CN116" s="14"/>
      <c r="CO116" s="14"/>
      <c r="CP116" s="14"/>
      <c r="CQ116" s="14"/>
      <c r="CR116" s="14"/>
      <c r="CS116" s="14"/>
      <c r="CT116" s="14"/>
      <c r="CU116" s="14"/>
      <c r="CV116" s="14"/>
      <c r="CW116" s="14"/>
      <c r="CX116" s="14"/>
      <c r="CY116" s="14"/>
      <c r="CZ116" s="14"/>
      <c r="DA116" s="14"/>
      <c r="DB116" s="14"/>
      <c r="DC116" s="14"/>
      <c r="DD116" s="14"/>
      <c r="DE116" s="14"/>
      <c r="DF116" s="14"/>
      <c r="DG116" s="14"/>
      <c r="DH116" s="14"/>
      <c r="DI116" s="14"/>
      <c r="DJ116" s="14"/>
      <c r="DK116" s="14"/>
      <c r="DL116" s="14"/>
      <c r="DM116" s="14"/>
      <c r="DN116" s="14"/>
      <c r="DO116" s="14"/>
      <c r="DP116" s="26"/>
      <c r="DQ116" s="27"/>
      <c r="DR116" s="129"/>
      <c r="DS116" s="130">
        <f>TCP(BO116:DQ116,$BO$9:$DQ$9,data!$H$8)</f>
        <v>0</v>
      </c>
      <c r="DT116" s="135"/>
      <c r="DU116" s="121"/>
      <c r="DV116" s="121"/>
      <c r="DW116" s="134"/>
      <c r="DX116" s="132"/>
      <c r="DY116" s="136"/>
      <c r="DZ116" s="21"/>
      <c r="EA116" s="18"/>
      <c r="EB116" s="4"/>
      <c r="EI116" s="23"/>
      <c r="EJ116" s="23"/>
    </row>
    <row r="117" spans="1:140" s="191" customFormat="1" ht="15.75" x14ac:dyDescent="0.25">
      <c r="A117" s="12"/>
      <c r="B117" s="16"/>
      <c r="C117" s="24" t="str">
        <f t="shared" si="4"/>
        <v xml:space="preserve"> </v>
      </c>
      <c r="D117" s="25"/>
      <c r="E117" s="20"/>
      <c r="F117" s="19"/>
      <c r="G117" s="180"/>
      <c r="H117" s="120"/>
      <c r="I117" s="121"/>
      <c r="J117" s="121"/>
      <c r="K117" s="121"/>
      <c r="L117" s="121"/>
      <c r="M117" s="121"/>
      <c r="N117" s="121"/>
      <c r="O117" s="121"/>
      <c r="P117" s="121"/>
      <c r="Q117" s="121"/>
      <c r="R117" s="121"/>
      <c r="S117" s="121"/>
      <c r="T117" s="121"/>
      <c r="U117" s="121"/>
      <c r="V117" s="121"/>
      <c r="W117" s="121"/>
      <c r="X117" s="121"/>
      <c r="Y117" s="121"/>
      <c r="Z117" s="121"/>
      <c r="AA117" s="121"/>
      <c r="AB117" s="121"/>
      <c r="AC117" s="121"/>
      <c r="AD117" s="121"/>
      <c r="AE117" s="121"/>
      <c r="AF117" s="121"/>
      <c r="AG117" s="121"/>
      <c r="AH117" s="121"/>
      <c r="AI117" s="121"/>
      <c r="AJ117" s="121"/>
      <c r="AK117" s="121"/>
      <c r="AL117" s="121"/>
      <c r="AM117" s="121"/>
      <c r="AN117" s="121"/>
      <c r="AO117" s="121"/>
      <c r="AP117" s="121"/>
      <c r="AQ117" s="121"/>
      <c r="AR117" s="121"/>
      <c r="AS117" s="121"/>
      <c r="AT117" s="121"/>
      <c r="AU117" s="121"/>
      <c r="AV117" s="121"/>
      <c r="AW117" s="121"/>
      <c r="AX117" s="121"/>
      <c r="AY117" s="121"/>
      <c r="AZ117" s="121"/>
      <c r="BA117" s="121"/>
      <c r="BB117" s="121"/>
      <c r="BC117" s="121"/>
      <c r="BD117" s="121"/>
      <c r="BE117" s="121"/>
      <c r="BF117" s="121"/>
      <c r="BG117" s="121"/>
      <c r="BH117" s="121"/>
      <c r="BI117" s="121"/>
      <c r="BJ117" s="122"/>
      <c r="BK117" s="93"/>
      <c r="BL117" s="94"/>
      <c r="BM117" s="95"/>
      <c r="BN117" s="179" t="str">
        <f t="shared" si="5"/>
        <v/>
      </c>
      <c r="BO117" s="177"/>
      <c r="BP117" s="14"/>
      <c r="BQ117" s="14"/>
      <c r="BR117" s="14"/>
      <c r="BS117" s="14"/>
      <c r="BT117" s="14"/>
      <c r="BU117" s="14"/>
      <c r="BV117" s="16"/>
      <c r="BW117" s="14"/>
      <c r="BX117" s="14"/>
      <c r="BY117" s="14"/>
      <c r="BZ117" s="14"/>
      <c r="CA117" s="14"/>
      <c r="CB117" s="14"/>
      <c r="CC117" s="14"/>
      <c r="CD117" s="14"/>
      <c r="CE117" s="14"/>
      <c r="CF117" s="14"/>
      <c r="CG117" s="14"/>
      <c r="CH117" s="14"/>
      <c r="CI117" s="14"/>
      <c r="CJ117" s="14"/>
      <c r="CK117" s="14"/>
      <c r="CL117" s="14"/>
      <c r="CM117" s="14"/>
      <c r="CN117" s="14"/>
      <c r="CO117" s="14"/>
      <c r="CP117" s="14"/>
      <c r="CQ117" s="14"/>
      <c r="CR117" s="14"/>
      <c r="CS117" s="14"/>
      <c r="CT117" s="14"/>
      <c r="CU117" s="14"/>
      <c r="CV117" s="14"/>
      <c r="CW117" s="14"/>
      <c r="CX117" s="14"/>
      <c r="CY117" s="14"/>
      <c r="CZ117" s="14"/>
      <c r="DA117" s="14"/>
      <c r="DB117" s="14"/>
      <c r="DC117" s="14"/>
      <c r="DD117" s="14"/>
      <c r="DE117" s="14"/>
      <c r="DF117" s="14"/>
      <c r="DG117" s="14"/>
      <c r="DH117" s="14"/>
      <c r="DI117" s="14"/>
      <c r="DJ117" s="14"/>
      <c r="DK117" s="14"/>
      <c r="DL117" s="14"/>
      <c r="DM117" s="14"/>
      <c r="DN117" s="14"/>
      <c r="DO117" s="14"/>
      <c r="DP117" s="26"/>
      <c r="DQ117" s="27"/>
      <c r="DR117" s="129"/>
      <c r="DS117" s="130">
        <f>TCP(BO117:DQ117,$BO$9:$DQ$9,data!$H$8)</f>
        <v>0</v>
      </c>
      <c r="DT117" s="135"/>
      <c r="DU117" s="121"/>
      <c r="DV117" s="121"/>
      <c r="DW117" s="134"/>
      <c r="DX117" s="132"/>
      <c r="DY117" s="136"/>
      <c r="DZ117" s="21"/>
      <c r="EA117" s="18"/>
      <c r="EB117" s="4"/>
      <c r="EI117" s="23"/>
      <c r="EJ117" s="23"/>
    </row>
    <row r="118" spans="1:140" s="191" customFormat="1" ht="15.75" x14ac:dyDescent="0.25">
      <c r="A118" s="12"/>
      <c r="B118" s="16"/>
      <c r="C118" s="24" t="str">
        <f t="shared" si="4"/>
        <v xml:space="preserve"> </v>
      </c>
      <c r="D118" s="25"/>
      <c r="E118" s="20"/>
      <c r="F118" s="19"/>
      <c r="G118" s="180"/>
      <c r="H118" s="120"/>
      <c r="I118" s="121"/>
      <c r="J118" s="121"/>
      <c r="K118" s="121"/>
      <c r="L118" s="121"/>
      <c r="M118" s="121"/>
      <c r="N118" s="121"/>
      <c r="O118" s="121"/>
      <c r="P118" s="121"/>
      <c r="Q118" s="121"/>
      <c r="R118" s="121"/>
      <c r="S118" s="121"/>
      <c r="T118" s="121"/>
      <c r="U118" s="121"/>
      <c r="V118" s="121"/>
      <c r="W118" s="121"/>
      <c r="X118" s="121"/>
      <c r="Y118" s="121"/>
      <c r="Z118" s="121"/>
      <c r="AA118" s="121"/>
      <c r="AB118" s="121"/>
      <c r="AC118" s="121"/>
      <c r="AD118" s="121"/>
      <c r="AE118" s="121"/>
      <c r="AF118" s="121"/>
      <c r="AG118" s="121"/>
      <c r="AH118" s="121"/>
      <c r="AI118" s="121"/>
      <c r="AJ118" s="121"/>
      <c r="AK118" s="121"/>
      <c r="AL118" s="121"/>
      <c r="AM118" s="121"/>
      <c r="AN118" s="121"/>
      <c r="AO118" s="121"/>
      <c r="AP118" s="121"/>
      <c r="AQ118" s="121"/>
      <c r="AR118" s="121"/>
      <c r="AS118" s="121"/>
      <c r="AT118" s="121"/>
      <c r="AU118" s="121"/>
      <c r="AV118" s="121"/>
      <c r="AW118" s="121"/>
      <c r="AX118" s="121"/>
      <c r="AY118" s="121"/>
      <c r="AZ118" s="121"/>
      <c r="BA118" s="121"/>
      <c r="BB118" s="121"/>
      <c r="BC118" s="121"/>
      <c r="BD118" s="121"/>
      <c r="BE118" s="121"/>
      <c r="BF118" s="121"/>
      <c r="BG118" s="121"/>
      <c r="BH118" s="121"/>
      <c r="BI118" s="121"/>
      <c r="BJ118" s="122"/>
      <c r="BK118" s="93"/>
      <c r="BL118" s="94"/>
      <c r="BM118" s="95"/>
      <c r="BN118" s="179" t="str">
        <f t="shared" si="5"/>
        <v/>
      </c>
      <c r="BO118" s="177"/>
      <c r="BP118" s="14"/>
      <c r="BQ118" s="14"/>
      <c r="BR118" s="14"/>
      <c r="BS118" s="14"/>
      <c r="BT118" s="14"/>
      <c r="BU118" s="14"/>
      <c r="BV118" s="16"/>
      <c r="BW118" s="14"/>
      <c r="BX118" s="14"/>
      <c r="BY118" s="14"/>
      <c r="BZ118" s="14"/>
      <c r="CA118" s="14"/>
      <c r="CB118" s="14"/>
      <c r="CC118" s="14"/>
      <c r="CD118" s="14"/>
      <c r="CE118" s="14"/>
      <c r="CF118" s="14"/>
      <c r="CG118" s="14"/>
      <c r="CH118" s="14"/>
      <c r="CI118" s="14"/>
      <c r="CJ118" s="14"/>
      <c r="CK118" s="14"/>
      <c r="CL118" s="14"/>
      <c r="CM118" s="14"/>
      <c r="CN118" s="14"/>
      <c r="CO118" s="14"/>
      <c r="CP118" s="14"/>
      <c r="CQ118" s="14"/>
      <c r="CR118" s="14"/>
      <c r="CS118" s="14"/>
      <c r="CT118" s="14"/>
      <c r="CU118" s="14"/>
      <c r="CV118" s="14"/>
      <c r="CW118" s="14"/>
      <c r="CX118" s="14"/>
      <c r="CY118" s="14"/>
      <c r="CZ118" s="14"/>
      <c r="DA118" s="14"/>
      <c r="DB118" s="14"/>
      <c r="DC118" s="14"/>
      <c r="DD118" s="14"/>
      <c r="DE118" s="14"/>
      <c r="DF118" s="14"/>
      <c r="DG118" s="14"/>
      <c r="DH118" s="14"/>
      <c r="DI118" s="14"/>
      <c r="DJ118" s="14"/>
      <c r="DK118" s="14"/>
      <c r="DL118" s="14"/>
      <c r="DM118" s="14"/>
      <c r="DN118" s="14"/>
      <c r="DO118" s="14"/>
      <c r="DP118" s="26"/>
      <c r="DQ118" s="27"/>
      <c r="DR118" s="129"/>
      <c r="DS118" s="130">
        <f>TCP(BO118:DQ118,$BO$9:$DQ$9,data!$H$8)</f>
        <v>0</v>
      </c>
      <c r="DT118" s="135"/>
      <c r="DU118" s="121"/>
      <c r="DV118" s="121"/>
      <c r="DW118" s="134"/>
      <c r="DX118" s="132"/>
      <c r="DY118" s="136"/>
      <c r="DZ118" s="21"/>
      <c r="EA118" s="18"/>
      <c r="EB118" s="4"/>
      <c r="EI118" s="23"/>
      <c r="EJ118" s="23"/>
    </row>
    <row r="119" spans="1:140" s="191" customFormat="1" ht="15.75" x14ac:dyDescent="0.25">
      <c r="A119" s="12"/>
      <c r="B119" s="16"/>
      <c r="C119" s="24" t="str">
        <f t="shared" si="4"/>
        <v xml:space="preserve"> </v>
      </c>
      <c r="D119" s="25"/>
      <c r="E119" s="20"/>
      <c r="F119" s="19"/>
      <c r="G119" s="180"/>
      <c r="H119" s="120"/>
      <c r="I119" s="121"/>
      <c r="J119" s="121"/>
      <c r="K119" s="121"/>
      <c r="L119" s="121"/>
      <c r="M119" s="121"/>
      <c r="N119" s="121"/>
      <c r="O119" s="121"/>
      <c r="P119" s="121"/>
      <c r="Q119" s="121"/>
      <c r="R119" s="121"/>
      <c r="S119" s="121"/>
      <c r="T119" s="121"/>
      <c r="U119" s="121"/>
      <c r="V119" s="121"/>
      <c r="W119" s="121"/>
      <c r="X119" s="121"/>
      <c r="Y119" s="121"/>
      <c r="Z119" s="121"/>
      <c r="AA119" s="121"/>
      <c r="AB119" s="121"/>
      <c r="AC119" s="121"/>
      <c r="AD119" s="121"/>
      <c r="AE119" s="121"/>
      <c r="AF119" s="121"/>
      <c r="AG119" s="121"/>
      <c r="AH119" s="121"/>
      <c r="AI119" s="121"/>
      <c r="AJ119" s="121"/>
      <c r="AK119" s="121"/>
      <c r="AL119" s="121"/>
      <c r="AM119" s="121"/>
      <c r="AN119" s="121"/>
      <c r="AO119" s="121"/>
      <c r="AP119" s="121"/>
      <c r="AQ119" s="121"/>
      <c r="AR119" s="121"/>
      <c r="AS119" s="121"/>
      <c r="AT119" s="121"/>
      <c r="AU119" s="121"/>
      <c r="AV119" s="121"/>
      <c r="AW119" s="121"/>
      <c r="AX119" s="121"/>
      <c r="AY119" s="121"/>
      <c r="AZ119" s="121"/>
      <c r="BA119" s="121"/>
      <c r="BB119" s="121"/>
      <c r="BC119" s="121"/>
      <c r="BD119" s="121"/>
      <c r="BE119" s="121"/>
      <c r="BF119" s="121"/>
      <c r="BG119" s="121"/>
      <c r="BH119" s="121"/>
      <c r="BI119" s="121"/>
      <c r="BJ119" s="122"/>
      <c r="BK119" s="93"/>
      <c r="BL119" s="94"/>
      <c r="BM119" s="95"/>
      <c r="BN119" s="179" t="str">
        <f t="shared" si="5"/>
        <v/>
      </c>
      <c r="BO119" s="177"/>
      <c r="BP119" s="14"/>
      <c r="BQ119" s="14"/>
      <c r="BR119" s="14"/>
      <c r="BS119" s="14"/>
      <c r="BT119" s="14"/>
      <c r="BU119" s="14"/>
      <c r="BV119" s="16"/>
      <c r="BW119" s="14"/>
      <c r="BX119" s="14"/>
      <c r="BY119" s="14"/>
      <c r="BZ119" s="14"/>
      <c r="CA119" s="14"/>
      <c r="CB119" s="14"/>
      <c r="CC119" s="14"/>
      <c r="CD119" s="14"/>
      <c r="CE119" s="14"/>
      <c r="CF119" s="14"/>
      <c r="CG119" s="14"/>
      <c r="CH119" s="14"/>
      <c r="CI119" s="14"/>
      <c r="CJ119" s="14"/>
      <c r="CK119" s="14"/>
      <c r="CL119" s="14"/>
      <c r="CM119" s="14"/>
      <c r="CN119" s="14"/>
      <c r="CO119" s="14"/>
      <c r="CP119" s="14"/>
      <c r="CQ119" s="14"/>
      <c r="CR119" s="14"/>
      <c r="CS119" s="14"/>
      <c r="CT119" s="14"/>
      <c r="CU119" s="14"/>
      <c r="CV119" s="14"/>
      <c r="CW119" s="14"/>
      <c r="CX119" s="14"/>
      <c r="CY119" s="14"/>
      <c r="CZ119" s="14"/>
      <c r="DA119" s="14"/>
      <c r="DB119" s="14"/>
      <c r="DC119" s="14"/>
      <c r="DD119" s="14"/>
      <c r="DE119" s="14"/>
      <c r="DF119" s="14"/>
      <c r="DG119" s="14"/>
      <c r="DH119" s="14"/>
      <c r="DI119" s="14"/>
      <c r="DJ119" s="14"/>
      <c r="DK119" s="14"/>
      <c r="DL119" s="14"/>
      <c r="DM119" s="14"/>
      <c r="DN119" s="14"/>
      <c r="DO119" s="14"/>
      <c r="DP119" s="26"/>
      <c r="DQ119" s="27"/>
      <c r="DR119" s="129"/>
      <c r="DS119" s="130">
        <f>TCP(BO119:DQ119,$BO$9:$DQ$9,data!$H$8)</f>
        <v>0</v>
      </c>
      <c r="DT119" s="135"/>
      <c r="DU119" s="121"/>
      <c r="DV119" s="121"/>
      <c r="DW119" s="134"/>
      <c r="DX119" s="132"/>
      <c r="DY119" s="136"/>
      <c r="DZ119" s="21"/>
      <c r="EA119" s="18"/>
      <c r="EB119" s="4"/>
      <c r="EI119" s="23"/>
      <c r="EJ119" s="23"/>
    </row>
    <row r="120" spans="1:140" s="191" customFormat="1" ht="15.75" x14ac:dyDescent="0.25">
      <c r="A120" s="12"/>
      <c r="B120" s="16"/>
      <c r="C120" s="24" t="str">
        <f t="shared" si="4"/>
        <v xml:space="preserve"> </v>
      </c>
      <c r="D120" s="25"/>
      <c r="E120" s="20"/>
      <c r="F120" s="19"/>
      <c r="G120" s="180"/>
      <c r="H120" s="120"/>
      <c r="I120" s="121"/>
      <c r="J120" s="121"/>
      <c r="K120" s="121"/>
      <c r="L120" s="121"/>
      <c r="M120" s="121"/>
      <c r="N120" s="121"/>
      <c r="O120" s="121"/>
      <c r="P120" s="121"/>
      <c r="Q120" s="121"/>
      <c r="R120" s="121"/>
      <c r="S120" s="121"/>
      <c r="T120" s="121"/>
      <c r="U120" s="121"/>
      <c r="V120" s="121"/>
      <c r="W120" s="121"/>
      <c r="X120" s="121"/>
      <c r="Y120" s="121"/>
      <c r="Z120" s="121"/>
      <c r="AA120" s="121"/>
      <c r="AB120" s="121"/>
      <c r="AC120" s="121"/>
      <c r="AD120" s="121"/>
      <c r="AE120" s="121"/>
      <c r="AF120" s="121"/>
      <c r="AG120" s="121"/>
      <c r="AH120" s="121"/>
      <c r="AI120" s="121"/>
      <c r="AJ120" s="121"/>
      <c r="AK120" s="121"/>
      <c r="AL120" s="121"/>
      <c r="AM120" s="121"/>
      <c r="AN120" s="121"/>
      <c r="AO120" s="121"/>
      <c r="AP120" s="121"/>
      <c r="AQ120" s="121"/>
      <c r="AR120" s="121"/>
      <c r="AS120" s="121"/>
      <c r="AT120" s="121"/>
      <c r="AU120" s="121"/>
      <c r="AV120" s="121"/>
      <c r="AW120" s="121"/>
      <c r="AX120" s="121"/>
      <c r="AY120" s="121"/>
      <c r="AZ120" s="121"/>
      <c r="BA120" s="121"/>
      <c r="BB120" s="121"/>
      <c r="BC120" s="121"/>
      <c r="BD120" s="121"/>
      <c r="BE120" s="121"/>
      <c r="BF120" s="121"/>
      <c r="BG120" s="121"/>
      <c r="BH120" s="121"/>
      <c r="BI120" s="121"/>
      <c r="BJ120" s="122"/>
      <c r="BK120" s="93"/>
      <c r="BL120" s="94"/>
      <c r="BM120" s="95"/>
      <c r="BN120" s="179" t="str">
        <f t="shared" si="5"/>
        <v/>
      </c>
      <c r="BO120" s="177"/>
      <c r="BP120" s="14"/>
      <c r="BQ120" s="14"/>
      <c r="BR120" s="14"/>
      <c r="BS120" s="14"/>
      <c r="BT120" s="14"/>
      <c r="BU120" s="14"/>
      <c r="BV120" s="16"/>
      <c r="BW120" s="14"/>
      <c r="BX120" s="14"/>
      <c r="BY120" s="14"/>
      <c r="BZ120" s="14"/>
      <c r="CA120" s="14"/>
      <c r="CB120" s="14"/>
      <c r="CC120" s="14"/>
      <c r="CD120" s="14"/>
      <c r="CE120" s="14"/>
      <c r="CF120" s="14"/>
      <c r="CG120" s="14"/>
      <c r="CH120" s="14"/>
      <c r="CI120" s="14"/>
      <c r="CJ120" s="14"/>
      <c r="CK120" s="14"/>
      <c r="CL120" s="14"/>
      <c r="CM120" s="14"/>
      <c r="CN120" s="14"/>
      <c r="CO120" s="14"/>
      <c r="CP120" s="14"/>
      <c r="CQ120" s="14"/>
      <c r="CR120" s="14"/>
      <c r="CS120" s="14"/>
      <c r="CT120" s="14"/>
      <c r="CU120" s="14"/>
      <c r="CV120" s="14"/>
      <c r="CW120" s="14"/>
      <c r="CX120" s="14"/>
      <c r="CY120" s="14"/>
      <c r="CZ120" s="14"/>
      <c r="DA120" s="14"/>
      <c r="DB120" s="14"/>
      <c r="DC120" s="14"/>
      <c r="DD120" s="14"/>
      <c r="DE120" s="14"/>
      <c r="DF120" s="14"/>
      <c r="DG120" s="14"/>
      <c r="DH120" s="14"/>
      <c r="DI120" s="14"/>
      <c r="DJ120" s="14"/>
      <c r="DK120" s="14"/>
      <c r="DL120" s="14"/>
      <c r="DM120" s="14"/>
      <c r="DN120" s="14"/>
      <c r="DO120" s="14"/>
      <c r="DP120" s="26"/>
      <c r="DQ120" s="27"/>
      <c r="DR120" s="129"/>
      <c r="DS120" s="130">
        <f>TCP(BO120:DQ120,$BO$9:$DQ$9,data!$H$8)</f>
        <v>0</v>
      </c>
      <c r="DT120" s="135"/>
      <c r="DU120" s="121"/>
      <c r="DV120" s="121"/>
      <c r="DW120" s="134"/>
      <c r="DX120" s="132"/>
      <c r="DY120" s="136"/>
      <c r="DZ120" s="21"/>
      <c r="EA120" s="18"/>
      <c r="EB120" s="4"/>
      <c r="EI120" s="23"/>
      <c r="EJ120" s="23"/>
    </row>
    <row r="121" spans="1:140" s="191" customFormat="1" ht="15.75" x14ac:dyDescent="0.25">
      <c r="A121" s="12"/>
      <c r="B121" s="16"/>
      <c r="C121" s="24" t="str">
        <f t="shared" si="4"/>
        <v xml:space="preserve"> </v>
      </c>
      <c r="D121" s="25"/>
      <c r="E121" s="20"/>
      <c r="F121" s="19"/>
      <c r="G121" s="180"/>
      <c r="H121" s="120"/>
      <c r="I121" s="121"/>
      <c r="J121" s="121"/>
      <c r="K121" s="121"/>
      <c r="L121" s="121"/>
      <c r="M121" s="121"/>
      <c r="N121" s="121"/>
      <c r="O121" s="121"/>
      <c r="P121" s="121"/>
      <c r="Q121" s="121"/>
      <c r="R121" s="121"/>
      <c r="S121" s="121"/>
      <c r="T121" s="121"/>
      <c r="U121" s="121"/>
      <c r="V121" s="121"/>
      <c r="W121" s="121"/>
      <c r="X121" s="121"/>
      <c r="Y121" s="121"/>
      <c r="Z121" s="121"/>
      <c r="AA121" s="121"/>
      <c r="AB121" s="121"/>
      <c r="AC121" s="121"/>
      <c r="AD121" s="121"/>
      <c r="AE121" s="121"/>
      <c r="AF121" s="121"/>
      <c r="AG121" s="121"/>
      <c r="AH121" s="121"/>
      <c r="AI121" s="121"/>
      <c r="AJ121" s="121"/>
      <c r="AK121" s="121"/>
      <c r="AL121" s="121"/>
      <c r="AM121" s="121"/>
      <c r="AN121" s="121"/>
      <c r="AO121" s="121"/>
      <c r="AP121" s="121"/>
      <c r="AQ121" s="121"/>
      <c r="AR121" s="121"/>
      <c r="AS121" s="121"/>
      <c r="AT121" s="121"/>
      <c r="AU121" s="121"/>
      <c r="AV121" s="121"/>
      <c r="AW121" s="121"/>
      <c r="AX121" s="121"/>
      <c r="AY121" s="121"/>
      <c r="AZ121" s="121"/>
      <c r="BA121" s="121"/>
      <c r="BB121" s="121"/>
      <c r="BC121" s="121"/>
      <c r="BD121" s="121"/>
      <c r="BE121" s="121"/>
      <c r="BF121" s="121"/>
      <c r="BG121" s="121"/>
      <c r="BH121" s="121"/>
      <c r="BI121" s="121"/>
      <c r="BJ121" s="122"/>
      <c r="BK121" s="93"/>
      <c r="BL121" s="94"/>
      <c r="BM121" s="95"/>
      <c r="BN121" s="179" t="str">
        <f t="shared" si="5"/>
        <v/>
      </c>
      <c r="BO121" s="177"/>
      <c r="BP121" s="14"/>
      <c r="BQ121" s="14"/>
      <c r="BR121" s="14"/>
      <c r="BS121" s="14"/>
      <c r="BT121" s="14"/>
      <c r="BU121" s="14"/>
      <c r="BV121" s="16"/>
      <c r="BW121" s="14"/>
      <c r="BX121" s="14"/>
      <c r="BY121" s="14"/>
      <c r="BZ121" s="14"/>
      <c r="CA121" s="14"/>
      <c r="CB121" s="14"/>
      <c r="CC121" s="14"/>
      <c r="CD121" s="14"/>
      <c r="CE121" s="14"/>
      <c r="CF121" s="14"/>
      <c r="CG121" s="14"/>
      <c r="CH121" s="14"/>
      <c r="CI121" s="14"/>
      <c r="CJ121" s="14"/>
      <c r="CK121" s="14"/>
      <c r="CL121" s="14"/>
      <c r="CM121" s="14"/>
      <c r="CN121" s="14"/>
      <c r="CO121" s="14"/>
      <c r="CP121" s="14"/>
      <c r="CQ121" s="14"/>
      <c r="CR121" s="14"/>
      <c r="CS121" s="14"/>
      <c r="CT121" s="14"/>
      <c r="CU121" s="14"/>
      <c r="CV121" s="14"/>
      <c r="CW121" s="14"/>
      <c r="CX121" s="14"/>
      <c r="CY121" s="14"/>
      <c r="CZ121" s="14"/>
      <c r="DA121" s="14"/>
      <c r="DB121" s="14"/>
      <c r="DC121" s="14"/>
      <c r="DD121" s="14"/>
      <c r="DE121" s="14"/>
      <c r="DF121" s="14"/>
      <c r="DG121" s="14"/>
      <c r="DH121" s="14"/>
      <c r="DI121" s="14"/>
      <c r="DJ121" s="14"/>
      <c r="DK121" s="14"/>
      <c r="DL121" s="14"/>
      <c r="DM121" s="14"/>
      <c r="DN121" s="14"/>
      <c r="DO121" s="14"/>
      <c r="DP121" s="26"/>
      <c r="DQ121" s="27"/>
      <c r="DR121" s="129"/>
      <c r="DS121" s="130">
        <f>TCP(BO121:DQ121,$BO$9:$DQ$9,data!$H$8)</f>
        <v>0</v>
      </c>
      <c r="DT121" s="135"/>
      <c r="DU121" s="121"/>
      <c r="DV121" s="121"/>
      <c r="DW121" s="134"/>
      <c r="DX121" s="132"/>
      <c r="DY121" s="136"/>
      <c r="DZ121" s="21"/>
      <c r="EA121" s="18"/>
      <c r="EB121" s="4"/>
      <c r="EI121" s="23"/>
      <c r="EJ121" s="23"/>
    </row>
    <row r="122" spans="1:140" s="191" customFormat="1" ht="15.75" x14ac:dyDescent="0.25">
      <c r="A122" s="12"/>
      <c r="B122" s="16"/>
      <c r="C122" s="24" t="str">
        <f t="shared" si="4"/>
        <v xml:space="preserve"> </v>
      </c>
      <c r="D122" s="25"/>
      <c r="E122" s="20"/>
      <c r="F122" s="19"/>
      <c r="G122" s="180"/>
      <c r="H122" s="120"/>
      <c r="I122" s="121"/>
      <c r="J122" s="121"/>
      <c r="K122" s="121"/>
      <c r="L122" s="121"/>
      <c r="M122" s="121"/>
      <c r="N122" s="121"/>
      <c r="O122" s="121"/>
      <c r="P122" s="121"/>
      <c r="Q122" s="121"/>
      <c r="R122" s="121"/>
      <c r="S122" s="121"/>
      <c r="T122" s="121"/>
      <c r="U122" s="121"/>
      <c r="V122" s="121"/>
      <c r="W122" s="121"/>
      <c r="X122" s="121"/>
      <c r="Y122" s="121"/>
      <c r="Z122" s="121"/>
      <c r="AA122" s="121"/>
      <c r="AB122" s="121"/>
      <c r="AC122" s="121"/>
      <c r="AD122" s="121"/>
      <c r="AE122" s="121"/>
      <c r="AF122" s="121"/>
      <c r="AG122" s="121"/>
      <c r="AH122" s="121"/>
      <c r="AI122" s="121"/>
      <c r="AJ122" s="121"/>
      <c r="AK122" s="121"/>
      <c r="AL122" s="121"/>
      <c r="AM122" s="121"/>
      <c r="AN122" s="121"/>
      <c r="AO122" s="121"/>
      <c r="AP122" s="121"/>
      <c r="AQ122" s="121"/>
      <c r="AR122" s="121"/>
      <c r="AS122" s="121"/>
      <c r="AT122" s="121"/>
      <c r="AU122" s="121"/>
      <c r="AV122" s="121"/>
      <c r="AW122" s="121"/>
      <c r="AX122" s="121"/>
      <c r="AY122" s="121"/>
      <c r="AZ122" s="121"/>
      <c r="BA122" s="121"/>
      <c r="BB122" s="121"/>
      <c r="BC122" s="121"/>
      <c r="BD122" s="121"/>
      <c r="BE122" s="121"/>
      <c r="BF122" s="121"/>
      <c r="BG122" s="121"/>
      <c r="BH122" s="121"/>
      <c r="BI122" s="121"/>
      <c r="BJ122" s="122"/>
      <c r="BK122" s="93"/>
      <c r="BL122" s="94"/>
      <c r="BM122" s="95"/>
      <c r="BN122" s="179" t="str">
        <f t="shared" si="5"/>
        <v/>
      </c>
      <c r="BO122" s="177"/>
      <c r="BP122" s="14"/>
      <c r="BQ122" s="14"/>
      <c r="BR122" s="14"/>
      <c r="BS122" s="14"/>
      <c r="BT122" s="14"/>
      <c r="BU122" s="14"/>
      <c r="BV122" s="16"/>
      <c r="BW122" s="14"/>
      <c r="BX122" s="14"/>
      <c r="BY122" s="14"/>
      <c r="BZ122" s="14"/>
      <c r="CA122" s="14"/>
      <c r="CB122" s="14"/>
      <c r="CC122" s="14"/>
      <c r="CD122" s="14"/>
      <c r="CE122" s="14"/>
      <c r="CF122" s="14"/>
      <c r="CG122" s="14"/>
      <c r="CH122" s="14"/>
      <c r="CI122" s="14"/>
      <c r="CJ122" s="14"/>
      <c r="CK122" s="14"/>
      <c r="CL122" s="14"/>
      <c r="CM122" s="14"/>
      <c r="CN122" s="14"/>
      <c r="CO122" s="14"/>
      <c r="CP122" s="14"/>
      <c r="CQ122" s="14"/>
      <c r="CR122" s="14"/>
      <c r="CS122" s="14"/>
      <c r="CT122" s="14"/>
      <c r="CU122" s="14"/>
      <c r="CV122" s="14"/>
      <c r="CW122" s="14"/>
      <c r="CX122" s="14"/>
      <c r="CY122" s="14"/>
      <c r="CZ122" s="14"/>
      <c r="DA122" s="14"/>
      <c r="DB122" s="14"/>
      <c r="DC122" s="14"/>
      <c r="DD122" s="14"/>
      <c r="DE122" s="14"/>
      <c r="DF122" s="14"/>
      <c r="DG122" s="14"/>
      <c r="DH122" s="14"/>
      <c r="DI122" s="14"/>
      <c r="DJ122" s="14"/>
      <c r="DK122" s="14"/>
      <c r="DL122" s="14"/>
      <c r="DM122" s="14"/>
      <c r="DN122" s="14"/>
      <c r="DO122" s="14"/>
      <c r="DP122" s="26"/>
      <c r="DQ122" s="27"/>
      <c r="DR122" s="129"/>
      <c r="DS122" s="130">
        <f>TCP(BO122:DQ122,$BO$9:$DQ$9,data!$H$8)</f>
        <v>0</v>
      </c>
      <c r="DT122" s="135"/>
      <c r="DU122" s="121"/>
      <c r="DV122" s="121"/>
      <c r="DW122" s="134"/>
      <c r="DX122" s="132"/>
      <c r="DY122" s="136"/>
      <c r="DZ122" s="21"/>
      <c r="EA122" s="18"/>
      <c r="EB122" s="4"/>
      <c r="EI122" s="23"/>
      <c r="EJ122" s="23"/>
    </row>
    <row r="123" spans="1:140" s="191" customFormat="1" ht="15.75" x14ac:dyDescent="0.25">
      <c r="A123" s="12"/>
      <c r="B123" s="16"/>
      <c r="C123" s="24" t="str">
        <f t="shared" si="4"/>
        <v xml:space="preserve"> </v>
      </c>
      <c r="D123" s="25"/>
      <c r="E123" s="20"/>
      <c r="F123" s="19"/>
      <c r="G123" s="180"/>
      <c r="H123" s="120"/>
      <c r="I123" s="121"/>
      <c r="J123" s="121"/>
      <c r="K123" s="121"/>
      <c r="L123" s="121"/>
      <c r="M123" s="121"/>
      <c r="N123" s="121"/>
      <c r="O123" s="121"/>
      <c r="P123" s="121"/>
      <c r="Q123" s="121"/>
      <c r="R123" s="121"/>
      <c r="S123" s="121"/>
      <c r="T123" s="121"/>
      <c r="U123" s="121"/>
      <c r="V123" s="121"/>
      <c r="W123" s="121"/>
      <c r="X123" s="121"/>
      <c r="Y123" s="121"/>
      <c r="Z123" s="121"/>
      <c r="AA123" s="121"/>
      <c r="AB123" s="121"/>
      <c r="AC123" s="121"/>
      <c r="AD123" s="121"/>
      <c r="AE123" s="121"/>
      <c r="AF123" s="121"/>
      <c r="AG123" s="121"/>
      <c r="AH123" s="121"/>
      <c r="AI123" s="121"/>
      <c r="AJ123" s="121"/>
      <c r="AK123" s="121"/>
      <c r="AL123" s="121"/>
      <c r="AM123" s="121"/>
      <c r="AN123" s="121"/>
      <c r="AO123" s="121"/>
      <c r="AP123" s="121"/>
      <c r="AQ123" s="121"/>
      <c r="AR123" s="121"/>
      <c r="AS123" s="121"/>
      <c r="AT123" s="121"/>
      <c r="AU123" s="121"/>
      <c r="AV123" s="121"/>
      <c r="AW123" s="121"/>
      <c r="AX123" s="121"/>
      <c r="AY123" s="121"/>
      <c r="AZ123" s="121"/>
      <c r="BA123" s="121"/>
      <c r="BB123" s="121"/>
      <c r="BC123" s="121"/>
      <c r="BD123" s="121"/>
      <c r="BE123" s="121"/>
      <c r="BF123" s="121"/>
      <c r="BG123" s="121"/>
      <c r="BH123" s="121"/>
      <c r="BI123" s="121"/>
      <c r="BJ123" s="122"/>
      <c r="BK123" s="93"/>
      <c r="BL123" s="94"/>
      <c r="BM123" s="95"/>
      <c r="BN123" s="179" t="str">
        <f t="shared" si="5"/>
        <v/>
      </c>
      <c r="BO123" s="177"/>
      <c r="BP123" s="14"/>
      <c r="BQ123" s="14"/>
      <c r="BR123" s="14"/>
      <c r="BS123" s="14"/>
      <c r="BT123" s="14"/>
      <c r="BU123" s="14"/>
      <c r="BV123" s="16"/>
      <c r="BW123" s="14"/>
      <c r="BX123" s="14"/>
      <c r="BY123" s="14"/>
      <c r="BZ123" s="14"/>
      <c r="CA123" s="14"/>
      <c r="CB123" s="14"/>
      <c r="CC123" s="14"/>
      <c r="CD123" s="14"/>
      <c r="CE123" s="14"/>
      <c r="CF123" s="14"/>
      <c r="CG123" s="14"/>
      <c r="CH123" s="14"/>
      <c r="CI123" s="14"/>
      <c r="CJ123" s="14"/>
      <c r="CK123" s="14"/>
      <c r="CL123" s="14"/>
      <c r="CM123" s="14"/>
      <c r="CN123" s="14"/>
      <c r="CO123" s="14"/>
      <c r="CP123" s="14"/>
      <c r="CQ123" s="14"/>
      <c r="CR123" s="14"/>
      <c r="CS123" s="14"/>
      <c r="CT123" s="14"/>
      <c r="CU123" s="14"/>
      <c r="CV123" s="14"/>
      <c r="CW123" s="14"/>
      <c r="CX123" s="14"/>
      <c r="CY123" s="14"/>
      <c r="CZ123" s="14"/>
      <c r="DA123" s="14"/>
      <c r="DB123" s="14"/>
      <c r="DC123" s="14"/>
      <c r="DD123" s="14"/>
      <c r="DE123" s="14"/>
      <c r="DF123" s="14"/>
      <c r="DG123" s="14"/>
      <c r="DH123" s="14"/>
      <c r="DI123" s="14"/>
      <c r="DJ123" s="14"/>
      <c r="DK123" s="14"/>
      <c r="DL123" s="14"/>
      <c r="DM123" s="14"/>
      <c r="DN123" s="14"/>
      <c r="DO123" s="14"/>
      <c r="DP123" s="26"/>
      <c r="DQ123" s="27"/>
      <c r="DR123" s="129"/>
      <c r="DS123" s="130">
        <f>TCP(BO123:DQ123,$BO$9:$DQ$9,data!$H$8)</f>
        <v>0</v>
      </c>
      <c r="DT123" s="135"/>
      <c r="DU123" s="121"/>
      <c r="DV123" s="121"/>
      <c r="DW123" s="134"/>
      <c r="DX123" s="132"/>
      <c r="DY123" s="136"/>
      <c r="DZ123" s="21"/>
      <c r="EA123" s="18"/>
      <c r="EB123" s="4"/>
      <c r="EI123" s="23"/>
      <c r="EJ123" s="23"/>
    </row>
    <row r="124" spans="1:140" s="191" customFormat="1" ht="15.75" x14ac:dyDescent="0.25">
      <c r="A124" s="12"/>
      <c r="B124" s="16"/>
      <c r="C124" s="24" t="str">
        <f t="shared" si="4"/>
        <v xml:space="preserve"> </v>
      </c>
      <c r="D124" s="25"/>
      <c r="E124" s="20"/>
      <c r="F124" s="19"/>
      <c r="G124" s="180"/>
      <c r="H124" s="120"/>
      <c r="I124" s="121"/>
      <c r="J124" s="121"/>
      <c r="K124" s="121"/>
      <c r="L124" s="121"/>
      <c r="M124" s="121"/>
      <c r="N124" s="121"/>
      <c r="O124" s="121"/>
      <c r="P124" s="121"/>
      <c r="Q124" s="121"/>
      <c r="R124" s="121"/>
      <c r="S124" s="121"/>
      <c r="T124" s="121"/>
      <c r="U124" s="121"/>
      <c r="V124" s="121"/>
      <c r="W124" s="121"/>
      <c r="X124" s="121"/>
      <c r="Y124" s="121"/>
      <c r="Z124" s="121"/>
      <c r="AA124" s="121"/>
      <c r="AB124" s="121"/>
      <c r="AC124" s="121"/>
      <c r="AD124" s="121"/>
      <c r="AE124" s="121"/>
      <c r="AF124" s="121"/>
      <c r="AG124" s="121"/>
      <c r="AH124" s="121"/>
      <c r="AI124" s="121"/>
      <c r="AJ124" s="121"/>
      <c r="AK124" s="121"/>
      <c r="AL124" s="121"/>
      <c r="AM124" s="121"/>
      <c r="AN124" s="121"/>
      <c r="AO124" s="121"/>
      <c r="AP124" s="121"/>
      <c r="AQ124" s="121"/>
      <c r="AR124" s="121"/>
      <c r="AS124" s="121"/>
      <c r="AT124" s="121"/>
      <c r="AU124" s="121"/>
      <c r="AV124" s="121"/>
      <c r="AW124" s="121"/>
      <c r="AX124" s="121"/>
      <c r="AY124" s="121"/>
      <c r="AZ124" s="121"/>
      <c r="BA124" s="121"/>
      <c r="BB124" s="121"/>
      <c r="BC124" s="121"/>
      <c r="BD124" s="121"/>
      <c r="BE124" s="121"/>
      <c r="BF124" s="121"/>
      <c r="BG124" s="121"/>
      <c r="BH124" s="121"/>
      <c r="BI124" s="121"/>
      <c r="BJ124" s="122"/>
      <c r="BK124" s="93"/>
      <c r="BL124" s="94"/>
      <c r="BM124" s="95"/>
      <c r="BN124" s="179" t="str">
        <f t="shared" si="5"/>
        <v/>
      </c>
      <c r="BO124" s="177"/>
      <c r="BP124" s="14"/>
      <c r="BQ124" s="14"/>
      <c r="BR124" s="14"/>
      <c r="BS124" s="14"/>
      <c r="BT124" s="14"/>
      <c r="BU124" s="14"/>
      <c r="BV124" s="16"/>
      <c r="BW124" s="14"/>
      <c r="BX124" s="14"/>
      <c r="BY124" s="14"/>
      <c r="BZ124" s="14"/>
      <c r="CA124" s="14"/>
      <c r="CB124" s="14"/>
      <c r="CC124" s="14"/>
      <c r="CD124" s="14"/>
      <c r="CE124" s="14"/>
      <c r="CF124" s="14"/>
      <c r="CG124" s="14"/>
      <c r="CH124" s="14"/>
      <c r="CI124" s="14"/>
      <c r="CJ124" s="14"/>
      <c r="CK124" s="14"/>
      <c r="CL124" s="14"/>
      <c r="CM124" s="14"/>
      <c r="CN124" s="14"/>
      <c r="CO124" s="14"/>
      <c r="CP124" s="14"/>
      <c r="CQ124" s="14"/>
      <c r="CR124" s="14"/>
      <c r="CS124" s="14"/>
      <c r="CT124" s="14"/>
      <c r="CU124" s="14"/>
      <c r="CV124" s="14"/>
      <c r="CW124" s="14"/>
      <c r="CX124" s="14"/>
      <c r="CY124" s="14"/>
      <c r="CZ124" s="14"/>
      <c r="DA124" s="14"/>
      <c r="DB124" s="14"/>
      <c r="DC124" s="14"/>
      <c r="DD124" s="14"/>
      <c r="DE124" s="14"/>
      <c r="DF124" s="14"/>
      <c r="DG124" s="14"/>
      <c r="DH124" s="14"/>
      <c r="DI124" s="14"/>
      <c r="DJ124" s="14"/>
      <c r="DK124" s="14"/>
      <c r="DL124" s="14"/>
      <c r="DM124" s="14"/>
      <c r="DN124" s="14"/>
      <c r="DO124" s="14"/>
      <c r="DP124" s="26"/>
      <c r="DQ124" s="27"/>
      <c r="DR124" s="129"/>
      <c r="DS124" s="130">
        <f>TCP(BO124:DQ124,$BO$9:$DQ$9,data!$H$8)</f>
        <v>0</v>
      </c>
      <c r="DT124" s="135"/>
      <c r="DU124" s="121"/>
      <c r="DV124" s="121"/>
      <c r="DW124" s="134"/>
      <c r="DX124" s="132"/>
      <c r="DY124" s="136"/>
      <c r="DZ124" s="21"/>
      <c r="EA124" s="18"/>
      <c r="EB124" s="4"/>
      <c r="EI124" s="23"/>
      <c r="EJ124" s="23"/>
    </row>
    <row r="125" spans="1:140" s="191" customFormat="1" ht="15.75" x14ac:dyDescent="0.25">
      <c r="A125" s="12"/>
      <c r="B125" s="16"/>
      <c r="C125" s="24" t="str">
        <f t="shared" si="4"/>
        <v xml:space="preserve"> </v>
      </c>
      <c r="D125" s="25"/>
      <c r="E125" s="20"/>
      <c r="F125" s="19"/>
      <c r="G125" s="180"/>
      <c r="H125" s="120"/>
      <c r="I125" s="121"/>
      <c r="J125" s="121"/>
      <c r="K125" s="121"/>
      <c r="L125" s="121"/>
      <c r="M125" s="121"/>
      <c r="N125" s="121"/>
      <c r="O125" s="121"/>
      <c r="P125" s="121"/>
      <c r="Q125" s="121"/>
      <c r="R125" s="121"/>
      <c r="S125" s="121"/>
      <c r="T125" s="121"/>
      <c r="U125" s="121"/>
      <c r="V125" s="121"/>
      <c r="W125" s="121"/>
      <c r="X125" s="121"/>
      <c r="Y125" s="121"/>
      <c r="Z125" s="121"/>
      <c r="AA125" s="121"/>
      <c r="AB125" s="121"/>
      <c r="AC125" s="121"/>
      <c r="AD125" s="121"/>
      <c r="AE125" s="121"/>
      <c r="AF125" s="121"/>
      <c r="AG125" s="121"/>
      <c r="AH125" s="121"/>
      <c r="AI125" s="121"/>
      <c r="AJ125" s="121"/>
      <c r="AK125" s="121"/>
      <c r="AL125" s="121"/>
      <c r="AM125" s="121"/>
      <c r="AN125" s="121"/>
      <c r="AO125" s="121"/>
      <c r="AP125" s="121"/>
      <c r="AQ125" s="121"/>
      <c r="AR125" s="121"/>
      <c r="AS125" s="121"/>
      <c r="AT125" s="121"/>
      <c r="AU125" s="121"/>
      <c r="AV125" s="121"/>
      <c r="AW125" s="121"/>
      <c r="AX125" s="121"/>
      <c r="AY125" s="121"/>
      <c r="AZ125" s="121"/>
      <c r="BA125" s="121"/>
      <c r="BB125" s="121"/>
      <c r="BC125" s="121"/>
      <c r="BD125" s="121"/>
      <c r="BE125" s="121"/>
      <c r="BF125" s="121"/>
      <c r="BG125" s="121"/>
      <c r="BH125" s="121"/>
      <c r="BI125" s="121"/>
      <c r="BJ125" s="122"/>
      <c r="BK125" s="93"/>
      <c r="BL125" s="94"/>
      <c r="BM125" s="95"/>
      <c r="BN125" s="179" t="str">
        <f t="shared" si="5"/>
        <v/>
      </c>
      <c r="BO125" s="177"/>
      <c r="BP125" s="14"/>
      <c r="BQ125" s="14"/>
      <c r="BR125" s="14"/>
      <c r="BS125" s="14"/>
      <c r="BT125" s="14"/>
      <c r="BU125" s="14"/>
      <c r="BV125" s="16"/>
      <c r="BW125" s="14"/>
      <c r="BX125" s="14"/>
      <c r="BY125" s="14"/>
      <c r="BZ125" s="14"/>
      <c r="CA125" s="14"/>
      <c r="CB125" s="14"/>
      <c r="CC125" s="14"/>
      <c r="CD125" s="14"/>
      <c r="CE125" s="14"/>
      <c r="CF125" s="14"/>
      <c r="CG125" s="14"/>
      <c r="CH125" s="14"/>
      <c r="CI125" s="14"/>
      <c r="CJ125" s="14"/>
      <c r="CK125" s="14"/>
      <c r="CL125" s="14"/>
      <c r="CM125" s="14"/>
      <c r="CN125" s="14"/>
      <c r="CO125" s="14"/>
      <c r="CP125" s="14"/>
      <c r="CQ125" s="14"/>
      <c r="CR125" s="14"/>
      <c r="CS125" s="14"/>
      <c r="CT125" s="14"/>
      <c r="CU125" s="14"/>
      <c r="CV125" s="14"/>
      <c r="CW125" s="14"/>
      <c r="CX125" s="14"/>
      <c r="CY125" s="14"/>
      <c r="CZ125" s="14"/>
      <c r="DA125" s="14"/>
      <c r="DB125" s="14"/>
      <c r="DC125" s="14"/>
      <c r="DD125" s="14"/>
      <c r="DE125" s="14"/>
      <c r="DF125" s="14"/>
      <c r="DG125" s="14"/>
      <c r="DH125" s="14"/>
      <c r="DI125" s="14"/>
      <c r="DJ125" s="14"/>
      <c r="DK125" s="14"/>
      <c r="DL125" s="14"/>
      <c r="DM125" s="14"/>
      <c r="DN125" s="14"/>
      <c r="DO125" s="14"/>
      <c r="DP125" s="26"/>
      <c r="DQ125" s="27"/>
      <c r="DR125" s="129"/>
      <c r="DS125" s="130">
        <f>TCP(BO125:DQ125,$BO$9:$DQ$9,data!$H$8)</f>
        <v>0</v>
      </c>
      <c r="DT125" s="135"/>
      <c r="DU125" s="121"/>
      <c r="DV125" s="121"/>
      <c r="DW125" s="134"/>
      <c r="DX125" s="132"/>
      <c r="DY125" s="136"/>
      <c r="DZ125" s="21"/>
      <c r="EA125" s="18"/>
      <c r="EB125" s="4"/>
      <c r="EI125" s="23"/>
      <c r="EJ125" s="23"/>
    </row>
    <row r="126" spans="1:140" s="191" customFormat="1" ht="15.75" x14ac:dyDescent="0.25">
      <c r="A126" s="12"/>
      <c r="B126" s="16"/>
      <c r="C126" s="24" t="str">
        <f t="shared" si="4"/>
        <v xml:space="preserve"> </v>
      </c>
      <c r="D126" s="25"/>
      <c r="E126" s="20"/>
      <c r="F126" s="19"/>
      <c r="G126" s="180"/>
      <c r="H126" s="120"/>
      <c r="I126" s="121"/>
      <c r="J126" s="121"/>
      <c r="K126" s="121"/>
      <c r="L126" s="121"/>
      <c r="M126" s="121"/>
      <c r="N126" s="121"/>
      <c r="O126" s="121"/>
      <c r="P126" s="121"/>
      <c r="Q126" s="121"/>
      <c r="R126" s="121"/>
      <c r="S126" s="121"/>
      <c r="T126" s="121"/>
      <c r="U126" s="121"/>
      <c r="V126" s="121"/>
      <c r="W126" s="121"/>
      <c r="X126" s="121"/>
      <c r="Y126" s="121"/>
      <c r="Z126" s="121"/>
      <c r="AA126" s="121"/>
      <c r="AB126" s="121"/>
      <c r="AC126" s="121"/>
      <c r="AD126" s="121"/>
      <c r="AE126" s="121"/>
      <c r="AF126" s="121"/>
      <c r="AG126" s="121"/>
      <c r="AH126" s="121"/>
      <c r="AI126" s="121"/>
      <c r="AJ126" s="121"/>
      <c r="AK126" s="121"/>
      <c r="AL126" s="121"/>
      <c r="AM126" s="121"/>
      <c r="AN126" s="121"/>
      <c r="AO126" s="121"/>
      <c r="AP126" s="121"/>
      <c r="AQ126" s="121"/>
      <c r="AR126" s="121"/>
      <c r="AS126" s="121"/>
      <c r="AT126" s="121"/>
      <c r="AU126" s="121"/>
      <c r="AV126" s="121"/>
      <c r="AW126" s="121"/>
      <c r="AX126" s="121"/>
      <c r="AY126" s="121"/>
      <c r="AZ126" s="121"/>
      <c r="BA126" s="121"/>
      <c r="BB126" s="121"/>
      <c r="BC126" s="121"/>
      <c r="BD126" s="121"/>
      <c r="BE126" s="121"/>
      <c r="BF126" s="121"/>
      <c r="BG126" s="121"/>
      <c r="BH126" s="121"/>
      <c r="BI126" s="121"/>
      <c r="BJ126" s="122"/>
      <c r="BK126" s="93"/>
      <c r="BL126" s="94"/>
      <c r="BM126" s="95"/>
      <c r="BN126" s="179" t="str">
        <f t="shared" si="5"/>
        <v/>
      </c>
      <c r="BO126" s="177"/>
      <c r="BP126" s="14"/>
      <c r="BQ126" s="14"/>
      <c r="BR126" s="14"/>
      <c r="BS126" s="14"/>
      <c r="BT126" s="14"/>
      <c r="BU126" s="14"/>
      <c r="BV126" s="16"/>
      <c r="BW126" s="14"/>
      <c r="BX126" s="14"/>
      <c r="BY126" s="14"/>
      <c r="BZ126" s="14"/>
      <c r="CA126" s="14"/>
      <c r="CB126" s="14"/>
      <c r="CC126" s="14"/>
      <c r="CD126" s="14"/>
      <c r="CE126" s="14"/>
      <c r="CF126" s="14"/>
      <c r="CG126" s="14"/>
      <c r="CH126" s="14"/>
      <c r="CI126" s="14"/>
      <c r="CJ126" s="14"/>
      <c r="CK126" s="14"/>
      <c r="CL126" s="14"/>
      <c r="CM126" s="14"/>
      <c r="CN126" s="14"/>
      <c r="CO126" s="14"/>
      <c r="CP126" s="14"/>
      <c r="CQ126" s="14"/>
      <c r="CR126" s="14"/>
      <c r="CS126" s="14"/>
      <c r="CT126" s="14"/>
      <c r="CU126" s="14"/>
      <c r="CV126" s="14"/>
      <c r="CW126" s="14"/>
      <c r="CX126" s="14"/>
      <c r="CY126" s="14"/>
      <c r="CZ126" s="14"/>
      <c r="DA126" s="14"/>
      <c r="DB126" s="14"/>
      <c r="DC126" s="14"/>
      <c r="DD126" s="14"/>
      <c r="DE126" s="14"/>
      <c r="DF126" s="14"/>
      <c r="DG126" s="14"/>
      <c r="DH126" s="14"/>
      <c r="DI126" s="14"/>
      <c r="DJ126" s="14"/>
      <c r="DK126" s="14"/>
      <c r="DL126" s="14"/>
      <c r="DM126" s="14"/>
      <c r="DN126" s="14"/>
      <c r="DO126" s="14"/>
      <c r="DP126" s="26"/>
      <c r="DQ126" s="27"/>
      <c r="DR126" s="129"/>
      <c r="DS126" s="130">
        <f>TCP(BO126:DQ126,$BO$9:$DQ$9,data!$H$8)</f>
        <v>0</v>
      </c>
      <c r="DT126" s="135"/>
      <c r="DU126" s="121"/>
      <c r="DV126" s="121"/>
      <c r="DW126" s="134"/>
      <c r="DX126" s="132"/>
      <c r="DY126" s="136"/>
      <c r="DZ126" s="21"/>
      <c r="EA126" s="18"/>
      <c r="EB126" s="4"/>
      <c r="EI126" s="23"/>
      <c r="EJ126" s="23"/>
    </row>
    <row r="127" spans="1:140" s="191" customFormat="1" ht="15.75" x14ac:dyDescent="0.25">
      <c r="A127" s="12"/>
      <c r="B127" s="16"/>
      <c r="C127" s="24" t="str">
        <f t="shared" si="4"/>
        <v xml:space="preserve"> </v>
      </c>
      <c r="D127" s="25"/>
      <c r="E127" s="20"/>
      <c r="F127" s="19"/>
      <c r="G127" s="180"/>
      <c r="H127" s="120"/>
      <c r="I127" s="121"/>
      <c r="J127" s="121"/>
      <c r="K127" s="121"/>
      <c r="L127" s="121"/>
      <c r="M127" s="121"/>
      <c r="N127" s="121"/>
      <c r="O127" s="121"/>
      <c r="P127" s="121"/>
      <c r="Q127" s="121"/>
      <c r="R127" s="121"/>
      <c r="S127" s="121"/>
      <c r="T127" s="121"/>
      <c r="U127" s="121"/>
      <c r="V127" s="121"/>
      <c r="W127" s="121"/>
      <c r="X127" s="121"/>
      <c r="Y127" s="121"/>
      <c r="Z127" s="121"/>
      <c r="AA127" s="121"/>
      <c r="AB127" s="121"/>
      <c r="AC127" s="121"/>
      <c r="AD127" s="121"/>
      <c r="AE127" s="121"/>
      <c r="AF127" s="121"/>
      <c r="AG127" s="121"/>
      <c r="AH127" s="121"/>
      <c r="AI127" s="121"/>
      <c r="AJ127" s="121"/>
      <c r="AK127" s="121"/>
      <c r="AL127" s="121"/>
      <c r="AM127" s="121"/>
      <c r="AN127" s="121"/>
      <c r="AO127" s="121"/>
      <c r="AP127" s="121"/>
      <c r="AQ127" s="121"/>
      <c r="AR127" s="121"/>
      <c r="AS127" s="121"/>
      <c r="AT127" s="121"/>
      <c r="AU127" s="121"/>
      <c r="AV127" s="121"/>
      <c r="AW127" s="121"/>
      <c r="AX127" s="121"/>
      <c r="AY127" s="121"/>
      <c r="AZ127" s="121"/>
      <c r="BA127" s="121"/>
      <c r="BB127" s="121"/>
      <c r="BC127" s="121"/>
      <c r="BD127" s="121"/>
      <c r="BE127" s="121"/>
      <c r="BF127" s="121"/>
      <c r="BG127" s="121"/>
      <c r="BH127" s="121"/>
      <c r="BI127" s="121"/>
      <c r="BJ127" s="122"/>
      <c r="BK127" s="93"/>
      <c r="BL127" s="94"/>
      <c r="BM127" s="95"/>
      <c r="BN127" s="179" t="str">
        <f t="shared" si="5"/>
        <v/>
      </c>
      <c r="BO127" s="177"/>
      <c r="BP127" s="14"/>
      <c r="BQ127" s="14"/>
      <c r="BR127" s="14"/>
      <c r="BS127" s="14"/>
      <c r="BT127" s="14"/>
      <c r="BU127" s="14"/>
      <c r="BV127" s="16"/>
      <c r="BW127" s="14"/>
      <c r="BX127" s="14"/>
      <c r="BY127" s="14"/>
      <c r="BZ127" s="14"/>
      <c r="CA127" s="14"/>
      <c r="CB127" s="14"/>
      <c r="CC127" s="14"/>
      <c r="CD127" s="14"/>
      <c r="CE127" s="14"/>
      <c r="CF127" s="14"/>
      <c r="CG127" s="14"/>
      <c r="CH127" s="14"/>
      <c r="CI127" s="14"/>
      <c r="CJ127" s="14"/>
      <c r="CK127" s="14"/>
      <c r="CL127" s="14"/>
      <c r="CM127" s="14"/>
      <c r="CN127" s="14"/>
      <c r="CO127" s="14"/>
      <c r="CP127" s="14"/>
      <c r="CQ127" s="14"/>
      <c r="CR127" s="14"/>
      <c r="CS127" s="14"/>
      <c r="CT127" s="14"/>
      <c r="CU127" s="14"/>
      <c r="CV127" s="14"/>
      <c r="CW127" s="14"/>
      <c r="CX127" s="14"/>
      <c r="CY127" s="14"/>
      <c r="CZ127" s="14"/>
      <c r="DA127" s="14"/>
      <c r="DB127" s="14"/>
      <c r="DC127" s="14"/>
      <c r="DD127" s="14"/>
      <c r="DE127" s="14"/>
      <c r="DF127" s="14"/>
      <c r="DG127" s="14"/>
      <c r="DH127" s="14"/>
      <c r="DI127" s="14"/>
      <c r="DJ127" s="14"/>
      <c r="DK127" s="14"/>
      <c r="DL127" s="14"/>
      <c r="DM127" s="14"/>
      <c r="DN127" s="14"/>
      <c r="DO127" s="14"/>
      <c r="DP127" s="26"/>
      <c r="DQ127" s="27"/>
      <c r="DR127" s="129"/>
      <c r="DS127" s="130">
        <f>TCP(BO127:DQ127,$BO$9:$DQ$9,data!$H$8)</f>
        <v>0</v>
      </c>
      <c r="DT127" s="135"/>
      <c r="DU127" s="121"/>
      <c r="DV127" s="121"/>
      <c r="DW127" s="134"/>
      <c r="DX127" s="132"/>
      <c r="DY127" s="136"/>
      <c r="DZ127" s="21"/>
      <c r="EA127" s="18"/>
      <c r="EB127" s="4"/>
      <c r="EI127" s="23"/>
      <c r="EJ127" s="23"/>
    </row>
    <row r="128" spans="1:140" s="191" customFormat="1" ht="15.75" x14ac:dyDescent="0.25">
      <c r="A128" s="12"/>
      <c r="B128" s="16"/>
      <c r="C128" s="24" t="str">
        <f t="shared" si="4"/>
        <v xml:space="preserve"> </v>
      </c>
      <c r="D128" s="25"/>
      <c r="E128" s="20"/>
      <c r="F128" s="19"/>
      <c r="G128" s="180"/>
      <c r="H128" s="120"/>
      <c r="I128" s="121"/>
      <c r="J128" s="121"/>
      <c r="K128" s="121"/>
      <c r="L128" s="121"/>
      <c r="M128" s="121"/>
      <c r="N128" s="121"/>
      <c r="O128" s="121"/>
      <c r="P128" s="121"/>
      <c r="Q128" s="121"/>
      <c r="R128" s="121"/>
      <c r="S128" s="121"/>
      <c r="T128" s="121"/>
      <c r="U128" s="121"/>
      <c r="V128" s="121"/>
      <c r="W128" s="121"/>
      <c r="X128" s="121"/>
      <c r="Y128" s="121"/>
      <c r="Z128" s="121"/>
      <c r="AA128" s="121"/>
      <c r="AB128" s="121"/>
      <c r="AC128" s="121"/>
      <c r="AD128" s="121"/>
      <c r="AE128" s="121"/>
      <c r="AF128" s="121"/>
      <c r="AG128" s="121"/>
      <c r="AH128" s="121"/>
      <c r="AI128" s="121"/>
      <c r="AJ128" s="121"/>
      <c r="AK128" s="121"/>
      <c r="AL128" s="121"/>
      <c r="AM128" s="121"/>
      <c r="AN128" s="121"/>
      <c r="AO128" s="121"/>
      <c r="AP128" s="121"/>
      <c r="AQ128" s="121"/>
      <c r="AR128" s="121"/>
      <c r="AS128" s="121"/>
      <c r="AT128" s="121"/>
      <c r="AU128" s="121"/>
      <c r="AV128" s="121"/>
      <c r="AW128" s="121"/>
      <c r="AX128" s="121"/>
      <c r="AY128" s="121"/>
      <c r="AZ128" s="121"/>
      <c r="BA128" s="121"/>
      <c r="BB128" s="121"/>
      <c r="BC128" s="121"/>
      <c r="BD128" s="121"/>
      <c r="BE128" s="121"/>
      <c r="BF128" s="121"/>
      <c r="BG128" s="121"/>
      <c r="BH128" s="121"/>
      <c r="BI128" s="121"/>
      <c r="BJ128" s="122"/>
      <c r="BK128" s="93"/>
      <c r="BL128" s="94"/>
      <c r="BM128" s="95"/>
      <c r="BN128" s="179" t="str">
        <f t="shared" si="5"/>
        <v/>
      </c>
      <c r="BO128" s="177"/>
      <c r="BP128" s="14"/>
      <c r="BQ128" s="14"/>
      <c r="BR128" s="14"/>
      <c r="BS128" s="14"/>
      <c r="BT128" s="14"/>
      <c r="BU128" s="14"/>
      <c r="BV128" s="16"/>
      <c r="BW128" s="14"/>
      <c r="BX128" s="14"/>
      <c r="BY128" s="14"/>
      <c r="BZ128" s="14"/>
      <c r="CA128" s="14"/>
      <c r="CB128" s="14"/>
      <c r="CC128" s="14"/>
      <c r="CD128" s="14"/>
      <c r="CE128" s="14"/>
      <c r="CF128" s="14"/>
      <c r="CG128" s="14"/>
      <c r="CH128" s="14"/>
      <c r="CI128" s="14"/>
      <c r="CJ128" s="14"/>
      <c r="CK128" s="14"/>
      <c r="CL128" s="14"/>
      <c r="CM128" s="14"/>
      <c r="CN128" s="14"/>
      <c r="CO128" s="14"/>
      <c r="CP128" s="14"/>
      <c r="CQ128" s="14"/>
      <c r="CR128" s="14"/>
      <c r="CS128" s="14"/>
      <c r="CT128" s="14"/>
      <c r="CU128" s="14"/>
      <c r="CV128" s="14"/>
      <c r="CW128" s="14"/>
      <c r="CX128" s="14"/>
      <c r="CY128" s="14"/>
      <c r="CZ128" s="14"/>
      <c r="DA128" s="14"/>
      <c r="DB128" s="14"/>
      <c r="DC128" s="14"/>
      <c r="DD128" s="14"/>
      <c r="DE128" s="14"/>
      <c r="DF128" s="14"/>
      <c r="DG128" s="14"/>
      <c r="DH128" s="14"/>
      <c r="DI128" s="14"/>
      <c r="DJ128" s="14"/>
      <c r="DK128" s="14"/>
      <c r="DL128" s="14"/>
      <c r="DM128" s="14"/>
      <c r="DN128" s="14"/>
      <c r="DO128" s="14"/>
      <c r="DP128" s="26"/>
      <c r="DQ128" s="27"/>
      <c r="DR128" s="129"/>
      <c r="DS128" s="130">
        <f>TCP(BO128:DQ128,$BO$9:$DQ$9,data!$H$8)</f>
        <v>0</v>
      </c>
      <c r="DT128" s="135"/>
      <c r="DU128" s="121"/>
      <c r="DV128" s="121"/>
      <c r="DW128" s="134"/>
      <c r="DX128" s="132"/>
      <c r="DY128" s="136"/>
      <c r="DZ128" s="21"/>
      <c r="EA128" s="18"/>
      <c r="EB128" s="4"/>
      <c r="EI128" s="23"/>
      <c r="EJ128" s="23"/>
    </row>
    <row r="129" spans="1:140" s="191" customFormat="1" ht="15.75" x14ac:dyDescent="0.25">
      <c r="A129" s="12"/>
      <c r="B129" s="16"/>
      <c r="C129" s="24" t="str">
        <f t="shared" si="4"/>
        <v xml:space="preserve"> </v>
      </c>
      <c r="D129" s="25"/>
      <c r="E129" s="20"/>
      <c r="F129" s="19"/>
      <c r="G129" s="180"/>
      <c r="H129" s="120"/>
      <c r="I129" s="121"/>
      <c r="J129" s="121"/>
      <c r="K129" s="121"/>
      <c r="L129" s="121"/>
      <c r="M129" s="121"/>
      <c r="N129" s="121"/>
      <c r="O129" s="121"/>
      <c r="P129" s="121"/>
      <c r="Q129" s="121"/>
      <c r="R129" s="121"/>
      <c r="S129" s="121"/>
      <c r="T129" s="121"/>
      <c r="U129" s="121"/>
      <c r="V129" s="121"/>
      <c r="W129" s="121"/>
      <c r="X129" s="121"/>
      <c r="Y129" s="121"/>
      <c r="Z129" s="121"/>
      <c r="AA129" s="121"/>
      <c r="AB129" s="121"/>
      <c r="AC129" s="121"/>
      <c r="AD129" s="121"/>
      <c r="AE129" s="121"/>
      <c r="AF129" s="121"/>
      <c r="AG129" s="121"/>
      <c r="AH129" s="121"/>
      <c r="AI129" s="121"/>
      <c r="AJ129" s="121"/>
      <c r="AK129" s="121"/>
      <c r="AL129" s="121"/>
      <c r="AM129" s="121"/>
      <c r="AN129" s="121"/>
      <c r="AO129" s="121"/>
      <c r="AP129" s="121"/>
      <c r="AQ129" s="121"/>
      <c r="AR129" s="121"/>
      <c r="AS129" s="121"/>
      <c r="AT129" s="121"/>
      <c r="AU129" s="121"/>
      <c r="AV129" s="121"/>
      <c r="AW129" s="121"/>
      <c r="AX129" s="121"/>
      <c r="AY129" s="121"/>
      <c r="AZ129" s="121"/>
      <c r="BA129" s="121"/>
      <c r="BB129" s="121"/>
      <c r="BC129" s="121"/>
      <c r="BD129" s="121"/>
      <c r="BE129" s="121"/>
      <c r="BF129" s="121"/>
      <c r="BG129" s="121"/>
      <c r="BH129" s="121"/>
      <c r="BI129" s="121"/>
      <c r="BJ129" s="122"/>
      <c r="BK129" s="93"/>
      <c r="BL129" s="94"/>
      <c r="BM129" s="95"/>
      <c r="BN129" s="179" t="str">
        <f t="shared" si="5"/>
        <v/>
      </c>
      <c r="BO129" s="177"/>
      <c r="BP129" s="14"/>
      <c r="BQ129" s="14"/>
      <c r="BR129" s="14"/>
      <c r="BS129" s="14"/>
      <c r="BT129" s="14"/>
      <c r="BU129" s="14"/>
      <c r="BV129" s="16"/>
      <c r="BW129" s="14"/>
      <c r="BX129" s="14"/>
      <c r="BY129" s="14"/>
      <c r="BZ129" s="14"/>
      <c r="CA129" s="14"/>
      <c r="CB129" s="14"/>
      <c r="CC129" s="14"/>
      <c r="CD129" s="14"/>
      <c r="CE129" s="14"/>
      <c r="CF129" s="14"/>
      <c r="CG129" s="14"/>
      <c r="CH129" s="14"/>
      <c r="CI129" s="14"/>
      <c r="CJ129" s="14"/>
      <c r="CK129" s="14"/>
      <c r="CL129" s="14"/>
      <c r="CM129" s="14"/>
      <c r="CN129" s="14"/>
      <c r="CO129" s="14"/>
      <c r="CP129" s="14"/>
      <c r="CQ129" s="14"/>
      <c r="CR129" s="14"/>
      <c r="CS129" s="14"/>
      <c r="CT129" s="14"/>
      <c r="CU129" s="14"/>
      <c r="CV129" s="14"/>
      <c r="CW129" s="14"/>
      <c r="CX129" s="14"/>
      <c r="CY129" s="14"/>
      <c r="CZ129" s="14"/>
      <c r="DA129" s="14"/>
      <c r="DB129" s="14"/>
      <c r="DC129" s="14"/>
      <c r="DD129" s="14"/>
      <c r="DE129" s="14"/>
      <c r="DF129" s="14"/>
      <c r="DG129" s="14"/>
      <c r="DH129" s="14"/>
      <c r="DI129" s="14"/>
      <c r="DJ129" s="14"/>
      <c r="DK129" s="14"/>
      <c r="DL129" s="14"/>
      <c r="DM129" s="14"/>
      <c r="DN129" s="14"/>
      <c r="DO129" s="14"/>
      <c r="DP129" s="26"/>
      <c r="DQ129" s="27"/>
      <c r="DR129" s="129"/>
      <c r="DS129" s="130">
        <f>TCP(BO129:DQ129,$BO$9:$DQ$9,data!$H$8)</f>
        <v>0</v>
      </c>
      <c r="DT129" s="135"/>
      <c r="DU129" s="121"/>
      <c r="DV129" s="121"/>
      <c r="DW129" s="134"/>
      <c r="DX129" s="132"/>
      <c r="DY129" s="136"/>
      <c r="DZ129" s="21"/>
      <c r="EA129" s="18"/>
      <c r="EB129" s="4"/>
      <c r="EI129" s="23"/>
      <c r="EJ129" s="23"/>
    </row>
    <row r="130" spans="1:140" s="191" customFormat="1" ht="15.75" x14ac:dyDescent="0.25">
      <c r="A130" s="12"/>
      <c r="B130" s="16"/>
      <c r="C130" s="24" t="str">
        <f t="shared" si="4"/>
        <v xml:space="preserve"> </v>
      </c>
      <c r="D130" s="25"/>
      <c r="E130" s="20"/>
      <c r="F130" s="19"/>
      <c r="G130" s="180"/>
      <c r="H130" s="120"/>
      <c r="I130" s="121"/>
      <c r="J130" s="121"/>
      <c r="K130" s="121"/>
      <c r="L130" s="121"/>
      <c r="M130" s="121"/>
      <c r="N130" s="121"/>
      <c r="O130" s="121"/>
      <c r="P130" s="121"/>
      <c r="Q130" s="121"/>
      <c r="R130" s="121"/>
      <c r="S130" s="121"/>
      <c r="T130" s="121"/>
      <c r="U130" s="121"/>
      <c r="V130" s="121"/>
      <c r="W130" s="121"/>
      <c r="X130" s="121"/>
      <c r="Y130" s="121"/>
      <c r="Z130" s="121"/>
      <c r="AA130" s="121"/>
      <c r="AB130" s="121"/>
      <c r="AC130" s="121"/>
      <c r="AD130" s="121"/>
      <c r="AE130" s="121"/>
      <c r="AF130" s="121"/>
      <c r="AG130" s="121"/>
      <c r="AH130" s="121"/>
      <c r="AI130" s="121"/>
      <c r="AJ130" s="121"/>
      <c r="AK130" s="121"/>
      <c r="AL130" s="121"/>
      <c r="AM130" s="121"/>
      <c r="AN130" s="121"/>
      <c r="AO130" s="121"/>
      <c r="AP130" s="121"/>
      <c r="AQ130" s="121"/>
      <c r="AR130" s="121"/>
      <c r="AS130" s="121"/>
      <c r="AT130" s="121"/>
      <c r="AU130" s="121"/>
      <c r="AV130" s="121"/>
      <c r="AW130" s="121"/>
      <c r="AX130" s="121"/>
      <c r="AY130" s="121"/>
      <c r="AZ130" s="121"/>
      <c r="BA130" s="121"/>
      <c r="BB130" s="121"/>
      <c r="BC130" s="121"/>
      <c r="BD130" s="121"/>
      <c r="BE130" s="121"/>
      <c r="BF130" s="121"/>
      <c r="BG130" s="121"/>
      <c r="BH130" s="121"/>
      <c r="BI130" s="121"/>
      <c r="BJ130" s="122"/>
      <c r="BK130" s="93"/>
      <c r="BL130" s="94"/>
      <c r="BM130" s="95"/>
      <c r="BN130" s="179" t="str">
        <f t="shared" si="5"/>
        <v/>
      </c>
      <c r="BO130" s="177"/>
      <c r="BP130" s="14"/>
      <c r="BQ130" s="14"/>
      <c r="BR130" s="14"/>
      <c r="BS130" s="14"/>
      <c r="BT130" s="14"/>
      <c r="BU130" s="14"/>
      <c r="BV130" s="16"/>
      <c r="BW130" s="14"/>
      <c r="BX130" s="14"/>
      <c r="BY130" s="14"/>
      <c r="BZ130" s="14"/>
      <c r="CA130" s="14"/>
      <c r="CB130" s="14"/>
      <c r="CC130" s="14"/>
      <c r="CD130" s="14"/>
      <c r="CE130" s="14"/>
      <c r="CF130" s="14"/>
      <c r="CG130" s="14"/>
      <c r="CH130" s="14"/>
      <c r="CI130" s="14"/>
      <c r="CJ130" s="14"/>
      <c r="CK130" s="14"/>
      <c r="CL130" s="14"/>
      <c r="CM130" s="14"/>
      <c r="CN130" s="14"/>
      <c r="CO130" s="14"/>
      <c r="CP130" s="14"/>
      <c r="CQ130" s="14"/>
      <c r="CR130" s="14"/>
      <c r="CS130" s="14"/>
      <c r="CT130" s="14"/>
      <c r="CU130" s="14"/>
      <c r="CV130" s="14"/>
      <c r="CW130" s="14"/>
      <c r="CX130" s="14"/>
      <c r="CY130" s="14"/>
      <c r="CZ130" s="14"/>
      <c r="DA130" s="14"/>
      <c r="DB130" s="14"/>
      <c r="DC130" s="14"/>
      <c r="DD130" s="14"/>
      <c r="DE130" s="14"/>
      <c r="DF130" s="14"/>
      <c r="DG130" s="14"/>
      <c r="DH130" s="14"/>
      <c r="DI130" s="14"/>
      <c r="DJ130" s="14"/>
      <c r="DK130" s="14"/>
      <c r="DL130" s="14"/>
      <c r="DM130" s="14"/>
      <c r="DN130" s="14"/>
      <c r="DO130" s="14"/>
      <c r="DP130" s="26"/>
      <c r="DQ130" s="27"/>
      <c r="DR130" s="129"/>
      <c r="DS130" s="130">
        <f>TCP(BO130:DQ130,$BO$9:$DQ$9,data!$H$8)</f>
        <v>0</v>
      </c>
      <c r="DT130" s="135"/>
      <c r="DU130" s="121"/>
      <c r="DV130" s="121"/>
      <c r="DW130" s="134"/>
      <c r="DX130" s="132"/>
      <c r="DY130" s="136"/>
      <c r="DZ130" s="21"/>
      <c r="EA130" s="18"/>
      <c r="EB130" s="4"/>
      <c r="EI130" s="23"/>
      <c r="EJ130" s="23"/>
    </row>
    <row r="131" spans="1:140" s="191" customFormat="1" ht="15.75" x14ac:dyDescent="0.25">
      <c r="A131" s="12"/>
      <c r="B131" s="16"/>
      <c r="C131" s="24" t="str">
        <f t="shared" si="4"/>
        <v xml:space="preserve"> </v>
      </c>
      <c r="D131" s="25"/>
      <c r="E131" s="20"/>
      <c r="F131" s="19"/>
      <c r="G131" s="180"/>
      <c r="H131" s="120"/>
      <c r="I131" s="121"/>
      <c r="J131" s="121"/>
      <c r="K131" s="121"/>
      <c r="L131" s="121"/>
      <c r="M131" s="121"/>
      <c r="N131" s="121"/>
      <c r="O131" s="121"/>
      <c r="P131" s="121"/>
      <c r="Q131" s="121"/>
      <c r="R131" s="121"/>
      <c r="S131" s="121"/>
      <c r="T131" s="121"/>
      <c r="U131" s="121"/>
      <c r="V131" s="121"/>
      <c r="W131" s="121"/>
      <c r="X131" s="121"/>
      <c r="Y131" s="121"/>
      <c r="Z131" s="121"/>
      <c r="AA131" s="121"/>
      <c r="AB131" s="121"/>
      <c r="AC131" s="121"/>
      <c r="AD131" s="121"/>
      <c r="AE131" s="121"/>
      <c r="AF131" s="121"/>
      <c r="AG131" s="121"/>
      <c r="AH131" s="121"/>
      <c r="AI131" s="121"/>
      <c r="AJ131" s="121"/>
      <c r="AK131" s="121"/>
      <c r="AL131" s="121"/>
      <c r="AM131" s="121"/>
      <c r="AN131" s="121"/>
      <c r="AO131" s="121"/>
      <c r="AP131" s="121"/>
      <c r="AQ131" s="121"/>
      <c r="AR131" s="121"/>
      <c r="AS131" s="121"/>
      <c r="AT131" s="121"/>
      <c r="AU131" s="121"/>
      <c r="AV131" s="121"/>
      <c r="AW131" s="121"/>
      <c r="AX131" s="121"/>
      <c r="AY131" s="121"/>
      <c r="AZ131" s="121"/>
      <c r="BA131" s="121"/>
      <c r="BB131" s="121"/>
      <c r="BC131" s="121"/>
      <c r="BD131" s="121"/>
      <c r="BE131" s="121"/>
      <c r="BF131" s="121"/>
      <c r="BG131" s="121"/>
      <c r="BH131" s="121"/>
      <c r="BI131" s="121"/>
      <c r="BJ131" s="122"/>
      <c r="BK131" s="93"/>
      <c r="BL131" s="94"/>
      <c r="BM131" s="95"/>
      <c r="BN131" s="179" t="str">
        <f t="shared" si="5"/>
        <v/>
      </c>
      <c r="BO131" s="177"/>
      <c r="BP131" s="14"/>
      <c r="BQ131" s="14"/>
      <c r="BR131" s="14"/>
      <c r="BS131" s="14"/>
      <c r="BT131" s="14"/>
      <c r="BU131" s="14"/>
      <c r="BV131" s="16"/>
      <c r="BW131" s="14"/>
      <c r="BX131" s="14"/>
      <c r="BY131" s="14"/>
      <c r="BZ131" s="14"/>
      <c r="CA131" s="14"/>
      <c r="CB131" s="14"/>
      <c r="CC131" s="14"/>
      <c r="CD131" s="14"/>
      <c r="CE131" s="14"/>
      <c r="CF131" s="14"/>
      <c r="CG131" s="14"/>
      <c r="CH131" s="14"/>
      <c r="CI131" s="14"/>
      <c r="CJ131" s="14"/>
      <c r="CK131" s="14"/>
      <c r="CL131" s="14"/>
      <c r="CM131" s="14"/>
      <c r="CN131" s="14"/>
      <c r="CO131" s="14"/>
      <c r="CP131" s="14"/>
      <c r="CQ131" s="14"/>
      <c r="CR131" s="14"/>
      <c r="CS131" s="14"/>
      <c r="CT131" s="14"/>
      <c r="CU131" s="14"/>
      <c r="CV131" s="14"/>
      <c r="CW131" s="14"/>
      <c r="CX131" s="14"/>
      <c r="CY131" s="14"/>
      <c r="CZ131" s="14"/>
      <c r="DA131" s="14"/>
      <c r="DB131" s="14"/>
      <c r="DC131" s="14"/>
      <c r="DD131" s="14"/>
      <c r="DE131" s="14"/>
      <c r="DF131" s="14"/>
      <c r="DG131" s="14"/>
      <c r="DH131" s="14"/>
      <c r="DI131" s="14"/>
      <c r="DJ131" s="14"/>
      <c r="DK131" s="14"/>
      <c r="DL131" s="14"/>
      <c r="DM131" s="14"/>
      <c r="DN131" s="14"/>
      <c r="DO131" s="14"/>
      <c r="DP131" s="26"/>
      <c r="DQ131" s="27"/>
      <c r="DR131" s="129"/>
      <c r="DS131" s="130">
        <f>TCP(BO131:DQ131,$BO$9:$DQ$9,data!$H$8)</f>
        <v>0</v>
      </c>
      <c r="DT131" s="135"/>
      <c r="DU131" s="121"/>
      <c r="DV131" s="121"/>
      <c r="DW131" s="134"/>
      <c r="DX131" s="132"/>
      <c r="DY131" s="136"/>
      <c r="DZ131" s="21"/>
      <c r="EA131" s="18"/>
      <c r="EB131" s="4"/>
      <c r="EI131" s="23"/>
      <c r="EJ131" s="23"/>
    </row>
    <row r="132" spans="1:140" s="191" customFormat="1" ht="15.75" x14ac:dyDescent="0.25">
      <c r="A132" s="12"/>
      <c r="B132" s="16"/>
      <c r="C132" s="24" t="str">
        <f t="shared" si="4"/>
        <v xml:space="preserve"> </v>
      </c>
      <c r="D132" s="25"/>
      <c r="E132" s="20"/>
      <c r="F132" s="19"/>
      <c r="G132" s="180"/>
      <c r="H132" s="120"/>
      <c r="I132" s="121"/>
      <c r="J132" s="121"/>
      <c r="K132" s="121"/>
      <c r="L132" s="121"/>
      <c r="M132" s="121"/>
      <c r="N132" s="121"/>
      <c r="O132" s="121"/>
      <c r="P132" s="121"/>
      <c r="Q132" s="121"/>
      <c r="R132" s="121"/>
      <c r="S132" s="121"/>
      <c r="T132" s="121"/>
      <c r="U132" s="121"/>
      <c r="V132" s="121"/>
      <c r="W132" s="121"/>
      <c r="X132" s="121"/>
      <c r="Y132" s="121"/>
      <c r="Z132" s="121"/>
      <c r="AA132" s="121"/>
      <c r="AB132" s="121"/>
      <c r="AC132" s="121"/>
      <c r="AD132" s="121"/>
      <c r="AE132" s="121"/>
      <c r="AF132" s="121"/>
      <c r="AG132" s="121"/>
      <c r="AH132" s="121"/>
      <c r="AI132" s="121"/>
      <c r="AJ132" s="121"/>
      <c r="AK132" s="121"/>
      <c r="AL132" s="121"/>
      <c r="AM132" s="121"/>
      <c r="AN132" s="121"/>
      <c r="AO132" s="121"/>
      <c r="AP132" s="121"/>
      <c r="AQ132" s="121"/>
      <c r="AR132" s="121"/>
      <c r="AS132" s="121"/>
      <c r="AT132" s="121"/>
      <c r="AU132" s="121"/>
      <c r="AV132" s="121"/>
      <c r="AW132" s="121"/>
      <c r="AX132" s="121"/>
      <c r="AY132" s="121"/>
      <c r="AZ132" s="121"/>
      <c r="BA132" s="121"/>
      <c r="BB132" s="121"/>
      <c r="BC132" s="121"/>
      <c r="BD132" s="121"/>
      <c r="BE132" s="121"/>
      <c r="BF132" s="121"/>
      <c r="BG132" s="121"/>
      <c r="BH132" s="121"/>
      <c r="BI132" s="121"/>
      <c r="BJ132" s="122"/>
      <c r="BK132" s="93"/>
      <c r="BL132" s="94"/>
      <c r="BM132" s="95"/>
      <c r="BN132" s="179" t="str">
        <f t="shared" si="5"/>
        <v/>
      </c>
      <c r="BO132" s="177"/>
      <c r="BP132" s="14"/>
      <c r="BQ132" s="14"/>
      <c r="BR132" s="14"/>
      <c r="BS132" s="14"/>
      <c r="BT132" s="14"/>
      <c r="BU132" s="14"/>
      <c r="BV132" s="16"/>
      <c r="BW132" s="14"/>
      <c r="BX132" s="14"/>
      <c r="BY132" s="14"/>
      <c r="BZ132" s="14"/>
      <c r="CA132" s="14"/>
      <c r="CB132" s="14"/>
      <c r="CC132" s="14"/>
      <c r="CD132" s="14"/>
      <c r="CE132" s="14"/>
      <c r="CF132" s="14"/>
      <c r="CG132" s="14"/>
      <c r="CH132" s="14"/>
      <c r="CI132" s="14"/>
      <c r="CJ132" s="14"/>
      <c r="CK132" s="14"/>
      <c r="CL132" s="14"/>
      <c r="CM132" s="14"/>
      <c r="CN132" s="14"/>
      <c r="CO132" s="14"/>
      <c r="CP132" s="14"/>
      <c r="CQ132" s="14"/>
      <c r="CR132" s="14"/>
      <c r="CS132" s="14"/>
      <c r="CT132" s="14"/>
      <c r="CU132" s="14"/>
      <c r="CV132" s="14"/>
      <c r="CW132" s="14"/>
      <c r="CX132" s="14"/>
      <c r="CY132" s="14"/>
      <c r="CZ132" s="14"/>
      <c r="DA132" s="14"/>
      <c r="DB132" s="14"/>
      <c r="DC132" s="14"/>
      <c r="DD132" s="14"/>
      <c r="DE132" s="14"/>
      <c r="DF132" s="14"/>
      <c r="DG132" s="14"/>
      <c r="DH132" s="14"/>
      <c r="DI132" s="14"/>
      <c r="DJ132" s="14"/>
      <c r="DK132" s="14"/>
      <c r="DL132" s="14"/>
      <c r="DM132" s="14"/>
      <c r="DN132" s="14"/>
      <c r="DO132" s="14"/>
      <c r="DP132" s="26"/>
      <c r="DQ132" s="27"/>
      <c r="DR132" s="129"/>
      <c r="DS132" s="130">
        <f>TCP(BO132:DQ132,$BO$9:$DQ$9,data!$H$8)</f>
        <v>0</v>
      </c>
      <c r="DT132" s="135"/>
      <c r="DU132" s="121"/>
      <c r="DV132" s="121"/>
      <c r="DW132" s="134"/>
      <c r="DX132" s="132"/>
      <c r="DY132" s="136"/>
      <c r="DZ132" s="21"/>
      <c r="EA132" s="18"/>
      <c r="EB132" s="4"/>
      <c r="EI132" s="23"/>
      <c r="EJ132" s="23"/>
    </row>
    <row r="133" spans="1:140" s="191" customFormat="1" ht="15.75" x14ac:dyDescent="0.25">
      <c r="A133" s="12"/>
      <c r="B133" s="16"/>
      <c r="C133" s="24" t="str">
        <f t="shared" si="4"/>
        <v xml:space="preserve"> </v>
      </c>
      <c r="D133" s="25"/>
      <c r="E133" s="20"/>
      <c r="F133" s="19"/>
      <c r="G133" s="180"/>
      <c r="H133" s="120"/>
      <c r="I133" s="121"/>
      <c r="J133" s="121"/>
      <c r="K133" s="121"/>
      <c r="L133" s="121"/>
      <c r="M133" s="121"/>
      <c r="N133" s="121"/>
      <c r="O133" s="121"/>
      <c r="P133" s="121"/>
      <c r="Q133" s="121"/>
      <c r="R133" s="121"/>
      <c r="S133" s="121"/>
      <c r="T133" s="121"/>
      <c r="U133" s="121"/>
      <c r="V133" s="121"/>
      <c r="W133" s="121"/>
      <c r="X133" s="121"/>
      <c r="Y133" s="121"/>
      <c r="Z133" s="121"/>
      <c r="AA133" s="121"/>
      <c r="AB133" s="121"/>
      <c r="AC133" s="121"/>
      <c r="AD133" s="121"/>
      <c r="AE133" s="121"/>
      <c r="AF133" s="121"/>
      <c r="AG133" s="121"/>
      <c r="AH133" s="121"/>
      <c r="AI133" s="121"/>
      <c r="AJ133" s="121"/>
      <c r="AK133" s="121"/>
      <c r="AL133" s="121"/>
      <c r="AM133" s="121"/>
      <c r="AN133" s="121"/>
      <c r="AO133" s="121"/>
      <c r="AP133" s="121"/>
      <c r="AQ133" s="121"/>
      <c r="AR133" s="121"/>
      <c r="AS133" s="121"/>
      <c r="AT133" s="121"/>
      <c r="AU133" s="121"/>
      <c r="AV133" s="121"/>
      <c r="AW133" s="121"/>
      <c r="AX133" s="121"/>
      <c r="AY133" s="121"/>
      <c r="AZ133" s="121"/>
      <c r="BA133" s="121"/>
      <c r="BB133" s="121"/>
      <c r="BC133" s="121"/>
      <c r="BD133" s="121"/>
      <c r="BE133" s="121"/>
      <c r="BF133" s="121"/>
      <c r="BG133" s="121"/>
      <c r="BH133" s="121"/>
      <c r="BI133" s="121"/>
      <c r="BJ133" s="122"/>
      <c r="BK133" s="93"/>
      <c r="BL133" s="94"/>
      <c r="BM133" s="95"/>
      <c r="BN133" s="179" t="str">
        <f t="shared" si="5"/>
        <v/>
      </c>
      <c r="BO133" s="177"/>
      <c r="BP133" s="14"/>
      <c r="BQ133" s="14"/>
      <c r="BR133" s="14"/>
      <c r="BS133" s="14"/>
      <c r="BT133" s="14"/>
      <c r="BU133" s="14"/>
      <c r="BV133" s="16"/>
      <c r="BW133" s="14"/>
      <c r="BX133" s="14"/>
      <c r="BY133" s="14"/>
      <c r="BZ133" s="14"/>
      <c r="CA133" s="14"/>
      <c r="CB133" s="14"/>
      <c r="CC133" s="14"/>
      <c r="CD133" s="14"/>
      <c r="CE133" s="14"/>
      <c r="CF133" s="14"/>
      <c r="CG133" s="14"/>
      <c r="CH133" s="14"/>
      <c r="CI133" s="14"/>
      <c r="CJ133" s="14"/>
      <c r="CK133" s="14"/>
      <c r="CL133" s="14"/>
      <c r="CM133" s="14"/>
      <c r="CN133" s="14"/>
      <c r="CO133" s="14"/>
      <c r="CP133" s="14"/>
      <c r="CQ133" s="14"/>
      <c r="CR133" s="14"/>
      <c r="CS133" s="14"/>
      <c r="CT133" s="14"/>
      <c r="CU133" s="14"/>
      <c r="CV133" s="14"/>
      <c r="CW133" s="14"/>
      <c r="CX133" s="14"/>
      <c r="CY133" s="14"/>
      <c r="CZ133" s="14"/>
      <c r="DA133" s="14"/>
      <c r="DB133" s="14"/>
      <c r="DC133" s="14"/>
      <c r="DD133" s="14"/>
      <c r="DE133" s="14"/>
      <c r="DF133" s="14"/>
      <c r="DG133" s="14"/>
      <c r="DH133" s="14"/>
      <c r="DI133" s="14"/>
      <c r="DJ133" s="14"/>
      <c r="DK133" s="14"/>
      <c r="DL133" s="14"/>
      <c r="DM133" s="14"/>
      <c r="DN133" s="14"/>
      <c r="DO133" s="14"/>
      <c r="DP133" s="26"/>
      <c r="DQ133" s="27"/>
      <c r="DR133" s="129"/>
      <c r="DS133" s="130">
        <f>TCP(BO133:DQ133,$BO$9:$DQ$9,data!$H$8)</f>
        <v>0</v>
      </c>
      <c r="DT133" s="135"/>
      <c r="DU133" s="121"/>
      <c r="DV133" s="121"/>
      <c r="DW133" s="134"/>
      <c r="DX133" s="132"/>
      <c r="DY133" s="136"/>
      <c r="DZ133" s="21"/>
      <c r="EA133" s="18"/>
      <c r="EB133" s="4"/>
      <c r="EI133" s="23"/>
      <c r="EJ133" s="23"/>
    </row>
    <row r="134" spans="1:140" s="191" customFormat="1" ht="15.75" x14ac:dyDescent="0.25">
      <c r="A134" s="12"/>
      <c r="B134" s="16"/>
      <c r="C134" s="24" t="str">
        <f t="shared" si="4"/>
        <v xml:space="preserve"> </v>
      </c>
      <c r="D134" s="25"/>
      <c r="E134" s="20"/>
      <c r="F134" s="19"/>
      <c r="G134" s="180"/>
      <c r="H134" s="120"/>
      <c r="I134" s="121"/>
      <c r="J134" s="121"/>
      <c r="K134" s="121"/>
      <c r="L134" s="121"/>
      <c r="M134" s="121"/>
      <c r="N134" s="121"/>
      <c r="O134" s="121"/>
      <c r="P134" s="121"/>
      <c r="Q134" s="121"/>
      <c r="R134" s="121"/>
      <c r="S134" s="121"/>
      <c r="T134" s="121"/>
      <c r="U134" s="121"/>
      <c r="V134" s="121"/>
      <c r="W134" s="121"/>
      <c r="X134" s="121"/>
      <c r="Y134" s="121"/>
      <c r="Z134" s="121"/>
      <c r="AA134" s="121"/>
      <c r="AB134" s="121"/>
      <c r="AC134" s="121"/>
      <c r="AD134" s="121"/>
      <c r="AE134" s="121"/>
      <c r="AF134" s="121"/>
      <c r="AG134" s="121"/>
      <c r="AH134" s="121"/>
      <c r="AI134" s="121"/>
      <c r="AJ134" s="121"/>
      <c r="AK134" s="121"/>
      <c r="AL134" s="121"/>
      <c r="AM134" s="121"/>
      <c r="AN134" s="121"/>
      <c r="AO134" s="121"/>
      <c r="AP134" s="121"/>
      <c r="AQ134" s="121"/>
      <c r="AR134" s="121"/>
      <c r="AS134" s="121"/>
      <c r="AT134" s="121"/>
      <c r="AU134" s="121"/>
      <c r="AV134" s="121"/>
      <c r="AW134" s="121"/>
      <c r="AX134" s="121"/>
      <c r="AY134" s="121"/>
      <c r="AZ134" s="121"/>
      <c r="BA134" s="121"/>
      <c r="BB134" s="121"/>
      <c r="BC134" s="121"/>
      <c r="BD134" s="121"/>
      <c r="BE134" s="121"/>
      <c r="BF134" s="121"/>
      <c r="BG134" s="121"/>
      <c r="BH134" s="121"/>
      <c r="BI134" s="121"/>
      <c r="BJ134" s="122"/>
      <c r="BK134" s="93"/>
      <c r="BL134" s="94"/>
      <c r="BM134" s="95"/>
      <c r="BN134" s="179" t="str">
        <f t="shared" si="5"/>
        <v/>
      </c>
      <c r="BO134" s="177"/>
      <c r="BP134" s="14"/>
      <c r="BQ134" s="14"/>
      <c r="BR134" s="14"/>
      <c r="BS134" s="14"/>
      <c r="BT134" s="14"/>
      <c r="BU134" s="14"/>
      <c r="BV134" s="16"/>
      <c r="BW134" s="14"/>
      <c r="BX134" s="14"/>
      <c r="BY134" s="14"/>
      <c r="BZ134" s="14"/>
      <c r="CA134" s="14"/>
      <c r="CB134" s="14"/>
      <c r="CC134" s="14"/>
      <c r="CD134" s="14"/>
      <c r="CE134" s="14"/>
      <c r="CF134" s="14"/>
      <c r="CG134" s="14"/>
      <c r="CH134" s="14"/>
      <c r="CI134" s="14"/>
      <c r="CJ134" s="14"/>
      <c r="CK134" s="14"/>
      <c r="CL134" s="14"/>
      <c r="CM134" s="14"/>
      <c r="CN134" s="14"/>
      <c r="CO134" s="14"/>
      <c r="CP134" s="14"/>
      <c r="CQ134" s="14"/>
      <c r="CR134" s="14"/>
      <c r="CS134" s="14"/>
      <c r="CT134" s="14"/>
      <c r="CU134" s="14"/>
      <c r="CV134" s="14"/>
      <c r="CW134" s="14"/>
      <c r="CX134" s="14"/>
      <c r="CY134" s="14"/>
      <c r="CZ134" s="14"/>
      <c r="DA134" s="14"/>
      <c r="DB134" s="14"/>
      <c r="DC134" s="14"/>
      <c r="DD134" s="14"/>
      <c r="DE134" s="14"/>
      <c r="DF134" s="14"/>
      <c r="DG134" s="14"/>
      <c r="DH134" s="14"/>
      <c r="DI134" s="14"/>
      <c r="DJ134" s="14"/>
      <c r="DK134" s="14"/>
      <c r="DL134" s="14"/>
      <c r="DM134" s="14"/>
      <c r="DN134" s="14"/>
      <c r="DO134" s="14"/>
      <c r="DP134" s="26"/>
      <c r="DQ134" s="27"/>
      <c r="DR134" s="129"/>
      <c r="DS134" s="130">
        <f>TCP(BO134:DQ134,$BO$9:$DQ$9,data!$H$8)</f>
        <v>0</v>
      </c>
      <c r="DT134" s="135"/>
      <c r="DU134" s="121"/>
      <c r="DV134" s="121"/>
      <c r="DW134" s="134"/>
      <c r="DX134" s="132"/>
      <c r="DY134" s="136"/>
      <c r="DZ134" s="21"/>
      <c r="EA134" s="18"/>
      <c r="EB134" s="4"/>
      <c r="EI134" s="23"/>
      <c r="EJ134" s="23"/>
    </row>
    <row r="135" spans="1:140" s="191" customFormat="1" ht="15.75" x14ac:dyDescent="0.25">
      <c r="A135" s="12"/>
      <c r="B135" s="16"/>
      <c r="C135" s="24" t="str">
        <f t="shared" si="4"/>
        <v xml:space="preserve"> </v>
      </c>
      <c r="D135" s="25"/>
      <c r="E135" s="20"/>
      <c r="F135" s="19"/>
      <c r="G135" s="180"/>
      <c r="H135" s="120"/>
      <c r="I135" s="121"/>
      <c r="J135" s="121"/>
      <c r="K135" s="121"/>
      <c r="L135" s="121"/>
      <c r="M135" s="121"/>
      <c r="N135" s="121"/>
      <c r="O135" s="121"/>
      <c r="P135" s="121"/>
      <c r="Q135" s="121"/>
      <c r="R135" s="121"/>
      <c r="S135" s="121"/>
      <c r="T135" s="121"/>
      <c r="U135" s="121"/>
      <c r="V135" s="121"/>
      <c r="W135" s="121"/>
      <c r="X135" s="121"/>
      <c r="Y135" s="121"/>
      <c r="Z135" s="121"/>
      <c r="AA135" s="121"/>
      <c r="AB135" s="121"/>
      <c r="AC135" s="121"/>
      <c r="AD135" s="121"/>
      <c r="AE135" s="121"/>
      <c r="AF135" s="121"/>
      <c r="AG135" s="121"/>
      <c r="AH135" s="121"/>
      <c r="AI135" s="121"/>
      <c r="AJ135" s="121"/>
      <c r="AK135" s="121"/>
      <c r="AL135" s="121"/>
      <c r="AM135" s="121"/>
      <c r="AN135" s="121"/>
      <c r="AO135" s="121"/>
      <c r="AP135" s="121"/>
      <c r="AQ135" s="121"/>
      <c r="AR135" s="121"/>
      <c r="AS135" s="121"/>
      <c r="AT135" s="121"/>
      <c r="AU135" s="121"/>
      <c r="AV135" s="121"/>
      <c r="AW135" s="121"/>
      <c r="AX135" s="121"/>
      <c r="AY135" s="121"/>
      <c r="AZ135" s="121"/>
      <c r="BA135" s="121"/>
      <c r="BB135" s="121"/>
      <c r="BC135" s="121"/>
      <c r="BD135" s="121"/>
      <c r="BE135" s="121"/>
      <c r="BF135" s="121"/>
      <c r="BG135" s="121"/>
      <c r="BH135" s="121"/>
      <c r="BI135" s="121"/>
      <c r="BJ135" s="122"/>
      <c r="BK135" s="93"/>
      <c r="BL135" s="94"/>
      <c r="BM135" s="95"/>
      <c r="BN135" s="179" t="str">
        <f t="shared" si="5"/>
        <v/>
      </c>
      <c r="BO135" s="177"/>
      <c r="BP135" s="14"/>
      <c r="BQ135" s="14"/>
      <c r="BR135" s="14"/>
      <c r="BS135" s="14"/>
      <c r="BT135" s="14"/>
      <c r="BU135" s="14"/>
      <c r="BV135" s="16"/>
      <c r="BW135" s="14"/>
      <c r="BX135" s="14"/>
      <c r="BY135" s="14"/>
      <c r="BZ135" s="14"/>
      <c r="CA135" s="14"/>
      <c r="CB135" s="14"/>
      <c r="CC135" s="14"/>
      <c r="CD135" s="14"/>
      <c r="CE135" s="14"/>
      <c r="CF135" s="14"/>
      <c r="CG135" s="14"/>
      <c r="CH135" s="14"/>
      <c r="CI135" s="14"/>
      <c r="CJ135" s="14"/>
      <c r="CK135" s="14"/>
      <c r="CL135" s="14"/>
      <c r="CM135" s="14"/>
      <c r="CN135" s="14"/>
      <c r="CO135" s="14"/>
      <c r="CP135" s="14"/>
      <c r="CQ135" s="14"/>
      <c r="CR135" s="14"/>
      <c r="CS135" s="14"/>
      <c r="CT135" s="14"/>
      <c r="CU135" s="14"/>
      <c r="CV135" s="14"/>
      <c r="CW135" s="14"/>
      <c r="CX135" s="14"/>
      <c r="CY135" s="14"/>
      <c r="CZ135" s="14"/>
      <c r="DA135" s="14"/>
      <c r="DB135" s="14"/>
      <c r="DC135" s="14"/>
      <c r="DD135" s="14"/>
      <c r="DE135" s="14"/>
      <c r="DF135" s="14"/>
      <c r="DG135" s="14"/>
      <c r="DH135" s="14"/>
      <c r="DI135" s="14"/>
      <c r="DJ135" s="14"/>
      <c r="DK135" s="14"/>
      <c r="DL135" s="14"/>
      <c r="DM135" s="14"/>
      <c r="DN135" s="14"/>
      <c r="DO135" s="14"/>
      <c r="DP135" s="26"/>
      <c r="DQ135" s="27"/>
      <c r="DR135" s="129"/>
      <c r="DS135" s="130">
        <f>TCP(BO135:DQ135,$BO$9:$DQ$9,data!$H$8)</f>
        <v>0</v>
      </c>
      <c r="DT135" s="135"/>
      <c r="DU135" s="121"/>
      <c r="DV135" s="121"/>
      <c r="DW135" s="134"/>
      <c r="DX135" s="132"/>
      <c r="DY135" s="136"/>
      <c r="DZ135" s="21"/>
      <c r="EA135" s="18"/>
      <c r="EB135" s="4"/>
      <c r="EI135" s="23"/>
      <c r="EJ135" s="23"/>
    </row>
    <row r="136" spans="1:140" s="191" customFormat="1" ht="15.75" x14ac:dyDescent="0.25">
      <c r="A136" s="12"/>
      <c r="B136" s="16"/>
      <c r="C136" s="24" t="str">
        <f t="shared" si="4"/>
        <v xml:space="preserve"> </v>
      </c>
      <c r="D136" s="25"/>
      <c r="E136" s="20"/>
      <c r="F136" s="19"/>
      <c r="G136" s="180"/>
      <c r="H136" s="120"/>
      <c r="I136" s="121"/>
      <c r="J136" s="121"/>
      <c r="K136" s="121"/>
      <c r="L136" s="121"/>
      <c r="M136" s="121"/>
      <c r="N136" s="121"/>
      <c r="O136" s="121"/>
      <c r="P136" s="121"/>
      <c r="Q136" s="121"/>
      <c r="R136" s="121"/>
      <c r="S136" s="121"/>
      <c r="T136" s="121"/>
      <c r="U136" s="121"/>
      <c r="V136" s="121"/>
      <c r="W136" s="121"/>
      <c r="X136" s="121"/>
      <c r="Y136" s="121"/>
      <c r="Z136" s="121"/>
      <c r="AA136" s="121"/>
      <c r="AB136" s="121"/>
      <c r="AC136" s="121"/>
      <c r="AD136" s="121"/>
      <c r="AE136" s="121"/>
      <c r="AF136" s="121"/>
      <c r="AG136" s="121"/>
      <c r="AH136" s="121"/>
      <c r="AI136" s="121"/>
      <c r="AJ136" s="121"/>
      <c r="AK136" s="121"/>
      <c r="AL136" s="121"/>
      <c r="AM136" s="121"/>
      <c r="AN136" s="121"/>
      <c r="AO136" s="121"/>
      <c r="AP136" s="121"/>
      <c r="AQ136" s="121"/>
      <c r="AR136" s="121"/>
      <c r="AS136" s="121"/>
      <c r="AT136" s="121"/>
      <c r="AU136" s="121"/>
      <c r="AV136" s="121"/>
      <c r="AW136" s="121"/>
      <c r="AX136" s="121"/>
      <c r="AY136" s="121"/>
      <c r="AZ136" s="121"/>
      <c r="BA136" s="121"/>
      <c r="BB136" s="121"/>
      <c r="BC136" s="121"/>
      <c r="BD136" s="121"/>
      <c r="BE136" s="121"/>
      <c r="BF136" s="121"/>
      <c r="BG136" s="121"/>
      <c r="BH136" s="121"/>
      <c r="BI136" s="121"/>
      <c r="BJ136" s="122"/>
      <c r="BK136" s="93"/>
      <c r="BL136" s="94"/>
      <c r="BM136" s="95"/>
      <c r="BN136" s="179" t="str">
        <f t="shared" si="5"/>
        <v/>
      </c>
      <c r="BO136" s="177"/>
      <c r="BP136" s="14"/>
      <c r="BQ136" s="14"/>
      <c r="BR136" s="14"/>
      <c r="BS136" s="14"/>
      <c r="BT136" s="14"/>
      <c r="BU136" s="14"/>
      <c r="BV136" s="16"/>
      <c r="BW136" s="14"/>
      <c r="BX136" s="14"/>
      <c r="BY136" s="14"/>
      <c r="BZ136" s="14"/>
      <c r="CA136" s="14"/>
      <c r="CB136" s="14"/>
      <c r="CC136" s="14"/>
      <c r="CD136" s="14"/>
      <c r="CE136" s="14"/>
      <c r="CF136" s="14"/>
      <c r="CG136" s="14"/>
      <c r="CH136" s="14"/>
      <c r="CI136" s="14"/>
      <c r="CJ136" s="14"/>
      <c r="CK136" s="14"/>
      <c r="CL136" s="14"/>
      <c r="CM136" s="14"/>
      <c r="CN136" s="14"/>
      <c r="CO136" s="14"/>
      <c r="CP136" s="14"/>
      <c r="CQ136" s="14"/>
      <c r="CR136" s="14"/>
      <c r="CS136" s="14"/>
      <c r="CT136" s="14"/>
      <c r="CU136" s="14"/>
      <c r="CV136" s="14"/>
      <c r="CW136" s="14"/>
      <c r="CX136" s="14"/>
      <c r="CY136" s="14"/>
      <c r="CZ136" s="14"/>
      <c r="DA136" s="14"/>
      <c r="DB136" s="14"/>
      <c r="DC136" s="14"/>
      <c r="DD136" s="14"/>
      <c r="DE136" s="14"/>
      <c r="DF136" s="14"/>
      <c r="DG136" s="14"/>
      <c r="DH136" s="14"/>
      <c r="DI136" s="14"/>
      <c r="DJ136" s="14"/>
      <c r="DK136" s="14"/>
      <c r="DL136" s="14"/>
      <c r="DM136" s="14"/>
      <c r="DN136" s="14"/>
      <c r="DO136" s="14"/>
      <c r="DP136" s="26"/>
      <c r="DQ136" s="27"/>
      <c r="DR136" s="129"/>
      <c r="DS136" s="130">
        <f>TCP(BO136:DQ136,$BO$9:$DQ$9,data!$H$8)</f>
        <v>0</v>
      </c>
      <c r="DT136" s="135"/>
      <c r="DU136" s="121"/>
      <c r="DV136" s="121"/>
      <c r="DW136" s="134"/>
      <c r="DX136" s="132"/>
      <c r="DY136" s="136"/>
      <c r="DZ136" s="21"/>
      <c r="EA136" s="18"/>
      <c r="EB136" s="4"/>
      <c r="EI136" s="23"/>
      <c r="EJ136" s="23"/>
    </row>
    <row r="137" spans="1:140" s="191" customFormat="1" ht="15.75" x14ac:dyDescent="0.25">
      <c r="A137" s="12"/>
      <c r="B137" s="16"/>
      <c r="C137" s="24" t="str">
        <f t="shared" si="4"/>
        <v xml:space="preserve"> </v>
      </c>
      <c r="D137" s="25"/>
      <c r="E137" s="20"/>
      <c r="F137" s="19"/>
      <c r="G137" s="180"/>
      <c r="H137" s="120"/>
      <c r="I137" s="121"/>
      <c r="J137" s="121"/>
      <c r="K137" s="121"/>
      <c r="L137" s="121"/>
      <c r="M137" s="121"/>
      <c r="N137" s="121"/>
      <c r="O137" s="121"/>
      <c r="P137" s="121"/>
      <c r="Q137" s="121"/>
      <c r="R137" s="121"/>
      <c r="S137" s="121"/>
      <c r="T137" s="121"/>
      <c r="U137" s="121"/>
      <c r="V137" s="121"/>
      <c r="W137" s="121"/>
      <c r="X137" s="121"/>
      <c r="Y137" s="121"/>
      <c r="Z137" s="121"/>
      <c r="AA137" s="121"/>
      <c r="AB137" s="121"/>
      <c r="AC137" s="121"/>
      <c r="AD137" s="121"/>
      <c r="AE137" s="121"/>
      <c r="AF137" s="121"/>
      <c r="AG137" s="121"/>
      <c r="AH137" s="121"/>
      <c r="AI137" s="121"/>
      <c r="AJ137" s="121"/>
      <c r="AK137" s="121"/>
      <c r="AL137" s="121"/>
      <c r="AM137" s="121"/>
      <c r="AN137" s="121"/>
      <c r="AO137" s="121"/>
      <c r="AP137" s="121"/>
      <c r="AQ137" s="121"/>
      <c r="AR137" s="121"/>
      <c r="AS137" s="121"/>
      <c r="AT137" s="121"/>
      <c r="AU137" s="121"/>
      <c r="AV137" s="121"/>
      <c r="AW137" s="121"/>
      <c r="AX137" s="121"/>
      <c r="AY137" s="121"/>
      <c r="AZ137" s="121"/>
      <c r="BA137" s="121"/>
      <c r="BB137" s="121"/>
      <c r="BC137" s="121"/>
      <c r="BD137" s="121"/>
      <c r="BE137" s="121"/>
      <c r="BF137" s="121"/>
      <c r="BG137" s="121"/>
      <c r="BH137" s="121"/>
      <c r="BI137" s="121"/>
      <c r="BJ137" s="122"/>
      <c r="BK137" s="93"/>
      <c r="BL137" s="94"/>
      <c r="BM137" s="95"/>
      <c r="BN137" s="179" t="str">
        <f t="shared" si="5"/>
        <v/>
      </c>
      <c r="BO137" s="177"/>
      <c r="BP137" s="14"/>
      <c r="BQ137" s="14"/>
      <c r="BR137" s="14"/>
      <c r="BS137" s="14"/>
      <c r="BT137" s="14"/>
      <c r="BU137" s="14"/>
      <c r="BV137" s="16"/>
      <c r="BW137" s="14"/>
      <c r="BX137" s="14"/>
      <c r="BY137" s="14"/>
      <c r="BZ137" s="14"/>
      <c r="CA137" s="14"/>
      <c r="CB137" s="14"/>
      <c r="CC137" s="14"/>
      <c r="CD137" s="14"/>
      <c r="CE137" s="14"/>
      <c r="CF137" s="14"/>
      <c r="CG137" s="14"/>
      <c r="CH137" s="14"/>
      <c r="CI137" s="14"/>
      <c r="CJ137" s="14"/>
      <c r="CK137" s="14"/>
      <c r="CL137" s="14"/>
      <c r="CM137" s="14"/>
      <c r="CN137" s="14"/>
      <c r="CO137" s="14"/>
      <c r="CP137" s="14"/>
      <c r="CQ137" s="14"/>
      <c r="CR137" s="14"/>
      <c r="CS137" s="14"/>
      <c r="CT137" s="14"/>
      <c r="CU137" s="14"/>
      <c r="CV137" s="14"/>
      <c r="CW137" s="14"/>
      <c r="CX137" s="14"/>
      <c r="CY137" s="14"/>
      <c r="CZ137" s="14"/>
      <c r="DA137" s="14"/>
      <c r="DB137" s="14"/>
      <c r="DC137" s="14"/>
      <c r="DD137" s="14"/>
      <c r="DE137" s="14"/>
      <c r="DF137" s="14"/>
      <c r="DG137" s="14"/>
      <c r="DH137" s="14"/>
      <c r="DI137" s="14"/>
      <c r="DJ137" s="14"/>
      <c r="DK137" s="14"/>
      <c r="DL137" s="14"/>
      <c r="DM137" s="14"/>
      <c r="DN137" s="14"/>
      <c r="DO137" s="14"/>
      <c r="DP137" s="26"/>
      <c r="DQ137" s="27"/>
      <c r="DR137" s="129"/>
      <c r="DS137" s="130">
        <f>TCP(BO137:DQ137,$BO$9:$DQ$9,data!$H$8)</f>
        <v>0</v>
      </c>
      <c r="DT137" s="135"/>
      <c r="DU137" s="121"/>
      <c r="DV137" s="121"/>
      <c r="DW137" s="134"/>
      <c r="DX137" s="132"/>
      <c r="DY137" s="136"/>
      <c r="DZ137" s="21"/>
      <c r="EA137" s="18"/>
      <c r="EB137" s="4"/>
      <c r="EI137" s="23"/>
      <c r="EJ137" s="23"/>
    </row>
    <row r="138" spans="1:140" s="191" customFormat="1" ht="15.75" x14ac:dyDescent="0.25">
      <c r="A138" s="12"/>
      <c r="B138" s="16"/>
      <c r="C138" s="24" t="str">
        <f t="shared" si="4"/>
        <v xml:space="preserve"> </v>
      </c>
      <c r="D138" s="25"/>
      <c r="E138" s="20"/>
      <c r="F138" s="19"/>
      <c r="G138" s="180"/>
      <c r="H138" s="120"/>
      <c r="I138" s="121"/>
      <c r="J138" s="121"/>
      <c r="K138" s="121"/>
      <c r="L138" s="121"/>
      <c r="M138" s="121"/>
      <c r="N138" s="121"/>
      <c r="O138" s="121"/>
      <c r="P138" s="121"/>
      <c r="Q138" s="121"/>
      <c r="R138" s="121"/>
      <c r="S138" s="121"/>
      <c r="T138" s="121"/>
      <c r="U138" s="121"/>
      <c r="V138" s="121"/>
      <c r="W138" s="121"/>
      <c r="X138" s="121"/>
      <c r="Y138" s="121"/>
      <c r="Z138" s="121"/>
      <c r="AA138" s="121"/>
      <c r="AB138" s="121"/>
      <c r="AC138" s="121"/>
      <c r="AD138" s="121"/>
      <c r="AE138" s="121"/>
      <c r="AF138" s="121"/>
      <c r="AG138" s="121"/>
      <c r="AH138" s="121"/>
      <c r="AI138" s="121"/>
      <c r="AJ138" s="121"/>
      <c r="AK138" s="121"/>
      <c r="AL138" s="121"/>
      <c r="AM138" s="121"/>
      <c r="AN138" s="121"/>
      <c r="AO138" s="121"/>
      <c r="AP138" s="121"/>
      <c r="AQ138" s="121"/>
      <c r="AR138" s="121"/>
      <c r="AS138" s="121"/>
      <c r="AT138" s="121"/>
      <c r="AU138" s="121"/>
      <c r="AV138" s="121"/>
      <c r="AW138" s="121"/>
      <c r="AX138" s="121"/>
      <c r="AY138" s="121"/>
      <c r="AZ138" s="121"/>
      <c r="BA138" s="121"/>
      <c r="BB138" s="121"/>
      <c r="BC138" s="121"/>
      <c r="BD138" s="121"/>
      <c r="BE138" s="121"/>
      <c r="BF138" s="121"/>
      <c r="BG138" s="121"/>
      <c r="BH138" s="121"/>
      <c r="BI138" s="121"/>
      <c r="BJ138" s="122"/>
      <c r="BK138" s="93"/>
      <c r="BL138" s="94"/>
      <c r="BM138" s="95"/>
      <c r="BN138" s="179" t="str">
        <f t="shared" si="5"/>
        <v/>
      </c>
      <c r="BO138" s="177"/>
      <c r="BP138" s="14"/>
      <c r="BQ138" s="14"/>
      <c r="BR138" s="14"/>
      <c r="BS138" s="14"/>
      <c r="BT138" s="14"/>
      <c r="BU138" s="14"/>
      <c r="BV138" s="16"/>
      <c r="BW138" s="14"/>
      <c r="BX138" s="14"/>
      <c r="BY138" s="14"/>
      <c r="BZ138" s="14"/>
      <c r="CA138" s="14"/>
      <c r="CB138" s="14"/>
      <c r="CC138" s="14"/>
      <c r="CD138" s="14"/>
      <c r="CE138" s="14"/>
      <c r="CF138" s="14"/>
      <c r="CG138" s="14"/>
      <c r="CH138" s="14"/>
      <c r="CI138" s="14"/>
      <c r="CJ138" s="14"/>
      <c r="CK138" s="14"/>
      <c r="CL138" s="14"/>
      <c r="CM138" s="14"/>
      <c r="CN138" s="14"/>
      <c r="CO138" s="14"/>
      <c r="CP138" s="14"/>
      <c r="CQ138" s="14"/>
      <c r="CR138" s="14"/>
      <c r="CS138" s="14"/>
      <c r="CT138" s="14"/>
      <c r="CU138" s="14"/>
      <c r="CV138" s="14"/>
      <c r="CW138" s="14"/>
      <c r="CX138" s="14"/>
      <c r="CY138" s="14"/>
      <c r="CZ138" s="14"/>
      <c r="DA138" s="14"/>
      <c r="DB138" s="14"/>
      <c r="DC138" s="14"/>
      <c r="DD138" s="14"/>
      <c r="DE138" s="14"/>
      <c r="DF138" s="14"/>
      <c r="DG138" s="14"/>
      <c r="DH138" s="14"/>
      <c r="DI138" s="14"/>
      <c r="DJ138" s="14"/>
      <c r="DK138" s="14"/>
      <c r="DL138" s="14"/>
      <c r="DM138" s="14"/>
      <c r="DN138" s="14"/>
      <c r="DO138" s="14"/>
      <c r="DP138" s="26"/>
      <c r="DQ138" s="27"/>
      <c r="DR138" s="129"/>
      <c r="DS138" s="130">
        <f>TCP(BO138:DQ138,$BO$9:$DQ$9,data!$H$8)</f>
        <v>0</v>
      </c>
      <c r="DT138" s="135"/>
      <c r="DU138" s="121"/>
      <c r="DV138" s="121"/>
      <c r="DW138" s="134"/>
      <c r="DX138" s="132"/>
      <c r="DY138" s="136"/>
      <c r="DZ138" s="21"/>
      <c r="EA138" s="18"/>
      <c r="EB138" s="4"/>
      <c r="EI138" s="23"/>
      <c r="EJ138" s="23"/>
    </row>
    <row r="139" spans="1:140" s="191" customFormat="1" ht="15.75" x14ac:dyDescent="0.25">
      <c r="A139" s="12"/>
      <c r="B139" s="16"/>
      <c r="C139" s="24" t="str">
        <f t="shared" si="4"/>
        <v xml:space="preserve"> </v>
      </c>
      <c r="D139" s="25"/>
      <c r="E139" s="20"/>
      <c r="F139" s="19"/>
      <c r="G139" s="180"/>
      <c r="H139" s="120"/>
      <c r="I139" s="121"/>
      <c r="J139" s="121"/>
      <c r="K139" s="121"/>
      <c r="L139" s="121"/>
      <c r="M139" s="121"/>
      <c r="N139" s="121"/>
      <c r="O139" s="121"/>
      <c r="P139" s="121"/>
      <c r="Q139" s="121"/>
      <c r="R139" s="121"/>
      <c r="S139" s="121"/>
      <c r="T139" s="121"/>
      <c r="U139" s="121"/>
      <c r="V139" s="121"/>
      <c r="W139" s="121"/>
      <c r="X139" s="121"/>
      <c r="Y139" s="121"/>
      <c r="Z139" s="121"/>
      <c r="AA139" s="121"/>
      <c r="AB139" s="121"/>
      <c r="AC139" s="121"/>
      <c r="AD139" s="121"/>
      <c r="AE139" s="121"/>
      <c r="AF139" s="121"/>
      <c r="AG139" s="121"/>
      <c r="AH139" s="121"/>
      <c r="AI139" s="121"/>
      <c r="AJ139" s="121"/>
      <c r="AK139" s="121"/>
      <c r="AL139" s="121"/>
      <c r="AM139" s="121"/>
      <c r="AN139" s="121"/>
      <c r="AO139" s="121"/>
      <c r="AP139" s="121"/>
      <c r="AQ139" s="121"/>
      <c r="AR139" s="121"/>
      <c r="AS139" s="121"/>
      <c r="AT139" s="121"/>
      <c r="AU139" s="121"/>
      <c r="AV139" s="121"/>
      <c r="AW139" s="121"/>
      <c r="AX139" s="121"/>
      <c r="AY139" s="121"/>
      <c r="AZ139" s="121"/>
      <c r="BA139" s="121"/>
      <c r="BB139" s="121"/>
      <c r="BC139" s="121"/>
      <c r="BD139" s="121"/>
      <c r="BE139" s="121"/>
      <c r="BF139" s="121"/>
      <c r="BG139" s="121"/>
      <c r="BH139" s="121"/>
      <c r="BI139" s="121"/>
      <c r="BJ139" s="122"/>
      <c r="BK139" s="93"/>
      <c r="BL139" s="94"/>
      <c r="BM139" s="95"/>
      <c r="BN139" s="179" t="str">
        <f t="shared" si="5"/>
        <v/>
      </c>
      <c r="BO139" s="177"/>
      <c r="BP139" s="14"/>
      <c r="BQ139" s="14"/>
      <c r="BR139" s="14"/>
      <c r="BS139" s="14"/>
      <c r="BT139" s="14"/>
      <c r="BU139" s="14"/>
      <c r="BV139" s="16"/>
      <c r="BW139" s="14"/>
      <c r="BX139" s="14"/>
      <c r="BY139" s="14"/>
      <c r="BZ139" s="14"/>
      <c r="CA139" s="14"/>
      <c r="CB139" s="14"/>
      <c r="CC139" s="14"/>
      <c r="CD139" s="14"/>
      <c r="CE139" s="14"/>
      <c r="CF139" s="14"/>
      <c r="CG139" s="14"/>
      <c r="CH139" s="14"/>
      <c r="CI139" s="14"/>
      <c r="CJ139" s="14"/>
      <c r="CK139" s="14"/>
      <c r="CL139" s="14"/>
      <c r="CM139" s="14"/>
      <c r="CN139" s="14"/>
      <c r="CO139" s="14"/>
      <c r="CP139" s="14"/>
      <c r="CQ139" s="14"/>
      <c r="CR139" s="14"/>
      <c r="CS139" s="14"/>
      <c r="CT139" s="14"/>
      <c r="CU139" s="14"/>
      <c r="CV139" s="14"/>
      <c r="CW139" s="14"/>
      <c r="CX139" s="14"/>
      <c r="CY139" s="14"/>
      <c r="CZ139" s="14"/>
      <c r="DA139" s="14"/>
      <c r="DB139" s="14"/>
      <c r="DC139" s="14"/>
      <c r="DD139" s="14"/>
      <c r="DE139" s="14"/>
      <c r="DF139" s="14"/>
      <c r="DG139" s="14"/>
      <c r="DH139" s="14"/>
      <c r="DI139" s="14"/>
      <c r="DJ139" s="14"/>
      <c r="DK139" s="14"/>
      <c r="DL139" s="14"/>
      <c r="DM139" s="14"/>
      <c r="DN139" s="14"/>
      <c r="DO139" s="14"/>
      <c r="DP139" s="26"/>
      <c r="DQ139" s="27"/>
      <c r="DR139" s="129"/>
      <c r="DS139" s="130">
        <f>TCP(BO139:DQ139,$BO$9:$DQ$9,data!$H$8)</f>
        <v>0</v>
      </c>
      <c r="DT139" s="135"/>
      <c r="DU139" s="121"/>
      <c r="DV139" s="121"/>
      <c r="DW139" s="134"/>
      <c r="DX139" s="132"/>
      <c r="DY139" s="136"/>
      <c r="DZ139" s="21"/>
      <c r="EA139" s="18"/>
      <c r="EB139" s="4"/>
      <c r="EI139" s="23"/>
      <c r="EJ139" s="23"/>
    </row>
    <row r="140" spans="1:140" s="191" customFormat="1" ht="15.75" x14ac:dyDescent="0.25">
      <c r="A140" s="12"/>
      <c r="B140" s="16"/>
      <c r="C140" s="24" t="str">
        <f t="shared" ref="C140:C175" si="6">D140 &amp; " " &amp; E140</f>
        <v xml:space="preserve"> </v>
      </c>
      <c r="D140" s="25"/>
      <c r="E140" s="20"/>
      <c r="F140" s="19"/>
      <c r="G140" s="180"/>
      <c r="H140" s="120"/>
      <c r="I140" s="121"/>
      <c r="J140" s="121"/>
      <c r="K140" s="121"/>
      <c r="L140" s="121"/>
      <c r="M140" s="121"/>
      <c r="N140" s="121"/>
      <c r="O140" s="121"/>
      <c r="P140" s="121"/>
      <c r="Q140" s="121"/>
      <c r="R140" s="121"/>
      <c r="S140" s="121"/>
      <c r="T140" s="121"/>
      <c r="U140" s="121"/>
      <c r="V140" s="121"/>
      <c r="W140" s="121"/>
      <c r="X140" s="121"/>
      <c r="Y140" s="121"/>
      <c r="Z140" s="121"/>
      <c r="AA140" s="121"/>
      <c r="AB140" s="121"/>
      <c r="AC140" s="121"/>
      <c r="AD140" s="121"/>
      <c r="AE140" s="121"/>
      <c r="AF140" s="121"/>
      <c r="AG140" s="121"/>
      <c r="AH140" s="121"/>
      <c r="AI140" s="121"/>
      <c r="AJ140" s="121"/>
      <c r="AK140" s="121"/>
      <c r="AL140" s="121"/>
      <c r="AM140" s="121"/>
      <c r="AN140" s="121"/>
      <c r="AO140" s="121"/>
      <c r="AP140" s="121"/>
      <c r="AQ140" s="121"/>
      <c r="AR140" s="121"/>
      <c r="AS140" s="121"/>
      <c r="AT140" s="121"/>
      <c r="AU140" s="121"/>
      <c r="AV140" s="121"/>
      <c r="AW140" s="121"/>
      <c r="AX140" s="121"/>
      <c r="AY140" s="121"/>
      <c r="AZ140" s="121"/>
      <c r="BA140" s="121"/>
      <c r="BB140" s="121"/>
      <c r="BC140" s="121"/>
      <c r="BD140" s="121"/>
      <c r="BE140" s="121"/>
      <c r="BF140" s="121"/>
      <c r="BG140" s="121"/>
      <c r="BH140" s="121"/>
      <c r="BI140" s="121"/>
      <c r="BJ140" s="122"/>
      <c r="BK140" s="93"/>
      <c r="BL140" s="94"/>
      <c r="BM140" s="95"/>
      <c r="BN140" s="179" t="str">
        <f t="shared" si="5"/>
        <v/>
      </c>
      <c r="BO140" s="177"/>
      <c r="BP140" s="14"/>
      <c r="BQ140" s="14"/>
      <c r="BR140" s="14"/>
      <c r="BS140" s="14"/>
      <c r="BT140" s="14"/>
      <c r="BU140" s="14"/>
      <c r="BV140" s="16"/>
      <c r="BW140" s="14"/>
      <c r="BX140" s="14"/>
      <c r="BY140" s="14"/>
      <c r="BZ140" s="14"/>
      <c r="CA140" s="14"/>
      <c r="CB140" s="14"/>
      <c r="CC140" s="14"/>
      <c r="CD140" s="14"/>
      <c r="CE140" s="14"/>
      <c r="CF140" s="14"/>
      <c r="CG140" s="14"/>
      <c r="CH140" s="14"/>
      <c r="CI140" s="14"/>
      <c r="CJ140" s="14"/>
      <c r="CK140" s="14"/>
      <c r="CL140" s="14"/>
      <c r="CM140" s="14"/>
      <c r="CN140" s="14"/>
      <c r="CO140" s="14"/>
      <c r="CP140" s="14"/>
      <c r="CQ140" s="14"/>
      <c r="CR140" s="14"/>
      <c r="CS140" s="14"/>
      <c r="CT140" s="14"/>
      <c r="CU140" s="14"/>
      <c r="CV140" s="14"/>
      <c r="CW140" s="14"/>
      <c r="CX140" s="14"/>
      <c r="CY140" s="14"/>
      <c r="CZ140" s="14"/>
      <c r="DA140" s="14"/>
      <c r="DB140" s="14"/>
      <c r="DC140" s="14"/>
      <c r="DD140" s="14"/>
      <c r="DE140" s="14"/>
      <c r="DF140" s="14"/>
      <c r="DG140" s="14"/>
      <c r="DH140" s="14"/>
      <c r="DI140" s="14"/>
      <c r="DJ140" s="14"/>
      <c r="DK140" s="14"/>
      <c r="DL140" s="14"/>
      <c r="DM140" s="14"/>
      <c r="DN140" s="14"/>
      <c r="DO140" s="14"/>
      <c r="DP140" s="26"/>
      <c r="DQ140" s="27"/>
      <c r="DR140" s="129"/>
      <c r="DS140" s="130">
        <f>TCP(BO140:DQ140,$BO$9:$DQ$9,data!$H$8)</f>
        <v>0</v>
      </c>
      <c r="DT140" s="135"/>
      <c r="DU140" s="121"/>
      <c r="DV140" s="121"/>
      <c r="DW140" s="134"/>
      <c r="DX140" s="132"/>
      <c r="DY140" s="136"/>
      <c r="DZ140" s="21"/>
      <c r="EA140" s="18"/>
      <c r="EB140" s="4"/>
      <c r="EI140" s="23"/>
      <c r="EJ140" s="23"/>
    </row>
    <row r="141" spans="1:140" s="191" customFormat="1" ht="15.75" x14ac:dyDescent="0.25">
      <c r="A141" s="12"/>
      <c r="B141" s="16"/>
      <c r="C141" s="24" t="str">
        <f t="shared" si="6"/>
        <v xml:space="preserve"> </v>
      </c>
      <c r="D141" s="25"/>
      <c r="E141" s="20"/>
      <c r="F141" s="19"/>
      <c r="G141" s="180"/>
      <c r="H141" s="120"/>
      <c r="I141" s="121"/>
      <c r="J141" s="121"/>
      <c r="K141" s="121"/>
      <c r="L141" s="121"/>
      <c r="M141" s="121"/>
      <c r="N141" s="121"/>
      <c r="O141" s="121"/>
      <c r="P141" s="121"/>
      <c r="Q141" s="121"/>
      <c r="R141" s="121"/>
      <c r="S141" s="121"/>
      <c r="T141" s="121"/>
      <c r="U141" s="121"/>
      <c r="V141" s="121"/>
      <c r="W141" s="121"/>
      <c r="X141" s="121"/>
      <c r="Y141" s="121"/>
      <c r="Z141" s="121"/>
      <c r="AA141" s="121"/>
      <c r="AB141" s="121"/>
      <c r="AC141" s="121"/>
      <c r="AD141" s="121"/>
      <c r="AE141" s="121"/>
      <c r="AF141" s="121"/>
      <c r="AG141" s="121"/>
      <c r="AH141" s="121"/>
      <c r="AI141" s="121"/>
      <c r="AJ141" s="121"/>
      <c r="AK141" s="121"/>
      <c r="AL141" s="121"/>
      <c r="AM141" s="121"/>
      <c r="AN141" s="121"/>
      <c r="AO141" s="121"/>
      <c r="AP141" s="121"/>
      <c r="AQ141" s="121"/>
      <c r="AR141" s="121"/>
      <c r="AS141" s="121"/>
      <c r="AT141" s="121"/>
      <c r="AU141" s="121"/>
      <c r="AV141" s="121"/>
      <c r="AW141" s="121"/>
      <c r="AX141" s="121"/>
      <c r="AY141" s="121"/>
      <c r="AZ141" s="121"/>
      <c r="BA141" s="121"/>
      <c r="BB141" s="121"/>
      <c r="BC141" s="121"/>
      <c r="BD141" s="121"/>
      <c r="BE141" s="121"/>
      <c r="BF141" s="121"/>
      <c r="BG141" s="121"/>
      <c r="BH141" s="121"/>
      <c r="BI141" s="121"/>
      <c r="BJ141" s="122"/>
      <c r="BK141" s="93"/>
      <c r="BL141" s="94"/>
      <c r="BM141" s="95"/>
      <c r="BN141" s="179" t="str">
        <f t="shared" ref="BN141:BN175" si="7">IF(BO141&lt;&gt;"", $BO$7 &amp; "/" &amp; $BO$9 &amp; "/" &amp; BO141 &amp; ", ","") &amp; IF(BP141&lt;&gt;"", $BP$7 &amp; "/" &amp; $BP$9 &amp; "/" &amp; BP141 &amp; ", ","") &amp; IF(BQ141&lt;&gt;"", $BQ$7 &amp; "/" &amp; $BQ$9 &amp; "/" &amp; BQ141 &amp; ", ","") &amp; IF(BR141&lt;&gt;"", $BR$7 &amp; "/" &amp; $BR$9 &amp; "/" &amp; BR141 &amp; ", ","") &amp; IF(BS141&lt;&gt;"", $BS$7 &amp; "/" &amp; $BS$9 &amp; "/" &amp; BS141 &amp; ", ","") &amp; IF(BT141&lt;&gt;"", $BT$7 &amp; "/" &amp; $BT$9 &amp; "/" &amp; BT141 &amp; ", ","") &amp; IF(BU141&lt;&gt;"", $BU$7 &amp; "/" &amp; $BU$9 &amp; "/" &amp; BU141 &amp; ", ","") &amp; IF(BV141&lt;&gt;"", $BV$7 &amp; "/" &amp; $BV$9 &amp; "/" &amp; BV141 &amp; ", ","") &amp; IF(BW141&lt;&gt;"", $BW$7 &amp; "/" &amp; $BW$9 &amp; "/" &amp; BW141 &amp; ", ","") &amp; IF(BX141&lt;&gt;"", $BX$7 &amp; "/" &amp; $BX$9 &amp; "/" &amp; BX141 &amp; ", ","") &amp; IF(BY141&lt;&gt;"", $BY$7 &amp; "/" &amp; $BY$9 &amp; "/" &amp; BY141 &amp; ", ","") &amp; IF(BZ141&lt;&gt;"", $BZ$7 &amp; "/" &amp; $BZ$9 &amp; "/" &amp; BZ141 &amp; ", ","") &amp; IF(CA141&lt;&gt;"", $CA$7 &amp; "/" &amp; $CA$9 &amp; "/" &amp; CA141 &amp; ", ","") &amp; IF(CB141&lt;&gt;"", $CB$7 &amp; "/" &amp; $CB$9 &amp; "/" &amp; CB141 &amp; ", ","") &amp; IF(CC141&lt;&gt;"", $CC$7 &amp; "/" &amp; $CC$9 &amp; "/" &amp; CC141 &amp; ", ","") &amp; IF(CD141&lt;&gt;"", $CD$7 &amp; "/" &amp; $CD$9 &amp; "/" &amp; CD141 &amp; ", ","") &amp; IF(CE141&lt;&gt;"", $CE$7 &amp; "/" &amp; $CE$9 &amp; "/" &amp; CE141 &amp; ", ","") &amp; IF(CF141&lt;&gt;"", $CF$7 &amp; "/" &amp; $CF$9 &amp; "/" &amp; CF141 &amp; ", ","") &amp; IF(CG141&lt;&gt;"", $CG$7 &amp; "/" &amp; $CG$9 &amp; "/" &amp; CG141 &amp; ", ","") &amp; IF(CH141&lt;&gt;"", $CH$7 &amp; "/" &amp; $CH$9 &amp; "/" &amp; CH141 &amp; ", ","") &amp; IF(CI141&lt;&gt;"", $CI$7 &amp; "/" &amp; $CI$9 &amp; "/" &amp; CI141 &amp; ", ","") &amp; IF(CJ141&lt;&gt;"", $CJ$7 &amp; "/" &amp; $CJ$9 &amp; "/" &amp; CJ141 &amp; ", ","") &amp; IF(CK141&lt;&gt;"", $CK$7 &amp; "/" &amp; $CK$9 &amp; "/" &amp; CK141 &amp; ", ","") &amp; IF(CL141&lt;&gt;"", $CL$7 &amp; "/" &amp; $CL$9 &amp; "/" &amp; CL141 &amp; ", ","") &amp; IF(CM141&lt;&gt;"", $CM$7 &amp; "/" &amp; $CM$9 &amp; "/" &amp; CM141 &amp; ", ","") &amp; IF(CN141&lt;&gt;"", $CN$7 &amp; "/" &amp; $CN$9 &amp; "/" &amp; CN141 &amp; ", ","") &amp; IF(CO141&lt;&gt;"", $CO$7 &amp; "/" &amp; $CO$9 &amp; "/" &amp; CO141 &amp; ", ","") &amp; IF(CP141&lt;&gt;"", $CP$7 &amp; "/" &amp; $CP$9 &amp; "/" &amp; CP141 &amp; ", ","") &amp; IF(CQ141&lt;&gt;"", $CQ$7 &amp; "/" &amp; $CQ$9 &amp; "/" &amp; CQ141 &amp; ", ","") &amp; IF(CR141&lt;&gt;"", $CR$7 &amp; "/" &amp; $CR$9 &amp; "/" &amp; CR141 &amp; ", ","") &amp; IF(CS141&lt;&gt;"", $CS$7 &amp; "/" &amp; $CS$9 &amp; "/" &amp; CS141 &amp; ", ","") &amp; IF(CT141&lt;&gt;"", $CT$7 &amp; "/" &amp; $CT$9 &amp; "/" &amp; CT141 &amp; ", ","") &amp; IF(CU141&lt;&gt;"", $CU$7 &amp; "/" &amp; $CU$9 &amp; "/" &amp; CU141 &amp; ", ","") &amp; IF(CV141&lt;&gt;"", $CV$7 &amp; "/" &amp; $CV$9 &amp; "/" &amp; CV141 &amp; ", ","") &amp; IF(CW141&lt;&gt;"", $CW$7 &amp; "/" &amp; $CW$9 &amp; "/" &amp; CW141 &amp; ", ","") &amp; IF(CX141&lt;&gt;"", $CX$7 &amp; "/" &amp; $CX$9 &amp; "/" &amp; CX141 &amp; ", ","") &amp; IF(CY141&lt;&gt;"", $CY$7 &amp; "/" &amp; $CY$9 &amp; "/" &amp; CY141 &amp; ", ","") &amp; IF(CZ141&lt;&gt;"", $CZ$7 &amp; "/" &amp; $CZ$9 &amp; "/" &amp; CZ141 &amp; ", ","") &amp; IF(DA141&lt;&gt;"", $DA$7 &amp; "/" &amp; $DA$9 &amp; "/" &amp; DA141 &amp; ", ","") &amp; IF(DB141&lt;&gt;"", $DB$7 &amp; "/" &amp; $DB$9 &amp; "/" &amp; DB141 &amp; ", ","") &amp; IF(DC141&lt;&gt;"", $DC$7 &amp; "/" &amp; $DC$9 &amp; "/" &amp; DC141 &amp; ", ","") &amp; IF(DD141&lt;&gt;"", $DD$7 &amp; "/" &amp; $DD$9 &amp; "/" &amp; DD141 &amp; ", ","") &amp; IF(DE141&lt;&gt;"", $DE$7 &amp; "/" &amp; $DE$9 &amp; "/" &amp; DE141 &amp; ", ","") &amp; IF(DF141&lt;&gt;"", $DF$7 &amp; "/" &amp; $DF$9 &amp; "/" &amp; DF141 &amp; ", ","") &amp; IF(DG141&lt;&gt;"", $DG$7 &amp; "/" &amp; $DG$9 &amp; "/" &amp; DG141 &amp; ", ","") &amp; IF(DH141&lt;&gt;"", $DH$7 &amp; "/" &amp; $DH$9 &amp; "/" &amp; DH141 &amp; ", ","") &amp; IF(DI141&lt;&gt;"", $DI$7 &amp; "/" &amp; $DI$9 &amp; "/" &amp; DI141 &amp; ", ","") &amp; IF(DJ141&lt;&gt;"", $DJ$7 &amp; "/" &amp; $DJ$9 &amp; "/" &amp; DJ141 &amp; ", ","") &amp; IF(DK141&lt;&gt;"", $DK$7 &amp; "/" &amp; $DK$9 &amp; "/" &amp; DK141 &amp; ", ","") &amp; IF(DL141&lt;&gt;"", $DL$7 &amp; "/" &amp; $DL$9 &amp; "/" &amp; DL141 &amp; ", ","") &amp; IF(DM141&lt;&gt;"", $DM$7 &amp; "/" &amp; $DM$9 &amp; "/" &amp; DM141 &amp; ", ","") &amp; IF(DN141&lt;&gt;"", $DN$7 &amp; "/" &amp; $DN$9 &amp; "/" &amp; DN141 &amp; ", ","") &amp; IF(DO141&lt;&gt;"", $DO$7 &amp; "/" &amp; $DO$9 &amp; "/" &amp; DO141 &amp; ", ","") &amp; IF(DP141&lt;&gt;"", $DP$7 &amp; "/" &amp; $DP$9 &amp; "/" &amp; DP141 &amp; ", ","") &amp; IF(DQ141&lt;&gt;"", $DQ$7 &amp; "/" &amp; $DQ$9 &amp; "/" &amp; DQ141 &amp; ", ","")</f>
        <v/>
      </c>
      <c r="BO141" s="177"/>
      <c r="BP141" s="14"/>
      <c r="BQ141" s="14"/>
      <c r="BR141" s="14"/>
      <c r="BS141" s="14"/>
      <c r="BT141" s="14"/>
      <c r="BU141" s="14"/>
      <c r="BV141" s="16"/>
      <c r="BW141" s="14"/>
      <c r="BX141" s="14"/>
      <c r="BY141" s="14"/>
      <c r="BZ141" s="14"/>
      <c r="CA141" s="14"/>
      <c r="CB141" s="14"/>
      <c r="CC141" s="14"/>
      <c r="CD141" s="14"/>
      <c r="CE141" s="14"/>
      <c r="CF141" s="14"/>
      <c r="CG141" s="14"/>
      <c r="CH141" s="14"/>
      <c r="CI141" s="14"/>
      <c r="CJ141" s="14"/>
      <c r="CK141" s="14"/>
      <c r="CL141" s="14"/>
      <c r="CM141" s="14"/>
      <c r="CN141" s="14"/>
      <c r="CO141" s="14"/>
      <c r="CP141" s="14"/>
      <c r="CQ141" s="14"/>
      <c r="CR141" s="14"/>
      <c r="CS141" s="14"/>
      <c r="CT141" s="14"/>
      <c r="CU141" s="14"/>
      <c r="CV141" s="14"/>
      <c r="CW141" s="14"/>
      <c r="CX141" s="14"/>
      <c r="CY141" s="14"/>
      <c r="CZ141" s="14"/>
      <c r="DA141" s="14"/>
      <c r="DB141" s="14"/>
      <c r="DC141" s="14"/>
      <c r="DD141" s="14"/>
      <c r="DE141" s="14"/>
      <c r="DF141" s="14"/>
      <c r="DG141" s="14"/>
      <c r="DH141" s="14"/>
      <c r="DI141" s="14"/>
      <c r="DJ141" s="14"/>
      <c r="DK141" s="14"/>
      <c r="DL141" s="14"/>
      <c r="DM141" s="14"/>
      <c r="DN141" s="14"/>
      <c r="DO141" s="14"/>
      <c r="DP141" s="26"/>
      <c r="DQ141" s="27"/>
      <c r="DR141" s="129"/>
      <c r="DS141" s="130">
        <f>TCP(BO141:DQ141,$BO$9:$DQ$9,data!$H$8)</f>
        <v>0</v>
      </c>
      <c r="DT141" s="135"/>
      <c r="DU141" s="121"/>
      <c r="DV141" s="121"/>
      <c r="DW141" s="134"/>
      <c r="DX141" s="132"/>
      <c r="DY141" s="136"/>
      <c r="DZ141" s="21"/>
      <c r="EA141" s="18"/>
      <c r="EB141" s="4"/>
      <c r="EI141" s="23"/>
      <c r="EJ141" s="23"/>
    </row>
    <row r="142" spans="1:140" s="191" customFormat="1" ht="15.75" x14ac:dyDescent="0.25">
      <c r="A142" s="12"/>
      <c r="B142" s="16"/>
      <c r="C142" s="24" t="str">
        <f t="shared" si="6"/>
        <v xml:space="preserve"> </v>
      </c>
      <c r="D142" s="25"/>
      <c r="E142" s="20"/>
      <c r="F142" s="19"/>
      <c r="G142" s="180"/>
      <c r="H142" s="120"/>
      <c r="I142" s="121"/>
      <c r="J142" s="121"/>
      <c r="K142" s="121"/>
      <c r="L142" s="121"/>
      <c r="M142" s="121"/>
      <c r="N142" s="121"/>
      <c r="O142" s="121"/>
      <c r="P142" s="121"/>
      <c r="Q142" s="121"/>
      <c r="R142" s="121"/>
      <c r="S142" s="121"/>
      <c r="T142" s="121"/>
      <c r="U142" s="121"/>
      <c r="V142" s="121"/>
      <c r="W142" s="121"/>
      <c r="X142" s="121"/>
      <c r="Y142" s="121"/>
      <c r="Z142" s="121"/>
      <c r="AA142" s="121"/>
      <c r="AB142" s="121"/>
      <c r="AC142" s="121"/>
      <c r="AD142" s="121"/>
      <c r="AE142" s="121"/>
      <c r="AF142" s="121"/>
      <c r="AG142" s="121"/>
      <c r="AH142" s="121"/>
      <c r="AI142" s="121"/>
      <c r="AJ142" s="121"/>
      <c r="AK142" s="121"/>
      <c r="AL142" s="121"/>
      <c r="AM142" s="121"/>
      <c r="AN142" s="121"/>
      <c r="AO142" s="121"/>
      <c r="AP142" s="121"/>
      <c r="AQ142" s="121"/>
      <c r="AR142" s="121"/>
      <c r="AS142" s="121"/>
      <c r="AT142" s="121"/>
      <c r="AU142" s="121"/>
      <c r="AV142" s="121"/>
      <c r="AW142" s="121"/>
      <c r="AX142" s="121"/>
      <c r="AY142" s="121"/>
      <c r="AZ142" s="121"/>
      <c r="BA142" s="121"/>
      <c r="BB142" s="121"/>
      <c r="BC142" s="121"/>
      <c r="BD142" s="121"/>
      <c r="BE142" s="121"/>
      <c r="BF142" s="121"/>
      <c r="BG142" s="121"/>
      <c r="BH142" s="121"/>
      <c r="BI142" s="121"/>
      <c r="BJ142" s="122"/>
      <c r="BK142" s="93"/>
      <c r="BL142" s="94"/>
      <c r="BM142" s="95"/>
      <c r="BN142" s="179" t="str">
        <f t="shared" si="7"/>
        <v/>
      </c>
      <c r="BO142" s="177"/>
      <c r="BP142" s="14"/>
      <c r="BQ142" s="14"/>
      <c r="BR142" s="14"/>
      <c r="BS142" s="14"/>
      <c r="BT142" s="14"/>
      <c r="BU142" s="14"/>
      <c r="BV142" s="16"/>
      <c r="BW142" s="14"/>
      <c r="BX142" s="14"/>
      <c r="BY142" s="14"/>
      <c r="BZ142" s="14"/>
      <c r="CA142" s="14"/>
      <c r="CB142" s="14"/>
      <c r="CC142" s="14"/>
      <c r="CD142" s="14"/>
      <c r="CE142" s="14"/>
      <c r="CF142" s="14"/>
      <c r="CG142" s="14"/>
      <c r="CH142" s="14"/>
      <c r="CI142" s="14"/>
      <c r="CJ142" s="14"/>
      <c r="CK142" s="14"/>
      <c r="CL142" s="14"/>
      <c r="CM142" s="14"/>
      <c r="CN142" s="14"/>
      <c r="CO142" s="14"/>
      <c r="CP142" s="14"/>
      <c r="CQ142" s="14"/>
      <c r="CR142" s="14"/>
      <c r="CS142" s="14"/>
      <c r="CT142" s="14"/>
      <c r="CU142" s="14"/>
      <c r="CV142" s="14"/>
      <c r="CW142" s="14"/>
      <c r="CX142" s="14"/>
      <c r="CY142" s="14"/>
      <c r="CZ142" s="14"/>
      <c r="DA142" s="14"/>
      <c r="DB142" s="14"/>
      <c r="DC142" s="14"/>
      <c r="DD142" s="14"/>
      <c r="DE142" s="14"/>
      <c r="DF142" s="14"/>
      <c r="DG142" s="14"/>
      <c r="DH142" s="14"/>
      <c r="DI142" s="14"/>
      <c r="DJ142" s="14"/>
      <c r="DK142" s="14"/>
      <c r="DL142" s="14"/>
      <c r="DM142" s="14"/>
      <c r="DN142" s="14"/>
      <c r="DO142" s="14"/>
      <c r="DP142" s="26"/>
      <c r="DQ142" s="27"/>
      <c r="DR142" s="129"/>
      <c r="DS142" s="130">
        <f>TCP(BO142:DQ142,$BO$9:$DQ$9,data!$H$8)</f>
        <v>0</v>
      </c>
      <c r="DT142" s="135"/>
      <c r="DU142" s="121"/>
      <c r="DV142" s="121"/>
      <c r="DW142" s="134"/>
      <c r="DX142" s="132"/>
      <c r="DY142" s="136"/>
      <c r="DZ142" s="21"/>
      <c r="EA142" s="18"/>
      <c r="EB142" s="4"/>
      <c r="EI142" s="23"/>
      <c r="EJ142" s="23"/>
    </row>
    <row r="143" spans="1:140" s="191" customFormat="1" ht="15.75" x14ac:dyDescent="0.25">
      <c r="A143" s="12"/>
      <c r="B143" s="16"/>
      <c r="C143" s="24" t="str">
        <f t="shared" si="6"/>
        <v xml:space="preserve"> </v>
      </c>
      <c r="D143" s="25"/>
      <c r="E143" s="20"/>
      <c r="F143" s="19"/>
      <c r="G143" s="180"/>
      <c r="H143" s="120"/>
      <c r="I143" s="121"/>
      <c r="J143" s="121"/>
      <c r="K143" s="121"/>
      <c r="L143" s="121"/>
      <c r="M143" s="121"/>
      <c r="N143" s="121"/>
      <c r="O143" s="121"/>
      <c r="P143" s="121"/>
      <c r="Q143" s="121"/>
      <c r="R143" s="121"/>
      <c r="S143" s="121"/>
      <c r="T143" s="121"/>
      <c r="U143" s="121"/>
      <c r="V143" s="121"/>
      <c r="W143" s="121"/>
      <c r="X143" s="121"/>
      <c r="Y143" s="121"/>
      <c r="Z143" s="121"/>
      <c r="AA143" s="121"/>
      <c r="AB143" s="121"/>
      <c r="AC143" s="121"/>
      <c r="AD143" s="121"/>
      <c r="AE143" s="121"/>
      <c r="AF143" s="121"/>
      <c r="AG143" s="121"/>
      <c r="AH143" s="121"/>
      <c r="AI143" s="121"/>
      <c r="AJ143" s="121"/>
      <c r="AK143" s="121"/>
      <c r="AL143" s="121"/>
      <c r="AM143" s="121"/>
      <c r="AN143" s="121"/>
      <c r="AO143" s="121"/>
      <c r="AP143" s="121"/>
      <c r="AQ143" s="121"/>
      <c r="AR143" s="121"/>
      <c r="AS143" s="121"/>
      <c r="AT143" s="121"/>
      <c r="AU143" s="121"/>
      <c r="AV143" s="121"/>
      <c r="AW143" s="121"/>
      <c r="AX143" s="121"/>
      <c r="AY143" s="121"/>
      <c r="AZ143" s="121"/>
      <c r="BA143" s="121"/>
      <c r="BB143" s="121"/>
      <c r="BC143" s="121"/>
      <c r="BD143" s="121"/>
      <c r="BE143" s="121"/>
      <c r="BF143" s="121"/>
      <c r="BG143" s="121"/>
      <c r="BH143" s="121"/>
      <c r="BI143" s="121"/>
      <c r="BJ143" s="122"/>
      <c r="BK143" s="93"/>
      <c r="BL143" s="94"/>
      <c r="BM143" s="95"/>
      <c r="BN143" s="179" t="str">
        <f t="shared" si="7"/>
        <v/>
      </c>
      <c r="BO143" s="177"/>
      <c r="BP143" s="14"/>
      <c r="BQ143" s="14"/>
      <c r="BR143" s="14"/>
      <c r="BS143" s="14"/>
      <c r="BT143" s="14"/>
      <c r="BU143" s="14"/>
      <c r="BV143" s="16"/>
      <c r="BW143" s="14"/>
      <c r="BX143" s="14"/>
      <c r="BY143" s="14"/>
      <c r="BZ143" s="14"/>
      <c r="CA143" s="14"/>
      <c r="CB143" s="14"/>
      <c r="CC143" s="14"/>
      <c r="CD143" s="14"/>
      <c r="CE143" s="14"/>
      <c r="CF143" s="14"/>
      <c r="CG143" s="14"/>
      <c r="CH143" s="14"/>
      <c r="CI143" s="14"/>
      <c r="CJ143" s="14"/>
      <c r="CK143" s="14"/>
      <c r="CL143" s="14"/>
      <c r="CM143" s="14"/>
      <c r="CN143" s="14"/>
      <c r="CO143" s="14"/>
      <c r="CP143" s="14"/>
      <c r="CQ143" s="14"/>
      <c r="CR143" s="14"/>
      <c r="CS143" s="14"/>
      <c r="CT143" s="14"/>
      <c r="CU143" s="14"/>
      <c r="CV143" s="14"/>
      <c r="CW143" s="14"/>
      <c r="CX143" s="14"/>
      <c r="CY143" s="14"/>
      <c r="CZ143" s="14"/>
      <c r="DA143" s="14"/>
      <c r="DB143" s="14"/>
      <c r="DC143" s="14"/>
      <c r="DD143" s="14"/>
      <c r="DE143" s="14"/>
      <c r="DF143" s="14"/>
      <c r="DG143" s="14"/>
      <c r="DH143" s="14"/>
      <c r="DI143" s="14"/>
      <c r="DJ143" s="14"/>
      <c r="DK143" s="14"/>
      <c r="DL143" s="14"/>
      <c r="DM143" s="14"/>
      <c r="DN143" s="14"/>
      <c r="DO143" s="14"/>
      <c r="DP143" s="26"/>
      <c r="DQ143" s="27"/>
      <c r="DR143" s="129"/>
      <c r="DS143" s="130">
        <f>TCP(BO143:DQ143,$BO$9:$DQ$9,data!$H$8)</f>
        <v>0</v>
      </c>
      <c r="DT143" s="135"/>
      <c r="DU143" s="121"/>
      <c r="DV143" s="121"/>
      <c r="DW143" s="134"/>
      <c r="DX143" s="132"/>
      <c r="DY143" s="136"/>
      <c r="DZ143" s="21"/>
      <c r="EA143" s="18"/>
      <c r="EB143" s="4"/>
      <c r="EI143" s="23"/>
      <c r="EJ143" s="23"/>
    </row>
    <row r="144" spans="1:140" s="191" customFormat="1" ht="15.75" x14ac:dyDescent="0.25">
      <c r="A144" s="12"/>
      <c r="B144" s="16"/>
      <c r="C144" s="24" t="str">
        <f t="shared" si="6"/>
        <v xml:space="preserve"> </v>
      </c>
      <c r="D144" s="25"/>
      <c r="E144" s="20"/>
      <c r="F144" s="19"/>
      <c r="G144" s="180"/>
      <c r="H144" s="120"/>
      <c r="I144" s="121"/>
      <c r="J144" s="121"/>
      <c r="K144" s="121"/>
      <c r="L144" s="121"/>
      <c r="M144" s="121"/>
      <c r="N144" s="121"/>
      <c r="O144" s="121"/>
      <c r="P144" s="121"/>
      <c r="Q144" s="121"/>
      <c r="R144" s="121"/>
      <c r="S144" s="121"/>
      <c r="T144" s="121"/>
      <c r="U144" s="121"/>
      <c r="V144" s="121"/>
      <c r="W144" s="121"/>
      <c r="X144" s="121"/>
      <c r="Y144" s="121"/>
      <c r="Z144" s="121"/>
      <c r="AA144" s="121"/>
      <c r="AB144" s="121"/>
      <c r="AC144" s="121"/>
      <c r="AD144" s="121"/>
      <c r="AE144" s="121"/>
      <c r="AF144" s="121"/>
      <c r="AG144" s="121"/>
      <c r="AH144" s="121"/>
      <c r="AI144" s="121"/>
      <c r="AJ144" s="121"/>
      <c r="AK144" s="121"/>
      <c r="AL144" s="121"/>
      <c r="AM144" s="121"/>
      <c r="AN144" s="121"/>
      <c r="AO144" s="121"/>
      <c r="AP144" s="121"/>
      <c r="AQ144" s="121"/>
      <c r="AR144" s="121"/>
      <c r="AS144" s="121"/>
      <c r="AT144" s="121"/>
      <c r="AU144" s="121"/>
      <c r="AV144" s="121"/>
      <c r="AW144" s="121"/>
      <c r="AX144" s="121"/>
      <c r="AY144" s="121"/>
      <c r="AZ144" s="121"/>
      <c r="BA144" s="121"/>
      <c r="BB144" s="121"/>
      <c r="BC144" s="121"/>
      <c r="BD144" s="121"/>
      <c r="BE144" s="121"/>
      <c r="BF144" s="121"/>
      <c r="BG144" s="121"/>
      <c r="BH144" s="121"/>
      <c r="BI144" s="121"/>
      <c r="BJ144" s="122"/>
      <c r="BK144" s="93"/>
      <c r="BL144" s="94"/>
      <c r="BM144" s="95"/>
      <c r="BN144" s="179" t="str">
        <f t="shared" si="7"/>
        <v/>
      </c>
      <c r="BO144" s="177"/>
      <c r="BP144" s="14"/>
      <c r="BQ144" s="14"/>
      <c r="BR144" s="14"/>
      <c r="BS144" s="14"/>
      <c r="BT144" s="14"/>
      <c r="BU144" s="14"/>
      <c r="BV144" s="16"/>
      <c r="BW144" s="14"/>
      <c r="BX144" s="14"/>
      <c r="BY144" s="14"/>
      <c r="BZ144" s="14"/>
      <c r="CA144" s="14"/>
      <c r="CB144" s="14"/>
      <c r="CC144" s="14"/>
      <c r="CD144" s="14"/>
      <c r="CE144" s="14"/>
      <c r="CF144" s="14"/>
      <c r="CG144" s="14"/>
      <c r="CH144" s="14"/>
      <c r="CI144" s="14"/>
      <c r="CJ144" s="14"/>
      <c r="CK144" s="14"/>
      <c r="CL144" s="14"/>
      <c r="CM144" s="14"/>
      <c r="CN144" s="14"/>
      <c r="CO144" s="14"/>
      <c r="CP144" s="14"/>
      <c r="CQ144" s="14"/>
      <c r="CR144" s="14"/>
      <c r="CS144" s="14"/>
      <c r="CT144" s="14"/>
      <c r="CU144" s="14"/>
      <c r="CV144" s="14"/>
      <c r="CW144" s="14"/>
      <c r="CX144" s="14"/>
      <c r="CY144" s="14"/>
      <c r="CZ144" s="14"/>
      <c r="DA144" s="14"/>
      <c r="DB144" s="14"/>
      <c r="DC144" s="14"/>
      <c r="DD144" s="14"/>
      <c r="DE144" s="14"/>
      <c r="DF144" s="14"/>
      <c r="DG144" s="14"/>
      <c r="DH144" s="14"/>
      <c r="DI144" s="14"/>
      <c r="DJ144" s="14"/>
      <c r="DK144" s="14"/>
      <c r="DL144" s="14"/>
      <c r="DM144" s="14"/>
      <c r="DN144" s="14"/>
      <c r="DO144" s="14"/>
      <c r="DP144" s="26"/>
      <c r="DQ144" s="27"/>
      <c r="DR144" s="129"/>
      <c r="DS144" s="130">
        <f>TCP(BO144:DQ144,$BO$9:$DQ$9,data!$H$8)</f>
        <v>0</v>
      </c>
      <c r="DT144" s="135"/>
      <c r="DU144" s="121"/>
      <c r="DV144" s="121"/>
      <c r="DW144" s="134"/>
      <c r="DX144" s="132"/>
      <c r="DY144" s="136"/>
      <c r="DZ144" s="21"/>
      <c r="EA144" s="18"/>
      <c r="EB144" s="4"/>
      <c r="EI144" s="23"/>
      <c r="EJ144" s="23"/>
    </row>
    <row r="145" spans="1:140" s="191" customFormat="1" ht="15.75" x14ac:dyDescent="0.25">
      <c r="A145" s="12"/>
      <c r="B145" s="16"/>
      <c r="C145" s="24" t="str">
        <f t="shared" si="6"/>
        <v xml:space="preserve"> </v>
      </c>
      <c r="D145" s="25"/>
      <c r="E145" s="20"/>
      <c r="F145" s="19"/>
      <c r="G145" s="180"/>
      <c r="H145" s="120"/>
      <c r="I145" s="121"/>
      <c r="J145" s="121"/>
      <c r="K145" s="121"/>
      <c r="L145" s="121"/>
      <c r="M145" s="121"/>
      <c r="N145" s="121"/>
      <c r="O145" s="121"/>
      <c r="P145" s="121"/>
      <c r="Q145" s="121"/>
      <c r="R145" s="121"/>
      <c r="S145" s="121"/>
      <c r="T145" s="121"/>
      <c r="U145" s="121"/>
      <c r="V145" s="121"/>
      <c r="W145" s="121"/>
      <c r="X145" s="121"/>
      <c r="Y145" s="121"/>
      <c r="Z145" s="121"/>
      <c r="AA145" s="121"/>
      <c r="AB145" s="121"/>
      <c r="AC145" s="121"/>
      <c r="AD145" s="121"/>
      <c r="AE145" s="121"/>
      <c r="AF145" s="121"/>
      <c r="AG145" s="121"/>
      <c r="AH145" s="121"/>
      <c r="AI145" s="121"/>
      <c r="AJ145" s="121"/>
      <c r="AK145" s="121"/>
      <c r="AL145" s="121"/>
      <c r="AM145" s="121"/>
      <c r="AN145" s="121"/>
      <c r="AO145" s="121"/>
      <c r="AP145" s="121"/>
      <c r="AQ145" s="121"/>
      <c r="AR145" s="121"/>
      <c r="AS145" s="121"/>
      <c r="AT145" s="121"/>
      <c r="AU145" s="121"/>
      <c r="AV145" s="121"/>
      <c r="AW145" s="121"/>
      <c r="AX145" s="121"/>
      <c r="AY145" s="121"/>
      <c r="AZ145" s="121"/>
      <c r="BA145" s="121"/>
      <c r="BB145" s="121"/>
      <c r="BC145" s="121"/>
      <c r="BD145" s="121"/>
      <c r="BE145" s="121"/>
      <c r="BF145" s="121"/>
      <c r="BG145" s="121"/>
      <c r="BH145" s="121"/>
      <c r="BI145" s="121"/>
      <c r="BJ145" s="122"/>
      <c r="BK145" s="93"/>
      <c r="BL145" s="94"/>
      <c r="BM145" s="95"/>
      <c r="BN145" s="179" t="str">
        <f t="shared" si="7"/>
        <v/>
      </c>
      <c r="BO145" s="177"/>
      <c r="BP145" s="14"/>
      <c r="BQ145" s="14"/>
      <c r="BR145" s="14"/>
      <c r="BS145" s="14"/>
      <c r="BT145" s="14"/>
      <c r="BU145" s="14"/>
      <c r="BV145" s="16"/>
      <c r="BW145" s="14"/>
      <c r="BX145" s="14"/>
      <c r="BY145" s="14"/>
      <c r="BZ145" s="14"/>
      <c r="CA145" s="14"/>
      <c r="CB145" s="14"/>
      <c r="CC145" s="14"/>
      <c r="CD145" s="14"/>
      <c r="CE145" s="14"/>
      <c r="CF145" s="14"/>
      <c r="CG145" s="14"/>
      <c r="CH145" s="14"/>
      <c r="CI145" s="14"/>
      <c r="CJ145" s="14"/>
      <c r="CK145" s="14"/>
      <c r="CL145" s="14"/>
      <c r="CM145" s="14"/>
      <c r="CN145" s="14"/>
      <c r="CO145" s="14"/>
      <c r="CP145" s="14"/>
      <c r="CQ145" s="14"/>
      <c r="CR145" s="14"/>
      <c r="CS145" s="14"/>
      <c r="CT145" s="14"/>
      <c r="CU145" s="14"/>
      <c r="CV145" s="14"/>
      <c r="CW145" s="14"/>
      <c r="CX145" s="14"/>
      <c r="CY145" s="14"/>
      <c r="CZ145" s="14"/>
      <c r="DA145" s="14"/>
      <c r="DB145" s="14"/>
      <c r="DC145" s="14"/>
      <c r="DD145" s="14"/>
      <c r="DE145" s="14"/>
      <c r="DF145" s="14"/>
      <c r="DG145" s="14"/>
      <c r="DH145" s="14"/>
      <c r="DI145" s="14"/>
      <c r="DJ145" s="14"/>
      <c r="DK145" s="14"/>
      <c r="DL145" s="14"/>
      <c r="DM145" s="14"/>
      <c r="DN145" s="14"/>
      <c r="DO145" s="14"/>
      <c r="DP145" s="26"/>
      <c r="DQ145" s="27"/>
      <c r="DR145" s="129"/>
      <c r="DS145" s="130">
        <f>TCP(BO145:DQ145,$BO$9:$DQ$9,data!$H$8)</f>
        <v>0</v>
      </c>
      <c r="DT145" s="135"/>
      <c r="DU145" s="121"/>
      <c r="DV145" s="121"/>
      <c r="DW145" s="134"/>
      <c r="DX145" s="132"/>
      <c r="DY145" s="136"/>
      <c r="DZ145" s="21"/>
      <c r="EA145" s="18"/>
      <c r="EB145" s="4"/>
      <c r="EI145" s="23"/>
      <c r="EJ145" s="23"/>
    </row>
    <row r="146" spans="1:140" s="191" customFormat="1" ht="15.75" x14ac:dyDescent="0.25">
      <c r="A146" s="12"/>
      <c r="B146" s="16"/>
      <c r="C146" s="24" t="str">
        <f t="shared" si="6"/>
        <v xml:space="preserve"> </v>
      </c>
      <c r="D146" s="25"/>
      <c r="E146" s="20"/>
      <c r="F146" s="19"/>
      <c r="G146" s="180"/>
      <c r="H146" s="120"/>
      <c r="I146" s="121"/>
      <c r="J146" s="121"/>
      <c r="K146" s="121"/>
      <c r="L146" s="121"/>
      <c r="M146" s="121"/>
      <c r="N146" s="121"/>
      <c r="O146" s="121"/>
      <c r="P146" s="121"/>
      <c r="Q146" s="121"/>
      <c r="R146" s="121"/>
      <c r="S146" s="121"/>
      <c r="T146" s="121"/>
      <c r="U146" s="121"/>
      <c r="V146" s="121"/>
      <c r="W146" s="121"/>
      <c r="X146" s="121"/>
      <c r="Y146" s="121"/>
      <c r="Z146" s="121"/>
      <c r="AA146" s="121"/>
      <c r="AB146" s="121"/>
      <c r="AC146" s="121"/>
      <c r="AD146" s="121"/>
      <c r="AE146" s="121"/>
      <c r="AF146" s="121"/>
      <c r="AG146" s="121"/>
      <c r="AH146" s="121"/>
      <c r="AI146" s="121"/>
      <c r="AJ146" s="121"/>
      <c r="AK146" s="121"/>
      <c r="AL146" s="121"/>
      <c r="AM146" s="121"/>
      <c r="AN146" s="121"/>
      <c r="AO146" s="121"/>
      <c r="AP146" s="121"/>
      <c r="AQ146" s="121"/>
      <c r="AR146" s="121"/>
      <c r="AS146" s="121"/>
      <c r="AT146" s="121"/>
      <c r="AU146" s="121"/>
      <c r="AV146" s="121"/>
      <c r="AW146" s="121"/>
      <c r="AX146" s="121"/>
      <c r="AY146" s="121"/>
      <c r="AZ146" s="121"/>
      <c r="BA146" s="121"/>
      <c r="BB146" s="121"/>
      <c r="BC146" s="121"/>
      <c r="BD146" s="121"/>
      <c r="BE146" s="121"/>
      <c r="BF146" s="121"/>
      <c r="BG146" s="121"/>
      <c r="BH146" s="121"/>
      <c r="BI146" s="121"/>
      <c r="BJ146" s="122"/>
      <c r="BK146" s="93"/>
      <c r="BL146" s="94"/>
      <c r="BM146" s="95"/>
      <c r="BN146" s="179" t="str">
        <f t="shared" si="7"/>
        <v/>
      </c>
      <c r="BO146" s="177"/>
      <c r="BP146" s="14"/>
      <c r="BQ146" s="14"/>
      <c r="BR146" s="14"/>
      <c r="BS146" s="14"/>
      <c r="BT146" s="14"/>
      <c r="BU146" s="14"/>
      <c r="BV146" s="16"/>
      <c r="BW146" s="14"/>
      <c r="BX146" s="14"/>
      <c r="BY146" s="14"/>
      <c r="BZ146" s="14"/>
      <c r="CA146" s="14"/>
      <c r="CB146" s="14"/>
      <c r="CC146" s="14"/>
      <c r="CD146" s="14"/>
      <c r="CE146" s="14"/>
      <c r="CF146" s="14"/>
      <c r="CG146" s="14"/>
      <c r="CH146" s="14"/>
      <c r="CI146" s="14"/>
      <c r="CJ146" s="14"/>
      <c r="CK146" s="14"/>
      <c r="CL146" s="14"/>
      <c r="CM146" s="14"/>
      <c r="CN146" s="14"/>
      <c r="CO146" s="14"/>
      <c r="CP146" s="14"/>
      <c r="CQ146" s="14"/>
      <c r="CR146" s="14"/>
      <c r="CS146" s="14"/>
      <c r="CT146" s="14"/>
      <c r="CU146" s="14"/>
      <c r="CV146" s="14"/>
      <c r="CW146" s="14"/>
      <c r="CX146" s="14"/>
      <c r="CY146" s="14"/>
      <c r="CZ146" s="14"/>
      <c r="DA146" s="14"/>
      <c r="DB146" s="14"/>
      <c r="DC146" s="14"/>
      <c r="DD146" s="14"/>
      <c r="DE146" s="14"/>
      <c r="DF146" s="14"/>
      <c r="DG146" s="14"/>
      <c r="DH146" s="14"/>
      <c r="DI146" s="14"/>
      <c r="DJ146" s="14"/>
      <c r="DK146" s="14"/>
      <c r="DL146" s="14"/>
      <c r="DM146" s="14"/>
      <c r="DN146" s="14"/>
      <c r="DO146" s="14"/>
      <c r="DP146" s="26"/>
      <c r="DQ146" s="27"/>
      <c r="DR146" s="129"/>
      <c r="DS146" s="130">
        <f>TCP(BO146:DQ146,$BO$9:$DQ$9,data!$H$8)</f>
        <v>0</v>
      </c>
      <c r="DT146" s="135"/>
      <c r="DU146" s="121"/>
      <c r="DV146" s="121"/>
      <c r="DW146" s="134"/>
      <c r="DX146" s="132"/>
      <c r="DY146" s="136"/>
      <c r="DZ146" s="21"/>
      <c r="EA146" s="18"/>
      <c r="EB146" s="4"/>
      <c r="EI146" s="23"/>
      <c r="EJ146" s="23"/>
    </row>
    <row r="147" spans="1:140" s="191" customFormat="1" ht="15.75" x14ac:dyDescent="0.25">
      <c r="A147" s="12"/>
      <c r="B147" s="16"/>
      <c r="C147" s="24" t="str">
        <f t="shared" si="6"/>
        <v xml:space="preserve"> </v>
      </c>
      <c r="D147" s="25"/>
      <c r="E147" s="20"/>
      <c r="F147" s="19"/>
      <c r="G147" s="180"/>
      <c r="H147" s="120"/>
      <c r="I147" s="121"/>
      <c r="J147" s="121"/>
      <c r="K147" s="121"/>
      <c r="L147" s="121"/>
      <c r="M147" s="121"/>
      <c r="N147" s="121"/>
      <c r="O147" s="121"/>
      <c r="P147" s="121"/>
      <c r="Q147" s="121"/>
      <c r="R147" s="121"/>
      <c r="S147" s="121"/>
      <c r="T147" s="121"/>
      <c r="U147" s="121"/>
      <c r="V147" s="121"/>
      <c r="W147" s="121"/>
      <c r="X147" s="121"/>
      <c r="Y147" s="121"/>
      <c r="Z147" s="121"/>
      <c r="AA147" s="121"/>
      <c r="AB147" s="121"/>
      <c r="AC147" s="121"/>
      <c r="AD147" s="121"/>
      <c r="AE147" s="121"/>
      <c r="AF147" s="121"/>
      <c r="AG147" s="121"/>
      <c r="AH147" s="121"/>
      <c r="AI147" s="121"/>
      <c r="AJ147" s="121"/>
      <c r="AK147" s="121"/>
      <c r="AL147" s="121"/>
      <c r="AM147" s="121"/>
      <c r="AN147" s="121"/>
      <c r="AO147" s="121"/>
      <c r="AP147" s="121"/>
      <c r="AQ147" s="121"/>
      <c r="AR147" s="121"/>
      <c r="AS147" s="121"/>
      <c r="AT147" s="121"/>
      <c r="AU147" s="121"/>
      <c r="AV147" s="121"/>
      <c r="AW147" s="121"/>
      <c r="AX147" s="121"/>
      <c r="AY147" s="121"/>
      <c r="AZ147" s="121"/>
      <c r="BA147" s="121"/>
      <c r="BB147" s="121"/>
      <c r="BC147" s="121"/>
      <c r="BD147" s="121"/>
      <c r="BE147" s="121"/>
      <c r="BF147" s="121"/>
      <c r="BG147" s="121"/>
      <c r="BH147" s="121"/>
      <c r="BI147" s="121"/>
      <c r="BJ147" s="122"/>
      <c r="BK147" s="93"/>
      <c r="BL147" s="94"/>
      <c r="BM147" s="95"/>
      <c r="BN147" s="179" t="str">
        <f t="shared" si="7"/>
        <v/>
      </c>
      <c r="BO147" s="177"/>
      <c r="BP147" s="14"/>
      <c r="BQ147" s="14"/>
      <c r="BR147" s="14"/>
      <c r="BS147" s="14"/>
      <c r="BT147" s="14"/>
      <c r="BU147" s="14"/>
      <c r="BV147" s="16"/>
      <c r="BW147" s="14"/>
      <c r="BX147" s="14"/>
      <c r="BY147" s="14"/>
      <c r="BZ147" s="14"/>
      <c r="CA147" s="14"/>
      <c r="CB147" s="14"/>
      <c r="CC147" s="14"/>
      <c r="CD147" s="14"/>
      <c r="CE147" s="14"/>
      <c r="CF147" s="14"/>
      <c r="CG147" s="14"/>
      <c r="CH147" s="14"/>
      <c r="CI147" s="14"/>
      <c r="CJ147" s="14"/>
      <c r="CK147" s="14"/>
      <c r="CL147" s="14"/>
      <c r="CM147" s="14"/>
      <c r="CN147" s="14"/>
      <c r="CO147" s="14"/>
      <c r="CP147" s="14"/>
      <c r="CQ147" s="14"/>
      <c r="CR147" s="14"/>
      <c r="CS147" s="14"/>
      <c r="CT147" s="14"/>
      <c r="CU147" s="14"/>
      <c r="CV147" s="14"/>
      <c r="CW147" s="14"/>
      <c r="CX147" s="14"/>
      <c r="CY147" s="14"/>
      <c r="CZ147" s="14"/>
      <c r="DA147" s="14"/>
      <c r="DB147" s="14"/>
      <c r="DC147" s="14"/>
      <c r="DD147" s="14"/>
      <c r="DE147" s="14"/>
      <c r="DF147" s="14"/>
      <c r="DG147" s="14"/>
      <c r="DH147" s="14"/>
      <c r="DI147" s="14"/>
      <c r="DJ147" s="14"/>
      <c r="DK147" s="14"/>
      <c r="DL147" s="14"/>
      <c r="DM147" s="14"/>
      <c r="DN147" s="14"/>
      <c r="DO147" s="14"/>
      <c r="DP147" s="26"/>
      <c r="DQ147" s="27"/>
      <c r="DR147" s="129"/>
      <c r="DS147" s="130">
        <f>TCP(BO147:DQ147,$BO$9:$DQ$9,data!$H$8)</f>
        <v>0</v>
      </c>
      <c r="DT147" s="135"/>
      <c r="DU147" s="121"/>
      <c r="DV147" s="121"/>
      <c r="DW147" s="134"/>
      <c r="DX147" s="132"/>
      <c r="DY147" s="136"/>
      <c r="DZ147" s="21"/>
      <c r="EA147" s="18"/>
      <c r="EB147" s="4"/>
      <c r="EI147" s="23"/>
      <c r="EJ147" s="23"/>
    </row>
    <row r="148" spans="1:140" s="191" customFormat="1" ht="15.75" x14ac:dyDescent="0.25">
      <c r="A148" s="12"/>
      <c r="B148" s="16"/>
      <c r="C148" s="24" t="str">
        <f t="shared" si="6"/>
        <v xml:space="preserve"> </v>
      </c>
      <c r="D148" s="25"/>
      <c r="E148" s="20"/>
      <c r="F148" s="19"/>
      <c r="G148" s="180"/>
      <c r="H148" s="120"/>
      <c r="I148" s="121"/>
      <c r="J148" s="121"/>
      <c r="K148" s="121"/>
      <c r="L148" s="121"/>
      <c r="M148" s="121"/>
      <c r="N148" s="121"/>
      <c r="O148" s="121"/>
      <c r="P148" s="121"/>
      <c r="Q148" s="121"/>
      <c r="R148" s="121"/>
      <c r="S148" s="121"/>
      <c r="T148" s="121"/>
      <c r="U148" s="121"/>
      <c r="V148" s="121"/>
      <c r="W148" s="121"/>
      <c r="X148" s="121"/>
      <c r="Y148" s="121"/>
      <c r="Z148" s="121"/>
      <c r="AA148" s="121"/>
      <c r="AB148" s="121"/>
      <c r="AC148" s="121"/>
      <c r="AD148" s="121"/>
      <c r="AE148" s="121"/>
      <c r="AF148" s="121"/>
      <c r="AG148" s="121"/>
      <c r="AH148" s="121"/>
      <c r="AI148" s="121"/>
      <c r="AJ148" s="121"/>
      <c r="AK148" s="121"/>
      <c r="AL148" s="121"/>
      <c r="AM148" s="121"/>
      <c r="AN148" s="121"/>
      <c r="AO148" s="121"/>
      <c r="AP148" s="121"/>
      <c r="AQ148" s="121"/>
      <c r="AR148" s="121"/>
      <c r="AS148" s="121"/>
      <c r="AT148" s="121"/>
      <c r="AU148" s="121"/>
      <c r="AV148" s="121"/>
      <c r="AW148" s="121"/>
      <c r="AX148" s="121"/>
      <c r="AY148" s="121"/>
      <c r="AZ148" s="121"/>
      <c r="BA148" s="121"/>
      <c r="BB148" s="121"/>
      <c r="BC148" s="121"/>
      <c r="BD148" s="121"/>
      <c r="BE148" s="121"/>
      <c r="BF148" s="121"/>
      <c r="BG148" s="121"/>
      <c r="BH148" s="121"/>
      <c r="BI148" s="121"/>
      <c r="BJ148" s="122"/>
      <c r="BK148" s="93"/>
      <c r="BL148" s="94"/>
      <c r="BM148" s="95"/>
      <c r="BN148" s="179" t="str">
        <f t="shared" si="7"/>
        <v/>
      </c>
      <c r="BO148" s="177"/>
      <c r="BP148" s="14"/>
      <c r="BQ148" s="14"/>
      <c r="BR148" s="14"/>
      <c r="BS148" s="14"/>
      <c r="BT148" s="14"/>
      <c r="BU148" s="14"/>
      <c r="BV148" s="16"/>
      <c r="BW148" s="14"/>
      <c r="BX148" s="14"/>
      <c r="BY148" s="14"/>
      <c r="BZ148" s="14"/>
      <c r="CA148" s="14"/>
      <c r="CB148" s="14"/>
      <c r="CC148" s="14"/>
      <c r="CD148" s="14"/>
      <c r="CE148" s="14"/>
      <c r="CF148" s="14"/>
      <c r="CG148" s="14"/>
      <c r="CH148" s="14"/>
      <c r="CI148" s="14"/>
      <c r="CJ148" s="14"/>
      <c r="CK148" s="14"/>
      <c r="CL148" s="14"/>
      <c r="CM148" s="14"/>
      <c r="CN148" s="14"/>
      <c r="CO148" s="14"/>
      <c r="CP148" s="14"/>
      <c r="CQ148" s="14"/>
      <c r="CR148" s="14"/>
      <c r="CS148" s="14"/>
      <c r="CT148" s="14"/>
      <c r="CU148" s="14"/>
      <c r="CV148" s="14"/>
      <c r="CW148" s="14"/>
      <c r="CX148" s="14"/>
      <c r="CY148" s="14"/>
      <c r="CZ148" s="14"/>
      <c r="DA148" s="14"/>
      <c r="DB148" s="14"/>
      <c r="DC148" s="14"/>
      <c r="DD148" s="14"/>
      <c r="DE148" s="14"/>
      <c r="DF148" s="14"/>
      <c r="DG148" s="14"/>
      <c r="DH148" s="14"/>
      <c r="DI148" s="14"/>
      <c r="DJ148" s="14"/>
      <c r="DK148" s="14"/>
      <c r="DL148" s="14"/>
      <c r="DM148" s="14"/>
      <c r="DN148" s="14"/>
      <c r="DO148" s="14"/>
      <c r="DP148" s="26"/>
      <c r="DQ148" s="27"/>
      <c r="DR148" s="129"/>
      <c r="DS148" s="130">
        <f>TCP(BO148:DQ148,$BO$9:$DQ$9,data!$H$8)</f>
        <v>0</v>
      </c>
      <c r="DT148" s="135"/>
      <c r="DU148" s="121"/>
      <c r="DV148" s="121"/>
      <c r="DW148" s="134"/>
      <c r="DX148" s="132"/>
      <c r="DY148" s="136"/>
      <c r="DZ148" s="21"/>
      <c r="EA148" s="18"/>
      <c r="EB148" s="4"/>
      <c r="EI148" s="23"/>
      <c r="EJ148" s="23"/>
    </row>
    <row r="149" spans="1:140" s="191" customFormat="1" ht="15.75" x14ac:dyDescent="0.25">
      <c r="A149" s="12"/>
      <c r="B149" s="16"/>
      <c r="C149" s="24" t="str">
        <f t="shared" si="6"/>
        <v xml:space="preserve"> </v>
      </c>
      <c r="D149" s="25"/>
      <c r="E149" s="20"/>
      <c r="F149" s="19"/>
      <c r="G149" s="180"/>
      <c r="H149" s="120"/>
      <c r="I149" s="121"/>
      <c r="J149" s="121"/>
      <c r="K149" s="121"/>
      <c r="L149" s="121"/>
      <c r="M149" s="121"/>
      <c r="N149" s="121"/>
      <c r="O149" s="121"/>
      <c r="P149" s="121"/>
      <c r="Q149" s="121"/>
      <c r="R149" s="121"/>
      <c r="S149" s="121"/>
      <c r="T149" s="121"/>
      <c r="U149" s="121"/>
      <c r="V149" s="121"/>
      <c r="W149" s="121"/>
      <c r="X149" s="121"/>
      <c r="Y149" s="121"/>
      <c r="Z149" s="121"/>
      <c r="AA149" s="121"/>
      <c r="AB149" s="121"/>
      <c r="AC149" s="121"/>
      <c r="AD149" s="121"/>
      <c r="AE149" s="121"/>
      <c r="AF149" s="121"/>
      <c r="AG149" s="121"/>
      <c r="AH149" s="121"/>
      <c r="AI149" s="121"/>
      <c r="AJ149" s="121"/>
      <c r="AK149" s="121"/>
      <c r="AL149" s="121"/>
      <c r="AM149" s="121"/>
      <c r="AN149" s="121"/>
      <c r="AO149" s="121"/>
      <c r="AP149" s="121"/>
      <c r="AQ149" s="121"/>
      <c r="AR149" s="121"/>
      <c r="AS149" s="121"/>
      <c r="AT149" s="121"/>
      <c r="AU149" s="121"/>
      <c r="AV149" s="121"/>
      <c r="AW149" s="121"/>
      <c r="AX149" s="121"/>
      <c r="AY149" s="121"/>
      <c r="AZ149" s="121"/>
      <c r="BA149" s="121"/>
      <c r="BB149" s="121"/>
      <c r="BC149" s="121"/>
      <c r="BD149" s="121"/>
      <c r="BE149" s="121"/>
      <c r="BF149" s="121"/>
      <c r="BG149" s="121"/>
      <c r="BH149" s="121"/>
      <c r="BI149" s="121"/>
      <c r="BJ149" s="122"/>
      <c r="BK149" s="93"/>
      <c r="BL149" s="94"/>
      <c r="BM149" s="95"/>
      <c r="BN149" s="179" t="str">
        <f t="shared" si="7"/>
        <v/>
      </c>
      <c r="BO149" s="177"/>
      <c r="BP149" s="14"/>
      <c r="BQ149" s="14"/>
      <c r="BR149" s="14"/>
      <c r="BS149" s="14"/>
      <c r="BT149" s="14"/>
      <c r="BU149" s="14"/>
      <c r="BV149" s="16"/>
      <c r="BW149" s="14"/>
      <c r="BX149" s="14"/>
      <c r="BY149" s="14"/>
      <c r="BZ149" s="14"/>
      <c r="CA149" s="14"/>
      <c r="CB149" s="14"/>
      <c r="CC149" s="14"/>
      <c r="CD149" s="14"/>
      <c r="CE149" s="14"/>
      <c r="CF149" s="14"/>
      <c r="CG149" s="14"/>
      <c r="CH149" s="14"/>
      <c r="CI149" s="14"/>
      <c r="CJ149" s="14"/>
      <c r="CK149" s="14"/>
      <c r="CL149" s="14"/>
      <c r="CM149" s="14"/>
      <c r="CN149" s="14"/>
      <c r="CO149" s="14"/>
      <c r="CP149" s="14"/>
      <c r="CQ149" s="14"/>
      <c r="CR149" s="14"/>
      <c r="CS149" s="14"/>
      <c r="CT149" s="14"/>
      <c r="CU149" s="14"/>
      <c r="CV149" s="14"/>
      <c r="CW149" s="14"/>
      <c r="CX149" s="14"/>
      <c r="CY149" s="14"/>
      <c r="CZ149" s="14"/>
      <c r="DA149" s="14"/>
      <c r="DB149" s="14"/>
      <c r="DC149" s="14"/>
      <c r="DD149" s="14"/>
      <c r="DE149" s="14"/>
      <c r="DF149" s="14"/>
      <c r="DG149" s="14"/>
      <c r="DH149" s="14"/>
      <c r="DI149" s="14"/>
      <c r="DJ149" s="14"/>
      <c r="DK149" s="14"/>
      <c r="DL149" s="14"/>
      <c r="DM149" s="14"/>
      <c r="DN149" s="14"/>
      <c r="DO149" s="14"/>
      <c r="DP149" s="26"/>
      <c r="DQ149" s="27"/>
      <c r="DR149" s="129"/>
      <c r="DS149" s="130">
        <f>TCP(BO149:DQ149,$BO$9:$DQ$9,data!$H$8)</f>
        <v>0</v>
      </c>
      <c r="DT149" s="135"/>
      <c r="DU149" s="121"/>
      <c r="DV149" s="121"/>
      <c r="DW149" s="134"/>
      <c r="DX149" s="132"/>
      <c r="DY149" s="136"/>
      <c r="DZ149" s="21"/>
      <c r="EA149" s="18"/>
      <c r="EB149" s="4"/>
      <c r="EI149" s="23"/>
      <c r="EJ149" s="23"/>
    </row>
    <row r="150" spans="1:140" s="191" customFormat="1" ht="15.75" x14ac:dyDescent="0.25">
      <c r="A150" s="12"/>
      <c r="B150" s="16"/>
      <c r="C150" s="24" t="str">
        <f t="shared" si="6"/>
        <v xml:space="preserve"> </v>
      </c>
      <c r="D150" s="25"/>
      <c r="E150" s="20"/>
      <c r="F150" s="19"/>
      <c r="G150" s="180"/>
      <c r="H150" s="120"/>
      <c r="I150" s="121"/>
      <c r="J150" s="121"/>
      <c r="K150" s="121"/>
      <c r="L150" s="121"/>
      <c r="M150" s="121"/>
      <c r="N150" s="121"/>
      <c r="O150" s="121"/>
      <c r="P150" s="121"/>
      <c r="Q150" s="121"/>
      <c r="R150" s="121"/>
      <c r="S150" s="121"/>
      <c r="T150" s="121"/>
      <c r="U150" s="121"/>
      <c r="V150" s="121"/>
      <c r="W150" s="121"/>
      <c r="X150" s="121"/>
      <c r="Y150" s="121"/>
      <c r="Z150" s="121"/>
      <c r="AA150" s="121"/>
      <c r="AB150" s="121"/>
      <c r="AC150" s="121"/>
      <c r="AD150" s="121"/>
      <c r="AE150" s="121"/>
      <c r="AF150" s="121"/>
      <c r="AG150" s="121"/>
      <c r="AH150" s="121"/>
      <c r="AI150" s="121"/>
      <c r="AJ150" s="121"/>
      <c r="AK150" s="121"/>
      <c r="AL150" s="121"/>
      <c r="AM150" s="121"/>
      <c r="AN150" s="121"/>
      <c r="AO150" s="121"/>
      <c r="AP150" s="121"/>
      <c r="AQ150" s="121"/>
      <c r="AR150" s="121"/>
      <c r="AS150" s="121"/>
      <c r="AT150" s="121"/>
      <c r="AU150" s="121"/>
      <c r="AV150" s="121"/>
      <c r="AW150" s="121"/>
      <c r="AX150" s="121"/>
      <c r="AY150" s="121"/>
      <c r="AZ150" s="121"/>
      <c r="BA150" s="121"/>
      <c r="BB150" s="121"/>
      <c r="BC150" s="121"/>
      <c r="BD150" s="121"/>
      <c r="BE150" s="121"/>
      <c r="BF150" s="121"/>
      <c r="BG150" s="121"/>
      <c r="BH150" s="121"/>
      <c r="BI150" s="121"/>
      <c r="BJ150" s="122"/>
      <c r="BK150" s="93"/>
      <c r="BL150" s="94"/>
      <c r="BM150" s="95"/>
      <c r="BN150" s="179" t="str">
        <f t="shared" si="7"/>
        <v/>
      </c>
      <c r="BO150" s="177"/>
      <c r="BP150" s="14"/>
      <c r="BQ150" s="14"/>
      <c r="BR150" s="14"/>
      <c r="BS150" s="14"/>
      <c r="BT150" s="14"/>
      <c r="BU150" s="14"/>
      <c r="BV150" s="16"/>
      <c r="BW150" s="14"/>
      <c r="BX150" s="14"/>
      <c r="BY150" s="14"/>
      <c r="BZ150" s="14"/>
      <c r="CA150" s="14"/>
      <c r="CB150" s="14"/>
      <c r="CC150" s="14"/>
      <c r="CD150" s="14"/>
      <c r="CE150" s="14"/>
      <c r="CF150" s="14"/>
      <c r="CG150" s="14"/>
      <c r="CH150" s="14"/>
      <c r="CI150" s="14"/>
      <c r="CJ150" s="14"/>
      <c r="CK150" s="14"/>
      <c r="CL150" s="14"/>
      <c r="CM150" s="14"/>
      <c r="CN150" s="14"/>
      <c r="CO150" s="14"/>
      <c r="CP150" s="14"/>
      <c r="CQ150" s="14"/>
      <c r="CR150" s="14"/>
      <c r="CS150" s="14"/>
      <c r="CT150" s="14"/>
      <c r="CU150" s="14"/>
      <c r="CV150" s="14"/>
      <c r="CW150" s="14"/>
      <c r="CX150" s="14"/>
      <c r="CY150" s="14"/>
      <c r="CZ150" s="14"/>
      <c r="DA150" s="14"/>
      <c r="DB150" s="14"/>
      <c r="DC150" s="14"/>
      <c r="DD150" s="14"/>
      <c r="DE150" s="14"/>
      <c r="DF150" s="14"/>
      <c r="DG150" s="14"/>
      <c r="DH150" s="14"/>
      <c r="DI150" s="14"/>
      <c r="DJ150" s="14"/>
      <c r="DK150" s="14"/>
      <c r="DL150" s="14"/>
      <c r="DM150" s="14"/>
      <c r="DN150" s="14"/>
      <c r="DO150" s="14"/>
      <c r="DP150" s="26"/>
      <c r="DQ150" s="27"/>
      <c r="DR150" s="129"/>
      <c r="DS150" s="130">
        <f>TCP(BO150:DQ150,$BO$9:$DQ$9,data!$H$8)</f>
        <v>0</v>
      </c>
      <c r="DT150" s="135"/>
      <c r="DU150" s="121"/>
      <c r="DV150" s="121"/>
      <c r="DW150" s="134"/>
      <c r="DX150" s="132"/>
      <c r="DY150" s="136"/>
      <c r="DZ150" s="21"/>
      <c r="EA150" s="18"/>
      <c r="EB150" s="4"/>
      <c r="EI150" s="23"/>
      <c r="EJ150" s="23"/>
    </row>
    <row r="151" spans="1:140" s="191" customFormat="1" ht="15.75" x14ac:dyDescent="0.25">
      <c r="A151" s="12"/>
      <c r="B151" s="16"/>
      <c r="C151" s="24" t="str">
        <f t="shared" si="6"/>
        <v xml:space="preserve"> </v>
      </c>
      <c r="D151" s="25"/>
      <c r="E151" s="20"/>
      <c r="F151" s="19"/>
      <c r="G151" s="180"/>
      <c r="H151" s="120"/>
      <c r="I151" s="121"/>
      <c r="J151" s="121"/>
      <c r="K151" s="121"/>
      <c r="L151" s="121"/>
      <c r="M151" s="121"/>
      <c r="N151" s="121"/>
      <c r="O151" s="121"/>
      <c r="P151" s="121"/>
      <c r="Q151" s="121"/>
      <c r="R151" s="121"/>
      <c r="S151" s="121"/>
      <c r="T151" s="121"/>
      <c r="U151" s="121"/>
      <c r="V151" s="121"/>
      <c r="W151" s="121"/>
      <c r="X151" s="121"/>
      <c r="Y151" s="121"/>
      <c r="Z151" s="121"/>
      <c r="AA151" s="121"/>
      <c r="AB151" s="121"/>
      <c r="AC151" s="121"/>
      <c r="AD151" s="121"/>
      <c r="AE151" s="121"/>
      <c r="AF151" s="121"/>
      <c r="AG151" s="121"/>
      <c r="AH151" s="121"/>
      <c r="AI151" s="121"/>
      <c r="AJ151" s="121"/>
      <c r="AK151" s="121"/>
      <c r="AL151" s="121"/>
      <c r="AM151" s="121"/>
      <c r="AN151" s="121"/>
      <c r="AO151" s="121"/>
      <c r="AP151" s="121"/>
      <c r="AQ151" s="121"/>
      <c r="AR151" s="121"/>
      <c r="AS151" s="121"/>
      <c r="AT151" s="121"/>
      <c r="AU151" s="121"/>
      <c r="AV151" s="121"/>
      <c r="AW151" s="121"/>
      <c r="AX151" s="121"/>
      <c r="AY151" s="121"/>
      <c r="AZ151" s="121"/>
      <c r="BA151" s="121"/>
      <c r="BB151" s="121"/>
      <c r="BC151" s="121"/>
      <c r="BD151" s="121"/>
      <c r="BE151" s="121"/>
      <c r="BF151" s="121"/>
      <c r="BG151" s="121"/>
      <c r="BH151" s="121"/>
      <c r="BI151" s="121"/>
      <c r="BJ151" s="122"/>
      <c r="BK151" s="93"/>
      <c r="BL151" s="94"/>
      <c r="BM151" s="95"/>
      <c r="BN151" s="179" t="str">
        <f t="shared" si="7"/>
        <v/>
      </c>
      <c r="BO151" s="177"/>
      <c r="BP151" s="14"/>
      <c r="BQ151" s="14"/>
      <c r="BR151" s="14"/>
      <c r="BS151" s="14"/>
      <c r="BT151" s="14"/>
      <c r="BU151" s="14"/>
      <c r="BV151" s="16"/>
      <c r="BW151" s="14"/>
      <c r="BX151" s="14"/>
      <c r="BY151" s="14"/>
      <c r="BZ151" s="14"/>
      <c r="CA151" s="14"/>
      <c r="CB151" s="14"/>
      <c r="CC151" s="14"/>
      <c r="CD151" s="14"/>
      <c r="CE151" s="14"/>
      <c r="CF151" s="14"/>
      <c r="CG151" s="14"/>
      <c r="CH151" s="14"/>
      <c r="CI151" s="14"/>
      <c r="CJ151" s="14"/>
      <c r="CK151" s="14"/>
      <c r="CL151" s="14"/>
      <c r="CM151" s="14"/>
      <c r="CN151" s="14"/>
      <c r="CO151" s="14"/>
      <c r="CP151" s="14"/>
      <c r="CQ151" s="14"/>
      <c r="CR151" s="14"/>
      <c r="CS151" s="14"/>
      <c r="CT151" s="14"/>
      <c r="CU151" s="14"/>
      <c r="CV151" s="14"/>
      <c r="CW151" s="14"/>
      <c r="CX151" s="14"/>
      <c r="CY151" s="14"/>
      <c r="CZ151" s="14"/>
      <c r="DA151" s="14"/>
      <c r="DB151" s="14"/>
      <c r="DC151" s="14"/>
      <c r="DD151" s="14"/>
      <c r="DE151" s="14"/>
      <c r="DF151" s="14"/>
      <c r="DG151" s="14"/>
      <c r="DH151" s="14"/>
      <c r="DI151" s="14"/>
      <c r="DJ151" s="14"/>
      <c r="DK151" s="14"/>
      <c r="DL151" s="14"/>
      <c r="DM151" s="14"/>
      <c r="DN151" s="14"/>
      <c r="DO151" s="14"/>
      <c r="DP151" s="26"/>
      <c r="DQ151" s="27"/>
      <c r="DR151" s="129"/>
      <c r="DS151" s="130">
        <f>TCP(BO151:DQ151,$BO$9:$DQ$9,data!$H$8)</f>
        <v>0</v>
      </c>
      <c r="DT151" s="135"/>
      <c r="DU151" s="121"/>
      <c r="DV151" s="121"/>
      <c r="DW151" s="134"/>
      <c r="DX151" s="132"/>
      <c r="DY151" s="136"/>
      <c r="DZ151" s="21"/>
      <c r="EA151" s="18"/>
      <c r="EB151" s="4"/>
      <c r="EI151" s="23"/>
      <c r="EJ151" s="23"/>
    </row>
    <row r="152" spans="1:140" s="191" customFormat="1" ht="15.75" x14ac:dyDescent="0.25">
      <c r="A152" s="12"/>
      <c r="B152" s="16"/>
      <c r="C152" s="24" t="str">
        <f t="shared" si="6"/>
        <v xml:space="preserve"> </v>
      </c>
      <c r="D152" s="25"/>
      <c r="E152" s="20"/>
      <c r="F152" s="19"/>
      <c r="G152" s="180"/>
      <c r="H152" s="120"/>
      <c r="I152" s="121"/>
      <c r="J152" s="121"/>
      <c r="K152" s="121"/>
      <c r="L152" s="121"/>
      <c r="M152" s="121"/>
      <c r="N152" s="121"/>
      <c r="O152" s="121"/>
      <c r="P152" s="121"/>
      <c r="Q152" s="121"/>
      <c r="R152" s="121"/>
      <c r="S152" s="121"/>
      <c r="T152" s="121"/>
      <c r="U152" s="121"/>
      <c r="V152" s="121"/>
      <c r="W152" s="121"/>
      <c r="X152" s="121"/>
      <c r="Y152" s="121"/>
      <c r="Z152" s="121"/>
      <c r="AA152" s="121"/>
      <c r="AB152" s="121"/>
      <c r="AC152" s="121"/>
      <c r="AD152" s="121"/>
      <c r="AE152" s="121"/>
      <c r="AF152" s="121"/>
      <c r="AG152" s="121"/>
      <c r="AH152" s="121"/>
      <c r="AI152" s="121"/>
      <c r="AJ152" s="121"/>
      <c r="AK152" s="121"/>
      <c r="AL152" s="121"/>
      <c r="AM152" s="121"/>
      <c r="AN152" s="121"/>
      <c r="AO152" s="121"/>
      <c r="AP152" s="121"/>
      <c r="AQ152" s="121"/>
      <c r="AR152" s="121"/>
      <c r="AS152" s="121"/>
      <c r="AT152" s="121"/>
      <c r="AU152" s="121"/>
      <c r="AV152" s="121"/>
      <c r="AW152" s="121"/>
      <c r="AX152" s="121"/>
      <c r="AY152" s="121"/>
      <c r="AZ152" s="121"/>
      <c r="BA152" s="121"/>
      <c r="BB152" s="121"/>
      <c r="BC152" s="121"/>
      <c r="BD152" s="121"/>
      <c r="BE152" s="121"/>
      <c r="BF152" s="121"/>
      <c r="BG152" s="121"/>
      <c r="BH152" s="121"/>
      <c r="BI152" s="121"/>
      <c r="BJ152" s="122"/>
      <c r="BK152" s="93"/>
      <c r="BL152" s="94"/>
      <c r="BM152" s="95"/>
      <c r="BN152" s="179" t="str">
        <f t="shared" si="7"/>
        <v/>
      </c>
      <c r="BO152" s="177"/>
      <c r="BP152" s="14"/>
      <c r="BQ152" s="14"/>
      <c r="BR152" s="14"/>
      <c r="BS152" s="14"/>
      <c r="BT152" s="14"/>
      <c r="BU152" s="14"/>
      <c r="BV152" s="16"/>
      <c r="BW152" s="14"/>
      <c r="BX152" s="14"/>
      <c r="BY152" s="14"/>
      <c r="BZ152" s="14"/>
      <c r="CA152" s="14"/>
      <c r="CB152" s="14"/>
      <c r="CC152" s="14"/>
      <c r="CD152" s="14"/>
      <c r="CE152" s="14"/>
      <c r="CF152" s="14"/>
      <c r="CG152" s="14"/>
      <c r="CH152" s="14"/>
      <c r="CI152" s="14"/>
      <c r="CJ152" s="14"/>
      <c r="CK152" s="14"/>
      <c r="CL152" s="14"/>
      <c r="CM152" s="14"/>
      <c r="CN152" s="14"/>
      <c r="CO152" s="14"/>
      <c r="CP152" s="14"/>
      <c r="CQ152" s="14"/>
      <c r="CR152" s="14"/>
      <c r="CS152" s="14"/>
      <c r="CT152" s="14"/>
      <c r="CU152" s="14"/>
      <c r="CV152" s="14"/>
      <c r="CW152" s="14"/>
      <c r="CX152" s="14"/>
      <c r="CY152" s="14"/>
      <c r="CZ152" s="14"/>
      <c r="DA152" s="14"/>
      <c r="DB152" s="14"/>
      <c r="DC152" s="14"/>
      <c r="DD152" s="14"/>
      <c r="DE152" s="14"/>
      <c r="DF152" s="14"/>
      <c r="DG152" s="14"/>
      <c r="DH152" s="14"/>
      <c r="DI152" s="14"/>
      <c r="DJ152" s="14"/>
      <c r="DK152" s="14"/>
      <c r="DL152" s="14"/>
      <c r="DM152" s="14"/>
      <c r="DN152" s="14"/>
      <c r="DO152" s="14"/>
      <c r="DP152" s="26"/>
      <c r="DQ152" s="27"/>
      <c r="DR152" s="129"/>
      <c r="DS152" s="130">
        <f>TCP(BO152:DQ152,$BO$9:$DQ$9,data!$H$8)</f>
        <v>0</v>
      </c>
      <c r="DT152" s="135"/>
      <c r="DU152" s="121"/>
      <c r="DV152" s="121"/>
      <c r="DW152" s="134"/>
      <c r="DX152" s="132"/>
      <c r="DY152" s="136"/>
      <c r="DZ152" s="21"/>
      <c r="EA152" s="18"/>
      <c r="EB152" s="4"/>
      <c r="EI152" s="23"/>
      <c r="EJ152" s="23"/>
    </row>
    <row r="153" spans="1:140" s="191" customFormat="1" ht="15.75" x14ac:dyDescent="0.25">
      <c r="A153" s="12"/>
      <c r="B153" s="16"/>
      <c r="C153" s="24" t="str">
        <f t="shared" si="6"/>
        <v xml:space="preserve"> </v>
      </c>
      <c r="D153" s="25"/>
      <c r="E153" s="20"/>
      <c r="F153" s="19"/>
      <c r="G153" s="180"/>
      <c r="H153" s="120"/>
      <c r="I153" s="121"/>
      <c r="J153" s="121"/>
      <c r="K153" s="121"/>
      <c r="L153" s="121"/>
      <c r="M153" s="121"/>
      <c r="N153" s="121"/>
      <c r="O153" s="121"/>
      <c r="P153" s="121"/>
      <c r="Q153" s="121"/>
      <c r="R153" s="121"/>
      <c r="S153" s="121"/>
      <c r="T153" s="121"/>
      <c r="U153" s="121"/>
      <c r="V153" s="121"/>
      <c r="W153" s="121"/>
      <c r="X153" s="121"/>
      <c r="Y153" s="121"/>
      <c r="Z153" s="121"/>
      <c r="AA153" s="121"/>
      <c r="AB153" s="121"/>
      <c r="AC153" s="121"/>
      <c r="AD153" s="121"/>
      <c r="AE153" s="121"/>
      <c r="AF153" s="121"/>
      <c r="AG153" s="121"/>
      <c r="AH153" s="121"/>
      <c r="AI153" s="121"/>
      <c r="AJ153" s="121"/>
      <c r="AK153" s="121"/>
      <c r="AL153" s="121"/>
      <c r="AM153" s="121"/>
      <c r="AN153" s="121"/>
      <c r="AO153" s="121"/>
      <c r="AP153" s="121"/>
      <c r="AQ153" s="121"/>
      <c r="AR153" s="121"/>
      <c r="AS153" s="121"/>
      <c r="AT153" s="121"/>
      <c r="AU153" s="121"/>
      <c r="AV153" s="121"/>
      <c r="AW153" s="121"/>
      <c r="AX153" s="121"/>
      <c r="AY153" s="121"/>
      <c r="AZ153" s="121"/>
      <c r="BA153" s="121"/>
      <c r="BB153" s="121"/>
      <c r="BC153" s="121"/>
      <c r="BD153" s="121"/>
      <c r="BE153" s="121"/>
      <c r="BF153" s="121"/>
      <c r="BG153" s="121"/>
      <c r="BH153" s="121"/>
      <c r="BI153" s="121"/>
      <c r="BJ153" s="122"/>
      <c r="BK153" s="93"/>
      <c r="BL153" s="94"/>
      <c r="BM153" s="95"/>
      <c r="BN153" s="179" t="str">
        <f t="shared" si="7"/>
        <v/>
      </c>
      <c r="BO153" s="177"/>
      <c r="BP153" s="14"/>
      <c r="BQ153" s="14"/>
      <c r="BR153" s="14"/>
      <c r="BS153" s="14"/>
      <c r="BT153" s="14"/>
      <c r="BU153" s="14"/>
      <c r="BV153" s="16"/>
      <c r="BW153" s="14"/>
      <c r="BX153" s="14"/>
      <c r="BY153" s="14"/>
      <c r="BZ153" s="14"/>
      <c r="CA153" s="14"/>
      <c r="CB153" s="14"/>
      <c r="CC153" s="14"/>
      <c r="CD153" s="14"/>
      <c r="CE153" s="14"/>
      <c r="CF153" s="14"/>
      <c r="CG153" s="14"/>
      <c r="CH153" s="14"/>
      <c r="CI153" s="14"/>
      <c r="CJ153" s="14"/>
      <c r="CK153" s="14"/>
      <c r="CL153" s="14"/>
      <c r="CM153" s="14"/>
      <c r="CN153" s="14"/>
      <c r="CO153" s="14"/>
      <c r="CP153" s="14"/>
      <c r="CQ153" s="14"/>
      <c r="CR153" s="14"/>
      <c r="CS153" s="14"/>
      <c r="CT153" s="14"/>
      <c r="CU153" s="14"/>
      <c r="CV153" s="14"/>
      <c r="CW153" s="14"/>
      <c r="CX153" s="14"/>
      <c r="CY153" s="14"/>
      <c r="CZ153" s="14"/>
      <c r="DA153" s="14"/>
      <c r="DB153" s="14"/>
      <c r="DC153" s="14"/>
      <c r="DD153" s="14"/>
      <c r="DE153" s="14"/>
      <c r="DF153" s="14"/>
      <c r="DG153" s="14"/>
      <c r="DH153" s="14"/>
      <c r="DI153" s="14"/>
      <c r="DJ153" s="14"/>
      <c r="DK153" s="14"/>
      <c r="DL153" s="14"/>
      <c r="DM153" s="14"/>
      <c r="DN153" s="14"/>
      <c r="DO153" s="14"/>
      <c r="DP153" s="26"/>
      <c r="DQ153" s="27"/>
      <c r="DR153" s="129"/>
      <c r="DS153" s="130">
        <f>TCP(BO153:DQ153,$BO$9:$DQ$9,data!$H$8)</f>
        <v>0</v>
      </c>
      <c r="DT153" s="135"/>
      <c r="DU153" s="121"/>
      <c r="DV153" s="121"/>
      <c r="DW153" s="134"/>
      <c r="DX153" s="132"/>
      <c r="DY153" s="136"/>
      <c r="DZ153" s="21"/>
      <c r="EA153" s="18"/>
      <c r="EB153" s="4"/>
      <c r="EI153" s="23"/>
      <c r="EJ153" s="23"/>
    </row>
    <row r="154" spans="1:140" s="191" customFormat="1" ht="15.75" x14ac:dyDescent="0.25">
      <c r="A154" s="12"/>
      <c r="B154" s="16"/>
      <c r="C154" s="24" t="str">
        <f t="shared" si="6"/>
        <v xml:space="preserve"> </v>
      </c>
      <c r="D154" s="25"/>
      <c r="E154" s="20"/>
      <c r="F154" s="19"/>
      <c r="G154" s="180"/>
      <c r="H154" s="120"/>
      <c r="I154" s="121"/>
      <c r="J154" s="121"/>
      <c r="K154" s="121"/>
      <c r="L154" s="121"/>
      <c r="M154" s="121"/>
      <c r="N154" s="121"/>
      <c r="O154" s="121"/>
      <c r="P154" s="121"/>
      <c r="Q154" s="121"/>
      <c r="R154" s="121"/>
      <c r="S154" s="121"/>
      <c r="T154" s="121"/>
      <c r="U154" s="121"/>
      <c r="V154" s="121"/>
      <c r="W154" s="121"/>
      <c r="X154" s="121"/>
      <c r="Y154" s="121"/>
      <c r="Z154" s="121"/>
      <c r="AA154" s="121"/>
      <c r="AB154" s="121"/>
      <c r="AC154" s="121"/>
      <c r="AD154" s="121"/>
      <c r="AE154" s="121"/>
      <c r="AF154" s="121"/>
      <c r="AG154" s="121"/>
      <c r="AH154" s="121"/>
      <c r="AI154" s="121"/>
      <c r="AJ154" s="121"/>
      <c r="AK154" s="121"/>
      <c r="AL154" s="121"/>
      <c r="AM154" s="121"/>
      <c r="AN154" s="121"/>
      <c r="AO154" s="121"/>
      <c r="AP154" s="121"/>
      <c r="AQ154" s="121"/>
      <c r="AR154" s="121"/>
      <c r="AS154" s="121"/>
      <c r="AT154" s="121"/>
      <c r="AU154" s="121"/>
      <c r="AV154" s="121"/>
      <c r="AW154" s="121"/>
      <c r="AX154" s="121"/>
      <c r="AY154" s="121"/>
      <c r="AZ154" s="121"/>
      <c r="BA154" s="121"/>
      <c r="BB154" s="121"/>
      <c r="BC154" s="121"/>
      <c r="BD154" s="121"/>
      <c r="BE154" s="121"/>
      <c r="BF154" s="121"/>
      <c r="BG154" s="121"/>
      <c r="BH154" s="121"/>
      <c r="BI154" s="121"/>
      <c r="BJ154" s="122"/>
      <c r="BK154" s="93"/>
      <c r="BL154" s="94"/>
      <c r="BM154" s="95"/>
      <c r="BN154" s="179" t="str">
        <f t="shared" si="7"/>
        <v/>
      </c>
      <c r="BO154" s="177"/>
      <c r="BP154" s="14"/>
      <c r="BQ154" s="14"/>
      <c r="BR154" s="14"/>
      <c r="BS154" s="14"/>
      <c r="BT154" s="14"/>
      <c r="BU154" s="14"/>
      <c r="BV154" s="16"/>
      <c r="BW154" s="14"/>
      <c r="BX154" s="14"/>
      <c r="BY154" s="14"/>
      <c r="BZ154" s="14"/>
      <c r="CA154" s="14"/>
      <c r="CB154" s="14"/>
      <c r="CC154" s="14"/>
      <c r="CD154" s="14"/>
      <c r="CE154" s="14"/>
      <c r="CF154" s="14"/>
      <c r="CG154" s="14"/>
      <c r="CH154" s="14"/>
      <c r="CI154" s="14"/>
      <c r="CJ154" s="14"/>
      <c r="CK154" s="14"/>
      <c r="CL154" s="14"/>
      <c r="CM154" s="14"/>
      <c r="CN154" s="14"/>
      <c r="CO154" s="14"/>
      <c r="CP154" s="14"/>
      <c r="CQ154" s="14"/>
      <c r="CR154" s="14"/>
      <c r="CS154" s="14"/>
      <c r="CT154" s="14"/>
      <c r="CU154" s="14"/>
      <c r="CV154" s="14"/>
      <c r="CW154" s="14"/>
      <c r="CX154" s="14"/>
      <c r="CY154" s="14"/>
      <c r="CZ154" s="14"/>
      <c r="DA154" s="14"/>
      <c r="DB154" s="14"/>
      <c r="DC154" s="14"/>
      <c r="DD154" s="14"/>
      <c r="DE154" s="14"/>
      <c r="DF154" s="14"/>
      <c r="DG154" s="14"/>
      <c r="DH154" s="14"/>
      <c r="DI154" s="14"/>
      <c r="DJ154" s="14"/>
      <c r="DK154" s="14"/>
      <c r="DL154" s="14"/>
      <c r="DM154" s="14"/>
      <c r="DN154" s="14"/>
      <c r="DO154" s="14"/>
      <c r="DP154" s="26"/>
      <c r="DQ154" s="27"/>
      <c r="DR154" s="129"/>
      <c r="DS154" s="130">
        <f>TCP(BO154:DQ154,$BO$9:$DQ$9,data!$H$8)</f>
        <v>0</v>
      </c>
      <c r="DT154" s="135"/>
      <c r="DU154" s="121"/>
      <c r="DV154" s="121"/>
      <c r="DW154" s="134"/>
      <c r="DX154" s="132"/>
      <c r="DY154" s="136"/>
      <c r="DZ154" s="21"/>
      <c r="EA154" s="18"/>
      <c r="EB154" s="4"/>
      <c r="EI154" s="23"/>
      <c r="EJ154" s="23"/>
    </row>
    <row r="155" spans="1:140" s="191" customFormat="1" ht="15.75" x14ac:dyDescent="0.25">
      <c r="A155" s="12"/>
      <c r="B155" s="16"/>
      <c r="C155" s="24" t="str">
        <f t="shared" si="6"/>
        <v xml:space="preserve"> </v>
      </c>
      <c r="D155" s="25"/>
      <c r="E155" s="20"/>
      <c r="F155" s="19"/>
      <c r="G155" s="180"/>
      <c r="H155" s="120"/>
      <c r="I155" s="121"/>
      <c r="J155" s="121"/>
      <c r="K155" s="121"/>
      <c r="L155" s="121"/>
      <c r="M155" s="121"/>
      <c r="N155" s="121"/>
      <c r="O155" s="121"/>
      <c r="P155" s="121"/>
      <c r="Q155" s="121"/>
      <c r="R155" s="121"/>
      <c r="S155" s="121"/>
      <c r="T155" s="121"/>
      <c r="U155" s="121"/>
      <c r="V155" s="121"/>
      <c r="W155" s="121"/>
      <c r="X155" s="121"/>
      <c r="Y155" s="121"/>
      <c r="Z155" s="121"/>
      <c r="AA155" s="121"/>
      <c r="AB155" s="121"/>
      <c r="AC155" s="121"/>
      <c r="AD155" s="121"/>
      <c r="AE155" s="121"/>
      <c r="AF155" s="121"/>
      <c r="AG155" s="121"/>
      <c r="AH155" s="121"/>
      <c r="AI155" s="121"/>
      <c r="AJ155" s="121"/>
      <c r="AK155" s="121"/>
      <c r="AL155" s="121"/>
      <c r="AM155" s="121"/>
      <c r="AN155" s="121"/>
      <c r="AO155" s="121"/>
      <c r="AP155" s="121"/>
      <c r="AQ155" s="121"/>
      <c r="AR155" s="121"/>
      <c r="AS155" s="121"/>
      <c r="AT155" s="121"/>
      <c r="AU155" s="121"/>
      <c r="AV155" s="121"/>
      <c r="AW155" s="121"/>
      <c r="AX155" s="121"/>
      <c r="AY155" s="121"/>
      <c r="AZ155" s="121"/>
      <c r="BA155" s="121"/>
      <c r="BB155" s="121"/>
      <c r="BC155" s="121"/>
      <c r="BD155" s="121"/>
      <c r="BE155" s="121"/>
      <c r="BF155" s="121"/>
      <c r="BG155" s="121"/>
      <c r="BH155" s="121"/>
      <c r="BI155" s="121"/>
      <c r="BJ155" s="122"/>
      <c r="BK155" s="93"/>
      <c r="BL155" s="94"/>
      <c r="BM155" s="95"/>
      <c r="BN155" s="179" t="str">
        <f t="shared" si="7"/>
        <v/>
      </c>
      <c r="BO155" s="177"/>
      <c r="BP155" s="14"/>
      <c r="BQ155" s="14"/>
      <c r="BR155" s="14"/>
      <c r="BS155" s="14"/>
      <c r="BT155" s="14"/>
      <c r="BU155" s="14"/>
      <c r="BV155" s="16"/>
      <c r="BW155" s="14"/>
      <c r="BX155" s="14"/>
      <c r="BY155" s="14"/>
      <c r="BZ155" s="14"/>
      <c r="CA155" s="14"/>
      <c r="CB155" s="14"/>
      <c r="CC155" s="14"/>
      <c r="CD155" s="14"/>
      <c r="CE155" s="14"/>
      <c r="CF155" s="14"/>
      <c r="CG155" s="14"/>
      <c r="CH155" s="14"/>
      <c r="CI155" s="14"/>
      <c r="CJ155" s="14"/>
      <c r="CK155" s="14"/>
      <c r="CL155" s="14"/>
      <c r="CM155" s="14"/>
      <c r="CN155" s="14"/>
      <c r="CO155" s="14"/>
      <c r="CP155" s="14"/>
      <c r="CQ155" s="14"/>
      <c r="CR155" s="14"/>
      <c r="CS155" s="14"/>
      <c r="CT155" s="14"/>
      <c r="CU155" s="14"/>
      <c r="CV155" s="14"/>
      <c r="CW155" s="14"/>
      <c r="CX155" s="14"/>
      <c r="CY155" s="14"/>
      <c r="CZ155" s="14"/>
      <c r="DA155" s="14"/>
      <c r="DB155" s="14"/>
      <c r="DC155" s="14"/>
      <c r="DD155" s="14"/>
      <c r="DE155" s="14"/>
      <c r="DF155" s="14"/>
      <c r="DG155" s="14"/>
      <c r="DH155" s="14"/>
      <c r="DI155" s="14"/>
      <c r="DJ155" s="14"/>
      <c r="DK155" s="14"/>
      <c r="DL155" s="14"/>
      <c r="DM155" s="14"/>
      <c r="DN155" s="14"/>
      <c r="DO155" s="14"/>
      <c r="DP155" s="26"/>
      <c r="DQ155" s="27"/>
      <c r="DR155" s="129"/>
      <c r="DS155" s="130">
        <f>TCP(BO155:DQ155,$BO$9:$DQ$9,data!$H$8)</f>
        <v>0</v>
      </c>
      <c r="DT155" s="135"/>
      <c r="DU155" s="121"/>
      <c r="DV155" s="121"/>
      <c r="DW155" s="134"/>
      <c r="DX155" s="132"/>
      <c r="DY155" s="136"/>
      <c r="DZ155" s="21"/>
      <c r="EA155" s="18"/>
      <c r="EB155" s="4"/>
      <c r="EI155" s="23"/>
      <c r="EJ155" s="23"/>
    </row>
    <row r="156" spans="1:140" s="191" customFormat="1" ht="15.75" x14ac:dyDescent="0.25">
      <c r="A156" s="12"/>
      <c r="B156" s="16"/>
      <c r="C156" s="24" t="str">
        <f t="shared" si="6"/>
        <v xml:space="preserve"> </v>
      </c>
      <c r="D156" s="25"/>
      <c r="E156" s="20"/>
      <c r="F156" s="19"/>
      <c r="G156" s="180"/>
      <c r="H156" s="120"/>
      <c r="I156" s="121"/>
      <c r="J156" s="121"/>
      <c r="K156" s="121"/>
      <c r="L156" s="121"/>
      <c r="M156" s="121"/>
      <c r="N156" s="121"/>
      <c r="O156" s="121"/>
      <c r="P156" s="121"/>
      <c r="Q156" s="121"/>
      <c r="R156" s="121"/>
      <c r="S156" s="121"/>
      <c r="T156" s="121"/>
      <c r="U156" s="121"/>
      <c r="V156" s="121"/>
      <c r="W156" s="121"/>
      <c r="X156" s="121"/>
      <c r="Y156" s="121"/>
      <c r="Z156" s="121"/>
      <c r="AA156" s="121"/>
      <c r="AB156" s="121"/>
      <c r="AC156" s="121"/>
      <c r="AD156" s="121"/>
      <c r="AE156" s="121"/>
      <c r="AF156" s="121"/>
      <c r="AG156" s="121"/>
      <c r="AH156" s="121"/>
      <c r="AI156" s="121"/>
      <c r="AJ156" s="121"/>
      <c r="AK156" s="121"/>
      <c r="AL156" s="121"/>
      <c r="AM156" s="121"/>
      <c r="AN156" s="121"/>
      <c r="AO156" s="121"/>
      <c r="AP156" s="121"/>
      <c r="AQ156" s="121"/>
      <c r="AR156" s="121"/>
      <c r="AS156" s="121"/>
      <c r="AT156" s="121"/>
      <c r="AU156" s="121"/>
      <c r="AV156" s="121"/>
      <c r="AW156" s="121"/>
      <c r="AX156" s="121"/>
      <c r="AY156" s="121"/>
      <c r="AZ156" s="121"/>
      <c r="BA156" s="121"/>
      <c r="BB156" s="121"/>
      <c r="BC156" s="121"/>
      <c r="BD156" s="121"/>
      <c r="BE156" s="121"/>
      <c r="BF156" s="121"/>
      <c r="BG156" s="121"/>
      <c r="BH156" s="121"/>
      <c r="BI156" s="121"/>
      <c r="BJ156" s="122"/>
      <c r="BK156" s="93"/>
      <c r="BL156" s="94"/>
      <c r="BM156" s="95"/>
      <c r="BN156" s="179" t="str">
        <f t="shared" si="7"/>
        <v/>
      </c>
      <c r="BO156" s="177"/>
      <c r="BP156" s="14"/>
      <c r="BQ156" s="14"/>
      <c r="BR156" s="14"/>
      <c r="BS156" s="14"/>
      <c r="BT156" s="14"/>
      <c r="BU156" s="14"/>
      <c r="BV156" s="16"/>
      <c r="BW156" s="14"/>
      <c r="BX156" s="14"/>
      <c r="BY156" s="14"/>
      <c r="BZ156" s="14"/>
      <c r="CA156" s="14"/>
      <c r="CB156" s="14"/>
      <c r="CC156" s="14"/>
      <c r="CD156" s="14"/>
      <c r="CE156" s="14"/>
      <c r="CF156" s="14"/>
      <c r="CG156" s="14"/>
      <c r="CH156" s="14"/>
      <c r="CI156" s="14"/>
      <c r="CJ156" s="14"/>
      <c r="CK156" s="14"/>
      <c r="CL156" s="14"/>
      <c r="CM156" s="14"/>
      <c r="CN156" s="14"/>
      <c r="CO156" s="14"/>
      <c r="CP156" s="14"/>
      <c r="CQ156" s="14"/>
      <c r="CR156" s="14"/>
      <c r="CS156" s="14"/>
      <c r="CT156" s="14"/>
      <c r="CU156" s="14"/>
      <c r="CV156" s="14"/>
      <c r="CW156" s="14"/>
      <c r="CX156" s="14"/>
      <c r="CY156" s="14"/>
      <c r="CZ156" s="14"/>
      <c r="DA156" s="14"/>
      <c r="DB156" s="14"/>
      <c r="DC156" s="14"/>
      <c r="DD156" s="14"/>
      <c r="DE156" s="14"/>
      <c r="DF156" s="14"/>
      <c r="DG156" s="14"/>
      <c r="DH156" s="14"/>
      <c r="DI156" s="14"/>
      <c r="DJ156" s="14"/>
      <c r="DK156" s="14"/>
      <c r="DL156" s="14"/>
      <c r="DM156" s="14"/>
      <c r="DN156" s="14"/>
      <c r="DO156" s="14"/>
      <c r="DP156" s="26"/>
      <c r="DQ156" s="27"/>
      <c r="DR156" s="129"/>
      <c r="DS156" s="130">
        <f>TCP(BO156:DQ156,$BO$9:$DQ$9,data!$H$8)</f>
        <v>0</v>
      </c>
      <c r="DT156" s="135"/>
      <c r="DU156" s="121"/>
      <c r="DV156" s="121"/>
      <c r="DW156" s="134"/>
      <c r="DX156" s="132"/>
      <c r="DY156" s="136"/>
      <c r="DZ156" s="21"/>
      <c r="EA156" s="18"/>
      <c r="EB156" s="4"/>
      <c r="EI156" s="23"/>
      <c r="EJ156" s="23"/>
    </row>
    <row r="157" spans="1:140" s="191" customFormat="1" ht="15.75" x14ac:dyDescent="0.25">
      <c r="A157" s="12"/>
      <c r="B157" s="16"/>
      <c r="C157" s="24" t="str">
        <f t="shared" si="6"/>
        <v xml:space="preserve"> </v>
      </c>
      <c r="D157" s="25"/>
      <c r="E157" s="20"/>
      <c r="F157" s="19"/>
      <c r="G157" s="180"/>
      <c r="H157" s="120"/>
      <c r="I157" s="121"/>
      <c r="J157" s="121"/>
      <c r="K157" s="121"/>
      <c r="L157" s="121"/>
      <c r="M157" s="121"/>
      <c r="N157" s="121"/>
      <c r="O157" s="121"/>
      <c r="P157" s="121"/>
      <c r="Q157" s="121"/>
      <c r="R157" s="121"/>
      <c r="S157" s="121"/>
      <c r="T157" s="121"/>
      <c r="U157" s="121"/>
      <c r="V157" s="121"/>
      <c r="W157" s="121"/>
      <c r="X157" s="121"/>
      <c r="Y157" s="121"/>
      <c r="Z157" s="121"/>
      <c r="AA157" s="121"/>
      <c r="AB157" s="121"/>
      <c r="AC157" s="121"/>
      <c r="AD157" s="121"/>
      <c r="AE157" s="121"/>
      <c r="AF157" s="121"/>
      <c r="AG157" s="121"/>
      <c r="AH157" s="121"/>
      <c r="AI157" s="121"/>
      <c r="AJ157" s="121"/>
      <c r="AK157" s="121"/>
      <c r="AL157" s="121"/>
      <c r="AM157" s="121"/>
      <c r="AN157" s="121"/>
      <c r="AO157" s="121"/>
      <c r="AP157" s="121"/>
      <c r="AQ157" s="121"/>
      <c r="AR157" s="121"/>
      <c r="AS157" s="121"/>
      <c r="AT157" s="121"/>
      <c r="AU157" s="121"/>
      <c r="AV157" s="121"/>
      <c r="AW157" s="121"/>
      <c r="AX157" s="121"/>
      <c r="AY157" s="121"/>
      <c r="AZ157" s="121"/>
      <c r="BA157" s="121"/>
      <c r="BB157" s="121"/>
      <c r="BC157" s="121"/>
      <c r="BD157" s="121"/>
      <c r="BE157" s="121"/>
      <c r="BF157" s="121"/>
      <c r="BG157" s="121"/>
      <c r="BH157" s="121"/>
      <c r="BI157" s="121"/>
      <c r="BJ157" s="122"/>
      <c r="BK157" s="93"/>
      <c r="BL157" s="94"/>
      <c r="BM157" s="95"/>
      <c r="BN157" s="179" t="str">
        <f t="shared" si="7"/>
        <v/>
      </c>
      <c r="BO157" s="177"/>
      <c r="BP157" s="14"/>
      <c r="BQ157" s="14"/>
      <c r="BR157" s="14"/>
      <c r="BS157" s="14"/>
      <c r="BT157" s="14"/>
      <c r="BU157" s="14"/>
      <c r="BV157" s="16"/>
      <c r="BW157" s="14"/>
      <c r="BX157" s="14"/>
      <c r="BY157" s="14"/>
      <c r="BZ157" s="14"/>
      <c r="CA157" s="14"/>
      <c r="CB157" s="14"/>
      <c r="CC157" s="14"/>
      <c r="CD157" s="14"/>
      <c r="CE157" s="14"/>
      <c r="CF157" s="14"/>
      <c r="CG157" s="14"/>
      <c r="CH157" s="14"/>
      <c r="CI157" s="14"/>
      <c r="CJ157" s="14"/>
      <c r="CK157" s="14"/>
      <c r="CL157" s="14"/>
      <c r="CM157" s="14"/>
      <c r="CN157" s="14"/>
      <c r="CO157" s="14"/>
      <c r="CP157" s="14"/>
      <c r="CQ157" s="14"/>
      <c r="CR157" s="14"/>
      <c r="CS157" s="14"/>
      <c r="CT157" s="14"/>
      <c r="CU157" s="14"/>
      <c r="CV157" s="14"/>
      <c r="CW157" s="14"/>
      <c r="CX157" s="14"/>
      <c r="CY157" s="14"/>
      <c r="CZ157" s="14"/>
      <c r="DA157" s="14"/>
      <c r="DB157" s="14"/>
      <c r="DC157" s="14"/>
      <c r="DD157" s="14"/>
      <c r="DE157" s="14"/>
      <c r="DF157" s="14"/>
      <c r="DG157" s="14"/>
      <c r="DH157" s="14"/>
      <c r="DI157" s="14"/>
      <c r="DJ157" s="14"/>
      <c r="DK157" s="14"/>
      <c r="DL157" s="14"/>
      <c r="DM157" s="14"/>
      <c r="DN157" s="14"/>
      <c r="DO157" s="14"/>
      <c r="DP157" s="26"/>
      <c r="DQ157" s="27"/>
      <c r="DR157" s="129"/>
      <c r="DS157" s="130">
        <f>TCP(BO157:DQ157,$BO$9:$DQ$9,data!$H$8)</f>
        <v>0</v>
      </c>
      <c r="DT157" s="135"/>
      <c r="DU157" s="121"/>
      <c r="DV157" s="121"/>
      <c r="DW157" s="134"/>
      <c r="DX157" s="132"/>
      <c r="DY157" s="136"/>
      <c r="DZ157" s="21"/>
      <c r="EA157" s="18"/>
      <c r="EB157" s="4"/>
      <c r="EI157" s="23"/>
      <c r="EJ157" s="23"/>
    </row>
    <row r="158" spans="1:140" s="191" customFormat="1" ht="15.75" x14ac:dyDescent="0.25">
      <c r="A158" s="12"/>
      <c r="B158" s="16"/>
      <c r="C158" s="24" t="str">
        <f t="shared" si="6"/>
        <v xml:space="preserve"> </v>
      </c>
      <c r="D158" s="25"/>
      <c r="E158" s="20"/>
      <c r="F158" s="19"/>
      <c r="G158" s="180"/>
      <c r="H158" s="120"/>
      <c r="I158" s="121"/>
      <c r="J158" s="121"/>
      <c r="K158" s="121"/>
      <c r="L158" s="121"/>
      <c r="M158" s="121"/>
      <c r="N158" s="121"/>
      <c r="O158" s="121"/>
      <c r="P158" s="121"/>
      <c r="Q158" s="121"/>
      <c r="R158" s="121"/>
      <c r="S158" s="121"/>
      <c r="T158" s="121"/>
      <c r="U158" s="121"/>
      <c r="V158" s="121"/>
      <c r="W158" s="121"/>
      <c r="X158" s="121"/>
      <c r="Y158" s="121"/>
      <c r="Z158" s="121"/>
      <c r="AA158" s="121"/>
      <c r="AB158" s="121"/>
      <c r="AC158" s="121"/>
      <c r="AD158" s="121"/>
      <c r="AE158" s="121"/>
      <c r="AF158" s="121"/>
      <c r="AG158" s="121"/>
      <c r="AH158" s="121"/>
      <c r="AI158" s="121"/>
      <c r="AJ158" s="121"/>
      <c r="AK158" s="121"/>
      <c r="AL158" s="121"/>
      <c r="AM158" s="121"/>
      <c r="AN158" s="121"/>
      <c r="AO158" s="121"/>
      <c r="AP158" s="121"/>
      <c r="AQ158" s="121"/>
      <c r="AR158" s="121"/>
      <c r="AS158" s="121"/>
      <c r="AT158" s="121"/>
      <c r="AU158" s="121"/>
      <c r="AV158" s="121"/>
      <c r="AW158" s="121"/>
      <c r="AX158" s="121"/>
      <c r="AY158" s="121"/>
      <c r="AZ158" s="121"/>
      <c r="BA158" s="121"/>
      <c r="BB158" s="121"/>
      <c r="BC158" s="121"/>
      <c r="BD158" s="121"/>
      <c r="BE158" s="121"/>
      <c r="BF158" s="121"/>
      <c r="BG158" s="121"/>
      <c r="BH158" s="121"/>
      <c r="BI158" s="121"/>
      <c r="BJ158" s="122"/>
      <c r="BK158" s="93"/>
      <c r="BL158" s="94"/>
      <c r="BM158" s="95"/>
      <c r="BN158" s="179" t="str">
        <f t="shared" si="7"/>
        <v/>
      </c>
      <c r="BO158" s="177"/>
      <c r="BP158" s="14"/>
      <c r="BQ158" s="14"/>
      <c r="BR158" s="14"/>
      <c r="BS158" s="14"/>
      <c r="BT158" s="14"/>
      <c r="BU158" s="14"/>
      <c r="BV158" s="16"/>
      <c r="BW158" s="14"/>
      <c r="BX158" s="14"/>
      <c r="BY158" s="14"/>
      <c r="BZ158" s="14"/>
      <c r="CA158" s="14"/>
      <c r="CB158" s="14"/>
      <c r="CC158" s="14"/>
      <c r="CD158" s="14"/>
      <c r="CE158" s="14"/>
      <c r="CF158" s="14"/>
      <c r="CG158" s="14"/>
      <c r="CH158" s="14"/>
      <c r="CI158" s="14"/>
      <c r="CJ158" s="14"/>
      <c r="CK158" s="14"/>
      <c r="CL158" s="14"/>
      <c r="CM158" s="14"/>
      <c r="CN158" s="14"/>
      <c r="CO158" s="14"/>
      <c r="CP158" s="14"/>
      <c r="CQ158" s="14"/>
      <c r="CR158" s="14"/>
      <c r="CS158" s="14"/>
      <c r="CT158" s="14"/>
      <c r="CU158" s="14"/>
      <c r="CV158" s="14"/>
      <c r="CW158" s="14"/>
      <c r="CX158" s="14"/>
      <c r="CY158" s="14"/>
      <c r="CZ158" s="14"/>
      <c r="DA158" s="14"/>
      <c r="DB158" s="14"/>
      <c r="DC158" s="14"/>
      <c r="DD158" s="14"/>
      <c r="DE158" s="14"/>
      <c r="DF158" s="14"/>
      <c r="DG158" s="14"/>
      <c r="DH158" s="14"/>
      <c r="DI158" s="14"/>
      <c r="DJ158" s="14"/>
      <c r="DK158" s="14"/>
      <c r="DL158" s="14"/>
      <c r="DM158" s="14"/>
      <c r="DN158" s="14"/>
      <c r="DO158" s="14"/>
      <c r="DP158" s="26"/>
      <c r="DQ158" s="27"/>
      <c r="DR158" s="129"/>
      <c r="DS158" s="130">
        <f>TCP(BO158:DQ158,$BO$9:$DQ$9,data!$H$8)</f>
        <v>0</v>
      </c>
      <c r="DT158" s="135"/>
      <c r="DU158" s="121"/>
      <c r="DV158" s="121"/>
      <c r="DW158" s="134"/>
      <c r="DX158" s="132"/>
      <c r="DY158" s="136"/>
      <c r="DZ158" s="21"/>
      <c r="EA158" s="18"/>
      <c r="EB158" s="4"/>
      <c r="EI158" s="23"/>
      <c r="EJ158" s="23"/>
    </row>
    <row r="159" spans="1:140" s="191" customFormat="1" ht="15.75" x14ac:dyDescent="0.25">
      <c r="A159" s="12"/>
      <c r="B159" s="16"/>
      <c r="C159" s="24" t="str">
        <f t="shared" si="6"/>
        <v xml:space="preserve"> </v>
      </c>
      <c r="D159" s="25"/>
      <c r="E159" s="20"/>
      <c r="F159" s="19"/>
      <c r="G159" s="180"/>
      <c r="H159" s="120"/>
      <c r="I159" s="121"/>
      <c r="J159" s="121"/>
      <c r="K159" s="121"/>
      <c r="L159" s="121"/>
      <c r="M159" s="121"/>
      <c r="N159" s="121"/>
      <c r="O159" s="121"/>
      <c r="P159" s="121"/>
      <c r="Q159" s="121"/>
      <c r="R159" s="121"/>
      <c r="S159" s="121"/>
      <c r="T159" s="121"/>
      <c r="U159" s="121"/>
      <c r="V159" s="121"/>
      <c r="W159" s="121"/>
      <c r="X159" s="121"/>
      <c r="Y159" s="121"/>
      <c r="Z159" s="121"/>
      <c r="AA159" s="121"/>
      <c r="AB159" s="121"/>
      <c r="AC159" s="121"/>
      <c r="AD159" s="121"/>
      <c r="AE159" s="121"/>
      <c r="AF159" s="121"/>
      <c r="AG159" s="121"/>
      <c r="AH159" s="121"/>
      <c r="AI159" s="121"/>
      <c r="AJ159" s="121"/>
      <c r="AK159" s="121"/>
      <c r="AL159" s="121"/>
      <c r="AM159" s="121"/>
      <c r="AN159" s="121"/>
      <c r="AO159" s="121"/>
      <c r="AP159" s="121"/>
      <c r="AQ159" s="121"/>
      <c r="AR159" s="121"/>
      <c r="AS159" s="121"/>
      <c r="AT159" s="121"/>
      <c r="AU159" s="121"/>
      <c r="AV159" s="121"/>
      <c r="AW159" s="121"/>
      <c r="AX159" s="121"/>
      <c r="AY159" s="121"/>
      <c r="AZ159" s="121"/>
      <c r="BA159" s="121"/>
      <c r="BB159" s="121"/>
      <c r="BC159" s="121"/>
      <c r="BD159" s="121"/>
      <c r="BE159" s="121"/>
      <c r="BF159" s="121"/>
      <c r="BG159" s="121"/>
      <c r="BH159" s="121"/>
      <c r="BI159" s="121"/>
      <c r="BJ159" s="122"/>
      <c r="BK159" s="93"/>
      <c r="BL159" s="94"/>
      <c r="BM159" s="95"/>
      <c r="BN159" s="179" t="str">
        <f t="shared" si="7"/>
        <v/>
      </c>
      <c r="BO159" s="177"/>
      <c r="BP159" s="14"/>
      <c r="BQ159" s="14"/>
      <c r="BR159" s="14"/>
      <c r="BS159" s="14"/>
      <c r="BT159" s="14"/>
      <c r="BU159" s="14"/>
      <c r="BV159" s="16"/>
      <c r="BW159" s="14"/>
      <c r="BX159" s="14"/>
      <c r="BY159" s="14"/>
      <c r="BZ159" s="14"/>
      <c r="CA159" s="14"/>
      <c r="CB159" s="14"/>
      <c r="CC159" s="14"/>
      <c r="CD159" s="14"/>
      <c r="CE159" s="14"/>
      <c r="CF159" s="14"/>
      <c r="CG159" s="14"/>
      <c r="CH159" s="14"/>
      <c r="CI159" s="14"/>
      <c r="CJ159" s="14"/>
      <c r="CK159" s="14"/>
      <c r="CL159" s="14"/>
      <c r="CM159" s="14"/>
      <c r="CN159" s="14"/>
      <c r="CO159" s="14"/>
      <c r="CP159" s="14"/>
      <c r="CQ159" s="14"/>
      <c r="CR159" s="14"/>
      <c r="CS159" s="14"/>
      <c r="CT159" s="14"/>
      <c r="CU159" s="14"/>
      <c r="CV159" s="14"/>
      <c r="CW159" s="14"/>
      <c r="CX159" s="14"/>
      <c r="CY159" s="14"/>
      <c r="CZ159" s="14"/>
      <c r="DA159" s="14"/>
      <c r="DB159" s="14"/>
      <c r="DC159" s="14"/>
      <c r="DD159" s="14"/>
      <c r="DE159" s="14"/>
      <c r="DF159" s="14"/>
      <c r="DG159" s="14"/>
      <c r="DH159" s="14"/>
      <c r="DI159" s="14"/>
      <c r="DJ159" s="14"/>
      <c r="DK159" s="14"/>
      <c r="DL159" s="14"/>
      <c r="DM159" s="14"/>
      <c r="DN159" s="14"/>
      <c r="DO159" s="14"/>
      <c r="DP159" s="26"/>
      <c r="DQ159" s="27"/>
      <c r="DR159" s="129"/>
      <c r="DS159" s="130">
        <f>TCP(BO159:DQ159,$BO$9:$DQ$9,data!$H$8)</f>
        <v>0</v>
      </c>
      <c r="DT159" s="135"/>
      <c r="DU159" s="121"/>
      <c r="DV159" s="121"/>
      <c r="DW159" s="134"/>
      <c r="DX159" s="132"/>
      <c r="DY159" s="136"/>
      <c r="DZ159" s="21"/>
      <c r="EA159" s="18"/>
      <c r="EB159" s="4"/>
      <c r="EI159" s="23"/>
      <c r="EJ159" s="23"/>
    </row>
    <row r="160" spans="1:140" s="191" customFormat="1" ht="15.75" x14ac:dyDescent="0.25">
      <c r="A160" s="12"/>
      <c r="B160" s="16"/>
      <c r="C160" s="24" t="str">
        <f t="shared" si="6"/>
        <v xml:space="preserve"> </v>
      </c>
      <c r="D160" s="25"/>
      <c r="E160" s="20"/>
      <c r="F160" s="19"/>
      <c r="G160" s="180"/>
      <c r="H160" s="120"/>
      <c r="I160" s="121"/>
      <c r="J160" s="121"/>
      <c r="K160" s="121"/>
      <c r="L160" s="121"/>
      <c r="M160" s="121"/>
      <c r="N160" s="121"/>
      <c r="O160" s="121"/>
      <c r="P160" s="121"/>
      <c r="Q160" s="121"/>
      <c r="R160" s="121"/>
      <c r="S160" s="121"/>
      <c r="T160" s="121"/>
      <c r="U160" s="121"/>
      <c r="V160" s="121"/>
      <c r="W160" s="121"/>
      <c r="X160" s="121"/>
      <c r="Y160" s="121"/>
      <c r="Z160" s="121"/>
      <c r="AA160" s="121"/>
      <c r="AB160" s="121"/>
      <c r="AC160" s="121"/>
      <c r="AD160" s="121"/>
      <c r="AE160" s="121"/>
      <c r="AF160" s="121"/>
      <c r="AG160" s="121"/>
      <c r="AH160" s="121"/>
      <c r="AI160" s="121"/>
      <c r="AJ160" s="121"/>
      <c r="AK160" s="121"/>
      <c r="AL160" s="121"/>
      <c r="AM160" s="121"/>
      <c r="AN160" s="121"/>
      <c r="AO160" s="121"/>
      <c r="AP160" s="121"/>
      <c r="AQ160" s="121"/>
      <c r="AR160" s="121"/>
      <c r="AS160" s="121"/>
      <c r="AT160" s="121"/>
      <c r="AU160" s="121"/>
      <c r="AV160" s="121"/>
      <c r="AW160" s="121"/>
      <c r="AX160" s="121"/>
      <c r="AY160" s="121"/>
      <c r="AZ160" s="121"/>
      <c r="BA160" s="121"/>
      <c r="BB160" s="121"/>
      <c r="BC160" s="121"/>
      <c r="BD160" s="121"/>
      <c r="BE160" s="121"/>
      <c r="BF160" s="121"/>
      <c r="BG160" s="121"/>
      <c r="BH160" s="121"/>
      <c r="BI160" s="121"/>
      <c r="BJ160" s="122"/>
      <c r="BK160" s="93"/>
      <c r="BL160" s="94"/>
      <c r="BM160" s="95"/>
      <c r="BN160" s="179" t="str">
        <f t="shared" si="7"/>
        <v/>
      </c>
      <c r="BO160" s="177"/>
      <c r="BP160" s="14"/>
      <c r="BQ160" s="14"/>
      <c r="BR160" s="14"/>
      <c r="BS160" s="14"/>
      <c r="BT160" s="14"/>
      <c r="BU160" s="14"/>
      <c r="BV160" s="16"/>
      <c r="BW160" s="14"/>
      <c r="BX160" s="14"/>
      <c r="BY160" s="14"/>
      <c r="BZ160" s="14"/>
      <c r="CA160" s="14"/>
      <c r="CB160" s="14"/>
      <c r="CC160" s="14"/>
      <c r="CD160" s="14"/>
      <c r="CE160" s="14"/>
      <c r="CF160" s="14"/>
      <c r="CG160" s="14"/>
      <c r="CH160" s="14"/>
      <c r="CI160" s="14"/>
      <c r="CJ160" s="14"/>
      <c r="CK160" s="14"/>
      <c r="CL160" s="14"/>
      <c r="CM160" s="14"/>
      <c r="CN160" s="14"/>
      <c r="CO160" s="14"/>
      <c r="CP160" s="14"/>
      <c r="CQ160" s="14"/>
      <c r="CR160" s="14"/>
      <c r="CS160" s="14"/>
      <c r="CT160" s="14"/>
      <c r="CU160" s="14"/>
      <c r="CV160" s="14"/>
      <c r="CW160" s="14"/>
      <c r="CX160" s="14"/>
      <c r="CY160" s="14"/>
      <c r="CZ160" s="14"/>
      <c r="DA160" s="14"/>
      <c r="DB160" s="14"/>
      <c r="DC160" s="14"/>
      <c r="DD160" s="14"/>
      <c r="DE160" s="14"/>
      <c r="DF160" s="14"/>
      <c r="DG160" s="14"/>
      <c r="DH160" s="14"/>
      <c r="DI160" s="14"/>
      <c r="DJ160" s="14"/>
      <c r="DK160" s="14"/>
      <c r="DL160" s="14"/>
      <c r="DM160" s="14"/>
      <c r="DN160" s="14"/>
      <c r="DO160" s="14"/>
      <c r="DP160" s="26"/>
      <c r="DQ160" s="27"/>
      <c r="DR160" s="129"/>
      <c r="DS160" s="130">
        <f>TCP(BO160:DQ160,$BO$9:$DQ$9,data!$H$8)</f>
        <v>0</v>
      </c>
      <c r="DT160" s="135"/>
      <c r="DU160" s="121"/>
      <c r="DV160" s="121"/>
      <c r="DW160" s="134"/>
      <c r="DX160" s="132"/>
      <c r="DY160" s="136"/>
      <c r="DZ160" s="21"/>
      <c r="EA160" s="18"/>
      <c r="EB160" s="4"/>
      <c r="EI160" s="23"/>
      <c r="EJ160" s="23"/>
    </row>
    <row r="161" spans="1:140" s="191" customFormat="1" ht="15.75" x14ac:dyDescent="0.25">
      <c r="A161" s="12"/>
      <c r="B161" s="16"/>
      <c r="C161" s="24" t="str">
        <f t="shared" si="6"/>
        <v xml:space="preserve"> </v>
      </c>
      <c r="D161" s="25"/>
      <c r="E161" s="20"/>
      <c r="F161" s="19"/>
      <c r="G161" s="180"/>
      <c r="H161" s="120"/>
      <c r="I161" s="121"/>
      <c r="J161" s="121"/>
      <c r="K161" s="121"/>
      <c r="L161" s="121"/>
      <c r="M161" s="121"/>
      <c r="N161" s="121"/>
      <c r="O161" s="121"/>
      <c r="P161" s="121"/>
      <c r="Q161" s="121"/>
      <c r="R161" s="121"/>
      <c r="S161" s="121"/>
      <c r="T161" s="121"/>
      <c r="U161" s="121"/>
      <c r="V161" s="121"/>
      <c r="W161" s="121"/>
      <c r="X161" s="121"/>
      <c r="Y161" s="121"/>
      <c r="Z161" s="121"/>
      <c r="AA161" s="121"/>
      <c r="AB161" s="121"/>
      <c r="AC161" s="121"/>
      <c r="AD161" s="121"/>
      <c r="AE161" s="121"/>
      <c r="AF161" s="121"/>
      <c r="AG161" s="121"/>
      <c r="AH161" s="121"/>
      <c r="AI161" s="121"/>
      <c r="AJ161" s="121"/>
      <c r="AK161" s="121"/>
      <c r="AL161" s="121"/>
      <c r="AM161" s="121"/>
      <c r="AN161" s="121"/>
      <c r="AO161" s="121"/>
      <c r="AP161" s="121"/>
      <c r="AQ161" s="121"/>
      <c r="AR161" s="121"/>
      <c r="AS161" s="121"/>
      <c r="AT161" s="121"/>
      <c r="AU161" s="121"/>
      <c r="AV161" s="121"/>
      <c r="AW161" s="121"/>
      <c r="AX161" s="121"/>
      <c r="AY161" s="121"/>
      <c r="AZ161" s="121"/>
      <c r="BA161" s="121"/>
      <c r="BB161" s="121"/>
      <c r="BC161" s="121"/>
      <c r="BD161" s="121"/>
      <c r="BE161" s="121"/>
      <c r="BF161" s="121"/>
      <c r="BG161" s="121"/>
      <c r="BH161" s="121"/>
      <c r="BI161" s="121"/>
      <c r="BJ161" s="122"/>
      <c r="BK161" s="93"/>
      <c r="BL161" s="94"/>
      <c r="BM161" s="95"/>
      <c r="BN161" s="179" t="str">
        <f t="shared" si="7"/>
        <v/>
      </c>
      <c r="BO161" s="177"/>
      <c r="BP161" s="14"/>
      <c r="BQ161" s="14"/>
      <c r="BR161" s="14"/>
      <c r="BS161" s="14"/>
      <c r="BT161" s="14"/>
      <c r="BU161" s="14"/>
      <c r="BV161" s="16"/>
      <c r="BW161" s="14"/>
      <c r="BX161" s="14"/>
      <c r="BY161" s="14"/>
      <c r="BZ161" s="14"/>
      <c r="CA161" s="14"/>
      <c r="CB161" s="14"/>
      <c r="CC161" s="14"/>
      <c r="CD161" s="14"/>
      <c r="CE161" s="14"/>
      <c r="CF161" s="14"/>
      <c r="CG161" s="14"/>
      <c r="CH161" s="14"/>
      <c r="CI161" s="14"/>
      <c r="CJ161" s="14"/>
      <c r="CK161" s="14"/>
      <c r="CL161" s="14"/>
      <c r="CM161" s="14"/>
      <c r="CN161" s="14"/>
      <c r="CO161" s="14"/>
      <c r="CP161" s="14"/>
      <c r="CQ161" s="14"/>
      <c r="CR161" s="14"/>
      <c r="CS161" s="14"/>
      <c r="CT161" s="14"/>
      <c r="CU161" s="14"/>
      <c r="CV161" s="14"/>
      <c r="CW161" s="14"/>
      <c r="CX161" s="14"/>
      <c r="CY161" s="14"/>
      <c r="CZ161" s="14"/>
      <c r="DA161" s="14"/>
      <c r="DB161" s="14"/>
      <c r="DC161" s="14"/>
      <c r="DD161" s="14"/>
      <c r="DE161" s="14"/>
      <c r="DF161" s="14"/>
      <c r="DG161" s="14"/>
      <c r="DH161" s="14"/>
      <c r="DI161" s="14"/>
      <c r="DJ161" s="14"/>
      <c r="DK161" s="14"/>
      <c r="DL161" s="14"/>
      <c r="DM161" s="14"/>
      <c r="DN161" s="14"/>
      <c r="DO161" s="14"/>
      <c r="DP161" s="26"/>
      <c r="DQ161" s="27"/>
      <c r="DR161" s="129"/>
      <c r="DS161" s="130">
        <f>TCP(BO161:DQ161,$BO$9:$DQ$9,data!$H$8)</f>
        <v>0</v>
      </c>
      <c r="DT161" s="135"/>
      <c r="DU161" s="121"/>
      <c r="DV161" s="121"/>
      <c r="DW161" s="134"/>
      <c r="DX161" s="132"/>
      <c r="DY161" s="136"/>
      <c r="DZ161" s="21"/>
      <c r="EA161" s="18"/>
      <c r="EB161" s="4"/>
      <c r="EI161" s="23"/>
      <c r="EJ161" s="23"/>
    </row>
    <row r="162" spans="1:140" s="191" customFormat="1" ht="15.75" x14ac:dyDescent="0.25">
      <c r="A162" s="12"/>
      <c r="B162" s="16"/>
      <c r="C162" s="24" t="str">
        <f t="shared" si="6"/>
        <v xml:space="preserve"> </v>
      </c>
      <c r="D162" s="25"/>
      <c r="E162" s="20"/>
      <c r="F162" s="19"/>
      <c r="G162" s="180"/>
      <c r="H162" s="120"/>
      <c r="I162" s="121"/>
      <c r="J162" s="121"/>
      <c r="K162" s="121"/>
      <c r="L162" s="121"/>
      <c r="M162" s="121"/>
      <c r="N162" s="121"/>
      <c r="O162" s="121"/>
      <c r="P162" s="121"/>
      <c r="Q162" s="121"/>
      <c r="R162" s="121"/>
      <c r="S162" s="121"/>
      <c r="T162" s="121"/>
      <c r="U162" s="121"/>
      <c r="V162" s="121"/>
      <c r="W162" s="121"/>
      <c r="X162" s="121"/>
      <c r="Y162" s="121"/>
      <c r="Z162" s="121"/>
      <c r="AA162" s="121"/>
      <c r="AB162" s="121"/>
      <c r="AC162" s="121"/>
      <c r="AD162" s="121"/>
      <c r="AE162" s="121"/>
      <c r="AF162" s="121"/>
      <c r="AG162" s="121"/>
      <c r="AH162" s="121"/>
      <c r="AI162" s="121"/>
      <c r="AJ162" s="121"/>
      <c r="AK162" s="121"/>
      <c r="AL162" s="121"/>
      <c r="AM162" s="121"/>
      <c r="AN162" s="121"/>
      <c r="AO162" s="121"/>
      <c r="AP162" s="121"/>
      <c r="AQ162" s="121"/>
      <c r="AR162" s="121"/>
      <c r="AS162" s="121"/>
      <c r="AT162" s="121"/>
      <c r="AU162" s="121"/>
      <c r="AV162" s="121"/>
      <c r="AW162" s="121"/>
      <c r="AX162" s="121"/>
      <c r="AY162" s="121"/>
      <c r="AZ162" s="121"/>
      <c r="BA162" s="121"/>
      <c r="BB162" s="121"/>
      <c r="BC162" s="121"/>
      <c r="BD162" s="121"/>
      <c r="BE162" s="121"/>
      <c r="BF162" s="121"/>
      <c r="BG162" s="121"/>
      <c r="BH162" s="121"/>
      <c r="BI162" s="121"/>
      <c r="BJ162" s="122"/>
      <c r="BK162" s="93"/>
      <c r="BL162" s="94"/>
      <c r="BM162" s="95"/>
      <c r="BN162" s="179" t="str">
        <f t="shared" si="7"/>
        <v/>
      </c>
      <c r="BO162" s="177"/>
      <c r="BP162" s="14"/>
      <c r="BQ162" s="14"/>
      <c r="BR162" s="14"/>
      <c r="BS162" s="14"/>
      <c r="BT162" s="14"/>
      <c r="BU162" s="14"/>
      <c r="BV162" s="16"/>
      <c r="BW162" s="14"/>
      <c r="BX162" s="14"/>
      <c r="BY162" s="14"/>
      <c r="BZ162" s="14"/>
      <c r="CA162" s="14"/>
      <c r="CB162" s="14"/>
      <c r="CC162" s="14"/>
      <c r="CD162" s="14"/>
      <c r="CE162" s="14"/>
      <c r="CF162" s="14"/>
      <c r="CG162" s="14"/>
      <c r="CH162" s="14"/>
      <c r="CI162" s="14"/>
      <c r="CJ162" s="14"/>
      <c r="CK162" s="14"/>
      <c r="CL162" s="14"/>
      <c r="CM162" s="14"/>
      <c r="CN162" s="14"/>
      <c r="CO162" s="14"/>
      <c r="CP162" s="14"/>
      <c r="CQ162" s="14"/>
      <c r="CR162" s="14"/>
      <c r="CS162" s="14"/>
      <c r="CT162" s="14"/>
      <c r="CU162" s="14"/>
      <c r="CV162" s="14"/>
      <c r="CW162" s="14"/>
      <c r="CX162" s="14"/>
      <c r="CY162" s="14"/>
      <c r="CZ162" s="14"/>
      <c r="DA162" s="14"/>
      <c r="DB162" s="14"/>
      <c r="DC162" s="14"/>
      <c r="DD162" s="14"/>
      <c r="DE162" s="14"/>
      <c r="DF162" s="14"/>
      <c r="DG162" s="14"/>
      <c r="DH162" s="14"/>
      <c r="DI162" s="14"/>
      <c r="DJ162" s="14"/>
      <c r="DK162" s="14"/>
      <c r="DL162" s="14"/>
      <c r="DM162" s="14"/>
      <c r="DN162" s="14"/>
      <c r="DO162" s="14"/>
      <c r="DP162" s="26"/>
      <c r="DQ162" s="27"/>
      <c r="DR162" s="129"/>
      <c r="DS162" s="130">
        <f>TCP(BO162:DQ162,$BO$9:$DQ$9,data!$H$8)</f>
        <v>0</v>
      </c>
      <c r="DT162" s="135"/>
      <c r="DU162" s="121"/>
      <c r="DV162" s="121"/>
      <c r="DW162" s="134"/>
      <c r="DX162" s="132"/>
      <c r="DY162" s="136"/>
      <c r="DZ162" s="21"/>
      <c r="EA162" s="18"/>
      <c r="EB162" s="4"/>
      <c r="EI162" s="23"/>
      <c r="EJ162" s="23"/>
    </row>
    <row r="163" spans="1:140" s="191" customFormat="1" ht="15.75" x14ac:dyDescent="0.25">
      <c r="A163" s="12"/>
      <c r="B163" s="16"/>
      <c r="C163" s="24" t="str">
        <f t="shared" si="6"/>
        <v xml:space="preserve"> </v>
      </c>
      <c r="D163" s="25"/>
      <c r="E163" s="20"/>
      <c r="F163" s="19"/>
      <c r="G163" s="180"/>
      <c r="H163" s="120"/>
      <c r="I163" s="121"/>
      <c r="J163" s="121"/>
      <c r="K163" s="121"/>
      <c r="L163" s="121"/>
      <c r="M163" s="121"/>
      <c r="N163" s="121"/>
      <c r="O163" s="121"/>
      <c r="P163" s="121"/>
      <c r="Q163" s="121"/>
      <c r="R163" s="121"/>
      <c r="S163" s="121"/>
      <c r="T163" s="121"/>
      <c r="U163" s="121"/>
      <c r="V163" s="121"/>
      <c r="W163" s="121"/>
      <c r="X163" s="121"/>
      <c r="Y163" s="121"/>
      <c r="Z163" s="121"/>
      <c r="AA163" s="121"/>
      <c r="AB163" s="121"/>
      <c r="AC163" s="121"/>
      <c r="AD163" s="121"/>
      <c r="AE163" s="121"/>
      <c r="AF163" s="121"/>
      <c r="AG163" s="121"/>
      <c r="AH163" s="121"/>
      <c r="AI163" s="121"/>
      <c r="AJ163" s="121"/>
      <c r="AK163" s="121"/>
      <c r="AL163" s="121"/>
      <c r="AM163" s="121"/>
      <c r="AN163" s="121"/>
      <c r="AO163" s="121"/>
      <c r="AP163" s="121"/>
      <c r="AQ163" s="121"/>
      <c r="AR163" s="121"/>
      <c r="AS163" s="121"/>
      <c r="AT163" s="121"/>
      <c r="AU163" s="121"/>
      <c r="AV163" s="121"/>
      <c r="AW163" s="121"/>
      <c r="AX163" s="121"/>
      <c r="AY163" s="121"/>
      <c r="AZ163" s="121"/>
      <c r="BA163" s="121"/>
      <c r="BB163" s="121"/>
      <c r="BC163" s="121"/>
      <c r="BD163" s="121"/>
      <c r="BE163" s="121"/>
      <c r="BF163" s="121"/>
      <c r="BG163" s="121"/>
      <c r="BH163" s="121"/>
      <c r="BI163" s="121"/>
      <c r="BJ163" s="122"/>
      <c r="BK163" s="93"/>
      <c r="BL163" s="94"/>
      <c r="BM163" s="95"/>
      <c r="BN163" s="179" t="str">
        <f t="shared" si="7"/>
        <v/>
      </c>
      <c r="BO163" s="177"/>
      <c r="BP163" s="14"/>
      <c r="BQ163" s="14"/>
      <c r="BR163" s="14"/>
      <c r="BS163" s="14"/>
      <c r="BT163" s="14"/>
      <c r="BU163" s="14"/>
      <c r="BV163" s="16"/>
      <c r="BW163" s="14"/>
      <c r="BX163" s="14"/>
      <c r="BY163" s="14"/>
      <c r="BZ163" s="14"/>
      <c r="CA163" s="14"/>
      <c r="CB163" s="14"/>
      <c r="CC163" s="14"/>
      <c r="CD163" s="14"/>
      <c r="CE163" s="14"/>
      <c r="CF163" s="14"/>
      <c r="CG163" s="14"/>
      <c r="CH163" s="14"/>
      <c r="CI163" s="14"/>
      <c r="CJ163" s="14"/>
      <c r="CK163" s="14"/>
      <c r="CL163" s="14"/>
      <c r="CM163" s="14"/>
      <c r="CN163" s="14"/>
      <c r="CO163" s="14"/>
      <c r="CP163" s="14"/>
      <c r="CQ163" s="14"/>
      <c r="CR163" s="14"/>
      <c r="CS163" s="14"/>
      <c r="CT163" s="14"/>
      <c r="CU163" s="14"/>
      <c r="CV163" s="14"/>
      <c r="CW163" s="14"/>
      <c r="CX163" s="14"/>
      <c r="CY163" s="14"/>
      <c r="CZ163" s="14"/>
      <c r="DA163" s="14"/>
      <c r="DB163" s="14"/>
      <c r="DC163" s="14"/>
      <c r="DD163" s="14"/>
      <c r="DE163" s="14"/>
      <c r="DF163" s="14"/>
      <c r="DG163" s="14"/>
      <c r="DH163" s="14"/>
      <c r="DI163" s="14"/>
      <c r="DJ163" s="14"/>
      <c r="DK163" s="14"/>
      <c r="DL163" s="14"/>
      <c r="DM163" s="14"/>
      <c r="DN163" s="14"/>
      <c r="DO163" s="14"/>
      <c r="DP163" s="26"/>
      <c r="DQ163" s="27"/>
      <c r="DR163" s="129"/>
      <c r="DS163" s="130">
        <f>TCP(BO163:DQ163,$BO$9:$DQ$9,data!$H$8)</f>
        <v>0</v>
      </c>
      <c r="DT163" s="135"/>
      <c r="DU163" s="121"/>
      <c r="DV163" s="121"/>
      <c r="DW163" s="134"/>
      <c r="DX163" s="132"/>
      <c r="DY163" s="136"/>
      <c r="DZ163" s="21"/>
      <c r="EA163" s="18"/>
      <c r="EB163" s="4"/>
      <c r="EI163" s="23"/>
      <c r="EJ163" s="23"/>
    </row>
    <row r="164" spans="1:140" s="191" customFormat="1" ht="15.75" x14ac:dyDescent="0.25">
      <c r="A164" s="12"/>
      <c r="B164" s="16"/>
      <c r="C164" s="24" t="str">
        <f t="shared" si="6"/>
        <v xml:space="preserve"> </v>
      </c>
      <c r="D164" s="25"/>
      <c r="E164" s="20"/>
      <c r="F164" s="19"/>
      <c r="G164" s="180"/>
      <c r="H164" s="120"/>
      <c r="I164" s="121"/>
      <c r="J164" s="121"/>
      <c r="K164" s="121"/>
      <c r="L164" s="121"/>
      <c r="M164" s="121"/>
      <c r="N164" s="121"/>
      <c r="O164" s="121"/>
      <c r="P164" s="121"/>
      <c r="Q164" s="121"/>
      <c r="R164" s="121"/>
      <c r="S164" s="121"/>
      <c r="T164" s="121"/>
      <c r="U164" s="121"/>
      <c r="V164" s="121"/>
      <c r="W164" s="121"/>
      <c r="X164" s="121"/>
      <c r="Y164" s="121"/>
      <c r="Z164" s="121"/>
      <c r="AA164" s="121"/>
      <c r="AB164" s="121"/>
      <c r="AC164" s="121"/>
      <c r="AD164" s="121"/>
      <c r="AE164" s="121"/>
      <c r="AF164" s="121"/>
      <c r="AG164" s="121"/>
      <c r="AH164" s="121"/>
      <c r="AI164" s="121"/>
      <c r="AJ164" s="121"/>
      <c r="AK164" s="121"/>
      <c r="AL164" s="121"/>
      <c r="AM164" s="121"/>
      <c r="AN164" s="121"/>
      <c r="AO164" s="121"/>
      <c r="AP164" s="121"/>
      <c r="AQ164" s="121"/>
      <c r="AR164" s="121"/>
      <c r="AS164" s="121"/>
      <c r="AT164" s="121"/>
      <c r="AU164" s="121"/>
      <c r="AV164" s="121"/>
      <c r="AW164" s="121"/>
      <c r="AX164" s="121"/>
      <c r="AY164" s="121"/>
      <c r="AZ164" s="121"/>
      <c r="BA164" s="121"/>
      <c r="BB164" s="121"/>
      <c r="BC164" s="121"/>
      <c r="BD164" s="121"/>
      <c r="BE164" s="121"/>
      <c r="BF164" s="121"/>
      <c r="BG164" s="121"/>
      <c r="BH164" s="121"/>
      <c r="BI164" s="121"/>
      <c r="BJ164" s="122"/>
      <c r="BK164" s="93"/>
      <c r="BL164" s="94"/>
      <c r="BM164" s="95"/>
      <c r="BN164" s="179" t="str">
        <f t="shared" si="7"/>
        <v/>
      </c>
      <c r="BO164" s="177"/>
      <c r="BP164" s="14"/>
      <c r="BQ164" s="14"/>
      <c r="BR164" s="14"/>
      <c r="BS164" s="14"/>
      <c r="BT164" s="14"/>
      <c r="BU164" s="14"/>
      <c r="BV164" s="16"/>
      <c r="BW164" s="14"/>
      <c r="BX164" s="14"/>
      <c r="BY164" s="14"/>
      <c r="BZ164" s="14"/>
      <c r="CA164" s="14"/>
      <c r="CB164" s="14"/>
      <c r="CC164" s="14"/>
      <c r="CD164" s="14"/>
      <c r="CE164" s="14"/>
      <c r="CF164" s="14"/>
      <c r="CG164" s="14"/>
      <c r="CH164" s="14"/>
      <c r="CI164" s="14"/>
      <c r="CJ164" s="14"/>
      <c r="CK164" s="14"/>
      <c r="CL164" s="14"/>
      <c r="CM164" s="14"/>
      <c r="CN164" s="14"/>
      <c r="CO164" s="14"/>
      <c r="CP164" s="14"/>
      <c r="CQ164" s="14"/>
      <c r="CR164" s="14"/>
      <c r="CS164" s="14"/>
      <c r="CT164" s="14"/>
      <c r="CU164" s="14"/>
      <c r="CV164" s="14"/>
      <c r="CW164" s="14"/>
      <c r="CX164" s="14"/>
      <c r="CY164" s="14"/>
      <c r="CZ164" s="14"/>
      <c r="DA164" s="14"/>
      <c r="DB164" s="14"/>
      <c r="DC164" s="14"/>
      <c r="DD164" s="14"/>
      <c r="DE164" s="14"/>
      <c r="DF164" s="14"/>
      <c r="DG164" s="14"/>
      <c r="DH164" s="14"/>
      <c r="DI164" s="14"/>
      <c r="DJ164" s="14"/>
      <c r="DK164" s="14"/>
      <c r="DL164" s="14"/>
      <c r="DM164" s="14"/>
      <c r="DN164" s="14"/>
      <c r="DO164" s="14"/>
      <c r="DP164" s="26"/>
      <c r="DQ164" s="27"/>
      <c r="DR164" s="129"/>
      <c r="DS164" s="130">
        <f>TCP(BO164:DQ164,$BO$9:$DQ$9,data!$H$8)</f>
        <v>0</v>
      </c>
      <c r="DT164" s="135"/>
      <c r="DU164" s="121"/>
      <c r="DV164" s="121"/>
      <c r="DW164" s="134"/>
      <c r="DX164" s="132"/>
      <c r="DY164" s="136"/>
      <c r="DZ164" s="21"/>
      <c r="EA164" s="18"/>
      <c r="EB164" s="4"/>
      <c r="EI164" s="23"/>
      <c r="EJ164" s="23"/>
    </row>
    <row r="165" spans="1:140" s="191" customFormat="1" ht="15.75" x14ac:dyDescent="0.25">
      <c r="A165" s="12"/>
      <c r="B165" s="16"/>
      <c r="C165" s="24" t="str">
        <f t="shared" si="6"/>
        <v xml:space="preserve"> </v>
      </c>
      <c r="D165" s="25"/>
      <c r="E165" s="20"/>
      <c r="F165" s="19"/>
      <c r="G165" s="180"/>
      <c r="H165" s="120"/>
      <c r="I165" s="121"/>
      <c r="J165" s="121"/>
      <c r="K165" s="121"/>
      <c r="L165" s="121"/>
      <c r="M165" s="121"/>
      <c r="N165" s="121"/>
      <c r="O165" s="121"/>
      <c r="P165" s="121"/>
      <c r="Q165" s="121"/>
      <c r="R165" s="121"/>
      <c r="S165" s="121"/>
      <c r="T165" s="121"/>
      <c r="U165" s="121"/>
      <c r="V165" s="121"/>
      <c r="W165" s="121"/>
      <c r="X165" s="121"/>
      <c r="Y165" s="121"/>
      <c r="Z165" s="121"/>
      <c r="AA165" s="121"/>
      <c r="AB165" s="121"/>
      <c r="AC165" s="121"/>
      <c r="AD165" s="121"/>
      <c r="AE165" s="121"/>
      <c r="AF165" s="121"/>
      <c r="AG165" s="121"/>
      <c r="AH165" s="121"/>
      <c r="AI165" s="121"/>
      <c r="AJ165" s="121"/>
      <c r="AK165" s="121"/>
      <c r="AL165" s="121"/>
      <c r="AM165" s="121"/>
      <c r="AN165" s="121"/>
      <c r="AO165" s="121"/>
      <c r="AP165" s="121"/>
      <c r="AQ165" s="121"/>
      <c r="AR165" s="121"/>
      <c r="AS165" s="121"/>
      <c r="AT165" s="121"/>
      <c r="AU165" s="121"/>
      <c r="AV165" s="121"/>
      <c r="AW165" s="121"/>
      <c r="AX165" s="121"/>
      <c r="AY165" s="121"/>
      <c r="AZ165" s="121"/>
      <c r="BA165" s="121"/>
      <c r="BB165" s="121"/>
      <c r="BC165" s="121"/>
      <c r="BD165" s="121"/>
      <c r="BE165" s="121"/>
      <c r="BF165" s="121"/>
      <c r="BG165" s="121"/>
      <c r="BH165" s="121"/>
      <c r="BI165" s="121"/>
      <c r="BJ165" s="122"/>
      <c r="BK165" s="93"/>
      <c r="BL165" s="94"/>
      <c r="BM165" s="95"/>
      <c r="BN165" s="179" t="str">
        <f t="shared" si="7"/>
        <v/>
      </c>
      <c r="BO165" s="177"/>
      <c r="BP165" s="14"/>
      <c r="BQ165" s="14"/>
      <c r="BR165" s="14"/>
      <c r="BS165" s="14"/>
      <c r="BT165" s="14"/>
      <c r="BU165" s="14"/>
      <c r="BV165" s="16"/>
      <c r="BW165" s="14"/>
      <c r="BX165" s="14"/>
      <c r="BY165" s="14"/>
      <c r="BZ165" s="14"/>
      <c r="CA165" s="14"/>
      <c r="CB165" s="14"/>
      <c r="CC165" s="14"/>
      <c r="CD165" s="14"/>
      <c r="CE165" s="14"/>
      <c r="CF165" s="14"/>
      <c r="CG165" s="14"/>
      <c r="CH165" s="14"/>
      <c r="CI165" s="14"/>
      <c r="CJ165" s="14"/>
      <c r="CK165" s="14"/>
      <c r="CL165" s="14"/>
      <c r="CM165" s="14"/>
      <c r="CN165" s="14"/>
      <c r="CO165" s="14"/>
      <c r="CP165" s="14"/>
      <c r="CQ165" s="14"/>
      <c r="CR165" s="14"/>
      <c r="CS165" s="14"/>
      <c r="CT165" s="14"/>
      <c r="CU165" s="14"/>
      <c r="CV165" s="14"/>
      <c r="CW165" s="14"/>
      <c r="CX165" s="14"/>
      <c r="CY165" s="14"/>
      <c r="CZ165" s="14"/>
      <c r="DA165" s="14"/>
      <c r="DB165" s="14"/>
      <c r="DC165" s="14"/>
      <c r="DD165" s="14"/>
      <c r="DE165" s="14"/>
      <c r="DF165" s="14"/>
      <c r="DG165" s="14"/>
      <c r="DH165" s="14"/>
      <c r="DI165" s="14"/>
      <c r="DJ165" s="14"/>
      <c r="DK165" s="14"/>
      <c r="DL165" s="14"/>
      <c r="DM165" s="14"/>
      <c r="DN165" s="14"/>
      <c r="DO165" s="14"/>
      <c r="DP165" s="26"/>
      <c r="DQ165" s="27"/>
      <c r="DR165" s="129"/>
      <c r="DS165" s="130">
        <f>TCP(BO165:DQ165,$BO$9:$DQ$9,data!$H$8)</f>
        <v>0</v>
      </c>
      <c r="DT165" s="135"/>
      <c r="DU165" s="121"/>
      <c r="DV165" s="121"/>
      <c r="DW165" s="134"/>
      <c r="DX165" s="132"/>
      <c r="DY165" s="136"/>
      <c r="DZ165" s="21"/>
      <c r="EA165" s="18"/>
      <c r="EB165" s="4"/>
      <c r="EI165" s="23"/>
      <c r="EJ165" s="23"/>
    </row>
    <row r="166" spans="1:140" s="191" customFormat="1" ht="15.75" x14ac:dyDescent="0.25">
      <c r="A166" s="12"/>
      <c r="B166" s="16"/>
      <c r="C166" s="24" t="str">
        <f t="shared" si="6"/>
        <v xml:space="preserve"> </v>
      </c>
      <c r="D166" s="25"/>
      <c r="E166" s="20"/>
      <c r="F166" s="19"/>
      <c r="G166" s="180"/>
      <c r="H166" s="120"/>
      <c r="I166" s="121"/>
      <c r="J166" s="121"/>
      <c r="K166" s="121"/>
      <c r="L166" s="121"/>
      <c r="M166" s="121"/>
      <c r="N166" s="121"/>
      <c r="O166" s="121"/>
      <c r="P166" s="121"/>
      <c r="Q166" s="121"/>
      <c r="R166" s="121"/>
      <c r="S166" s="121"/>
      <c r="T166" s="121"/>
      <c r="U166" s="121"/>
      <c r="V166" s="121"/>
      <c r="W166" s="121"/>
      <c r="X166" s="121"/>
      <c r="Y166" s="121"/>
      <c r="Z166" s="121"/>
      <c r="AA166" s="121"/>
      <c r="AB166" s="121"/>
      <c r="AC166" s="121"/>
      <c r="AD166" s="121"/>
      <c r="AE166" s="121"/>
      <c r="AF166" s="121"/>
      <c r="AG166" s="121"/>
      <c r="AH166" s="121"/>
      <c r="AI166" s="121"/>
      <c r="AJ166" s="121"/>
      <c r="AK166" s="121"/>
      <c r="AL166" s="121"/>
      <c r="AM166" s="121"/>
      <c r="AN166" s="121"/>
      <c r="AO166" s="121"/>
      <c r="AP166" s="121"/>
      <c r="AQ166" s="121"/>
      <c r="AR166" s="121"/>
      <c r="AS166" s="121"/>
      <c r="AT166" s="121"/>
      <c r="AU166" s="121"/>
      <c r="AV166" s="121"/>
      <c r="AW166" s="121"/>
      <c r="AX166" s="121"/>
      <c r="AY166" s="121"/>
      <c r="AZ166" s="121"/>
      <c r="BA166" s="121"/>
      <c r="BB166" s="121"/>
      <c r="BC166" s="121"/>
      <c r="BD166" s="121"/>
      <c r="BE166" s="121"/>
      <c r="BF166" s="121"/>
      <c r="BG166" s="121"/>
      <c r="BH166" s="121"/>
      <c r="BI166" s="121"/>
      <c r="BJ166" s="122"/>
      <c r="BK166" s="93"/>
      <c r="BL166" s="94"/>
      <c r="BM166" s="95"/>
      <c r="BN166" s="179" t="str">
        <f t="shared" si="7"/>
        <v/>
      </c>
      <c r="BO166" s="177"/>
      <c r="BP166" s="14"/>
      <c r="BQ166" s="14"/>
      <c r="BR166" s="14"/>
      <c r="BS166" s="14"/>
      <c r="BT166" s="14"/>
      <c r="BU166" s="14"/>
      <c r="BV166" s="16"/>
      <c r="BW166" s="14"/>
      <c r="BX166" s="14"/>
      <c r="BY166" s="14"/>
      <c r="BZ166" s="14"/>
      <c r="CA166" s="14"/>
      <c r="CB166" s="14"/>
      <c r="CC166" s="14"/>
      <c r="CD166" s="14"/>
      <c r="CE166" s="14"/>
      <c r="CF166" s="14"/>
      <c r="CG166" s="14"/>
      <c r="CH166" s="14"/>
      <c r="CI166" s="14"/>
      <c r="CJ166" s="14"/>
      <c r="CK166" s="14"/>
      <c r="CL166" s="14"/>
      <c r="CM166" s="14"/>
      <c r="CN166" s="14"/>
      <c r="CO166" s="14"/>
      <c r="CP166" s="14"/>
      <c r="CQ166" s="14"/>
      <c r="CR166" s="14"/>
      <c r="CS166" s="14"/>
      <c r="CT166" s="14"/>
      <c r="CU166" s="14"/>
      <c r="CV166" s="14"/>
      <c r="CW166" s="14"/>
      <c r="CX166" s="14"/>
      <c r="CY166" s="14"/>
      <c r="CZ166" s="14"/>
      <c r="DA166" s="14"/>
      <c r="DB166" s="14"/>
      <c r="DC166" s="14"/>
      <c r="DD166" s="14"/>
      <c r="DE166" s="14"/>
      <c r="DF166" s="14"/>
      <c r="DG166" s="14"/>
      <c r="DH166" s="14"/>
      <c r="DI166" s="14"/>
      <c r="DJ166" s="14"/>
      <c r="DK166" s="14"/>
      <c r="DL166" s="14"/>
      <c r="DM166" s="14"/>
      <c r="DN166" s="14"/>
      <c r="DO166" s="14"/>
      <c r="DP166" s="26"/>
      <c r="DQ166" s="27"/>
      <c r="DR166" s="129"/>
      <c r="DS166" s="130">
        <f>TCP(BO166:DQ166,$BO$9:$DQ$9,data!$H$8)</f>
        <v>0</v>
      </c>
      <c r="DT166" s="135"/>
      <c r="DU166" s="121"/>
      <c r="DV166" s="121"/>
      <c r="DW166" s="134"/>
      <c r="DX166" s="132"/>
      <c r="DY166" s="136"/>
      <c r="DZ166" s="21"/>
      <c r="EA166" s="18"/>
      <c r="EB166" s="4"/>
      <c r="EI166" s="23"/>
      <c r="EJ166" s="23"/>
    </row>
    <row r="167" spans="1:140" s="191" customFormat="1" ht="15.75" x14ac:dyDescent="0.25">
      <c r="A167" s="12"/>
      <c r="B167" s="16"/>
      <c r="C167" s="24" t="str">
        <f t="shared" si="6"/>
        <v xml:space="preserve"> </v>
      </c>
      <c r="D167" s="25"/>
      <c r="E167" s="20"/>
      <c r="F167" s="19"/>
      <c r="G167" s="180"/>
      <c r="H167" s="120"/>
      <c r="I167" s="121"/>
      <c r="J167" s="121"/>
      <c r="K167" s="121"/>
      <c r="L167" s="121"/>
      <c r="M167" s="121"/>
      <c r="N167" s="121"/>
      <c r="O167" s="121"/>
      <c r="P167" s="121"/>
      <c r="Q167" s="121"/>
      <c r="R167" s="121"/>
      <c r="S167" s="121"/>
      <c r="T167" s="121"/>
      <c r="U167" s="121"/>
      <c r="V167" s="121"/>
      <c r="W167" s="121"/>
      <c r="X167" s="121"/>
      <c r="Y167" s="121"/>
      <c r="Z167" s="121"/>
      <c r="AA167" s="121"/>
      <c r="AB167" s="121"/>
      <c r="AC167" s="121"/>
      <c r="AD167" s="121"/>
      <c r="AE167" s="121"/>
      <c r="AF167" s="121"/>
      <c r="AG167" s="121"/>
      <c r="AH167" s="121"/>
      <c r="AI167" s="121"/>
      <c r="AJ167" s="121"/>
      <c r="AK167" s="121"/>
      <c r="AL167" s="121"/>
      <c r="AM167" s="121"/>
      <c r="AN167" s="121"/>
      <c r="AO167" s="121"/>
      <c r="AP167" s="121"/>
      <c r="AQ167" s="121"/>
      <c r="AR167" s="121"/>
      <c r="AS167" s="121"/>
      <c r="AT167" s="121"/>
      <c r="AU167" s="121"/>
      <c r="AV167" s="121"/>
      <c r="AW167" s="121"/>
      <c r="AX167" s="121"/>
      <c r="AY167" s="121"/>
      <c r="AZ167" s="121"/>
      <c r="BA167" s="121"/>
      <c r="BB167" s="121"/>
      <c r="BC167" s="121"/>
      <c r="BD167" s="121"/>
      <c r="BE167" s="121"/>
      <c r="BF167" s="121"/>
      <c r="BG167" s="121"/>
      <c r="BH167" s="121"/>
      <c r="BI167" s="121"/>
      <c r="BJ167" s="122"/>
      <c r="BK167" s="93"/>
      <c r="BL167" s="94"/>
      <c r="BM167" s="95"/>
      <c r="BN167" s="179" t="str">
        <f t="shared" si="7"/>
        <v/>
      </c>
      <c r="BO167" s="177"/>
      <c r="BP167" s="14"/>
      <c r="BQ167" s="14"/>
      <c r="BR167" s="14"/>
      <c r="BS167" s="14"/>
      <c r="BT167" s="14"/>
      <c r="BU167" s="14"/>
      <c r="BV167" s="16"/>
      <c r="BW167" s="14"/>
      <c r="BX167" s="14"/>
      <c r="BY167" s="14"/>
      <c r="BZ167" s="14"/>
      <c r="CA167" s="14"/>
      <c r="CB167" s="14"/>
      <c r="CC167" s="14"/>
      <c r="CD167" s="14"/>
      <c r="CE167" s="14"/>
      <c r="CF167" s="14"/>
      <c r="CG167" s="14"/>
      <c r="CH167" s="14"/>
      <c r="CI167" s="14"/>
      <c r="CJ167" s="14"/>
      <c r="CK167" s="14"/>
      <c r="CL167" s="14"/>
      <c r="CM167" s="14"/>
      <c r="CN167" s="14"/>
      <c r="CO167" s="14"/>
      <c r="CP167" s="14"/>
      <c r="CQ167" s="14"/>
      <c r="CR167" s="14"/>
      <c r="CS167" s="14"/>
      <c r="CT167" s="14"/>
      <c r="CU167" s="14"/>
      <c r="CV167" s="14"/>
      <c r="CW167" s="14"/>
      <c r="CX167" s="14"/>
      <c r="CY167" s="14"/>
      <c r="CZ167" s="14"/>
      <c r="DA167" s="14"/>
      <c r="DB167" s="14"/>
      <c r="DC167" s="14"/>
      <c r="DD167" s="14"/>
      <c r="DE167" s="14"/>
      <c r="DF167" s="14"/>
      <c r="DG167" s="14"/>
      <c r="DH167" s="14"/>
      <c r="DI167" s="14"/>
      <c r="DJ167" s="14"/>
      <c r="DK167" s="14"/>
      <c r="DL167" s="14"/>
      <c r="DM167" s="14"/>
      <c r="DN167" s="14"/>
      <c r="DO167" s="14"/>
      <c r="DP167" s="26"/>
      <c r="DQ167" s="27"/>
      <c r="DR167" s="129"/>
      <c r="DS167" s="130">
        <f>TCP(BO167:DQ167,$BO$9:$DQ$9,data!$H$8)</f>
        <v>0</v>
      </c>
      <c r="DT167" s="135"/>
      <c r="DU167" s="121"/>
      <c r="DV167" s="121"/>
      <c r="DW167" s="134"/>
      <c r="DX167" s="132"/>
      <c r="DY167" s="136"/>
      <c r="DZ167" s="21"/>
      <c r="EA167" s="18"/>
      <c r="EB167" s="4"/>
      <c r="EI167" s="23"/>
      <c r="EJ167" s="23"/>
    </row>
    <row r="168" spans="1:140" s="191" customFormat="1" ht="15.75" x14ac:dyDescent="0.25">
      <c r="A168" s="12"/>
      <c r="B168" s="16"/>
      <c r="C168" s="24" t="str">
        <f t="shared" si="6"/>
        <v xml:space="preserve"> </v>
      </c>
      <c r="D168" s="25"/>
      <c r="E168" s="20"/>
      <c r="F168" s="19"/>
      <c r="G168" s="180"/>
      <c r="H168" s="120"/>
      <c r="I168" s="121"/>
      <c r="J168" s="121"/>
      <c r="K168" s="121"/>
      <c r="L168" s="121"/>
      <c r="M168" s="121"/>
      <c r="N168" s="121"/>
      <c r="O168" s="121"/>
      <c r="P168" s="121"/>
      <c r="Q168" s="121"/>
      <c r="R168" s="121"/>
      <c r="S168" s="121"/>
      <c r="T168" s="121"/>
      <c r="U168" s="121"/>
      <c r="V168" s="121"/>
      <c r="W168" s="121"/>
      <c r="X168" s="121"/>
      <c r="Y168" s="121"/>
      <c r="Z168" s="121"/>
      <c r="AA168" s="121"/>
      <c r="AB168" s="121"/>
      <c r="AC168" s="121"/>
      <c r="AD168" s="121"/>
      <c r="AE168" s="121"/>
      <c r="AF168" s="121"/>
      <c r="AG168" s="121"/>
      <c r="AH168" s="121"/>
      <c r="AI168" s="121"/>
      <c r="AJ168" s="121"/>
      <c r="AK168" s="121"/>
      <c r="AL168" s="121"/>
      <c r="AM168" s="121"/>
      <c r="AN168" s="121"/>
      <c r="AO168" s="121"/>
      <c r="AP168" s="121"/>
      <c r="AQ168" s="121"/>
      <c r="AR168" s="121"/>
      <c r="AS168" s="121"/>
      <c r="AT168" s="121"/>
      <c r="AU168" s="121"/>
      <c r="AV168" s="121"/>
      <c r="AW168" s="121"/>
      <c r="AX168" s="121"/>
      <c r="AY168" s="121"/>
      <c r="AZ168" s="121"/>
      <c r="BA168" s="121"/>
      <c r="BB168" s="121"/>
      <c r="BC168" s="121"/>
      <c r="BD168" s="121"/>
      <c r="BE168" s="121"/>
      <c r="BF168" s="121"/>
      <c r="BG168" s="121"/>
      <c r="BH168" s="121"/>
      <c r="BI168" s="121"/>
      <c r="BJ168" s="122"/>
      <c r="BK168" s="93"/>
      <c r="BL168" s="94"/>
      <c r="BM168" s="95"/>
      <c r="BN168" s="179" t="str">
        <f t="shared" si="7"/>
        <v/>
      </c>
      <c r="BO168" s="177"/>
      <c r="BP168" s="14"/>
      <c r="BQ168" s="14"/>
      <c r="BR168" s="14"/>
      <c r="BS168" s="14"/>
      <c r="BT168" s="14"/>
      <c r="BU168" s="14"/>
      <c r="BV168" s="16"/>
      <c r="BW168" s="14"/>
      <c r="BX168" s="14"/>
      <c r="BY168" s="14"/>
      <c r="BZ168" s="14"/>
      <c r="CA168" s="14"/>
      <c r="CB168" s="14"/>
      <c r="CC168" s="14"/>
      <c r="CD168" s="14"/>
      <c r="CE168" s="14"/>
      <c r="CF168" s="14"/>
      <c r="CG168" s="14"/>
      <c r="CH168" s="14"/>
      <c r="CI168" s="14"/>
      <c r="CJ168" s="14"/>
      <c r="CK168" s="14"/>
      <c r="CL168" s="14"/>
      <c r="CM168" s="14"/>
      <c r="CN168" s="14"/>
      <c r="CO168" s="14"/>
      <c r="CP168" s="14"/>
      <c r="CQ168" s="14"/>
      <c r="CR168" s="14"/>
      <c r="CS168" s="14"/>
      <c r="CT168" s="14"/>
      <c r="CU168" s="14"/>
      <c r="CV168" s="14"/>
      <c r="CW168" s="14"/>
      <c r="CX168" s="14"/>
      <c r="CY168" s="14"/>
      <c r="CZ168" s="14"/>
      <c r="DA168" s="14"/>
      <c r="DB168" s="14"/>
      <c r="DC168" s="14"/>
      <c r="DD168" s="14"/>
      <c r="DE168" s="14"/>
      <c r="DF168" s="14"/>
      <c r="DG168" s="14"/>
      <c r="DH168" s="14"/>
      <c r="DI168" s="14"/>
      <c r="DJ168" s="14"/>
      <c r="DK168" s="14"/>
      <c r="DL168" s="14"/>
      <c r="DM168" s="14"/>
      <c r="DN168" s="14"/>
      <c r="DO168" s="14"/>
      <c r="DP168" s="26"/>
      <c r="DQ168" s="27"/>
      <c r="DR168" s="129"/>
      <c r="DS168" s="130">
        <f>TCP(BO168:DQ168,$BO$9:$DQ$9,data!$H$8)</f>
        <v>0</v>
      </c>
      <c r="DT168" s="135"/>
      <c r="DU168" s="121"/>
      <c r="DV168" s="121"/>
      <c r="DW168" s="134"/>
      <c r="DX168" s="132"/>
      <c r="DY168" s="136"/>
      <c r="DZ168" s="21"/>
      <c r="EA168" s="18"/>
      <c r="EB168" s="4"/>
      <c r="EI168" s="23"/>
      <c r="EJ168" s="23"/>
    </row>
    <row r="169" spans="1:140" s="191" customFormat="1" ht="15.75" x14ac:dyDescent="0.25">
      <c r="A169" s="12"/>
      <c r="B169" s="16"/>
      <c r="C169" s="24" t="str">
        <f t="shared" si="6"/>
        <v xml:space="preserve"> </v>
      </c>
      <c r="D169" s="25"/>
      <c r="E169" s="20"/>
      <c r="F169" s="19"/>
      <c r="G169" s="180"/>
      <c r="H169" s="120"/>
      <c r="I169" s="121"/>
      <c r="J169" s="121"/>
      <c r="K169" s="121"/>
      <c r="L169" s="121"/>
      <c r="M169" s="121"/>
      <c r="N169" s="121"/>
      <c r="O169" s="121"/>
      <c r="P169" s="121"/>
      <c r="Q169" s="121"/>
      <c r="R169" s="121"/>
      <c r="S169" s="121"/>
      <c r="T169" s="121"/>
      <c r="U169" s="121"/>
      <c r="V169" s="121"/>
      <c r="W169" s="121"/>
      <c r="X169" s="121"/>
      <c r="Y169" s="121"/>
      <c r="Z169" s="121"/>
      <c r="AA169" s="121"/>
      <c r="AB169" s="121"/>
      <c r="AC169" s="121"/>
      <c r="AD169" s="121"/>
      <c r="AE169" s="121"/>
      <c r="AF169" s="121"/>
      <c r="AG169" s="121"/>
      <c r="AH169" s="121"/>
      <c r="AI169" s="121"/>
      <c r="AJ169" s="121"/>
      <c r="AK169" s="121"/>
      <c r="AL169" s="121"/>
      <c r="AM169" s="121"/>
      <c r="AN169" s="121"/>
      <c r="AO169" s="121"/>
      <c r="AP169" s="121"/>
      <c r="AQ169" s="121"/>
      <c r="AR169" s="121"/>
      <c r="AS169" s="121"/>
      <c r="AT169" s="121"/>
      <c r="AU169" s="121"/>
      <c r="AV169" s="121"/>
      <c r="AW169" s="121"/>
      <c r="AX169" s="121"/>
      <c r="AY169" s="121"/>
      <c r="AZ169" s="121"/>
      <c r="BA169" s="121"/>
      <c r="BB169" s="121"/>
      <c r="BC169" s="121"/>
      <c r="BD169" s="121"/>
      <c r="BE169" s="121"/>
      <c r="BF169" s="121"/>
      <c r="BG169" s="121"/>
      <c r="BH169" s="121"/>
      <c r="BI169" s="121"/>
      <c r="BJ169" s="122"/>
      <c r="BK169" s="93"/>
      <c r="BL169" s="94"/>
      <c r="BM169" s="95"/>
      <c r="BN169" s="179" t="str">
        <f t="shared" si="7"/>
        <v/>
      </c>
      <c r="BO169" s="177"/>
      <c r="BP169" s="14"/>
      <c r="BQ169" s="14"/>
      <c r="BR169" s="14"/>
      <c r="BS169" s="14"/>
      <c r="BT169" s="14"/>
      <c r="BU169" s="14"/>
      <c r="BV169" s="16"/>
      <c r="BW169" s="14"/>
      <c r="BX169" s="14"/>
      <c r="BY169" s="14"/>
      <c r="BZ169" s="14"/>
      <c r="CA169" s="14"/>
      <c r="CB169" s="14"/>
      <c r="CC169" s="14"/>
      <c r="CD169" s="14"/>
      <c r="CE169" s="14"/>
      <c r="CF169" s="14"/>
      <c r="CG169" s="14"/>
      <c r="CH169" s="14"/>
      <c r="CI169" s="14"/>
      <c r="CJ169" s="14"/>
      <c r="CK169" s="14"/>
      <c r="CL169" s="14"/>
      <c r="CM169" s="14"/>
      <c r="CN169" s="14"/>
      <c r="CO169" s="14"/>
      <c r="CP169" s="14"/>
      <c r="CQ169" s="14"/>
      <c r="CR169" s="14"/>
      <c r="CS169" s="14"/>
      <c r="CT169" s="14"/>
      <c r="CU169" s="14"/>
      <c r="CV169" s="14"/>
      <c r="CW169" s="14"/>
      <c r="CX169" s="14"/>
      <c r="CY169" s="14"/>
      <c r="CZ169" s="14"/>
      <c r="DA169" s="14"/>
      <c r="DB169" s="14"/>
      <c r="DC169" s="14"/>
      <c r="DD169" s="14"/>
      <c r="DE169" s="14"/>
      <c r="DF169" s="14"/>
      <c r="DG169" s="14"/>
      <c r="DH169" s="14"/>
      <c r="DI169" s="14"/>
      <c r="DJ169" s="14"/>
      <c r="DK169" s="14"/>
      <c r="DL169" s="14"/>
      <c r="DM169" s="14"/>
      <c r="DN169" s="14"/>
      <c r="DO169" s="14"/>
      <c r="DP169" s="26"/>
      <c r="DQ169" s="27"/>
      <c r="DR169" s="129"/>
      <c r="DS169" s="130">
        <f>TCP(BO169:DQ169,$BO$9:$DQ$9,data!$H$8)</f>
        <v>0</v>
      </c>
      <c r="DT169" s="135"/>
      <c r="DU169" s="121"/>
      <c r="DV169" s="121"/>
      <c r="DW169" s="134"/>
      <c r="DX169" s="132"/>
      <c r="DY169" s="136"/>
      <c r="DZ169" s="21"/>
      <c r="EA169" s="18"/>
      <c r="EB169" s="4"/>
      <c r="EI169" s="23"/>
      <c r="EJ169" s="23"/>
    </row>
    <row r="170" spans="1:140" s="191" customFormat="1" ht="15.75" x14ac:dyDescent="0.25">
      <c r="A170" s="12"/>
      <c r="B170" s="16"/>
      <c r="C170" s="24" t="str">
        <f t="shared" si="6"/>
        <v xml:space="preserve"> </v>
      </c>
      <c r="D170" s="25"/>
      <c r="E170" s="20"/>
      <c r="F170" s="19"/>
      <c r="G170" s="180"/>
      <c r="H170" s="120"/>
      <c r="I170" s="121"/>
      <c r="J170" s="121"/>
      <c r="K170" s="121"/>
      <c r="L170" s="121"/>
      <c r="M170" s="121"/>
      <c r="N170" s="121"/>
      <c r="O170" s="121"/>
      <c r="P170" s="121"/>
      <c r="Q170" s="121"/>
      <c r="R170" s="121"/>
      <c r="S170" s="121"/>
      <c r="T170" s="121"/>
      <c r="U170" s="121"/>
      <c r="V170" s="121"/>
      <c r="W170" s="121"/>
      <c r="X170" s="121"/>
      <c r="Y170" s="121"/>
      <c r="Z170" s="121"/>
      <c r="AA170" s="121"/>
      <c r="AB170" s="121"/>
      <c r="AC170" s="121"/>
      <c r="AD170" s="121"/>
      <c r="AE170" s="121"/>
      <c r="AF170" s="121"/>
      <c r="AG170" s="121"/>
      <c r="AH170" s="121"/>
      <c r="AI170" s="121"/>
      <c r="AJ170" s="121"/>
      <c r="AK170" s="121"/>
      <c r="AL170" s="121"/>
      <c r="AM170" s="121"/>
      <c r="AN170" s="121"/>
      <c r="AO170" s="121"/>
      <c r="AP170" s="121"/>
      <c r="AQ170" s="121"/>
      <c r="AR170" s="121"/>
      <c r="AS170" s="121"/>
      <c r="AT170" s="121"/>
      <c r="AU170" s="121"/>
      <c r="AV170" s="121"/>
      <c r="AW170" s="121"/>
      <c r="AX170" s="121"/>
      <c r="AY170" s="121"/>
      <c r="AZ170" s="121"/>
      <c r="BA170" s="121"/>
      <c r="BB170" s="121"/>
      <c r="BC170" s="121"/>
      <c r="BD170" s="121"/>
      <c r="BE170" s="121"/>
      <c r="BF170" s="121"/>
      <c r="BG170" s="121"/>
      <c r="BH170" s="121"/>
      <c r="BI170" s="121"/>
      <c r="BJ170" s="122"/>
      <c r="BK170" s="93"/>
      <c r="BL170" s="94"/>
      <c r="BM170" s="95"/>
      <c r="BN170" s="179" t="str">
        <f t="shared" si="7"/>
        <v/>
      </c>
      <c r="BO170" s="177"/>
      <c r="BP170" s="14"/>
      <c r="BQ170" s="14"/>
      <c r="BR170" s="14"/>
      <c r="BS170" s="14"/>
      <c r="BT170" s="14"/>
      <c r="BU170" s="14"/>
      <c r="BV170" s="16"/>
      <c r="BW170" s="14"/>
      <c r="BX170" s="14"/>
      <c r="BY170" s="14"/>
      <c r="BZ170" s="14"/>
      <c r="CA170" s="14"/>
      <c r="CB170" s="14"/>
      <c r="CC170" s="14"/>
      <c r="CD170" s="14"/>
      <c r="CE170" s="14"/>
      <c r="CF170" s="14"/>
      <c r="CG170" s="14"/>
      <c r="CH170" s="14"/>
      <c r="CI170" s="14"/>
      <c r="CJ170" s="14"/>
      <c r="CK170" s="14"/>
      <c r="CL170" s="14"/>
      <c r="CM170" s="14"/>
      <c r="CN170" s="14"/>
      <c r="CO170" s="14"/>
      <c r="CP170" s="14"/>
      <c r="CQ170" s="14"/>
      <c r="CR170" s="14"/>
      <c r="CS170" s="14"/>
      <c r="CT170" s="14"/>
      <c r="CU170" s="14"/>
      <c r="CV170" s="14"/>
      <c r="CW170" s="14"/>
      <c r="CX170" s="14"/>
      <c r="CY170" s="14"/>
      <c r="CZ170" s="14"/>
      <c r="DA170" s="14"/>
      <c r="DB170" s="14"/>
      <c r="DC170" s="14"/>
      <c r="DD170" s="14"/>
      <c r="DE170" s="14"/>
      <c r="DF170" s="14"/>
      <c r="DG170" s="14"/>
      <c r="DH170" s="14"/>
      <c r="DI170" s="14"/>
      <c r="DJ170" s="14"/>
      <c r="DK170" s="14"/>
      <c r="DL170" s="14"/>
      <c r="DM170" s="14"/>
      <c r="DN170" s="14"/>
      <c r="DO170" s="14"/>
      <c r="DP170" s="26"/>
      <c r="DQ170" s="27"/>
      <c r="DR170" s="129"/>
      <c r="DS170" s="130">
        <f>TCP(BO170:DQ170,$BO$9:$DQ$9,data!$H$8)</f>
        <v>0</v>
      </c>
      <c r="DT170" s="135"/>
      <c r="DU170" s="121"/>
      <c r="DV170" s="121"/>
      <c r="DW170" s="134"/>
      <c r="DX170" s="132"/>
      <c r="DY170" s="136"/>
      <c r="DZ170" s="21"/>
      <c r="EA170" s="18"/>
      <c r="EB170" s="4"/>
      <c r="EI170" s="23"/>
      <c r="EJ170" s="23"/>
    </row>
    <row r="171" spans="1:140" ht="15.75" x14ac:dyDescent="0.25">
      <c r="A171" s="12"/>
      <c r="B171" s="16"/>
      <c r="C171" s="24" t="str">
        <f t="shared" si="6"/>
        <v xml:space="preserve"> </v>
      </c>
      <c r="D171" s="25"/>
      <c r="E171" s="20"/>
      <c r="F171" s="19" t="str">
        <f t="shared" si="1"/>
        <v xml:space="preserve"> </v>
      </c>
      <c r="G171" s="180" t="str">
        <f t="shared" si="3"/>
        <v/>
      </c>
      <c r="H171" s="120"/>
      <c r="I171" s="121"/>
      <c r="J171" s="121"/>
      <c r="K171" s="121"/>
      <c r="L171" s="121"/>
      <c r="M171" s="121"/>
      <c r="N171" s="121"/>
      <c r="O171" s="121"/>
      <c r="P171" s="121"/>
      <c r="Q171" s="121"/>
      <c r="R171" s="121"/>
      <c r="S171" s="121"/>
      <c r="T171" s="121"/>
      <c r="U171" s="121"/>
      <c r="V171" s="121"/>
      <c r="W171" s="121"/>
      <c r="X171" s="121"/>
      <c r="Y171" s="121"/>
      <c r="Z171" s="121"/>
      <c r="AA171" s="121"/>
      <c r="AB171" s="121"/>
      <c r="AC171" s="121"/>
      <c r="AD171" s="121"/>
      <c r="AE171" s="121"/>
      <c r="AF171" s="121"/>
      <c r="AG171" s="121"/>
      <c r="AH171" s="121"/>
      <c r="AI171" s="121"/>
      <c r="AJ171" s="121"/>
      <c r="AK171" s="121"/>
      <c r="AL171" s="121"/>
      <c r="AM171" s="121"/>
      <c r="AN171" s="121"/>
      <c r="AO171" s="121"/>
      <c r="AP171" s="121"/>
      <c r="AQ171" s="121"/>
      <c r="AR171" s="121"/>
      <c r="AS171" s="121"/>
      <c r="AT171" s="121"/>
      <c r="AU171" s="121"/>
      <c r="AV171" s="121"/>
      <c r="AW171" s="121"/>
      <c r="AX171" s="121"/>
      <c r="AY171" s="121"/>
      <c r="AZ171" s="121"/>
      <c r="BA171" s="121"/>
      <c r="BB171" s="121"/>
      <c r="BC171" s="121"/>
      <c r="BD171" s="121"/>
      <c r="BE171" s="121"/>
      <c r="BF171" s="121"/>
      <c r="BG171" s="121"/>
      <c r="BH171" s="121"/>
      <c r="BI171" s="121"/>
      <c r="BJ171" s="122"/>
      <c r="BK171" s="93"/>
      <c r="BL171" s="94"/>
      <c r="BM171" s="95"/>
      <c r="BN171" s="179" t="str">
        <f t="shared" si="7"/>
        <v/>
      </c>
      <c r="BO171" s="177"/>
      <c r="BP171" s="14"/>
      <c r="BQ171" s="14"/>
      <c r="BR171" s="14"/>
      <c r="BS171" s="14"/>
      <c r="BT171" s="14"/>
      <c r="BU171" s="14"/>
      <c r="BV171" s="16"/>
      <c r="BW171" s="14"/>
      <c r="BX171" s="14"/>
      <c r="BY171" s="14"/>
      <c r="BZ171" s="14"/>
      <c r="CA171" s="14"/>
      <c r="CB171" s="14"/>
      <c r="CC171" s="14"/>
      <c r="CD171" s="14"/>
      <c r="CE171" s="14"/>
      <c r="CF171" s="14"/>
      <c r="CG171" s="14"/>
      <c r="CH171" s="14"/>
      <c r="CI171" s="14"/>
      <c r="CJ171" s="14"/>
      <c r="CK171" s="14"/>
      <c r="CL171" s="14"/>
      <c r="CM171" s="14"/>
      <c r="CN171" s="14"/>
      <c r="CO171" s="14"/>
      <c r="CP171" s="14"/>
      <c r="CQ171" s="14"/>
      <c r="CR171" s="14"/>
      <c r="CS171" s="14"/>
      <c r="CT171" s="14"/>
      <c r="CU171" s="14"/>
      <c r="CV171" s="14"/>
      <c r="CW171" s="14"/>
      <c r="CX171" s="14"/>
      <c r="CY171" s="14"/>
      <c r="CZ171" s="14"/>
      <c r="DA171" s="14"/>
      <c r="DB171" s="14"/>
      <c r="DC171" s="14"/>
      <c r="DD171" s="14"/>
      <c r="DE171" s="14"/>
      <c r="DF171" s="14"/>
      <c r="DG171" s="14"/>
      <c r="DH171" s="14"/>
      <c r="DI171" s="14"/>
      <c r="DJ171" s="14"/>
      <c r="DK171" s="14"/>
      <c r="DL171" s="14"/>
      <c r="DM171" s="14"/>
      <c r="DN171" s="14"/>
      <c r="DO171" s="14"/>
      <c r="DP171" s="26"/>
      <c r="DQ171" s="27"/>
      <c r="DR171" s="129"/>
      <c r="DS171" s="130">
        <f>TCP(BO171:DQ171,$BO$9:$DQ$9,data!$H$8)</f>
        <v>0</v>
      </c>
      <c r="DT171" s="135"/>
      <c r="DU171" s="121"/>
      <c r="DV171" s="121"/>
      <c r="DW171" s="134"/>
      <c r="DX171" s="132"/>
      <c r="DY171" s="136"/>
      <c r="DZ171" s="21"/>
      <c r="EA171" s="18"/>
      <c r="EB171" s="4"/>
      <c r="EI171" s="23"/>
      <c r="EJ171" s="23"/>
    </row>
    <row r="172" spans="1:140" s="191" customFormat="1" ht="15.75" x14ac:dyDescent="0.25">
      <c r="A172" s="12"/>
      <c r="B172" s="16"/>
      <c r="C172" s="24" t="str">
        <f t="shared" si="6"/>
        <v xml:space="preserve"> </v>
      </c>
      <c r="D172" s="25"/>
      <c r="E172" s="20"/>
      <c r="F172" s="19"/>
      <c r="G172" s="180"/>
      <c r="H172" s="120"/>
      <c r="I172" s="121"/>
      <c r="J172" s="121"/>
      <c r="K172" s="121"/>
      <c r="L172" s="121"/>
      <c r="M172" s="121"/>
      <c r="N172" s="121"/>
      <c r="O172" s="121"/>
      <c r="P172" s="121"/>
      <c r="Q172" s="121"/>
      <c r="R172" s="121"/>
      <c r="S172" s="121"/>
      <c r="T172" s="121"/>
      <c r="U172" s="121"/>
      <c r="V172" s="121"/>
      <c r="W172" s="121"/>
      <c r="X172" s="121"/>
      <c r="Y172" s="121"/>
      <c r="Z172" s="121"/>
      <c r="AA172" s="121"/>
      <c r="AB172" s="121"/>
      <c r="AC172" s="121"/>
      <c r="AD172" s="121"/>
      <c r="AE172" s="121"/>
      <c r="AF172" s="121"/>
      <c r="AG172" s="121"/>
      <c r="AH172" s="121"/>
      <c r="AI172" s="121"/>
      <c r="AJ172" s="121"/>
      <c r="AK172" s="121"/>
      <c r="AL172" s="121"/>
      <c r="AM172" s="121"/>
      <c r="AN172" s="121"/>
      <c r="AO172" s="121"/>
      <c r="AP172" s="121"/>
      <c r="AQ172" s="121"/>
      <c r="AR172" s="121"/>
      <c r="AS172" s="121"/>
      <c r="AT172" s="121"/>
      <c r="AU172" s="121"/>
      <c r="AV172" s="121"/>
      <c r="AW172" s="121"/>
      <c r="AX172" s="121"/>
      <c r="AY172" s="121"/>
      <c r="AZ172" s="121"/>
      <c r="BA172" s="121"/>
      <c r="BB172" s="121"/>
      <c r="BC172" s="121"/>
      <c r="BD172" s="121"/>
      <c r="BE172" s="121"/>
      <c r="BF172" s="121"/>
      <c r="BG172" s="121"/>
      <c r="BH172" s="121"/>
      <c r="BI172" s="121"/>
      <c r="BJ172" s="122"/>
      <c r="BK172" s="93"/>
      <c r="BL172" s="94"/>
      <c r="BM172" s="95"/>
      <c r="BN172" s="179" t="str">
        <f t="shared" si="7"/>
        <v/>
      </c>
      <c r="BO172" s="177"/>
      <c r="BP172" s="14"/>
      <c r="BQ172" s="14"/>
      <c r="BR172" s="14"/>
      <c r="BS172" s="14"/>
      <c r="BT172" s="14"/>
      <c r="BU172" s="14"/>
      <c r="BV172" s="16"/>
      <c r="BW172" s="14"/>
      <c r="BX172" s="14"/>
      <c r="BY172" s="14"/>
      <c r="BZ172" s="14"/>
      <c r="CA172" s="14"/>
      <c r="CB172" s="14"/>
      <c r="CC172" s="14"/>
      <c r="CD172" s="14"/>
      <c r="CE172" s="14"/>
      <c r="CF172" s="14"/>
      <c r="CG172" s="14"/>
      <c r="CH172" s="14"/>
      <c r="CI172" s="14"/>
      <c r="CJ172" s="14"/>
      <c r="CK172" s="14"/>
      <c r="CL172" s="14"/>
      <c r="CM172" s="14"/>
      <c r="CN172" s="14"/>
      <c r="CO172" s="14"/>
      <c r="CP172" s="14"/>
      <c r="CQ172" s="14"/>
      <c r="CR172" s="14"/>
      <c r="CS172" s="14"/>
      <c r="CT172" s="14"/>
      <c r="CU172" s="14"/>
      <c r="CV172" s="14"/>
      <c r="CW172" s="14"/>
      <c r="CX172" s="14"/>
      <c r="CY172" s="14"/>
      <c r="CZ172" s="14"/>
      <c r="DA172" s="14"/>
      <c r="DB172" s="14"/>
      <c r="DC172" s="14"/>
      <c r="DD172" s="14"/>
      <c r="DE172" s="14"/>
      <c r="DF172" s="14"/>
      <c r="DG172" s="14"/>
      <c r="DH172" s="14"/>
      <c r="DI172" s="14"/>
      <c r="DJ172" s="14"/>
      <c r="DK172" s="14"/>
      <c r="DL172" s="14"/>
      <c r="DM172" s="14"/>
      <c r="DN172" s="14"/>
      <c r="DO172" s="14"/>
      <c r="DP172" s="26"/>
      <c r="DQ172" s="27"/>
      <c r="DR172" s="129"/>
      <c r="DS172" s="130">
        <f>TCP(BO172:DQ172,$BO$9:$DQ$9,data!$H$8)</f>
        <v>0</v>
      </c>
      <c r="DT172" s="135"/>
      <c r="DU172" s="121"/>
      <c r="DV172" s="121"/>
      <c r="DW172" s="134"/>
      <c r="DX172" s="132"/>
      <c r="DY172" s="136"/>
      <c r="DZ172" s="21"/>
      <c r="EA172" s="18"/>
      <c r="EB172" s="4"/>
      <c r="EI172" s="23"/>
      <c r="EJ172" s="23"/>
    </row>
    <row r="173" spans="1:140" ht="15.75" x14ac:dyDescent="0.25">
      <c r="A173" s="12"/>
      <c r="B173" s="16"/>
      <c r="C173" s="24" t="str">
        <f t="shared" si="6"/>
        <v xml:space="preserve"> </v>
      </c>
      <c r="D173" s="25"/>
      <c r="E173" s="22"/>
      <c r="F173" s="19" t="str">
        <f t="shared" si="1"/>
        <v xml:space="preserve"> </v>
      </c>
      <c r="G173" s="180" t="str">
        <f t="shared" si="3"/>
        <v/>
      </c>
      <c r="H173" s="120"/>
      <c r="I173" s="123"/>
      <c r="J173" s="123"/>
      <c r="K173" s="123"/>
      <c r="L173" s="123"/>
      <c r="M173" s="123"/>
      <c r="N173" s="123"/>
      <c r="O173" s="123"/>
      <c r="P173" s="123"/>
      <c r="Q173" s="123"/>
      <c r="R173" s="123"/>
      <c r="S173" s="123"/>
      <c r="T173" s="123"/>
      <c r="U173" s="123"/>
      <c r="V173" s="123"/>
      <c r="W173" s="123"/>
      <c r="X173" s="123"/>
      <c r="Y173" s="123"/>
      <c r="Z173" s="123"/>
      <c r="AA173" s="123"/>
      <c r="AB173" s="123"/>
      <c r="AC173" s="123"/>
      <c r="AD173" s="123"/>
      <c r="AE173" s="123"/>
      <c r="AF173" s="123"/>
      <c r="AG173" s="123"/>
      <c r="AH173" s="123"/>
      <c r="AI173" s="123"/>
      <c r="AJ173" s="123"/>
      <c r="AK173" s="123"/>
      <c r="AL173" s="123"/>
      <c r="AM173" s="123"/>
      <c r="AN173" s="123"/>
      <c r="AO173" s="123"/>
      <c r="AP173" s="123"/>
      <c r="AQ173" s="123"/>
      <c r="AR173" s="123"/>
      <c r="AS173" s="123"/>
      <c r="AT173" s="123"/>
      <c r="AU173" s="123"/>
      <c r="AV173" s="123"/>
      <c r="AW173" s="123"/>
      <c r="AX173" s="123"/>
      <c r="AY173" s="123"/>
      <c r="AZ173" s="123"/>
      <c r="BA173" s="123"/>
      <c r="BB173" s="123"/>
      <c r="BC173" s="123"/>
      <c r="BD173" s="123"/>
      <c r="BE173" s="123"/>
      <c r="BF173" s="123"/>
      <c r="BG173" s="123"/>
      <c r="BH173" s="123"/>
      <c r="BI173" s="124"/>
      <c r="BJ173" s="125"/>
      <c r="BK173" s="93"/>
      <c r="BL173" s="94"/>
      <c r="BM173" s="88"/>
      <c r="BN173" s="179" t="str">
        <f t="shared" si="7"/>
        <v/>
      </c>
      <c r="BO173" s="176"/>
      <c r="BP173" s="13"/>
      <c r="BQ173" s="30"/>
      <c r="BR173" s="14"/>
      <c r="BS173" s="14"/>
      <c r="BT173" s="13"/>
      <c r="BU173" s="29"/>
      <c r="BV173" s="29"/>
      <c r="BW173" s="29"/>
      <c r="BX173" s="29"/>
      <c r="BY173" s="29"/>
      <c r="BZ173" s="29"/>
      <c r="CA173" s="29"/>
      <c r="CB173" s="29"/>
      <c r="CC173" s="29"/>
      <c r="CD173" s="29"/>
      <c r="CE173" s="29"/>
      <c r="CF173" s="29"/>
      <c r="CG173" s="29"/>
      <c r="CH173" s="29"/>
      <c r="CI173" s="29"/>
      <c r="CJ173" s="2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29"/>
      <c r="DC173" s="29"/>
      <c r="DD173" s="29"/>
      <c r="DE173" s="29"/>
      <c r="DF173" s="29"/>
      <c r="DG173" s="29"/>
      <c r="DH173" s="29"/>
      <c r="DI173" s="29"/>
      <c r="DJ173" s="29"/>
      <c r="DK173" s="29"/>
      <c r="DL173" s="29"/>
      <c r="DM173" s="29"/>
      <c r="DN173" s="29"/>
      <c r="DO173" s="29"/>
      <c r="DP173" s="29"/>
      <c r="DQ173" s="31"/>
      <c r="DR173" s="129"/>
      <c r="DS173" s="130">
        <f>TCP(BO173:DQ173,$BO$9:$DQ$9,data!$H$8)</f>
        <v>0</v>
      </c>
      <c r="DT173" s="137"/>
      <c r="DU173" s="121"/>
      <c r="DV173" s="121"/>
      <c r="DW173" s="134"/>
      <c r="DX173" s="132"/>
      <c r="DY173" s="136"/>
      <c r="DZ173" s="32"/>
      <c r="EA173" s="18"/>
      <c r="EB173" s="4"/>
      <c r="EI173" s="23"/>
      <c r="EJ173" s="23"/>
    </row>
    <row r="174" spans="1:140" ht="15.75" x14ac:dyDescent="0.25">
      <c r="A174" s="12"/>
      <c r="B174" s="16"/>
      <c r="C174" s="24" t="str">
        <f t="shared" si="6"/>
        <v xml:space="preserve"> </v>
      </c>
      <c r="D174" s="25"/>
      <c r="E174" s="20"/>
      <c r="F174" s="19" t="str">
        <f t="shared" si="1"/>
        <v xml:space="preserve"> </v>
      </c>
      <c r="G174" s="180" t="str">
        <f t="shared" si="3"/>
        <v/>
      </c>
      <c r="H174" s="120"/>
      <c r="I174" s="121"/>
      <c r="J174" s="121"/>
      <c r="K174" s="121"/>
      <c r="L174" s="121"/>
      <c r="M174" s="121"/>
      <c r="N174" s="121"/>
      <c r="O174" s="121"/>
      <c r="P174" s="121"/>
      <c r="Q174" s="121"/>
      <c r="R174" s="121"/>
      <c r="S174" s="121"/>
      <c r="T174" s="121"/>
      <c r="U174" s="121"/>
      <c r="V174" s="121"/>
      <c r="W174" s="121"/>
      <c r="X174" s="121"/>
      <c r="Y174" s="121"/>
      <c r="Z174" s="121"/>
      <c r="AA174" s="121"/>
      <c r="AB174" s="121"/>
      <c r="AC174" s="121"/>
      <c r="AD174" s="121"/>
      <c r="AE174" s="121"/>
      <c r="AF174" s="121"/>
      <c r="AG174" s="121"/>
      <c r="AH174" s="121"/>
      <c r="AI174" s="121"/>
      <c r="AJ174" s="121"/>
      <c r="AK174" s="121"/>
      <c r="AL174" s="121"/>
      <c r="AM174" s="121"/>
      <c r="AN174" s="121"/>
      <c r="AO174" s="121"/>
      <c r="AP174" s="121"/>
      <c r="AQ174" s="121"/>
      <c r="AR174" s="121"/>
      <c r="AS174" s="121"/>
      <c r="AT174" s="121"/>
      <c r="AU174" s="121"/>
      <c r="AV174" s="121"/>
      <c r="AW174" s="121"/>
      <c r="AX174" s="121"/>
      <c r="AY174" s="121"/>
      <c r="AZ174" s="121"/>
      <c r="BA174" s="121"/>
      <c r="BB174" s="121"/>
      <c r="BC174" s="121"/>
      <c r="BD174" s="121"/>
      <c r="BE174" s="121"/>
      <c r="BF174" s="121"/>
      <c r="BG174" s="121"/>
      <c r="BH174" s="121"/>
      <c r="BI174" s="121"/>
      <c r="BJ174" s="122"/>
      <c r="BK174" s="93"/>
      <c r="BL174" s="94"/>
      <c r="BM174" s="95"/>
      <c r="BN174" s="179" t="str">
        <f t="shared" si="7"/>
        <v/>
      </c>
      <c r="BO174" s="177"/>
      <c r="BP174" s="14"/>
      <c r="BQ174" s="14"/>
      <c r="BR174" s="14"/>
      <c r="BS174" s="14"/>
      <c r="BT174" s="14"/>
      <c r="BU174" s="14"/>
      <c r="BV174" s="16"/>
      <c r="BW174" s="14"/>
      <c r="BX174" s="14"/>
      <c r="BY174" s="14"/>
      <c r="BZ174" s="14"/>
      <c r="CA174" s="14"/>
      <c r="CB174" s="14"/>
      <c r="CC174" s="14"/>
      <c r="CD174" s="14"/>
      <c r="CE174" s="14"/>
      <c r="CF174" s="14"/>
      <c r="CG174" s="14"/>
      <c r="CH174" s="14"/>
      <c r="CI174" s="14"/>
      <c r="CJ174" s="14"/>
      <c r="CK174" s="14"/>
      <c r="CL174" s="14"/>
      <c r="CM174" s="14"/>
      <c r="CN174" s="14"/>
      <c r="CO174" s="14"/>
      <c r="CP174" s="14"/>
      <c r="CQ174" s="14"/>
      <c r="CR174" s="14"/>
      <c r="CS174" s="14"/>
      <c r="CT174" s="14"/>
      <c r="CU174" s="14"/>
      <c r="CV174" s="14"/>
      <c r="CW174" s="14"/>
      <c r="CX174" s="14"/>
      <c r="CY174" s="14"/>
      <c r="CZ174" s="14"/>
      <c r="DA174" s="14"/>
      <c r="DB174" s="14"/>
      <c r="DC174" s="14"/>
      <c r="DD174" s="14"/>
      <c r="DE174" s="14"/>
      <c r="DF174" s="14"/>
      <c r="DG174" s="14"/>
      <c r="DH174" s="14"/>
      <c r="DI174" s="14"/>
      <c r="DJ174" s="14"/>
      <c r="DK174" s="14"/>
      <c r="DL174" s="14"/>
      <c r="DM174" s="14"/>
      <c r="DN174" s="14"/>
      <c r="DO174" s="14"/>
      <c r="DP174" s="26"/>
      <c r="DQ174" s="27"/>
      <c r="DR174" s="129"/>
      <c r="DS174" s="130">
        <f>TCP(BO174:DQ174,$BO$9:$DQ$9,data!$H$8)</f>
        <v>0</v>
      </c>
      <c r="DT174" s="135"/>
      <c r="DU174" s="121"/>
      <c r="DV174" s="121"/>
      <c r="DW174" s="134"/>
      <c r="DX174" s="132"/>
      <c r="DY174" s="136"/>
      <c r="DZ174" s="21"/>
      <c r="EA174" s="18"/>
      <c r="EB174" s="4"/>
      <c r="EI174" s="23"/>
      <c r="EJ174" s="23"/>
    </row>
    <row r="175" spans="1:140" ht="16.5" thickBot="1" x14ac:dyDescent="0.3">
      <c r="A175" s="40"/>
      <c r="B175" s="41"/>
      <c r="C175" s="24" t="str">
        <f t="shared" si="6"/>
        <v xml:space="preserve"> </v>
      </c>
      <c r="D175" s="42"/>
      <c r="E175" s="43"/>
      <c r="F175" s="44"/>
      <c r="G175" s="45"/>
      <c r="H175" s="126"/>
      <c r="I175" s="127"/>
      <c r="J175" s="127"/>
      <c r="K175" s="127"/>
      <c r="L175" s="127"/>
      <c r="M175" s="127"/>
      <c r="N175" s="127"/>
      <c r="O175" s="127"/>
      <c r="P175" s="127"/>
      <c r="Q175" s="127"/>
      <c r="R175" s="127"/>
      <c r="S175" s="127"/>
      <c r="T175" s="127"/>
      <c r="U175" s="127"/>
      <c r="V175" s="127"/>
      <c r="W175" s="127"/>
      <c r="X175" s="127"/>
      <c r="Y175" s="127"/>
      <c r="Z175" s="127"/>
      <c r="AA175" s="127"/>
      <c r="AB175" s="127"/>
      <c r="AC175" s="127"/>
      <c r="AD175" s="127"/>
      <c r="AE175" s="127"/>
      <c r="AF175" s="127"/>
      <c r="AG175" s="127"/>
      <c r="AH175" s="127"/>
      <c r="AI175" s="127"/>
      <c r="AJ175" s="127"/>
      <c r="AK175" s="127"/>
      <c r="AL175" s="127"/>
      <c r="AM175" s="127"/>
      <c r="AN175" s="127"/>
      <c r="AO175" s="127"/>
      <c r="AP175" s="127"/>
      <c r="AQ175" s="127"/>
      <c r="AR175" s="127"/>
      <c r="AS175" s="127"/>
      <c r="AT175" s="127"/>
      <c r="AU175" s="127"/>
      <c r="AV175" s="127"/>
      <c r="AW175" s="127"/>
      <c r="AX175" s="127"/>
      <c r="AY175" s="127"/>
      <c r="AZ175" s="127"/>
      <c r="BA175" s="127"/>
      <c r="BB175" s="127"/>
      <c r="BC175" s="127"/>
      <c r="BD175" s="127"/>
      <c r="BE175" s="127"/>
      <c r="BF175" s="127"/>
      <c r="BG175" s="127"/>
      <c r="BH175" s="127"/>
      <c r="BI175" s="127"/>
      <c r="BJ175" s="128"/>
      <c r="BK175" s="96"/>
      <c r="BL175" s="97"/>
      <c r="BM175" s="89"/>
      <c r="BN175" s="179" t="str">
        <f t="shared" si="7"/>
        <v/>
      </c>
      <c r="BO175" s="178"/>
      <c r="BP175" s="33"/>
      <c r="BQ175" s="33"/>
      <c r="BR175" s="34"/>
      <c r="BS175" s="34"/>
      <c r="BT175" s="34"/>
      <c r="BU175" s="34"/>
      <c r="BV175" s="34"/>
      <c r="BW175" s="34"/>
      <c r="BX175" s="35"/>
      <c r="BY175" s="35"/>
      <c r="BZ175" s="35"/>
      <c r="CA175" s="35"/>
      <c r="CB175" s="35"/>
      <c r="CC175" s="35"/>
      <c r="CD175" s="35"/>
      <c r="CE175" s="35"/>
      <c r="CF175" s="35"/>
      <c r="CG175" s="35"/>
      <c r="CH175" s="35"/>
      <c r="CI175" s="35"/>
      <c r="CJ175" s="35"/>
      <c r="CK175" s="35"/>
      <c r="CL175" s="35"/>
      <c r="CM175" s="35"/>
      <c r="CN175" s="35"/>
      <c r="CO175" s="35"/>
      <c r="CP175" s="35"/>
      <c r="CQ175" s="35"/>
      <c r="CR175" s="35"/>
      <c r="CS175" s="35"/>
      <c r="CT175" s="35"/>
      <c r="CU175" s="35"/>
      <c r="CV175" s="35"/>
      <c r="CW175" s="35"/>
      <c r="CX175" s="35"/>
      <c r="CY175" s="35"/>
      <c r="CZ175" s="35"/>
      <c r="DA175" s="35"/>
      <c r="DB175" s="35"/>
      <c r="DC175" s="35"/>
      <c r="DD175" s="35"/>
      <c r="DE175" s="35"/>
      <c r="DF175" s="35"/>
      <c r="DG175" s="35"/>
      <c r="DH175" s="35"/>
      <c r="DI175" s="35"/>
      <c r="DJ175" s="35"/>
      <c r="DK175" s="35"/>
      <c r="DL175" s="35"/>
      <c r="DM175" s="35"/>
      <c r="DN175" s="35"/>
      <c r="DO175" s="35"/>
      <c r="DP175" s="35"/>
      <c r="DQ175" s="35"/>
      <c r="DR175" s="138"/>
      <c r="DS175" s="130">
        <f>TCP(BO175:DQ175,$BO$9:$DQ$9,data!$H$8)</f>
        <v>0</v>
      </c>
      <c r="DT175" s="139"/>
      <c r="DU175" s="140"/>
      <c r="DV175" s="140"/>
      <c r="DW175" s="140"/>
      <c r="DX175" s="141"/>
      <c r="DY175" s="136"/>
      <c r="DZ175" s="38"/>
      <c r="EA175" s="18"/>
      <c r="EB175" s="4"/>
      <c r="EI175" s="2"/>
      <c r="EJ175" s="2"/>
    </row>
    <row r="176" spans="1:140" ht="15.75" x14ac:dyDescent="0.25">
      <c r="A176" s="46"/>
      <c r="B176" s="47"/>
      <c r="C176" s="48"/>
      <c r="D176" s="49"/>
      <c r="E176" s="49"/>
      <c r="F176" s="50"/>
      <c r="G176" s="51"/>
      <c r="H176" s="46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  <c r="AG176" s="46"/>
      <c r="AH176" s="46"/>
      <c r="AI176" s="46"/>
      <c r="AJ176" s="46"/>
      <c r="AK176" s="46"/>
      <c r="AL176" s="46"/>
      <c r="AM176" s="46"/>
      <c r="AN176" s="46"/>
      <c r="AO176" s="46"/>
      <c r="AP176" s="46"/>
      <c r="AQ176" s="46"/>
      <c r="AR176" s="46"/>
      <c r="AS176" s="46"/>
      <c r="AT176" s="46"/>
      <c r="AU176" s="46"/>
      <c r="AV176" s="46"/>
      <c r="AW176" s="46"/>
      <c r="AX176" s="46"/>
      <c r="AY176" s="46"/>
      <c r="AZ176" s="46"/>
      <c r="BA176" s="46"/>
      <c r="BB176" s="46"/>
      <c r="BC176" s="46"/>
      <c r="BD176" s="46"/>
      <c r="BE176" s="46"/>
      <c r="BF176" s="46"/>
      <c r="BG176" s="46"/>
      <c r="BH176" s="46"/>
      <c r="BI176" s="46"/>
      <c r="BJ176" s="46"/>
      <c r="BK176" s="46"/>
      <c r="BL176" s="52"/>
      <c r="BM176" s="46"/>
      <c r="BN176" s="53"/>
      <c r="BO176" s="46"/>
      <c r="BP176" s="46"/>
      <c r="BQ176" s="46"/>
      <c r="BR176" s="46"/>
      <c r="BS176" s="46"/>
      <c r="BT176" s="46"/>
      <c r="BU176" s="46"/>
      <c r="BV176" s="46"/>
      <c r="BW176" s="46"/>
      <c r="BX176" s="46"/>
      <c r="BY176" s="46"/>
      <c r="BZ176" s="46"/>
      <c r="CA176" s="46"/>
      <c r="CB176" s="46"/>
      <c r="CC176" s="46"/>
      <c r="CD176" s="46"/>
      <c r="CE176" s="46"/>
      <c r="CF176" s="46"/>
      <c r="CG176" s="46"/>
      <c r="CH176" s="46"/>
      <c r="CI176" s="46"/>
      <c r="CJ176" s="46"/>
      <c r="CK176" s="46"/>
      <c r="CL176" s="46"/>
      <c r="CM176" s="46"/>
      <c r="CN176" s="46"/>
      <c r="CO176" s="46"/>
      <c r="CP176" s="46"/>
      <c r="CQ176" s="46"/>
      <c r="CR176" s="46"/>
      <c r="CS176" s="46"/>
      <c r="CT176" s="46"/>
      <c r="CU176" s="46"/>
      <c r="CV176" s="46"/>
      <c r="CW176" s="46"/>
      <c r="CX176" s="46"/>
      <c r="CY176" s="46"/>
      <c r="CZ176" s="46"/>
      <c r="DA176" s="46"/>
      <c r="DB176" s="46"/>
      <c r="DC176" s="46"/>
      <c r="DD176" s="46"/>
      <c r="DE176" s="46"/>
      <c r="DF176" s="46"/>
      <c r="DG176" s="46"/>
      <c r="DH176" s="46"/>
      <c r="DI176" s="46"/>
      <c r="DJ176" s="46"/>
      <c r="DK176" s="46"/>
      <c r="DL176" s="46"/>
      <c r="DM176" s="46"/>
      <c r="DN176" s="46"/>
      <c r="DO176" s="46"/>
      <c r="DP176" s="46"/>
      <c r="DQ176" s="46"/>
      <c r="DR176" s="47"/>
      <c r="DS176" s="47"/>
      <c r="DT176" s="47"/>
      <c r="DU176" s="54"/>
      <c r="DV176" s="55"/>
      <c r="DW176" s="2"/>
      <c r="DX176" s="56"/>
      <c r="DY176" s="57"/>
      <c r="EI176" s="2"/>
      <c r="EJ176" s="2"/>
    </row>
    <row r="177" spans="1:140" ht="15.75" x14ac:dyDescent="0.25">
      <c r="A177" s="46"/>
      <c r="B177" s="47"/>
      <c r="C177" s="98" t="s">
        <v>59</v>
      </c>
      <c r="D177" s="58"/>
      <c r="E177" s="37"/>
      <c r="F177" s="59"/>
      <c r="G177" s="60"/>
      <c r="H177" s="61"/>
      <c r="I177" s="62"/>
      <c r="J177" s="62"/>
      <c r="K177" s="62"/>
      <c r="L177" s="62"/>
      <c r="M177" s="62"/>
      <c r="N177" s="62"/>
      <c r="O177" s="62"/>
      <c r="P177" s="62"/>
      <c r="Q177" s="62"/>
      <c r="R177" s="62"/>
      <c r="S177" s="62"/>
      <c r="T177" s="62"/>
      <c r="U177" s="62"/>
      <c r="V177" s="62"/>
      <c r="W177" s="62"/>
      <c r="X177" s="62"/>
      <c r="Y177" s="62"/>
      <c r="Z177" s="62"/>
      <c r="AA177" s="62"/>
      <c r="AB177" s="62"/>
      <c r="AC177" s="62"/>
      <c r="AD177" s="62"/>
      <c r="AE177" s="62"/>
      <c r="AF177" s="62"/>
      <c r="AG177" s="62"/>
      <c r="AH177" s="62"/>
      <c r="AI177" s="62"/>
      <c r="AJ177" s="62"/>
      <c r="AK177" s="62"/>
      <c r="AL177" s="62"/>
      <c r="AM177" s="62"/>
      <c r="AN177" s="62"/>
      <c r="AO177" s="62"/>
      <c r="AP177" s="62"/>
      <c r="AQ177" s="62"/>
      <c r="AR177" s="62"/>
      <c r="AS177" s="62"/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62"/>
      <c r="BE177" s="62"/>
      <c r="BF177" s="62"/>
      <c r="BG177" s="62"/>
      <c r="BH177" s="62"/>
      <c r="BI177" s="62"/>
      <c r="BJ177" s="62"/>
      <c r="BK177" s="62"/>
      <c r="BL177" s="63"/>
      <c r="BM177" s="62"/>
      <c r="BN177" s="64"/>
      <c r="BO177" s="46"/>
      <c r="BP177" s="46"/>
      <c r="BQ177" s="46"/>
      <c r="BR177" s="46"/>
      <c r="BS177" s="46"/>
      <c r="BT177" s="46"/>
      <c r="BU177" s="46"/>
      <c r="BV177" s="46"/>
      <c r="BW177" s="46"/>
      <c r="BX177" s="46"/>
      <c r="BY177" s="46"/>
      <c r="BZ177" s="46"/>
      <c r="CA177" s="46"/>
      <c r="CB177" s="46"/>
      <c r="CC177" s="46"/>
      <c r="CD177" s="46"/>
      <c r="CE177" s="46"/>
      <c r="CF177" s="46"/>
      <c r="CG177" s="46"/>
      <c r="CH177" s="46"/>
      <c r="CI177" s="46"/>
      <c r="CJ177" s="46"/>
      <c r="CK177" s="46"/>
      <c r="CL177" s="46"/>
      <c r="CM177" s="46"/>
      <c r="CN177" s="46"/>
      <c r="CO177" s="46"/>
      <c r="CP177" s="46"/>
      <c r="CQ177" s="46"/>
      <c r="CR177" s="46"/>
      <c r="CS177" s="46"/>
      <c r="CT177" s="46"/>
      <c r="CU177" s="46"/>
      <c r="CV177" s="46"/>
      <c r="CW177" s="46"/>
      <c r="CX177" s="46"/>
      <c r="CY177" s="46"/>
      <c r="CZ177" s="46"/>
      <c r="DA177" s="46"/>
      <c r="DB177" s="46"/>
      <c r="DC177" s="46"/>
      <c r="DD177" s="46"/>
      <c r="DE177" s="46"/>
      <c r="DF177" s="46"/>
      <c r="DG177" s="46"/>
      <c r="DH177" s="46"/>
      <c r="DI177" s="46"/>
      <c r="DJ177" s="46"/>
      <c r="DK177" s="46"/>
      <c r="DL177" s="46"/>
      <c r="DM177" s="46"/>
      <c r="DN177" s="46"/>
      <c r="DO177" s="46"/>
      <c r="DP177" s="46"/>
      <c r="DQ177" s="46"/>
      <c r="DR177" s="47"/>
      <c r="DS177" s="47"/>
      <c r="DT177" s="47"/>
      <c r="DU177" s="54"/>
      <c r="DV177" s="55"/>
      <c r="DW177" s="2"/>
      <c r="DX177" s="56"/>
      <c r="DY177" s="57"/>
      <c r="EI177" s="2"/>
      <c r="EJ177" s="2"/>
    </row>
    <row r="178" spans="1:140" ht="15.75" x14ac:dyDescent="0.25">
      <c r="A178" s="46"/>
      <c r="B178" s="47"/>
      <c r="C178" s="99" t="s">
        <v>60</v>
      </c>
      <c r="D178" s="65"/>
      <c r="E178" s="37"/>
      <c r="F178" s="66"/>
      <c r="G178" s="67"/>
      <c r="H178" s="68"/>
      <c r="I178" s="69"/>
      <c r="J178" s="69"/>
      <c r="K178" s="69"/>
      <c r="L178" s="69"/>
      <c r="M178" s="69"/>
      <c r="N178" s="69"/>
      <c r="O178" s="69"/>
      <c r="P178" s="69"/>
      <c r="Q178" s="69"/>
      <c r="R178" s="69"/>
      <c r="S178" s="69"/>
      <c r="T178" s="69"/>
      <c r="U178" s="69"/>
      <c r="V178" s="69"/>
      <c r="W178" s="69"/>
      <c r="X178" s="69"/>
      <c r="Y178" s="69"/>
      <c r="Z178" s="69"/>
      <c r="AA178" s="69"/>
      <c r="AB178" s="69"/>
      <c r="AC178" s="69"/>
      <c r="AD178" s="69"/>
      <c r="AE178" s="69"/>
      <c r="AF178" s="69"/>
      <c r="AG178" s="69"/>
      <c r="AH178" s="69"/>
      <c r="AI178" s="69"/>
      <c r="AJ178" s="69"/>
      <c r="AK178" s="69"/>
      <c r="AL178" s="69"/>
      <c r="AM178" s="69"/>
      <c r="AN178" s="69"/>
      <c r="AO178" s="69"/>
      <c r="AP178" s="69"/>
      <c r="AQ178" s="69"/>
      <c r="AR178" s="69"/>
      <c r="AS178" s="69"/>
      <c r="AT178" s="69"/>
      <c r="AU178" s="69"/>
      <c r="AV178" s="69"/>
      <c r="AW178" s="69"/>
      <c r="AX178" s="69"/>
      <c r="AY178" s="69"/>
      <c r="AZ178" s="69"/>
      <c r="BA178" s="69"/>
      <c r="BB178" s="69"/>
      <c r="BC178" s="69"/>
      <c r="BD178" s="69"/>
      <c r="BE178" s="69"/>
      <c r="BF178" s="69"/>
      <c r="BG178" s="69"/>
      <c r="BH178" s="69"/>
      <c r="BI178" s="69"/>
      <c r="BJ178" s="69"/>
      <c r="BK178" s="69"/>
      <c r="BL178" s="70"/>
      <c r="BM178" s="72">
        <f>COUNTIF(EA10:EA175," ")</f>
        <v>0</v>
      </c>
      <c r="BN178" s="71"/>
      <c r="BO178" s="46"/>
      <c r="BP178" s="46"/>
      <c r="BQ178" s="46"/>
      <c r="BR178" s="46"/>
      <c r="BS178" s="46"/>
      <c r="BT178" s="46"/>
      <c r="BU178" s="46"/>
      <c r="BV178" s="46"/>
      <c r="BW178" s="46"/>
      <c r="BX178" s="46"/>
      <c r="BY178" s="46"/>
      <c r="BZ178" s="46"/>
      <c r="CA178" s="46"/>
      <c r="CB178" s="46"/>
      <c r="CC178" s="46"/>
      <c r="CD178" s="46"/>
      <c r="CE178" s="46"/>
      <c r="CF178" s="46"/>
      <c r="CG178" s="46"/>
      <c r="CH178" s="46"/>
      <c r="CI178" s="46"/>
      <c r="CJ178" s="46"/>
      <c r="CK178" s="46"/>
      <c r="CL178" s="46"/>
      <c r="CM178" s="46"/>
      <c r="CN178" s="46"/>
      <c r="CO178" s="46"/>
      <c r="CP178" s="46"/>
      <c r="CQ178" s="46"/>
      <c r="CR178" s="46"/>
      <c r="CS178" s="46"/>
      <c r="CT178" s="46"/>
      <c r="CU178" s="46"/>
      <c r="CV178" s="46"/>
      <c r="CW178" s="46"/>
      <c r="CX178" s="46"/>
      <c r="CY178" s="46"/>
      <c r="CZ178" s="46"/>
      <c r="DA178" s="46"/>
      <c r="DB178" s="46"/>
      <c r="DC178" s="46"/>
      <c r="DD178" s="46"/>
      <c r="DE178" s="46"/>
      <c r="DF178" s="46"/>
      <c r="DG178" s="46"/>
      <c r="DH178" s="46"/>
      <c r="DI178" s="46"/>
      <c r="DJ178" s="46"/>
      <c r="DK178" s="46"/>
      <c r="DL178" s="46"/>
      <c r="DM178" s="46"/>
      <c r="DN178" s="46"/>
      <c r="DO178" s="46"/>
      <c r="DP178" s="46"/>
      <c r="DQ178" s="46"/>
      <c r="DR178" s="47"/>
      <c r="DS178" s="47"/>
      <c r="DT178" s="47"/>
      <c r="DU178" s="54"/>
      <c r="DV178" s="55"/>
      <c r="DW178" s="2"/>
      <c r="DX178" s="56"/>
      <c r="DY178" s="57"/>
      <c r="EI178" s="2"/>
      <c r="EJ178" s="2"/>
    </row>
    <row r="179" spans="1:140" ht="15.75" x14ac:dyDescent="0.25">
      <c r="A179" s="73"/>
      <c r="B179" s="47"/>
      <c r="C179" s="99" t="s">
        <v>61</v>
      </c>
      <c r="D179" s="65"/>
      <c r="E179" s="37"/>
      <c r="F179" s="74"/>
      <c r="G179" s="75"/>
      <c r="H179" s="76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  <c r="AG179" s="77"/>
      <c r="AH179" s="77"/>
      <c r="AI179" s="77"/>
      <c r="AJ179" s="77"/>
      <c r="AK179" s="77"/>
      <c r="AL179" s="77"/>
      <c r="AM179" s="77"/>
      <c r="AN179" s="77"/>
      <c r="AO179" s="77"/>
      <c r="AP179" s="77"/>
      <c r="AQ179" s="77"/>
      <c r="AR179" s="77"/>
      <c r="AS179" s="77"/>
      <c r="AT179" s="77"/>
      <c r="AU179" s="77"/>
      <c r="AV179" s="77"/>
      <c r="AW179" s="77"/>
      <c r="AX179" s="77"/>
      <c r="AY179" s="77"/>
      <c r="AZ179" s="77"/>
      <c r="BA179" s="77"/>
      <c r="BB179" s="77"/>
      <c r="BC179" s="77"/>
      <c r="BD179" s="77"/>
      <c r="BE179" s="77"/>
      <c r="BF179" s="77"/>
      <c r="BG179" s="77"/>
      <c r="BH179" s="77"/>
      <c r="BI179" s="77"/>
      <c r="BJ179" s="77"/>
      <c r="BK179" s="77"/>
      <c r="BL179" s="78"/>
      <c r="BM179" s="80">
        <f>BM184-BM178</f>
        <v>1</v>
      </c>
      <c r="BN179" s="79"/>
      <c r="BO179" s="46"/>
      <c r="BP179" s="46"/>
      <c r="BQ179" s="46"/>
      <c r="BR179" s="46"/>
      <c r="BS179" s="46"/>
      <c r="BT179" s="46"/>
      <c r="BU179" s="46"/>
      <c r="BV179" s="46"/>
      <c r="BW179" s="46"/>
      <c r="BX179" s="46"/>
      <c r="BY179" s="46"/>
      <c r="BZ179" s="46"/>
      <c r="CA179" s="46"/>
      <c r="CB179" s="46"/>
      <c r="CC179" s="46"/>
      <c r="CD179" s="46"/>
      <c r="CE179" s="46"/>
      <c r="CF179" s="46"/>
      <c r="CG179" s="46"/>
      <c r="CH179" s="46"/>
      <c r="CI179" s="46"/>
      <c r="CJ179" s="46"/>
      <c r="CK179" s="46"/>
      <c r="CL179" s="46"/>
      <c r="CM179" s="46"/>
      <c r="CN179" s="46"/>
      <c r="CO179" s="46"/>
      <c r="CP179" s="46"/>
      <c r="CQ179" s="46"/>
      <c r="CR179" s="46"/>
      <c r="CS179" s="46"/>
      <c r="CT179" s="46"/>
      <c r="CU179" s="46"/>
      <c r="CV179" s="46"/>
      <c r="CW179" s="46"/>
      <c r="CX179" s="46"/>
      <c r="CY179" s="46"/>
      <c r="CZ179" s="46"/>
      <c r="DA179" s="46"/>
      <c r="DB179" s="46"/>
      <c r="DC179" s="46"/>
      <c r="DD179" s="46"/>
      <c r="DE179" s="46"/>
      <c r="DF179" s="46"/>
      <c r="DG179" s="46"/>
      <c r="DH179" s="46"/>
      <c r="DI179" s="46"/>
      <c r="DJ179" s="46"/>
      <c r="DK179" s="46"/>
      <c r="DL179" s="46"/>
      <c r="DM179" s="46"/>
      <c r="DN179" s="46"/>
      <c r="DO179" s="46"/>
      <c r="DP179" s="46"/>
      <c r="DQ179" s="46"/>
      <c r="DR179" s="47"/>
      <c r="DS179" s="47"/>
      <c r="DT179" s="47"/>
      <c r="DU179" s="54"/>
      <c r="DV179" s="55"/>
      <c r="DW179" s="2"/>
      <c r="DX179" s="56"/>
      <c r="DY179" s="57"/>
      <c r="EI179" s="2"/>
      <c r="EJ179" s="2"/>
    </row>
    <row r="180" spans="1:140" ht="15.75" x14ac:dyDescent="0.25">
      <c r="A180" s="73"/>
      <c r="B180" s="81"/>
      <c r="C180" s="99" t="s">
        <v>62</v>
      </c>
      <c r="D180" s="65"/>
      <c r="E180" s="37"/>
      <c r="F180" s="74"/>
      <c r="G180" s="75"/>
      <c r="H180" s="76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  <c r="AG180" s="77"/>
      <c r="AH180" s="77"/>
      <c r="AI180" s="77"/>
      <c r="AJ180" s="77"/>
      <c r="AK180" s="77"/>
      <c r="AL180" s="77"/>
      <c r="AM180" s="77"/>
      <c r="AN180" s="77"/>
      <c r="AO180" s="77"/>
      <c r="AP180" s="77"/>
      <c r="AQ180" s="77"/>
      <c r="AR180" s="77"/>
      <c r="AS180" s="77"/>
      <c r="AT180" s="77"/>
      <c r="AU180" s="77"/>
      <c r="AV180" s="77"/>
      <c r="AW180" s="77"/>
      <c r="AX180" s="77"/>
      <c r="AY180" s="77"/>
      <c r="AZ180" s="77"/>
      <c r="BA180" s="77"/>
      <c r="BB180" s="77"/>
      <c r="BC180" s="77"/>
      <c r="BD180" s="77"/>
      <c r="BE180" s="77"/>
      <c r="BF180" s="77"/>
      <c r="BG180" s="77"/>
      <c r="BH180" s="77"/>
      <c r="BI180" s="77"/>
      <c r="BJ180" s="77"/>
      <c r="BK180" s="77"/>
      <c r="BL180" s="78"/>
      <c r="BM180" s="80">
        <f>COUNTIFS(DY10:DY175,"1")</f>
        <v>0</v>
      </c>
      <c r="BN180" s="79"/>
      <c r="BO180" s="46"/>
      <c r="BP180" s="46"/>
      <c r="BQ180" s="46"/>
      <c r="BR180" s="46"/>
      <c r="BS180" s="46"/>
      <c r="BT180" s="46"/>
      <c r="BU180" s="46"/>
      <c r="BV180" s="46"/>
      <c r="BW180" s="46"/>
      <c r="BX180" s="46"/>
      <c r="BY180" s="46"/>
      <c r="BZ180" s="46"/>
      <c r="CA180" s="46"/>
      <c r="CB180" s="46"/>
      <c r="CC180" s="46"/>
      <c r="CD180" s="46"/>
      <c r="CE180" s="46"/>
      <c r="CF180" s="46"/>
      <c r="CG180" s="46"/>
      <c r="CH180" s="46"/>
      <c r="CI180" s="46"/>
      <c r="CJ180" s="46"/>
      <c r="CK180" s="46"/>
      <c r="CL180" s="46"/>
      <c r="CM180" s="46"/>
      <c r="CN180" s="46"/>
      <c r="CO180" s="46"/>
      <c r="CP180" s="46"/>
      <c r="CQ180" s="46"/>
      <c r="CR180" s="46"/>
      <c r="CS180" s="46"/>
      <c r="CT180" s="46"/>
      <c r="CU180" s="46"/>
      <c r="CV180" s="46"/>
      <c r="CW180" s="46"/>
      <c r="CX180" s="46"/>
      <c r="CY180" s="46"/>
      <c r="CZ180" s="46"/>
      <c r="DA180" s="46"/>
      <c r="DB180" s="46"/>
      <c r="DC180" s="46"/>
      <c r="DD180" s="46"/>
      <c r="DE180" s="46"/>
      <c r="DF180" s="46"/>
      <c r="DG180" s="46"/>
      <c r="DH180" s="46"/>
      <c r="DI180" s="46"/>
      <c r="DJ180" s="46"/>
      <c r="DK180" s="46"/>
      <c r="DL180" s="46"/>
      <c r="DM180" s="46"/>
      <c r="DN180" s="46"/>
      <c r="DO180" s="46"/>
      <c r="DP180" s="46"/>
      <c r="DQ180" s="46"/>
      <c r="DR180" s="47"/>
      <c r="DS180" s="47"/>
      <c r="DT180" s="47"/>
      <c r="DU180" s="54"/>
      <c r="DV180" s="55"/>
      <c r="DW180" s="2"/>
      <c r="DX180" s="56"/>
      <c r="DY180" s="57"/>
      <c r="EI180" s="2"/>
      <c r="EJ180" s="2"/>
    </row>
    <row r="181" spans="1:140" ht="15.75" x14ac:dyDescent="0.25">
      <c r="A181" s="73"/>
      <c r="B181" s="81"/>
      <c r="C181" s="99" t="s">
        <v>63</v>
      </c>
      <c r="D181" s="65"/>
      <c r="E181" s="37"/>
      <c r="F181" s="74"/>
      <c r="G181" s="75"/>
      <c r="H181" s="76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  <c r="AG181" s="77"/>
      <c r="AH181" s="77"/>
      <c r="AI181" s="77"/>
      <c r="AJ181" s="77"/>
      <c r="AK181" s="77"/>
      <c r="AL181" s="77"/>
      <c r="AM181" s="77"/>
      <c r="AN181" s="77"/>
      <c r="AO181" s="77"/>
      <c r="AP181" s="77"/>
      <c r="AQ181" s="77"/>
      <c r="AR181" s="77"/>
      <c r="AS181" s="77"/>
      <c r="AT181" s="77"/>
      <c r="AU181" s="77"/>
      <c r="AV181" s="77"/>
      <c r="AW181" s="77"/>
      <c r="AX181" s="77"/>
      <c r="AY181" s="77"/>
      <c r="AZ181" s="77"/>
      <c r="BA181" s="77"/>
      <c r="BB181" s="77"/>
      <c r="BC181" s="77"/>
      <c r="BD181" s="77"/>
      <c r="BE181" s="77"/>
      <c r="BF181" s="77"/>
      <c r="BG181" s="77"/>
      <c r="BH181" s="77"/>
      <c r="BI181" s="77"/>
      <c r="BJ181" s="77"/>
      <c r="BK181" s="77"/>
      <c r="BL181" s="78"/>
      <c r="BM181" s="80">
        <f>COUNTIFS(DY10:DY175,"2.1")</f>
        <v>0</v>
      </c>
      <c r="BN181" s="79"/>
      <c r="BO181" s="46"/>
      <c r="BP181" s="46"/>
      <c r="BQ181" s="46"/>
      <c r="BR181" s="46"/>
      <c r="BS181" s="46"/>
      <c r="BT181" s="46"/>
      <c r="BU181" s="46"/>
      <c r="BV181" s="46"/>
      <c r="BW181" s="46"/>
      <c r="BX181" s="46"/>
      <c r="BY181" s="46"/>
      <c r="BZ181" s="46"/>
      <c r="CA181" s="46"/>
      <c r="CB181" s="46"/>
      <c r="CC181" s="46"/>
      <c r="CD181" s="46"/>
      <c r="CE181" s="46"/>
      <c r="CF181" s="46"/>
      <c r="CG181" s="46"/>
      <c r="CH181" s="46"/>
      <c r="CI181" s="46"/>
      <c r="CJ181" s="46"/>
      <c r="CK181" s="46"/>
      <c r="CL181" s="46"/>
      <c r="CM181" s="46"/>
      <c r="CN181" s="46"/>
      <c r="CO181" s="46"/>
      <c r="CP181" s="46"/>
      <c r="CQ181" s="46"/>
      <c r="CR181" s="46"/>
      <c r="CS181" s="46"/>
      <c r="CT181" s="46"/>
      <c r="CU181" s="46"/>
      <c r="CV181" s="46"/>
      <c r="CW181" s="46"/>
      <c r="CX181" s="46"/>
      <c r="CY181" s="46"/>
      <c r="CZ181" s="46"/>
      <c r="DA181" s="46"/>
      <c r="DB181" s="46"/>
      <c r="DC181" s="46"/>
      <c r="DD181" s="46"/>
      <c r="DE181" s="46"/>
      <c r="DF181" s="46"/>
      <c r="DG181" s="46"/>
      <c r="DH181" s="46"/>
      <c r="DI181" s="46"/>
      <c r="DJ181" s="46"/>
      <c r="DK181" s="46"/>
      <c r="DL181" s="46"/>
      <c r="DM181" s="46"/>
      <c r="DN181" s="46"/>
      <c r="DO181" s="46"/>
      <c r="DP181" s="46"/>
      <c r="DQ181" s="46"/>
      <c r="DR181" s="47"/>
      <c r="DS181" s="47"/>
      <c r="DT181" s="47"/>
      <c r="DU181" s="54"/>
      <c r="DV181" s="55"/>
      <c r="DW181" s="2"/>
      <c r="DX181" s="56"/>
      <c r="DY181" s="57"/>
      <c r="EI181" s="2"/>
      <c r="EJ181" s="2"/>
    </row>
    <row r="182" spans="1:140" ht="15.75" x14ac:dyDescent="0.25">
      <c r="A182" s="73"/>
      <c r="B182" s="81"/>
      <c r="C182" s="99" t="s">
        <v>64</v>
      </c>
      <c r="D182" s="65"/>
      <c r="E182" s="37"/>
      <c r="F182" s="74"/>
      <c r="G182" s="75"/>
      <c r="H182" s="76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  <c r="AG182" s="77"/>
      <c r="AH182" s="77"/>
      <c r="AI182" s="77"/>
      <c r="AJ182" s="77"/>
      <c r="AK182" s="77"/>
      <c r="AL182" s="77"/>
      <c r="AM182" s="77"/>
      <c r="AN182" s="77"/>
      <c r="AO182" s="77"/>
      <c r="AP182" s="77"/>
      <c r="AQ182" s="77"/>
      <c r="AR182" s="77"/>
      <c r="AS182" s="77"/>
      <c r="AT182" s="77"/>
      <c r="AU182" s="77"/>
      <c r="AV182" s="77"/>
      <c r="AW182" s="77"/>
      <c r="AX182" s="77"/>
      <c r="AY182" s="77"/>
      <c r="AZ182" s="77"/>
      <c r="BA182" s="77"/>
      <c r="BB182" s="77"/>
      <c r="BC182" s="77"/>
      <c r="BD182" s="77"/>
      <c r="BE182" s="77"/>
      <c r="BF182" s="77"/>
      <c r="BG182" s="77"/>
      <c r="BH182" s="77"/>
      <c r="BI182" s="77"/>
      <c r="BJ182" s="77"/>
      <c r="BK182" s="77"/>
      <c r="BL182" s="78"/>
      <c r="BM182" s="80">
        <f>COUNTIFS(DY10:DY175,"2.2")</f>
        <v>0</v>
      </c>
      <c r="BN182" s="79"/>
      <c r="BO182" s="46"/>
      <c r="BP182" s="46"/>
      <c r="BQ182" s="46"/>
      <c r="BR182" s="46"/>
      <c r="BS182" s="46"/>
      <c r="BT182" s="46"/>
      <c r="BU182" s="46"/>
      <c r="BV182" s="46"/>
      <c r="BW182" s="46"/>
      <c r="BX182" s="46"/>
      <c r="BY182" s="46"/>
      <c r="BZ182" s="46"/>
      <c r="CA182" s="46"/>
      <c r="CB182" s="46"/>
      <c r="CC182" s="46"/>
      <c r="CD182" s="46"/>
      <c r="CE182" s="46"/>
      <c r="CF182" s="46"/>
      <c r="CG182" s="46"/>
      <c r="CH182" s="46"/>
      <c r="CI182" s="46"/>
      <c r="CJ182" s="46"/>
      <c r="CK182" s="46"/>
      <c r="CL182" s="46"/>
      <c r="CM182" s="46"/>
      <c r="CN182" s="46"/>
      <c r="CO182" s="46"/>
      <c r="CP182" s="46"/>
      <c r="CQ182" s="46"/>
      <c r="CR182" s="46"/>
      <c r="CS182" s="46"/>
      <c r="CT182" s="46"/>
      <c r="CU182" s="46"/>
      <c r="CV182" s="46"/>
      <c r="CW182" s="46"/>
      <c r="CX182" s="46"/>
      <c r="CY182" s="46"/>
      <c r="CZ182" s="46"/>
      <c r="DA182" s="46"/>
      <c r="DB182" s="46"/>
      <c r="DC182" s="46"/>
      <c r="DD182" s="46"/>
      <c r="DE182" s="46"/>
      <c r="DF182" s="46"/>
      <c r="DG182" s="46"/>
      <c r="DH182" s="46"/>
      <c r="DI182" s="46"/>
      <c r="DJ182" s="46"/>
      <c r="DK182" s="46"/>
      <c r="DL182" s="46"/>
      <c r="DM182" s="46"/>
      <c r="DN182" s="46"/>
      <c r="DO182" s="46"/>
      <c r="DP182" s="46"/>
      <c r="DQ182" s="46"/>
      <c r="DR182" s="47"/>
      <c r="DS182" s="47"/>
      <c r="DT182" s="47"/>
      <c r="DU182" s="54"/>
      <c r="DV182" s="55"/>
      <c r="DW182" s="2"/>
      <c r="DX182" s="56"/>
      <c r="DY182" s="57"/>
      <c r="EI182" s="2"/>
      <c r="EJ182" s="2"/>
    </row>
    <row r="183" spans="1:140" ht="15.75" x14ac:dyDescent="0.25">
      <c r="A183" s="73"/>
      <c r="B183" s="81"/>
      <c r="C183" s="99" t="s">
        <v>65</v>
      </c>
      <c r="D183" s="65"/>
      <c r="E183" s="37"/>
      <c r="F183" s="74"/>
      <c r="G183" s="75"/>
      <c r="H183" s="76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  <c r="AG183" s="77"/>
      <c r="AH183" s="77"/>
      <c r="AI183" s="77"/>
      <c r="AJ183" s="77"/>
      <c r="AK183" s="77"/>
      <c r="AL183" s="77"/>
      <c r="AM183" s="77"/>
      <c r="AN183" s="77"/>
      <c r="AO183" s="77"/>
      <c r="AP183" s="77"/>
      <c r="AQ183" s="77"/>
      <c r="AR183" s="77"/>
      <c r="AS183" s="77"/>
      <c r="AT183" s="77"/>
      <c r="AU183" s="77"/>
      <c r="AV183" s="77"/>
      <c r="AW183" s="77"/>
      <c r="AX183" s="77"/>
      <c r="AY183" s="77"/>
      <c r="AZ183" s="77"/>
      <c r="BA183" s="77"/>
      <c r="BB183" s="77"/>
      <c r="BC183" s="77"/>
      <c r="BD183" s="77"/>
      <c r="BE183" s="77"/>
      <c r="BF183" s="77"/>
      <c r="BG183" s="77"/>
      <c r="BH183" s="77"/>
      <c r="BI183" s="77"/>
      <c r="BJ183" s="77"/>
      <c r="BK183" s="77"/>
      <c r="BL183" s="78"/>
      <c r="BM183" s="80">
        <f>COUNTIFS(DY10:DY175,"3.0")</f>
        <v>0</v>
      </c>
      <c r="BN183" s="79"/>
      <c r="BO183" s="46"/>
      <c r="BP183" s="46"/>
      <c r="BQ183" s="46"/>
      <c r="BR183" s="46"/>
      <c r="BS183" s="46"/>
      <c r="BT183" s="46"/>
      <c r="BU183" s="46"/>
      <c r="BV183" s="46"/>
      <c r="BW183" s="46"/>
      <c r="BX183" s="46"/>
      <c r="BY183" s="46"/>
      <c r="BZ183" s="46"/>
      <c r="CA183" s="46"/>
      <c r="CB183" s="46"/>
      <c r="CC183" s="46"/>
      <c r="CD183" s="46"/>
      <c r="CE183" s="46"/>
      <c r="CF183" s="46"/>
      <c r="CG183" s="46"/>
      <c r="CH183" s="46"/>
      <c r="CI183" s="46"/>
      <c r="CJ183" s="46"/>
      <c r="CK183" s="46"/>
      <c r="CL183" s="46"/>
      <c r="CM183" s="46"/>
      <c r="CN183" s="46"/>
      <c r="CO183" s="46"/>
      <c r="CP183" s="46"/>
      <c r="CQ183" s="46"/>
      <c r="CR183" s="46"/>
      <c r="CS183" s="46"/>
      <c r="CT183" s="46"/>
      <c r="CU183" s="46"/>
      <c r="CV183" s="46"/>
      <c r="CW183" s="46"/>
      <c r="CX183" s="46"/>
      <c r="CY183" s="46"/>
      <c r="CZ183" s="46"/>
      <c r="DA183" s="46"/>
      <c r="DB183" s="46"/>
      <c r="DC183" s="46"/>
      <c r="DD183" s="46"/>
      <c r="DE183" s="46"/>
      <c r="DF183" s="46"/>
      <c r="DG183" s="46"/>
      <c r="DH183" s="46"/>
      <c r="DI183" s="46"/>
      <c r="DJ183" s="46"/>
      <c r="DK183" s="46"/>
      <c r="DL183" s="46"/>
      <c r="DM183" s="46"/>
      <c r="DN183" s="46"/>
      <c r="DO183" s="46"/>
      <c r="DP183" s="46"/>
      <c r="DQ183" s="46"/>
      <c r="DR183" s="47"/>
      <c r="DS183" s="47"/>
      <c r="DT183" s="47"/>
      <c r="DU183" s="54"/>
      <c r="DV183" s="55"/>
      <c r="DW183" s="2"/>
      <c r="DX183" s="56"/>
      <c r="DY183" s="57"/>
      <c r="EI183" s="2"/>
      <c r="EJ183" s="2"/>
    </row>
    <row r="184" spans="1:140" ht="15.75" x14ac:dyDescent="0.25">
      <c r="A184" s="73"/>
      <c r="B184" s="81"/>
      <c r="C184" s="100" t="s">
        <v>66</v>
      </c>
      <c r="D184" s="82"/>
      <c r="E184" s="39"/>
      <c r="F184" s="83"/>
      <c r="G184" s="84"/>
      <c r="H184" s="61"/>
      <c r="I184" s="62"/>
      <c r="J184" s="62"/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X184" s="62"/>
      <c r="Y184" s="62"/>
      <c r="Z184" s="62"/>
      <c r="AA184" s="62"/>
      <c r="AB184" s="62"/>
      <c r="AC184" s="62"/>
      <c r="AD184" s="62"/>
      <c r="AE184" s="62"/>
      <c r="AF184" s="62"/>
      <c r="AG184" s="62"/>
      <c r="AH184" s="62"/>
      <c r="AI184" s="62"/>
      <c r="AJ184" s="62"/>
      <c r="AK184" s="62"/>
      <c r="AL184" s="62"/>
      <c r="AM184" s="62"/>
      <c r="AN184" s="62"/>
      <c r="AO184" s="62"/>
      <c r="AP184" s="62"/>
      <c r="AQ184" s="62"/>
      <c r="AR184" s="62"/>
      <c r="AS184" s="62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62"/>
      <c r="BE184" s="62"/>
      <c r="BF184" s="62"/>
      <c r="BG184" s="62"/>
      <c r="BH184" s="62"/>
      <c r="BI184" s="62"/>
      <c r="BJ184" s="62"/>
      <c r="BK184" s="62"/>
      <c r="BL184" s="63"/>
      <c r="BM184" s="85">
        <v>1</v>
      </c>
      <c r="BN184" s="64"/>
      <c r="BO184" s="46"/>
      <c r="BP184" s="46"/>
      <c r="BQ184" s="46"/>
      <c r="BR184" s="46"/>
      <c r="BS184" s="46"/>
      <c r="BT184" s="46"/>
      <c r="BU184" s="46"/>
      <c r="BV184" s="46"/>
      <c r="BW184" s="46"/>
      <c r="BX184" s="46"/>
      <c r="BY184" s="46"/>
      <c r="BZ184" s="46"/>
      <c r="CA184" s="46"/>
      <c r="CB184" s="46"/>
      <c r="CC184" s="46"/>
      <c r="CD184" s="46"/>
      <c r="CE184" s="46"/>
      <c r="CF184" s="46"/>
      <c r="CG184" s="46"/>
      <c r="CH184" s="46"/>
      <c r="CI184" s="46"/>
      <c r="CJ184" s="46"/>
      <c r="CK184" s="46"/>
      <c r="CL184" s="46"/>
      <c r="CM184" s="46"/>
      <c r="CN184" s="46"/>
      <c r="CO184" s="46"/>
      <c r="CP184" s="46"/>
      <c r="CQ184" s="46"/>
      <c r="CR184" s="46"/>
      <c r="CS184" s="46"/>
      <c r="CT184" s="46"/>
      <c r="CU184" s="46"/>
      <c r="CV184" s="46"/>
      <c r="CW184" s="46"/>
      <c r="CX184" s="46"/>
      <c r="CY184" s="46"/>
      <c r="CZ184" s="46"/>
      <c r="DA184" s="46"/>
      <c r="DB184" s="46"/>
      <c r="DC184" s="46"/>
      <c r="DD184" s="46"/>
      <c r="DE184" s="46"/>
      <c r="DF184" s="46"/>
      <c r="DG184" s="46"/>
      <c r="DH184" s="46"/>
      <c r="DI184" s="46"/>
      <c r="DJ184" s="46"/>
      <c r="DK184" s="46"/>
      <c r="DL184" s="46"/>
      <c r="DM184" s="46"/>
      <c r="DN184" s="46"/>
      <c r="DO184" s="46"/>
      <c r="DP184" s="46"/>
      <c r="DQ184" s="46"/>
      <c r="DR184" s="47"/>
      <c r="DS184" s="47"/>
      <c r="DT184" s="47"/>
      <c r="DU184" s="54"/>
      <c r="DV184" s="55"/>
      <c r="DW184" s="2"/>
      <c r="DX184" s="56"/>
      <c r="DY184" s="57"/>
      <c r="EI184" s="2"/>
      <c r="EJ184" s="2"/>
    </row>
    <row r="185" spans="1:140" ht="15.75" x14ac:dyDescent="0.25">
      <c r="A185" s="73"/>
      <c r="B185" s="2"/>
      <c r="C185" s="2"/>
      <c r="D185" s="25"/>
      <c r="E185" s="25"/>
      <c r="F185" s="86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  <c r="BJ185" s="2"/>
      <c r="BK185" s="2"/>
      <c r="BL185" s="87"/>
      <c r="BM185" s="2"/>
      <c r="BN185" s="55"/>
      <c r="BO185" s="73"/>
      <c r="BP185" s="73"/>
      <c r="BQ185" s="73"/>
      <c r="BR185" s="73"/>
      <c r="BS185" s="73"/>
      <c r="BT185" s="73"/>
      <c r="BU185" s="73"/>
      <c r="BV185" s="73"/>
      <c r="BW185" s="73"/>
      <c r="BX185" s="73"/>
      <c r="BY185" s="73"/>
      <c r="BZ185" s="73"/>
      <c r="CA185" s="73"/>
      <c r="CB185" s="73"/>
      <c r="CC185" s="73"/>
      <c r="CD185" s="73"/>
      <c r="CE185" s="73"/>
      <c r="CF185" s="73"/>
      <c r="CG185" s="73"/>
      <c r="CH185" s="73"/>
      <c r="CI185" s="73"/>
      <c r="CJ185" s="73"/>
      <c r="CK185" s="73"/>
      <c r="CL185" s="73"/>
      <c r="CM185" s="73"/>
      <c r="CN185" s="73"/>
      <c r="CO185" s="73"/>
      <c r="CP185" s="73"/>
      <c r="CQ185" s="73"/>
      <c r="CR185" s="73"/>
      <c r="CS185" s="73"/>
      <c r="CT185" s="73"/>
      <c r="CU185" s="73"/>
      <c r="CV185" s="73"/>
      <c r="CW185" s="73"/>
      <c r="CX185" s="73"/>
      <c r="CY185" s="73"/>
      <c r="CZ185" s="73"/>
      <c r="DA185" s="73"/>
      <c r="DB185" s="73"/>
      <c r="DC185" s="73"/>
      <c r="DD185" s="73"/>
      <c r="DE185" s="73"/>
      <c r="DF185" s="73"/>
      <c r="DG185" s="73"/>
      <c r="DH185" s="73"/>
      <c r="DI185" s="73"/>
      <c r="DJ185" s="73"/>
      <c r="DK185" s="73"/>
      <c r="DL185" s="73"/>
      <c r="DM185" s="73"/>
      <c r="DN185" s="73"/>
      <c r="DO185" s="73"/>
      <c r="DP185" s="73"/>
      <c r="DQ185" s="73"/>
      <c r="DR185" s="2"/>
      <c r="DS185" s="2"/>
      <c r="DT185" s="2"/>
      <c r="DU185" s="2"/>
      <c r="DV185" s="55"/>
      <c r="DW185" s="2"/>
      <c r="DX185" s="3"/>
      <c r="DY185" s="73"/>
      <c r="DZ185" s="2"/>
      <c r="EA185" s="2"/>
      <c r="EB185" s="2"/>
      <c r="EI185" s="2"/>
      <c r="EJ185" s="2"/>
    </row>
    <row r="186" spans="1:140" ht="15.75" x14ac:dyDescent="0.25">
      <c r="A186" s="73"/>
      <c r="B186" s="2"/>
      <c r="C186" s="2"/>
      <c r="D186" s="25"/>
      <c r="E186" s="25"/>
      <c r="F186" s="86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2"/>
      <c r="BJ186" s="2"/>
      <c r="BK186" s="2"/>
      <c r="BL186" s="87"/>
      <c r="BM186" s="2"/>
      <c r="BN186" s="55"/>
      <c r="BO186" s="73"/>
      <c r="BP186" s="73"/>
      <c r="BQ186" s="73"/>
      <c r="BR186" s="73"/>
      <c r="BS186" s="73"/>
      <c r="BT186" s="73"/>
      <c r="BU186" s="73"/>
      <c r="BV186" s="73"/>
      <c r="BW186" s="73"/>
      <c r="BX186" s="73"/>
      <c r="BY186" s="73"/>
      <c r="BZ186" s="73"/>
      <c r="CA186" s="73"/>
      <c r="CB186" s="73"/>
      <c r="CC186" s="73"/>
      <c r="CD186" s="73"/>
      <c r="CE186" s="73"/>
      <c r="CF186" s="73"/>
      <c r="CG186" s="73"/>
      <c r="CH186" s="73"/>
      <c r="CI186" s="73"/>
      <c r="CJ186" s="73"/>
      <c r="CK186" s="73"/>
      <c r="CL186" s="73"/>
      <c r="CM186" s="73"/>
      <c r="CN186" s="73"/>
      <c r="CO186" s="73"/>
      <c r="CP186" s="73"/>
      <c r="CQ186" s="73"/>
      <c r="CR186" s="73"/>
      <c r="CS186" s="73"/>
      <c r="CT186" s="73"/>
      <c r="CU186" s="73"/>
      <c r="CV186" s="73"/>
      <c r="CW186" s="73"/>
      <c r="CX186" s="73"/>
      <c r="CY186" s="73"/>
      <c r="CZ186" s="73"/>
      <c r="DA186" s="73"/>
      <c r="DB186" s="73"/>
      <c r="DC186" s="73"/>
      <c r="DD186" s="73"/>
      <c r="DE186" s="73"/>
      <c r="DF186" s="73"/>
      <c r="DG186" s="73"/>
      <c r="DH186" s="73"/>
      <c r="DI186" s="73"/>
      <c r="DJ186" s="73"/>
      <c r="DK186" s="73"/>
      <c r="DL186" s="73"/>
      <c r="DM186" s="73"/>
      <c r="DN186" s="73"/>
      <c r="DO186" s="73"/>
      <c r="DP186" s="73"/>
      <c r="DQ186" s="73"/>
      <c r="DR186" s="2"/>
      <c r="DS186" s="2"/>
      <c r="DT186" s="2"/>
      <c r="DU186" s="2"/>
      <c r="DV186" s="55"/>
      <c r="DW186" s="2"/>
      <c r="DX186" s="3"/>
      <c r="DY186" s="73"/>
      <c r="DZ186" s="2"/>
      <c r="EA186" s="2"/>
      <c r="EB186" s="2"/>
      <c r="EI186" s="2"/>
      <c r="EJ186" s="2"/>
    </row>
  </sheetData>
  <mergeCells count="106">
    <mergeCell ref="DJ7:DJ8"/>
    <mergeCell ref="DK7:DK8"/>
    <mergeCell ref="DL7:DL8"/>
    <mergeCell ref="DM7:DM8"/>
    <mergeCell ref="DN7:DN8"/>
    <mergeCell ref="CA7:CA8"/>
    <mergeCell ref="CB7:CB8"/>
    <mergeCell ref="DG7:DG8"/>
    <mergeCell ref="DH7:DH8"/>
    <mergeCell ref="DI7:DI8"/>
    <mergeCell ref="F7:F9"/>
    <mergeCell ref="BO7:BO8"/>
    <mergeCell ref="AT7:AT8"/>
    <mergeCell ref="AU7:AU8"/>
    <mergeCell ref="AV7:AV8"/>
    <mergeCell ref="AW7:AW8"/>
    <mergeCell ref="AX7:AX8"/>
    <mergeCell ref="AO7:AO8"/>
    <mergeCell ref="AP7:AP8"/>
    <mergeCell ref="AQ7:AQ8"/>
    <mergeCell ref="AR7:AR8"/>
    <mergeCell ref="AS7:AS8"/>
    <mergeCell ref="AJ7:AJ8"/>
    <mergeCell ref="AK7:AK8"/>
    <mergeCell ref="AL7:AL8"/>
    <mergeCell ref="AM7:AM8"/>
    <mergeCell ref="AN7:AN8"/>
    <mergeCell ref="AE7:AE8"/>
    <mergeCell ref="AF7:AF8"/>
    <mergeCell ref="AG7:AG8"/>
    <mergeCell ref="AH7:AH8"/>
    <mergeCell ref="K7:K8"/>
    <mergeCell ref="S7:S8"/>
    <mergeCell ref="T7:T8"/>
    <mergeCell ref="U7:U8"/>
    <mergeCell ref="V7:V8"/>
    <mergeCell ref="DV7:DV9"/>
    <mergeCell ref="L7:L8"/>
    <mergeCell ref="A2:EA2"/>
    <mergeCell ref="A3:EA3"/>
    <mergeCell ref="A4:EA4"/>
    <mergeCell ref="A5:EA5"/>
    <mergeCell ref="A6:EA6"/>
    <mergeCell ref="A7:A9"/>
    <mergeCell ref="B7:B9"/>
    <mergeCell ref="C7:C9"/>
    <mergeCell ref="D7:D9"/>
    <mergeCell ref="E7:E9"/>
    <mergeCell ref="G7:G9"/>
    <mergeCell ref="H7:H8"/>
    <mergeCell ref="I7:I8"/>
    <mergeCell ref="J7:J8"/>
    <mergeCell ref="BN7:BN9"/>
    <mergeCell ref="DR7:DR9"/>
    <mergeCell ref="AY7:AY8"/>
    <mergeCell ref="BI7:BI8"/>
    <mergeCell ref="BJ7:BJ8"/>
    <mergeCell ref="BK7:BK9"/>
    <mergeCell ref="BL7:BL9"/>
    <mergeCell ref="BM7:BM9"/>
    <mergeCell ref="DX7:DX9"/>
    <mergeCell ref="DY7:DY9"/>
    <mergeCell ref="DZ7:DZ9"/>
    <mergeCell ref="EA7:EA9"/>
    <mergeCell ref="DW7:DW9"/>
    <mergeCell ref="DS7:DS9"/>
    <mergeCell ref="DT7:DT9"/>
    <mergeCell ref="DU7:DU9"/>
    <mergeCell ref="BP7:BP8"/>
    <mergeCell ref="BQ7:BQ8"/>
    <mergeCell ref="BR7:BR8"/>
    <mergeCell ref="BS7:BS8"/>
    <mergeCell ref="BT7:BT8"/>
    <mergeCell ref="BU7:BU8"/>
    <mergeCell ref="BV7:BV8"/>
    <mergeCell ref="BW7:BW8"/>
    <mergeCell ref="BX7:BX8"/>
    <mergeCell ref="BY7:BY8"/>
    <mergeCell ref="BZ7:BZ8"/>
    <mergeCell ref="DO7:DO8"/>
    <mergeCell ref="DP7:DP8"/>
    <mergeCell ref="DQ7:DQ8"/>
    <mergeCell ref="M7:M8"/>
    <mergeCell ref="N7:N8"/>
    <mergeCell ref="O7:O8"/>
    <mergeCell ref="P7:P8"/>
    <mergeCell ref="Q7:Q8"/>
    <mergeCell ref="BF7:BF8"/>
    <mergeCell ref="BG7:BG8"/>
    <mergeCell ref="BH7:BH8"/>
    <mergeCell ref="R7:R8"/>
    <mergeCell ref="BB7:BB8"/>
    <mergeCell ref="BC7:BC8"/>
    <mergeCell ref="BD7:BD8"/>
    <mergeCell ref="BE7:BE8"/>
    <mergeCell ref="W7:W8"/>
    <mergeCell ref="X7:X8"/>
    <mergeCell ref="Y7:Y8"/>
    <mergeCell ref="Z7:Z8"/>
    <mergeCell ref="AA7:AA8"/>
    <mergeCell ref="AB7:AB8"/>
    <mergeCell ref="AC7:AC8"/>
    <mergeCell ref="AD7:AD8"/>
    <mergeCell ref="AI7:AI8"/>
    <mergeCell ref="AZ7:AZ8"/>
    <mergeCell ref="BA7:BA8"/>
  </mergeCells>
  <pageMargins left="0.25" right="0.25" top="0.75" bottom="0.75" header="0.3" footer="0.3"/>
  <pageSetup scale="38" fitToHeight="0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EJ186"/>
  <sheetViews>
    <sheetView zoomScale="50" zoomScaleNormal="50" workbookViewId="0">
      <selection activeCell="S22" sqref="S22"/>
    </sheetView>
  </sheetViews>
  <sheetFormatPr defaultRowHeight="12.75" x14ac:dyDescent="0.2"/>
  <cols>
    <col min="1" max="1" width="4.5703125" style="195" bestFit="1" customWidth="1"/>
    <col min="2" max="2" width="18.42578125" style="195" bestFit="1" customWidth="1"/>
    <col min="3" max="3" width="43" style="195" customWidth="1"/>
    <col min="4" max="4" width="21.85546875" style="195" hidden="1" customWidth="1"/>
    <col min="5" max="5" width="19.42578125" style="195" hidden="1" customWidth="1"/>
    <col min="6" max="6" width="79.85546875" style="195" customWidth="1"/>
    <col min="7" max="7" width="59.140625" style="195" customWidth="1"/>
    <col min="8" max="8" width="6.42578125" style="195" bestFit="1" customWidth="1"/>
    <col min="9" max="65" width="6.42578125" style="195" customWidth="1"/>
    <col min="66" max="66" width="56.5703125" style="195" customWidth="1"/>
    <col min="67" max="127" width="6.42578125" style="195" customWidth="1"/>
    <col min="128" max="130" width="9.140625" style="195"/>
    <col min="131" max="131" width="33.140625" style="195" customWidth="1"/>
    <col min="132" max="16384" width="9.140625" style="195"/>
  </cols>
  <sheetData>
    <row r="1" spans="1:140" ht="13.5" thickBot="1" x14ac:dyDescent="0.25">
      <c r="A1" s="195" t="s">
        <v>77</v>
      </c>
      <c r="B1" s="195" t="s">
        <v>76</v>
      </c>
      <c r="C1" s="195" t="s">
        <v>77</v>
      </c>
      <c r="F1" s="195" t="s">
        <v>77</v>
      </c>
      <c r="H1" s="195" t="s">
        <v>95</v>
      </c>
      <c r="I1" s="195" t="s">
        <v>96</v>
      </c>
      <c r="J1" s="195" t="s">
        <v>97</v>
      </c>
      <c r="K1" s="195" t="s">
        <v>98</v>
      </c>
      <c r="L1" s="195" t="s">
        <v>99</v>
      </c>
      <c r="M1" s="195" t="s">
        <v>100</v>
      </c>
      <c r="N1" s="195" t="s">
        <v>101</v>
      </c>
      <c r="O1" s="195" t="s">
        <v>102</v>
      </c>
      <c r="P1" s="195" t="s">
        <v>103</v>
      </c>
      <c r="Q1" s="195" t="s">
        <v>104</v>
      </c>
      <c r="R1" s="195" t="s">
        <v>105</v>
      </c>
      <c r="S1" s="195" t="s">
        <v>106</v>
      </c>
      <c r="T1" s="195" t="s">
        <v>107</v>
      </c>
      <c r="AY1" s="195" t="s">
        <v>108</v>
      </c>
      <c r="AZ1" s="195" t="s">
        <v>109</v>
      </c>
      <c r="BA1" s="195" t="s">
        <v>110</v>
      </c>
      <c r="BB1" s="195" t="s">
        <v>111</v>
      </c>
      <c r="BC1" s="195" t="s">
        <v>112</v>
      </c>
      <c r="BD1" s="195" t="s">
        <v>113</v>
      </c>
      <c r="BE1" s="195" t="s">
        <v>114</v>
      </c>
      <c r="BF1" s="195" t="s">
        <v>115</v>
      </c>
      <c r="BG1" s="195" t="s">
        <v>116</v>
      </c>
      <c r="BH1" s="195" t="s">
        <v>117</v>
      </c>
      <c r="BI1" s="195" t="s">
        <v>118</v>
      </c>
      <c r="BJ1" s="195" t="s">
        <v>119</v>
      </c>
      <c r="BK1" s="195" t="s">
        <v>77</v>
      </c>
      <c r="BL1" s="195" t="s">
        <v>77</v>
      </c>
      <c r="BM1" s="195" t="s">
        <v>77</v>
      </c>
      <c r="BO1" s="195" t="s">
        <v>120</v>
      </c>
      <c r="BP1" s="195" t="s">
        <v>121</v>
      </c>
      <c r="BQ1" s="195" t="s">
        <v>122</v>
      </c>
      <c r="BR1" s="195" t="s">
        <v>123</v>
      </c>
      <c r="BS1" s="195" t="s">
        <v>124</v>
      </c>
      <c r="BT1" s="195" t="s">
        <v>125</v>
      </c>
      <c r="BU1" s="195" t="s">
        <v>126</v>
      </c>
      <c r="BV1" s="195" t="s">
        <v>127</v>
      </c>
      <c r="BW1" s="195" t="s">
        <v>128</v>
      </c>
      <c r="BX1" s="195" t="s">
        <v>129</v>
      </c>
      <c r="BY1" s="195" t="s">
        <v>130</v>
      </c>
      <c r="BZ1" s="195" t="s">
        <v>131</v>
      </c>
      <c r="CA1" s="195" t="s">
        <v>132</v>
      </c>
      <c r="CB1" s="195" t="s">
        <v>133</v>
      </c>
      <c r="DG1" s="195" t="s">
        <v>134</v>
      </c>
      <c r="DH1" s="195" t="s">
        <v>135</v>
      </c>
      <c r="DI1" s="195" t="s">
        <v>136</v>
      </c>
      <c r="DJ1" s="195" t="s">
        <v>137</v>
      </c>
      <c r="DK1" s="195" t="s">
        <v>138</v>
      </c>
      <c r="DL1" s="195" t="s">
        <v>139</v>
      </c>
      <c r="DM1" s="195" t="s">
        <v>140</v>
      </c>
      <c r="DN1" s="195" t="s">
        <v>141</v>
      </c>
      <c r="DO1" s="195" t="s">
        <v>142</v>
      </c>
      <c r="DP1" s="195" t="s">
        <v>143</v>
      </c>
      <c r="DQ1" s="195" t="s">
        <v>144</v>
      </c>
      <c r="DR1" s="195" t="s">
        <v>77</v>
      </c>
      <c r="DS1" s="195" t="s">
        <v>77</v>
      </c>
      <c r="DT1" s="195" t="s">
        <v>77</v>
      </c>
      <c r="DU1" s="195" t="s">
        <v>77</v>
      </c>
      <c r="DV1" s="195" t="s">
        <v>77</v>
      </c>
      <c r="DW1" s="195" t="s">
        <v>77</v>
      </c>
      <c r="DX1" s="195" t="s">
        <v>77</v>
      </c>
      <c r="DY1" s="195" t="s">
        <v>77</v>
      </c>
      <c r="DZ1" s="195" t="s">
        <v>77</v>
      </c>
      <c r="EA1" s="195" t="s">
        <v>77</v>
      </c>
    </row>
    <row r="2" spans="1:140" ht="18.75" x14ac:dyDescent="0.3">
      <c r="A2" s="240" t="s">
        <v>94</v>
      </c>
      <c r="B2" s="241"/>
      <c r="C2" s="241"/>
      <c r="D2" s="241"/>
      <c r="E2" s="241"/>
      <c r="F2" s="241"/>
      <c r="G2" s="241"/>
      <c r="H2" s="241"/>
      <c r="I2" s="241"/>
      <c r="J2" s="241"/>
      <c r="K2" s="241"/>
      <c r="L2" s="241"/>
      <c r="M2" s="241"/>
      <c r="N2" s="241"/>
      <c r="O2" s="241"/>
      <c r="P2" s="241"/>
      <c r="Q2" s="241"/>
      <c r="R2" s="241"/>
      <c r="S2" s="241"/>
      <c r="T2" s="241"/>
      <c r="U2" s="241"/>
      <c r="V2" s="241"/>
      <c r="W2" s="241"/>
      <c r="X2" s="241"/>
      <c r="Y2" s="241"/>
      <c r="Z2" s="241"/>
      <c r="AA2" s="241"/>
      <c r="AB2" s="241"/>
      <c r="AC2" s="241"/>
      <c r="AD2" s="241"/>
      <c r="AE2" s="241"/>
      <c r="AF2" s="241"/>
      <c r="AG2" s="241"/>
      <c r="AH2" s="241"/>
      <c r="AI2" s="241"/>
      <c r="AJ2" s="241"/>
      <c r="AK2" s="241"/>
      <c r="AL2" s="241"/>
      <c r="AM2" s="241"/>
      <c r="AN2" s="241"/>
      <c r="AO2" s="241"/>
      <c r="AP2" s="241"/>
      <c r="AQ2" s="241"/>
      <c r="AR2" s="241"/>
      <c r="AS2" s="241"/>
      <c r="AT2" s="241"/>
      <c r="AU2" s="241"/>
      <c r="AV2" s="241"/>
      <c r="AW2" s="241"/>
      <c r="AX2" s="241"/>
      <c r="AY2" s="241"/>
      <c r="AZ2" s="241"/>
      <c r="BA2" s="241"/>
      <c r="BB2" s="241"/>
      <c r="BC2" s="241"/>
      <c r="BD2" s="241"/>
      <c r="BE2" s="241"/>
      <c r="BF2" s="241"/>
      <c r="BG2" s="241"/>
      <c r="BH2" s="241"/>
      <c r="BI2" s="241"/>
      <c r="BJ2" s="241"/>
      <c r="BK2" s="241"/>
      <c r="BL2" s="241"/>
      <c r="BM2" s="241"/>
      <c r="BN2" s="241"/>
      <c r="BO2" s="241"/>
      <c r="BP2" s="241"/>
      <c r="BQ2" s="241"/>
      <c r="BR2" s="241"/>
      <c r="BS2" s="241"/>
      <c r="BT2" s="241"/>
      <c r="BU2" s="241"/>
      <c r="BV2" s="241"/>
      <c r="BW2" s="241"/>
      <c r="BX2" s="241"/>
      <c r="BY2" s="241"/>
      <c r="BZ2" s="241"/>
      <c r="CA2" s="241"/>
      <c r="CB2" s="241"/>
      <c r="CC2" s="241"/>
      <c r="CD2" s="241"/>
      <c r="CE2" s="241"/>
      <c r="CF2" s="241"/>
      <c r="CG2" s="241"/>
      <c r="CH2" s="241"/>
      <c r="CI2" s="241"/>
      <c r="CJ2" s="241"/>
      <c r="CK2" s="241"/>
      <c r="CL2" s="241"/>
      <c r="CM2" s="241"/>
      <c r="CN2" s="241"/>
      <c r="CO2" s="241"/>
      <c r="CP2" s="241"/>
      <c r="CQ2" s="241"/>
      <c r="CR2" s="241"/>
      <c r="CS2" s="241"/>
      <c r="CT2" s="241"/>
      <c r="CU2" s="241"/>
      <c r="CV2" s="241"/>
      <c r="CW2" s="241"/>
      <c r="CX2" s="241"/>
      <c r="CY2" s="241"/>
      <c r="CZ2" s="241"/>
      <c r="DA2" s="241"/>
      <c r="DB2" s="241"/>
      <c r="DC2" s="241"/>
      <c r="DD2" s="241"/>
      <c r="DE2" s="241"/>
      <c r="DF2" s="241"/>
      <c r="DG2" s="241"/>
      <c r="DH2" s="241"/>
      <c r="DI2" s="241"/>
      <c r="DJ2" s="241"/>
      <c r="DK2" s="241"/>
      <c r="DL2" s="241"/>
      <c r="DM2" s="241"/>
      <c r="DN2" s="241"/>
      <c r="DO2" s="241"/>
      <c r="DP2" s="241"/>
      <c r="DQ2" s="241"/>
      <c r="DR2" s="241"/>
      <c r="DS2" s="241"/>
      <c r="DT2" s="241"/>
      <c r="DU2" s="241"/>
      <c r="DV2" s="241"/>
      <c r="DW2" s="241"/>
      <c r="DX2" s="241"/>
      <c r="DY2" s="241"/>
      <c r="DZ2" s="241"/>
      <c r="EA2" s="242"/>
      <c r="EB2" s="1"/>
      <c r="EI2" s="2"/>
      <c r="EJ2" s="2"/>
    </row>
    <row r="3" spans="1:140" ht="18.75" x14ac:dyDescent="0.3">
      <c r="A3" s="243" t="s">
        <v>0</v>
      </c>
      <c r="B3" s="244"/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  <c r="AF3" s="244"/>
      <c r="AG3" s="244"/>
      <c r="AH3" s="244"/>
      <c r="AI3" s="244"/>
      <c r="AJ3" s="244"/>
      <c r="AK3" s="244"/>
      <c r="AL3" s="244"/>
      <c r="AM3" s="244"/>
      <c r="AN3" s="244"/>
      <c r="AO3" s="244"/>
      <c r="AP3" s="244"/>
      <c r="AQ3" s="244"/>
      <c r="AR3" s="244"/>
      <c r="AS3" s="244"/>
      <c r="AT3" s="244"/>
      <c r="AU3" s="244"/>
      <c r="AV3" s="244"/>
      <c r="AW3" s="244"/>
      <c r="AX3" s="244"/>
      <c r="AY3" s="244"/>
      <c r="AZ3" s="244"/>
      <c r="BA3" s="244"/>
      <c r="BB3" s="244"/>
      <c r="BC3" s="244"/>
      <c r="BD3" s="244"/>
      <c r="BE3" s="244"/>
      <c r="BF3" s="244"/>
      <c r="BG3" s="244"/>
      <c r="BH3" s="244"/>
      <c r="BI3" s="244"/>
      <c r="BJ3" s="244"/>
      <c r="BK3" s="244"/>
      <c r="BL3" s="244"/>
      <c r="BM3" s="244"/>
      <c r="BN3" s="244"/>
      <c r="BO3" s="244"/>
      <c r="BP3" s="244"/>
      <c r="BQ3" s="244"/>
      <c r="BR3" s="244"/>
      <c r="BS3" s="244"/>
      <c r="BT3" s="244"/>
      <c r="BU3" s="244"/>
      <c r="BV3" s="244"/>
      <c r="BW3" s="244"/>
      <c r="BX3" s="244"/>
      <c r="BY3" s="244"/>
      <c r="BZ3" s="244"/>
      <c r="CA3" s="244"/>
      <c r="CB3" s="244"/>
      <c r="CC3" s="244"/>
      <c r="CD3" s="244"/>
      <c r="CE3" s="244"/>
      <c r="CF3" s="244"/>
      <c r="CG3" s="244"/>
      <c r="CH3" s="244"/>
      <c r="CI3" s="244"/>
      <c r="CJ3" s="244"/>
      <c r="CK3" s="244"/>
      <c r="CL3" s="244"/>
      <c r="CM3" s="244"/>
      <c r="CN3" s="244"/>
      <c r="CO3" s="244"/>
      <c r="CP3" s="244"/>
      <c r="CQ3" s="244"/>
      <c r="CR3" s="244"/>
      <c r="CS3" s="244"/>
      <c r="CT3" s="244"/>
      <c r="CU3" s="244"/>
      <c r="CV3" s="244"/>
      <c r="CW3" s="244"/>
      <c r="CX3" s="244"/>
      <c r="CY3" s="244"/>
      <c r="CZ3" s="244"/>
      <c r="DA3" s="244"/>
      <c r="DB3" s="244"/>
      <c r="DC3" s="244"/>
      <c r="DD3" s="244"/>
      <c r="DE3" s="244"/>
      <c r="DF3" s="244"/>
      <c r="DG3" s="244"/>
      <c r="DH3" s="244"/>
      <c r="DI3" s="244"/>
      <c r="DJ3" s="244"/>
      <c r="DK3" s="244"/>
      <c r="DL3" s="244"/>
      <c r="DM3" s="244"/>
      <c r="DN3" s="244"/>
      <c r="DO3" s="244"/>
      <c r="DP3" s="244"/>
      <c r="DQ3" s="244"/>
      <c r="DR3" s="244"/>
      <c r="DS3" s="244"/>
      <c r="DT3" s="244"/>
      <c r="DU3" s="244"/>
      <c r="DV3" s="244"/>
      <c r="DW3" s="244"/>
      <c r="DX3" s="244"/>
      <c r="DY3" s="244"/>
      <c r="DZ3" s="244"/>
      <c r="EA3" s="245"/>
      <c r="EB3" s="1"/>
      <c r="EI3" s="2"/>
      <c r="EJ3" s="2"/>
    </row>
    <row r="4" spans="1:140" ht="18.75" x14ac:dyDescent="0.3">
      <c r="A4" s="243" t="s">
        <v>1</v>
      </c>
      <c r="B4" s="244"/>
      <c r="C4" s="244"/>
      <c r="D4" s="244"/>
      <c r="E4" s="244"/>
      <c r="F4" s="244"/>
      <c r="G4" s="244"/>
      <c r="H4" s="244"/>
      <c r="I4" s="244"/>
      <c r="J4" s="244"/>
      <c r="K4" s="244"/>
      <c r="L4" s="244"/>
      <c r="M4" s="244"/>
      <c r="N4" s="244"/>
      <c r="O4" s="244"/>
      <c r="P4" s="244"/>
      <c r="Q4" s="244"/>
      <c r="R4" s="244"/>
      <c r="S4" s="244"/>
      <c r="T4" s="244"/>
      <c r="U4" s="244"/>
      <c r="V4" s="244"/>
      <c r="W4" s="244"/>
      <c r="X4" s="244"/>
      <c r="Y4" s="244"/>
      <c r="Z4" s="244"/>
      <c r="AA4" s="244"/>
      <c r="AB4" s="244"/>
      <c r="AC4" s="244"/>
      <c r="AD4" s="244"/>
      <c r="AE4" s="244"/>
      <c r="AF4" s="244"/>
      <c r="AG4" s="244"/>
      <c r="AH4" s="244"/>
      <c r="AI4" s="244"/>
      <c r="AJ4" s="244"/>
      <c r="AK4" s="244"/>
      <c r="AL4" s="244"/>
      <c r="AM4" s="244"/>
      <c r="AN4" s="244"/>
      <c r="AO4" s="244"/>
      <c r="AP4" s="244"/>
      <c r="AQ4" s="244"/>
      <c r="AR4" s="244"/>
      <c r="AS4" s="244"/>
      <c r="AT4" s="244"/>
      <c r="AU4" s="244"/>
      <c r="AV4" s="244"/>
      <c r="AW4" s="244"/>
      <c r="AX4" s="244"/>
      <c r="AY4" s="244"/>
      <c r="AZ4" s="244"/>
      <c r="BA4" s="244"/>
      <c r="BB4" s="244"/>
      <c r="BC4" s="244"/>
      <c r="BD4" s="244"/>
      <c r="BE4" s="244"/>
      <c r="BF4" s="244"/>
      <c r="BG4" s="244"/>
      <c r="BH4" s="244"/>
      <c r="BI4" s="244"/>
      <c r="BJ4" s="244"/>
      <c r="BK4" s="244"/>
      <c r="BL4" s="244"/>
      <c r="BM4" s="244"/>
      <c r="BN4" s="244"/>
      <c r="BO4" s="244"/>
      <c r="BP4" s="244"/>
      <c r="BQ4" s="244"/>
      <c r="BR4" s="244"/>
      <c r="BS4" s="244"/>
      <c r="BT4" s="244"/>
      <c r="BU4" s="244"/>
      <c r="BV4" s="244"/>
      <c r="BW4" s="244"/>
      <c r="BX4" s="244"/>
      <c r="BY4" s="244"/>
      <c r="BZ4" s="244"/>
      <c r="CA4" s="244"/>
      <c r="CB4" s="244"/>
      <c r="CC4" s="244"/>
      <c r="CD4" s="244"/>
      <c r="CE4" s="244"/>
      <c r="CF4" s="244"/>
      <c r="CG4" s="244"/>
      <c r="CH4" s="244"/>
      <c r="CI4" s="244"/>
      <c r="CJ4" s="244"/>
      <c r="CK4" s="244"/>
      <c r="CL4" s="244"/>
      <c r="CM4" s="244"/>
      <c r="CN4" s="244"/>
      <c r="CO4" s="244"/>
      <c r="CP4" s="244"/>
      <c r="CQ4" s="244"/>
      <c r="CR4" s="244"/>
      <c r="CS4" s="244"/>
      <c r="CT4" s="244"/>
      <c r="CU4" s="244"/>
      <c r="CV4" s="244"/>
      <c r="CW4" s="244"/>
      <c r="CX4" s="244"/>
      <c r="CY4" s="244"/>
      <c r="CZ4" s="244"/>
      <c r="DA4" s="244"/>
      <c r="DB4" s="244"/>
      <c r="DC4" s="244"/>
      <c r="DD4" s="244"/>
      <c r="DE4" s="244"/>
      <c r="DF4" s="244"/>
      <c r="DG4" s="244"/>
      <c r="DH4" s="244"/>
      <c r="DI4" s="244"/>
      <c r="DJ4" s="244"/>
      <c r="DK4" s="244"/>
      <c r="DL4" s="244"/>
      <c r="DM4" s="244"/>
      <c r="DN4" s="244"/>
      <c r="DO4" s="244"/>
      <c r="DP4" s="244"/>
      <c r="DQ4" s="244"/>
      <c r="DR4" s="244"/>
      <c r="DS4" s="244"/>
      <c r="DT4" s="244"/>
      <c r="DU4" s="244"/>
      <c r="DV4" s="244"/>
      <c r="DW4" s="244"/>
      <c r="DX4" s="244"/>
      <c r="DY4" s="244"/>
      <c r="DZ4" s="244"/>
      <c r="EA4" s="245"/>
      <c r="EB4" s="1"/>
      <c r="EI4" s="2"/>
      <c r="EJ4" s="2"/>
    </row>
    <row r="5" spans="1:140" ht="19.5" thickBot="1" x14ac:dyDescent="0.35">
      <c r="A5" s="246" t="s">
        <v>2</v>
      </c>
      <c r="B5" s="247"/>
      <c r="C5" s="247"/>
      <c r="D5" s="247"/>
      <c r="E5" s="247"/>
      <c r="F5" s="247"/>
      <c r="G5" s="247"/>
      <c r="H5" s="247"/>
      <c r="I5" s="247"/>
      <c r="J5" s="247"/>
      <c r="K5" s="247"/>
      <c r="L5" s="247"/>
      <c r="M5" s="247"/>
      <c r="N5" s="247"/>
      <c r="O5" s="247"/>
      <c r="P5" s="247"/>
      <c r="Q5" s="247"/>
      <c r="R5" s="247"/>
      <c r="S5" s="247"/>
      <c r="T5" s="247"/>
      <c r="U5" s="247"/>
      <c r="V5" s="247"/>
      <c r="W5" s="247"/>
      <c r="X5" s="247"/>
      <c r="Y5" s="247"/>
      <c r="Z5" s="247"/>
      <c r="AA5" s="247"/>
      <c r="AB5" s="247"/>
      <c r="AC5" s="247"/>
      <c r="AD5" s="247"/>
      <c r="AE5" s="247"/>
      <c r="AF5" s="247"/>
      <c r="AG5" s="247"/>
      <c r="AH5" s="247"/>
      <c r="AI5" s="247"/>
      <c r="AJ5" s="247"/>
      <c r="AK5" s="247"/>
      <c r="AL5" s="247"/>
      <c r="AM5" s="247"/>
      <c r="AN5" s="247"/>
      <c r="AO5" s="247"/>
      <c r="AP5" s="247"/>
      <c r="AQ5" s="247"/>
      <c r="AR5" s="247"/>
      <c r="AS5" s="247"/>
      <c r="AT5" s="247"/>
      <c r="AU5" s="247"/>
      <c r="AV5" s="247"/>
      <c r="AW5" s="247"/>
      <c r="AX5" s="247"/>
      <c r="AY5" s="247"/>
      <c r="AZ5" s="247"/>
      <c r="BA5" s="247"/>
      <c r="BB5" s="247"/>
      <c r="BC5" s="247"/>
      <c r="BD5" s="247"/>
      <c r="BE5" s="247"/>
      <c r="BF5" s="247"/>
      <c r="BG5" s="247"/>
      <c r="BH5" s="247"/>
      <c r="BI5" s="247"/>
      <c r="BJ5" s="247"/>
      <c r="BK5" s="247"/>
      <c r="BL5" s="247"/>
      <c r="BM5" s="247"/>
      <c r="BN5" s="247"/>
      <c r="BO5" s="247"/>
      <c r="BP5" s="247"/>
      <c r="BQ5" s="247"/>
      <c r="BR5" s="247"/>
      <c r="BS5" s="247"/>
      <c r="BT5" s="247"/>
      <c r="BU5" s="247"/>
      <c r="BV5" s="247"/>
      <c r="BW5" s="247"/>
      <c r="BX5" s="247"/>
      <c r="BY5" s="247"/>
      <c r="BZ5" s="247"/>
      <c r="CA5" s="247"/>
      <c r="CB5" s="247"/>
      <c r="CC5" s="247"/>
      <c r="CD5" s="247"/>
      <c r="CE5" s="247"/>
      <c r="CF5" s="247"/>
      <c r="CG5" s="247"/>
      <c r="CH5" s="247"/>
      <c r="CI5" s="247"/>
      <c r="CJ5" s="247"/>
      <c r="CK5" s="247"/>
      <c r="CL5" s="247"/>
      <c r="CM5" s="247"/>
      <c r="CN5" s="247"/>
      <c r="CO5" s="247"/>
      <c r="CP5" s="247"/>
      <c r="CQ5" s="247"/>
      <c r="CR5" s="247"/>
      <c r="CS5" s="247"/>
      <c r="CT5" s="247"/>
      <c r="CU5" s="247"/>
      <c r="CV5" s="247"/>
      <c r="CW5" s="247"/>
      <c r="CX5" s="247"/>
      <c r="CY5" s="247"/>
      <c r="CZ5" s="247"/>
      <c r="DA5" s="247"/>
      <c r="DB5" s="247"/>
      <c r="DC5" s="247"/>
      <c r="DD5" s="247"/>
      <c r="DE5" s="247"/>
      <c r="DF5" s="247"/>
      <c r="DG5" s="247"/>
      <c r="DH5" s="247"/>
      <c r="DI5" s="247"/>
      <c r="DJ5" s="247"/>
      <c r="DK5" s="247"/>
      <c r="DL5" s="247"/>
      <c r="DM5" s="247"/>
      <c r="DN5" s="247"/>
      <c r="DO5" s="247"/>
      <c r="DP5" s="247"/>
      <c r="DQ5" s="247"/>
      <c r="DR5" s="247"/>
      <c r="DS5" s="247"/>
      <c r="DT5" s="247"/>
      <c r="DU5" s="247"/>
      <c r="DV5" s="247"/>
      <c r="DW5" s="247"/>
      <c r="DX5" s="247"/>
      <c r="DY5" s="247"/>
      <c r="DZ5" s="247"/>
      <c r="EA5" s="248"/>
      <c r="EB5" s="1"/>
      <c r="EI5" s="2"/>
      <c r="EJ5" s="2"/>
    </row>
    <row r="6" spans="1:140" ht="19.5" thickBot="1" x14ac:dyDescent="0.35">
      <c r="A6" s="249" t="s">
        <v>3</v>
      </c>
      <c r="B6" s="250"/>
      <c r="C6" s="250"/>
      <c r="D6" s="250"/>
      <c r="E6" s="250"/>
      <c r="F6" s="250"/>
      <c r="G6" s="250"/>
      <c r="H6" s="250"/>
      <c r="I6" s="250"/>
      <c r="J6" s="250"/>
      <c r="K6" s="250"/>
      <c r="L6" s="250"/>
      <c r="M6" s="250"/>
      <c r="N6" s="250"/>
      <c r="O6" s="250"/>
      <c r="P6" s="250"/>
      <c r="Q6" s="250"/>
      <c r="R6" s="250"/>
      <c r="S6" s="250"/>
      <c r="T6" s="250"/>
      <c r="U6" s="250"/>
      <c r="V6" s="250"/>
      <c r="W6" s="250"/>
      <c r="X6" s="250"/>
      <c r="Y6" s="250"/>
      <c r="Z6" s="250"/>
      <c r="AA6" s="250"/>
      <c r="AB6" s="250"/>
      <c r="AC6" s="250"/>
      <c r="AD6" s="250"/>
      <c r="AE6" s="250"/>
      <c r="AF6" s="250"/>
      <c r="AG6" s="250"/>
      <c r="AH6" s="250"/>
      <c r="AI6" s="250"/>
      <c r="AJ6" s="250"/>
      <c r="AK6" s="250"/>
      <c r="AL6" s="250"/>
      <c r="AM6" s="250"/>
      <c r="AN6" s="250"/>
      <c r="AO6" s="250"/>
      <c r="AP6" s="250"/>
      <c r="AQ6" s="250"/>
      <c r="AR6" s="250"/>
      <c r="AS6" s="250"/>
      <c r="AT6" s="250"/>
      <c r="AU6" s="250"/>
      <c r="AV6" s="250"/>
      <c r="AW6" s="250"/>
      <c r="AX6" s="250"/>
      <c r="AY6" s="250"/>
      <c r="AZ6" s="250"/>
      <c r="BA6" s="250"/>
      <c r="BB6" s="250"/>
      <c r="BC6" s="250"/>
      <c r="BD6" s="250"/>
      <c r="BE6" s="250"/>
      <c r="BF6" s="250"/>
      <c r="BG6" s="250"/>
      <c r="BH6" s="250"/>
      <c r="BI6" s="250"/>
      <c r="BJ6" s="250"/>
      <c r="BK6" s="250"/>
      <c r="BL6" s="250"/>
      <c r="BM6" s="250"/>
      <c r="BN6" s="250"/>
      <c r="BO6" s="250"/>
      <c r="BP6" s="250"/>
      <c r="BQ6" s="250"/>
      <c r="BR6" s="250"/>
      <c r="BS6" s="250"/>
      <c r="BT6" s="250"/>
      <c r="BU6" s="250"/>
      <c r="BV6" s="250"/>
      <c r="BW6" s="250"/>
      <c r="BX6" s="250"/>
      <c r="BY6" s="250"/>
      <c r="BZ6" s="250"/>
      <c r="CA6" s="250"/>
      <c r="CB6" s="250"/>
      <c r="CC6" s="250"/>
      <c r="CD6" s="250"/>
      <c r="CE6" s="250"/>
      <c r="CF6" s="250"/>
      <c r="CG6" s="250"/>
      <c r="CH6" s="250"/>
      <c r="CI6" s="250"/>
      <c r="CJ6" s="250"/>
      <c r="CK6" s="250"/>
      <c r="CL6" s="250"/>
      <c r="CM6" s="250"/>
      <c r="CN6" s="250"/>
      <c r="CO6" s="250"/>
      <c r="CP6" s="250"/>
      <c r="CQ6" s="250"/>
      <c r="CR6" s="250"/>
      <c r="CS6" s="250"/>
      <c r="CT6" s="250"/>
      <c r="CU6" s="250"/>
      <c r="CV6" s="250"/>
      <c r="CW6" s="250"/>
      <c r="CX6" s="250"/>
      <c r="CY6" s="250"/>
      <c r="CZ6" s="250"/>
      <c r="DA6" s="250"/>
      <c r="DB6" s="250"/>
      <c r="DC6" s="250"/>
      <c r="DD6" s="250"/>
      <c r="DE6" s="250"/>
      <c r="DF6" s="250"/>
      <c r="DG6" s="250"/>
      <c r="DH6" s="250"/>
      <c r="DI6" s="250"/>
      <c r="DJ6" s="250"/>
      <c r="DK6" s="250"/>
      <c r="DL6" s="250"/>
      <c r="DM6" s="250"/>
      <c r="DN6" s="250"/>
      <c r="DO6" s="250"/>
      <c r="DP6" s="250"/>
      <c r="DQ6" s="250"/>
      <c r="DR6" s="250"/>
      <c r="DS6" s="250"/>
      <c r="DT6" s="250"/>
      <c r="DU6" s="250"/>
      <c r="DV6" s="250"/>
      <c r="DW6" s="250"/>
      <c r="DX6" s="250"/>
      <c r="DY6" s="250"/>
      <c r="DZ6" s="250"/>
      <c r="EA6" s="251"/>
      <c r="EB6" s="1"/>
      <c r="EI6" s="2"/>
      <c r="EJ6" s="2"/>
    </row>
    <row r="7" spans="1:140" ht="16.5" customHeight="1" x14ac:dyDescent="0.25">
      <c r="A7" s="252" t="s">
        <v>4</v>
      </c>
      <c r="B7" s="255" t="s">
        <v>5</v>
      </c>
      <c r="C7" s="255" t="s">
        <v>6</v>
      </c>
      <c r="D7" s="255" t="s">
        <v>7</v>
      </c>
      <c r="E7" s="255" t="s">
        <v>8</v>
      </c>
      <c r="F7" s="255" t="s">
        <v>67</v>
      </c>
      <c r="G7" s="255" t="s">
        <v>9</v>
      </c>
      <c r="H7" s="229" t="str">
        <f ca="1">OFFSET(data!$AC$4,0,0,1,1)</f>
        <v>MTH110</v>
      </c>
      <c r="I7" s="215" t="str">
        <f ca="1">OFFSET(data!$AC$4,1,0,1,1)</f>
        <v>MTH111</v>
      </c>
      <c r="J7" s="215" t="str">
        <f ca="1">OFFSET(data!$AC$4,2,0,1,1)</f>
        <v>PHY111</v>
      </c>
      <c r="K7" s="215" t="str">
        <f ca="1">OFFSET(data!$AC$4,3,0,1,1)</f>
        <v>PHY112</v>
      </c>
      <c r="L7" s="215" t="str">
        <f ca="1">OFFSET(data!$AC$4,4,0,1,1)</f>
        <v>CHM111</v>
      </c>
      <c r="M7" s="215" t="str">
        <f ca="1">OFFSET(data!$AC$4,5,0,1,1)</f>
        <v>CHM112</v>
      </c>
      <c r="N7" s="215" t="str">
        <f ca="1">OFFSET(data!$AC$4,6,0,1,1)</f>
        <v>GST111</v>
      </c>
      <c r="O7" s="215" t="str">
        <f ca="1">OFFSET(data!$AC$4,7,0,1,1)</f>
        <v>GST112</v>
      </c>
      <c r="P7" s="215">
        <f ca="1">OFFSET(data!$AC$4,8,0,1,1)</f>
        <v>0</v>
      </c>
      <c r="Q7" s="215">
        <f ca="1">OFFSET(data!$AC$4,9,0,1,1)</f>
        <v>0</v>
      </c>
      <c r="R7" s="215" t="str">
        <f ca="1">OFFSET(data!$AC$4,10,0,1,1)</f>
        <v>CHE211</v>
      </c>
      <c r="S7" s="215" t="str">
        <f ca="1">OFFSET(data!$AC$4,11,0,1,1)</f>
        <v>CVE211</v>
      </c>
      <c r="T7" s="215" t="str">
        <f ca="1">OFFSET(data!$AC$4,12,0,1,1)</f>
        <v>MEE211</v>
      </c>
      <c r="U7" s="215" t="str">
        <f ca="1">OFFSET(data!$AC$4,13,0,1,1)</f>
        <v>MEE212</v>
      </c>
      <c r="V7" s="215" t="str">
        <f ca="1">OFFSET(data!$AC$4,14,0,1,1)</f>
        <v>PRE211</v>
      </c>
      <c r="W7" s="215"/>
      <c r="X7" s="215"/>
      <c r="Y7" s="215"/>
      <c r="Z7" s="215"/>
      <c r="AA7" s="215"/>
      <c r="AB7" s="215"/>
      <c r="AC7" s="215"/>
      <c r="AD7" s="215"/>
      <c r="AE7" s="215"/>
      <c r="AF7" s="215"/>
      <c r="AG7" s="215"/>
      <c r="AH7" s="215"/>
      <c r="AI7" s="215"/>
      <c r="AJ7" s="215"/>
      <c r="AK7" s="215"/>
      <c r="AL7" s="215"/>
      <c r="AM7" s="215"/>
      <c r="AN7" s="215"/>
      <c r="AO7" s="215"/>
      <c r="AP7" s="215"/>
      <c r="AQ7" s="215"/>
      <c r="AR7" s="215"/>
      <c r="AS7" s="215"/>
      <c r="AT7" s="215"/>
      <c r="AU7" s="215"/>
      <c r="AV7" s="215"/>
      <c r="AW7" s="215"/>
      <c r="AX7" s="215"/>
      <c r="AY7" s="215"/>
      <c r="AZ7" s="215"/>
      <c r="BA7" s="215"/>
      <c r="BB7" s="215"/>
      <c r="BC7" s="215"/>
      <c r="BD7" s="215"/>
      <c r="BE7" s="215"/>
      <c r="BF7" s="215"/>
      <c r="BG7" s="215"/>
      <c r="BH7" s="215"/>
      <c r="BI7" s="229"/>
      <c r="BJ7" s="262"/>
      <c r="BK7" s="264" t="s">
        <v>17</v>
      </c>
      <c r="BL7" s="217" t="s">
        <v>18</v>
      </c>
      <c r="BM7" s="220" t="s">
        <v>19</v>
      </c>
      <c r="BN7" s="256" t="s">
        <v>20</v>
      </c>
      <c r="BO7" s="269" t="str">
        <f ca="1">OFFSET(data!$AC$4,0,0,1,1)</f>
        <v>MTH110</v>
      </c>
      <c r="BP7" s="229"/>
      <c r="BQ7" s="229"/>
      <c r="BR7" s="229"/>
      <c r="BS7" s="229"/>
      <c r="BT7" s="229"/>
      <c r="BU7" s="229"/>
      <c r="BV7" s="229"/>
      <c r="BW7" s="229"/>
      <c r="BX7" s="229"/>
      <c r="BY7" s="229"/>
      <c r="BZ7" s="229"/>
      <c r="CA7" s="229"/>
      <c r="CB7" s="229"/>
      <c r="CC7" s="192"/>
      <c r="CD7" s="192"/>
      <c r="CE7" s="192"/>
      <c r="CF7" s="192"/>
      <c r="CG7" s="192"/>
      <c r="CH7" s="192"/>
      <c r="CI7" s="192"/>
      <c r="CJ7" s="192"/>
      <c r="CK7" s="192"/>
      <c r="CL7" s="192"/>
      <c r="CM7" s="192"/>
      <c r="CN7" s="192"/>
      <c r="CO7" s="192"/>
      <c r="CP7" s="192"/>
      <c r="CQ7" s="192"/>
      <c r="CR7" s="192"/>
      <c r="CS7" s="192"/>
      <c r="CT7" s="192"/>
      <c r="CU7" s="192"/>
      <c r="CV7" s="192"/>
      <c r="CW7" s="192"/>
      <c r="CX7" s="192"/>
      <c r="CY7" s="192"/>
      <c r="CZ7" s="192"/>
      <c r="DA7" s="192"/>
      <c r="DB7" s="192"/>
      <c r="DC7" s="192"/>
      <c r="DD7" s="192"/>
      <c r="DE7" s="192"/>
      <c r="DF7" s="192"/>
      <c r="DG7" s="229"/>
      <c r="DH7" s="229"/>
      <c r="DI7" s="229"/>
      <c r="DJ7" s="229"/>
      <c r="DK7" s="229"/>
      <c r="DL7" s="229"/>
      <c r="DM7" s="229"/>
      <c r="DN7" s="229"/>
      <c r="DO7" s="229"/>
      <c r="DP7" s="229"/>
      <c r="DQ7" s="229"/>
      <c r="DR7" s="259" t="s">
        <v>21</v>
      </c>
      <c r="DS7" s="230" t="s">
        <v>22</v>
      </c>
      <c r="DT7" s="233" t="s">
        <v>23</v>
      </c>
      <c r="DU7" s="236" t="s">
        <v>24</v>
      </c>
      <c r="DV7" s="229" t="s">
        <v>25</v>
      </c>
      <c r="DW7" s="229" t="s">
        <v>86</v>
      </c>
      <c r="DX7" s="223" t="s">
        <v>26</v>
      </c>
      <c r="DY7" s="215" t="s">
        <v>27</v>
      </c>
      <c r="DZ7" s="215" t="s">
        <v>28</v>
      </c>
      <c r="EA7" s="226" t="s">
        <v>87</v>
      </c>
      <c r="EB7" s="4"/>
      <c r="EI7" s="5"/>
      <c r="EJ7" s="5"/>
    </row>
    <row r="8" spans="1:140" ht="81" customHeight="1" x14ac:dyDescent="0.25">
      <c r="A8" s="253"/>
      <c r="B8" s="237"/>
      <c r="C8" s="237"/>
      <c r="D8" s="237"/>
      <c r="E8" s="237"/>
      <c r="F8" s="267"/>
      <c r="G8" s="237"/>
      <c r="H8" s="216"/>
      <c r="I8" s="216"/>
      <c r="J8" s="216"/>
      <c r="K8" s="216"/>
      <c r="L8" s="216"/>
      <c r="M8" s="216"/>
      <c r="N8" s="216"/>
      <c r="O8" s="216"/>
      <c r="P8" s="216"/>
      <c r="Q8" s="216"/>
      <c r="R8" s="216"/>
      <c r="S8" s="216"/>
      <c r="T8" s="216"/>
      <c r="U8" s="216"/>
      <c r="V8" s="216"/>
      <c r="W8" s="216"/>
      <c r="X8" s="216"/>
      <c r="Y8" s="216"/>
      <c r="Z8" s="216"/>
      <c r="AA8" s="216"/>
      <c r="AB8" s="216"/>
      <c r="AC8" s="216"/>
      <c r="AD8" s="216"/>
      <c r="AE8" s="216"/>
      <c r="AF8" s="216"/>
      <c r="AG8" s="216"/>
      <c r="AH8" s="216"/>
      <c r="AI8" s="216"/>
      <c r="AJ8" s="216"/>
      <c r="AK8" s="216"/>
      <c r="AL8" s="216"/>
      <c r="AM8" s="216"/>
      <c r="AN8" s="216"/>
      <c r="AO8" s="216"/>
      <c r="AP8" s="216"/>
      <c r="AQ8" s="216"/>
      <c r="AR8" s="216"/>
      <c r="AS8" s="216"/>
      <c r="AT8" s="216"/>
      <c r="AU8" s="216"/>
      <c r="AV8" s="216"/>
      <c r="AW8" s="216"/>
      <c r="AX8" s="216"/>
      <c r="AY8" s="216"/>
      <c r="AZ8" s="216"/>
      <c r="BA8" s="216"/>
      <c r="BB8" s="216"/>
      <c r="BC8" s="216"/>
      <c r="BD8" s="216"/>
      <c r="BE8" s="216"/>
      <c r="BF8" s="216"/>
      <c r="BG8" s="216"/>
      <c r="BH8" s="216"/>
      <c r="BI8" s="216"/>
      <c r="BJ8" s="263"/>
      <c r="BK8" s="265"/>
      <c r="BL8" s="218"/>
      <c r="BM8" s="221"/>
      <c r="BN8" s="257"/>
      <c r="BO8" s="270"/>
      <c r="BP8" s="239"/>
      <c r="BQ8" s="239"/>
      <c r="BR8" s="239"/>
      <c r="BS8" s="239"/>
      <c r="BT8" s="239"/>
      <c r="BU8" s="239"/>
      <c r="BV8" s="239"/>
      <c r="BW8" s="239"/>
      <c r="BX8" s="239"/>
      <c r="BY8" s="239"/>
      <c r="BZ8" s="239"/>
      <c r="CA8" s="239"/>
      <c r="CB8" s="239"/>
      <c r="CC8" s="194"/>
      <c r="CD8" s="194"/>
      <c r="CE8" s="194"/>
      <c r="CF8" s="194"/>
      <c r="CG8" s="194"/>
      <c r="CH8" s="194"/>
      <c r="CI8" s="194"/>
      <c r="CJ8" s="194"/>
      <c r="CK8" s="194"/>
      <c r="CL8" s="194"/>
      <c r="CM8" s="194"/>
      <c r="CN8" s="194"/>
      <c r="CO8" s="194"/>
      <c r="CP8" s="194"/>
      <c r="CQ8" s="194"/>
      <c r="CR8" s="194"/>
      <c r="CS8" s="194"/>
      <c r="CT8" s="194"/>
      <c r="CU8" s="194"/>
      <c r="CV8" s="194"/>
      <c r="CW8" s="194"/>
      <c r="CX8" s="194"/>
      <c r="CY8" s="194"/>
      <c r="CZ8" s="194"/>
      <c r="DA8" s="194"/>
      <c r="DB8" s="194"/>
      <c r="DC8" s="194"/>
      <c r="DD8" s="194"/>
      <c r="DE8" s="194"/>
      <c r="DF8" s="194"/>
      <c r="DG8" s="239"/>
      <c r="DH8" s="239"/>
      <c r="DI8" s="239"/>
      <c r="DJ8" s="239"/>
      <c r="DK8" s="239"/>
      <c r="DL8" s="239"/>
      <c r="DM8" s="239"/>
      <c r="DN8" s="239"/>
      <c r="DO8" s="239"/>
      <c r="DP8" s="239"/>
      <c r="DQ8" s="239"/>
      <c r="DR8" s="260"/>
      <c r="DS8" s="231"/>
      <c r="DT8" s="234"/>
      <c r="DU8" s="237"/>
      <c r="DV8" s="237"/>
      <c r="DW8" s="224"/>
      <c r="DX8" s="224"/>
      <c r="DY8" s="224"/>
      <c r="DZ8" s="224"/>
      <c r="EA8" s="227"/>
      <c r="EB8" s="4"/>
      <c r="EI8" s="5"/>
      <c r="EJ8" s="5"/>
    </row>
    <row r="9" spans="1:140" ht="16.5" thickBot="1" x14ac:dyDescent="0.3">
      <c r="A9" s="254"/>
      <c r="B9" s="238"/>
      <c r="C9" s="238"/>
      <c r="D9" s="238"/>
      <c r="E9" s="238"/>
      <c r="F9" s="268"/>
      <c r="G9" s="238"/>
      <c r="H9" s="6">
        <v>3</v>
      </c>
      <c r="I9" s="6">
        <v>3</v>
      </c>
      <c r="J9" s="6">
        <v>3</v>
      </c>
      <c r="K9" s="6">
        <v>3</v>
      </c>
      <c r="L9" s="6">
        <v>3</v>
      </c>
      <c r="M9" s="6">
        <v>3</v>
      </c>
      <c r="N9" s="6">
        <v>3</v>
      </c>
      <c r="O9" s="6">
        <v>3</v>
      </c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7"/>
      <c r="BK9" s="266"/>
      <c r="BL9" s="219"/>
      <c r="BM9" s="222"/>
      <c r="BN9" s="258"/>
      <c r="BO9" s="175">
        <v>3</v>
      </c>
      <c r="BP9" s="6">
        <v>3</v>
      </c>
      <c r="BQ9" s="6">
        <v>3</v>
      </c>
      <c r="BR9" s="6">
        <v>3</v>
      </c>
      <c r="BS9" s="6">
        <v>3</v>
      </c>
      <c r="BT9" s="6">
        <v>3</v>
      </c>
      <c r="BU9" s="6">
        <v>3</v>
      </c>
      <c r="BV9" s="6">
        <v>3</v>
      </c>
      <c r="BW9" s="6">
        <v>3</v>
      </c>
      <c r="BX9" s="6">
        <v>3</v>
      </c>
      <c r="BY9" s="6">
        <v>3</v>
      </c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261"/>
      <c r="DS9" s="232"/>
      <c r="DT9" s="235"/>
      <c r="DU9" s="238"/>
      <c r="DV9" s="238"/>
      <c r="DW9" s="225"/>
      <c r="DX9" s="225"/>
      <c r="DY9" s="225"/>
      <c r="DZ9" s="225"/>
      <c r="EA9" s="228"/>
      <c r="EB9" s="4"/>
      <c r="EI9" s="5"/>
      <c r="EJ9" s="5"/>
    </row>
    <row r="10" spans="1:140" ht="16.5" thickBot="1" x14ac:dyDescent="0.3">
      <c r="A10" s="8">
        <v>1</v>
      </c>
      <c r="B10" s="9" t="s">
        <v>51</v>
      </c>
      <c r="C10" s="10" t="str">
        <f>D10 &amp; " " &amp; E10</f>
        <v>Bayo   SAMUEL</v>
      </c>
      <c r="D10" s="11" t="s">
        <v>52</v>
      </c>
      <c r="E10" s="11" t="s">
        <v>53</v>
      </c>
      <c r="F10" s="10" t="str">
        <f>G10&amp;" "&amp;BN10</f>
        <v xml:space="preserve"> </v>
      </c>
      <c r="G10" s="163"/>
      <c r="H10" s="117" t="s">
        <v>213</v>
      </c>
      <c r="I10" s="118" t="s">
        <v>213</v>
      </c>
      <c r="J10" s="118" t="s">
        <v>57</v>
      </c>
      <c r="K10" s="118" t="s">
        <v>214</v>
      </c>
      <c r="L10" s="118" t="s">
        <v>213</v>
      </c>
      <c r="M10" s="118" t="s">
        <v>213</v>
      </c>
      <c r="N10" s="118" t="s">
        <v>213</v>
      </c>
      <c r="O10" s="118" t="s">
        <v>213</v>
      </c>
      <c r="P10" s="118"/>
      <c r="Q10" s="118"/>
      <c r="R10" s="118" t="s">
        <v>213</v>
      </c>
      <c r="S10" s="118" t="s">
        <v>213</v>
      </c>
      <c r="T10" s="118" t="s">
        <v>213</v>
      </c>
      <c r="U10" s="118" t="s">
        <v>213</v>
      </c>
      <c r="V10" s="118" t="s">
        <v>213</v>
      </c>
      <c r="W10" s="118"/>
      <c r="X10" s="118"/>
      <c r="Y10" s="118"/>
      <c r="Z10" s="118"/>
      <c r="AA10" s="118"/>
      <c r="AB10" s="118"/>
      <c r="AC10" s="118"/>
      <c r="AD10" s="118"/>
      <c r="AE10" s="118"/>
      <c r="AF10" s="118"/>
      <c r="AG10" s="118"/>
      <c r="AH10" s="118"/>
      <c r="AI10" s="118"/>
      <c r="AJ10" s="118"/>
      <c r="AK10" s="118"/>
      <c r="AL10" s="118"/>
      <c r="AM10" s="118"/>
      <c r="AN10" s="118"/>
      <c r="AO10" s="118"/>
      <c r="AP10" s="118"/>
      <c r="AQ10" s="118"/>
      <c r="AR10" s="118"/>
      <c r="AS10" s="118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18"/>
      <c r="BE10" s="118"/>
      <c r="BF10" s="118"/>
      <c r="BG10" s="118"/>
      <c r="BH10" s="118"/>
      <c r="BI10" s="118"/>
      <c r="BJ10" s="119"/>
      <c r="BK10" s="90">
        <f>SUM(H9:BJ9)-0-0-0-0</f>
        <v>24</v>
      </c>
      <c r="BL10" s="91">
        <f>TCP(H10:BJ10,$H$9:$BJ$9,data!$H$8)</f>
        <v>0</v>
      </c>
      <c r="BM10" s="92">
        <v>12</v>
      </c>
      <c r="BN10" s="179"/>
      <c r="BO10" s="176">
        <v>31</v>
      </c>
      <c r="BP10" s="13" t="s">
        <v>56</v>
      </c>
      <c r="BQ10" s="13" t="s">
        <v>56</v>
      </c>
      <c r="BR10" s="13" t="s">
        <v>56</v>
      </c>
      <c r="BS10" s="14" t="s">
        <v>57</v>
      </c>
      <c r="BT10" s="13" t="s">
        <v>57</v>
      </c>
      <c r="BU10" s="13" t="s">
        <v>57</v>
      </c>
      <c r="BV10" s="13" t="s">
        <v>57</v>
      </c>
      <c r="BW10" s="13" t="s">
        <v>56</v>
      </c>
      <c r="BX10" s="13" t="s">
        <v>55</v>
      </c>
      <c r="BY10" s="13" t="s">
        <v>54</v>
      </c>
      <c r="BZ10" s="13"/>
      <c r="CA10" s="13"/>
      <c r="CB10" s="13"/>
      <c r="CC10" s="13"/>
      <c r="CD10" s="13"/>
      <c r="CE10" s="13"/>
      <c r="CF10" s="13"/>
      <c r="CG10" s="13"/>
      <c r="CH10" s="13"/>
      <c r="CI10" s="13"/>
      <c r="CJ10" s="13"/>
      <c r="CK10" s="13"/>
      <c r="CL10" s="13"/>
      <c r="CM10" s="13"/>
      <c r="CN10" s="13"/>
      <c r="CO10" s="13"/>
      <c r="CP10" s="13"/>
      <c r="CQ10" s="13"/>
      <c r="CR10" s="13"/>
      <c r="CS10" s="13"/>
      <c r="CT10" s="13"/>
      <c r="CU10" s="13"/>
      <c r="CV10" s="13"/>
      <c r="CW10" s="13"/>
      <c r="CX10" s="13"/>
      <c r="CY10" s="13"/>
      <c r="CZ10" s="13"/>
      <c r="DA10" s="13"/>
      <c r="DB10" s="13"/>
      <c r="DC10" s="13"/>
      <c r="DD10" s="13"/>
      <c r="DE10" s="13"/>
      <c r="DF10" s="13"/>
      <c r="DG10" s="13"/>
      <c r="DH10" s="13"/>
      <c r="DI10" s="13"/>
      <c r="DJ10" s="13"/>
      <c r="DK10" s="13"/>
      <c r="DL10" s="13"/>
      <c r="DM10" s="13"/>
      <c r="DN10" s="13"/>
      <c r="DO10" s="13"/>
      <c r="DP10" s="13"/>
      <c r="DQ10" s="15"/>
      <c r="DR10" s="129">
        <f>DT10-DS10</f>
        <v>30</v>
      </c>
      <c r="DS10" s="130">
        <f>TCP(BO10:DQ10,$BO$9:$DQ$9,data!$H$8)</f>
        <v>0</v>
      </c>
      <c r="DT10" s="131">
        <f>SUM(IF(BO10&gt;data!$I$9,Registration!$BO$9,0),IF(BP10&gt;data!$I$9,Registration!$BP$9,0),IF(BQ10&gt;data!$I$9,Registration!$BQ$9,0),IF(BR10&gt;data!$I$9,Registration!$BR$9,0),IF(BS10&gt;data!$I$9,Registration!$BS$9,0),IF(BT10&gt;data!$I$9,Registration!$BT$9,0),IF(BU10&gt;data!$I$9,Registration!$BU$9,0),IF(BV10&gt;data!$I$9,Registration!$BV$9,0),IF(BW10&gt;data!$I$9,Registration!$BW$9,0),IF(BX10&gt;data!$I$9,Registration!$BX$9,0),IF(BY10&gt;data!$I$9,Registration!$BY$9,0),IF(BZ10&gt;data!$I$9,Registration!$BZ$9,0),IF(CA10&gt;data!$I$9,Registration!$CA$9,0),IF(CB10&gt;data!$I$9,Registration!$CB$9,0),IF(DG10&gt;data!$I$9,Registration!$DG$9,0),IF(DH10&gt;data!$I$9,Registration!$DH$9,0),IF(DI10&gt;data!$I$9,Registration!$DI$9,0),IF(DJ10&gt;data!$I$9,Registration!$DJ$9,0),IF(DK10&gt;data!$I$9,Registration!$DK$9,0),IF(DL10&gt;data!$I$9,Registration!$DL$9,0),IF(DM10&gt;data!$I$9,Registration!$DM$9,0),IF(DN10&gt;data!$I$9,Registration!$DN$9,0),IF(DO10&gt;data!$I$9,Registration!$DO$9,0),IF(DP10&gt;data!$I$9,Registration!$DP$9,0),IF(DQ10&gt;data!$I$9,Registration!$DQ$9,0))</f>
        <v>30</v>
      </c>
      <c r="DU10" s="121">
        <f>DR10+BK10</f>
        <v>54</v>
      </c>
      <c r="DV10" s="121">
        <f>DS10+BL10</f>
        <v>0</v>
      </c>
      <c r="DW10" s="130">
        <f>BM10+DT10</f>
        <v>42</v>
      </c>
      <c r="DX10" s="132" t="str">
        <f>IF(OR(EA10="",GPA!Y10="WAIVED"),GPA!W10,"")</f>
        <v/>
      </c>
      <c r="DY10" s="133" t="str">
        <f>IF(DX10&lt;&gt;"",#REF!,"")</f>
        <v/>
      </c>
      <c r="DZ10" s="17"/>
      <c r="EA10" s="18" t="str">
        <f>GPA!Z10&amp;" "&amp;GPA!AA10</f>
        <v xml:space="preserve">PRE571 </v>
      </c>
      <c r="EB10" s="4"/>
      <c r="EI10" s="23"/>
      <c r="EJ10" s="23"/>
    </row>
    <row r="11" spans="1:140" ht="16.5" thickBot="1" x14ac:dyDescent="0.3">
      <c r="A11" s="12">
        <v>2</v>
      </c>
      <c r="B11" s="16" t="s">
        <v>211</v>
      </c>
      <c r="C11" s="24" t="str">
        <f>D11 &amp; " " &amp; E11</f>
        <v xml:space="preserve"> </v>
      </c>
      <c r="D11" s="25"/>
      <c r="E11" s="20"/>
      <c r="F11" s="19" t="str">
        <f>G11&amp;" "&amp;BN11</f>
        <v xml:space="preserve"> </v>
      </c>
      <c r="G11" s="181"/>
      <c r="H11" s="162"/>
      <c r="I11" s="121"/>
      <c r="J11" s="121"/>
      <c r="K11" s="121"/>
      <c r="L11" s="121"/>
      <c r="M11" s="121"/>
      <c r="N11" s="121"/>
      <c r="O11" s="121"/>
      <c r="P11" s="121"/>
      <c r="Q11" s="121"/>
      <c r="R11" s="121" t="s">
        <v>213</v>
      </c>
      <c r="S11" s="121" t="s">
        <v>213</v>
      </c>
      <c r="T11" s="121" t="s">
        <v>213</v>
      </c>
      <c r="U11" s="121" t="s">
        <v>213</v>
      </c>
      <c r="V11" s="121"/>
      <c r="W11" s="121"/>
      <c r="X11" s="121"/>
      <c r="Y11" s="121"/>
      <c r="Z11" s="121"/>
      <c r="AA11" s="121"/>
      <c r="AB11" s="121"/>
      <c r="AC11" s="121"/>
      <c r="AD11" s="121"/>
      <c r="AE11" s="121"/>
      <c r="AF11" s="121"/>
      <c r="AG11" s="121"/>
      <c r="AH11" s="121"/>
      <c r="AI11" s="121"/>
      <c r="AJ11" s="121"/>
      <c r="AK11" s="121"/>
      <c r="AL11" s="121"/>
      <c r="AM11" s="121"/>
      <c r="AN11" s="121"/>
      <c r="AO11" s="121"/>
      <c r="AP11" s="121"/>
      <c r="AQ11" s="121"/>
      <c r="AR11" s="121"/>
      <c r="AS11" s="121"/>
      <c r="AT11" s="121"/>
      <c r="AU11" s="121"/>
      <c r="AV11" s="121"/>
      <c r="AW11" s="121"/>
      <c r="AX11" s="121"/>
      <c r="AY11" s="121"/>
      <c r="AZ11" s="121"/>
      <c r="BA11" s="121"/>
      <c r="BB11" s="121"/>
      <c r="BC11" s="121"/>
      <c r="BD11" s="121"/>
      <c r="BE11" s="121"/>
      <c r="BF11" s="121"/>
      <c r="BG11" s="121"/>
      <c r="BH11" s="121"/>
      <c r="BI11" s="121"/>
      <c r="BJ11" s="122"/>
      <c r="BK11" s="93"/>
      <c r="BL11" s="91">
        <f>TCP(H11:BJ11,$H$9:$BJ$9,data!$H$8)</f>
        <v>0</v>
      </c>
      <c r="BM11" s="95"/>
      <c r="BN11" s="179"/>
      <c r="BO11" s="177"/>
      <c r="BP11" s="14"/>
      <c r="BQ11" s="14"/>
      <c r="BR11" s="14"/>
      <c r="BS11" s="14"/>
      <c r="BT11" s="14"/>
      <c r="BU11" s="14"/>
      <c r="BV11" s="16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14"/>
      <c r="CX11" s="14"/>
      <c r="CY11" s="14"/>
      <c r="CZ11" s="14"/>
      <c r="DA11" s="14"/>
      <c r="DB11" s="14"/>
      <c r="DC11" s="14"/>
      <c r="DD11" s="14"/>
      <c r="DE11" s="14"/>
      <c r="DF11" s="14"/>
      <c r="DG11" s="14"/>
      <c r="DH11" s="14"/>
      <c r="DI11" s="14"/>
      <c r="DJ11" s="14"/>
      <c r="DK11" s="14"/>
      <c r="DL11" s="14"/>
      <c r="DM11" s="14"/>
      <c r="DN11" s="14"/>
      <c r="DO11" s="14"/>
      <c r="DP11" s="26"/>
      <c r="DQ11" s="27"/>
      <c r="DR11" s="129"/>
      <c r="DS11" s="130">
        <f>TCP(BO11:DQ11,$BO$9:$DQ$9,data!$H$8)</f>
        <v>0</v>
      </c>
      <c r="DT11" s="135">
        <f>(IF(BO10&gt;data!$I$9,Registration!$BO$9,0)+IF(BP10&gt;data!$I$9,Registration!$BP$9,0)+IF(BQ10&gt;data!$I$9,Registration!$BQ$9,0)+IF(BR10&gt;data!$I$9,Registration!$BR$9,0)+IF(BS10&gt;data!$I$9,Registration!$BS$9,0)+IF(BT10&gt;data!$I$9,Registration!$BT$9,0)+IF(BU10&gt;data!$I$9,Registration!$BU$9,0)+IF(BV10&gt;data!$I$9,Registration!$BV$9,0)+IF(BW10&gt;data!$I$9,Registration!$BW$9,0)+IF(BX10&gt;data!$I$9,Registration!$BX$9,0)+IF(BY10&gt;data!$I$9,Registration!$BY$9,0)+IF(BZ10&gt;data!$I$9,Registration!$BZ$9,0)+IF(CA10&gt;data!$I$9,Registration!$CA$9,0)+IF(CB10&gt;data!$I$9,Registration!$CB$9,0)+IF(DG10&gt;data!$I$9,Registration!$DG$9,0)+IF(DH10&gt;data!$I$9,Registration!$DH$9,0)+IF(DI10&gt;data!$I$9,Registration!$DI$9,0)+IF(DJ10&gt;data!$I$9,Registration!$DJ$9,0)+IF(DK10&gt;data!$I$9,Registration!$DK$9,0)+IF(DL10&gt;data!$I$9,Registration!$DL$9,0)+IF(DM10&gt;data!$I$9,Registration!$DM$9,0)+IF(DN10&gt;data!$I$9,Registration!$DN$9,0)+IF(DO10&gt;data!$I$9,Registration!$DO$9,0)+IF(DP10&gt;data!$I$9,Registration!$DP$9,0)+IF(DQ10&gt;data!$I$9,Registration!$DQ$9,0))</f>
        <v>30</v>
      </c>
      <c r="DU11" s="121"/>
      <c r="DV11" s="121"/>
      <c r="DW11" s="134"/>
      <c r="DX11" s="132"/>
      <c r="DY11" s="136"/>
      <c r="DZ11" s="21"/>
      <c r="EA11" s="18"/>
      <c r="EB11" s="4"/>
      <c r="EI11" s="23"/>
      <c r="EJ11" s="23"/>
    </row>
    <row r="12" spans="1:140" ht="15.75" x14ac:dyDescent="0.25">
      <c r="A12" s="12">
        <v>3</v>
      </c>
      <c r="B12" s="16" t="s">
        <v>212</v>
      </c>
      <c r="C12" s="24" t="str">
        <f t="shared" ref="C12:C75" si="0">D12 &amp; " " &amp; E12</f>
        <v xml:space="preserve"> </v>
      </c>
      <c r="D12" s="25"/>
      <c r="E12" s="20"/>
      <c r="F12" s="19" t="str">
        <f t="shared" ref="F12:F174" si="1">G12&amp;" "&amp;BN12</f>
        <v xml:space="preserve"> </v>
      </c>
      <c r="G12" s="180"/>
      <c r="H12" s="120" t="s">
        <v>213</v>
      </c>
      <c r="I12" s="121" t="s">
        <v>213</v>
      </c>
      <c r="J12" s="121" t="s">
        <v>213</v>
      </c>
      <c r="K12" s="121" t="s">
        <v>213</v>
      </c>
      <c r="L12" s="121" t="s">
        <v>213</v>
      </c>
      <c r="M12" s="121" t="s">
        <v>213</v>
      </c>
      <c r="N12" s="121" t="s">
        <v>213</v>
      </c>
      <c r="O12" s="121" t="s">
        <v>213</v>
      </c>
      <c r="P12" s="121"/>
      <c r="Q12" s="121"/>
      <c r="R12" s="121" t="s">
        <v>213</v>
      </c>
      <c r="S12" s="121" t="s">
        <v>213</v>
      </c>
      <c r="T12" s="121" t="s">
        <v>213</v>
      </c>
      <c r="U12" s="121" t="s">
        <v>213</v>
      </c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121"/>
      <c r="BE12" s="121"/>
      <c r="BF12" s="121"/>
      <c r="BG12" s="121"/>
      <c r="BH12" s="121"/>
      <c r="BI12" s="121"/>
      <c r="BJ12" s="122"/>
      <c r="BK12" s="93"/>
      <c r="BL12" s="91">
        <f>TCP(H12:BJ12,$H$9:$BJ$9,data!$H$8)</f>
        <v>0</v>
      </c>
      <c r="BM12" s="95"/>
      <c r="BN12" s="179"/>
      <c r="BO12" s="177"/>
      <c r="BP12" s="14"/>
      <c r="BQ12" s="14"/>
      <c r="BR12" s="14"/>
      <c r="BS12" s="14"/>
      <c r="BT12" s="14"/>
      <c r="BU12" s="14"/>
      <c r="BV12" s="16"/>
      <c r="BW12" s="14"/>
      <c r="BX12" s="14"/>
      <c r="BY12" s="14"/>
      <c r="BZ12" s="14"/>
      <c r="CA12" s="14"/>
      <c r="CB12" s="14"/>
      <c r="CC12" s="14"/>
      <c r="CD12" s="14"/>
      <c r="CE12" s="14"/>
      <c r="CF12" s="14"/>
      <c r="CG12" s="14"/>
      <c r="CH12" s="14"/>
      <c r="CI12" s="14"/>
      <c r="CJ12" s="14"/>
      <c r="CK12" s="14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14"/>
      <c r="CW12" s="14"/>
      <c r="CX12" s="14"/>
      <c r="CY12" s="14"/>
      <c r="CZ12" s="14"/>
      <c r="DA12" s="14"/>
      <c r="DB12" s="14"/>
      <c r="DC12" s="14"/>
      <c r="DD12" s="14"/>
      <c r="DE12" s="14"/>
      <c r="DF12" s="14"/>
      <c r="DG12" s="14"/>
      <c r="DH12" s="14"/>
      <c r="DI12" s="14"/>
      <c r="DJ12" s="14"/>
      <c r="DK12" s="14"/>
      <c r="DL12" s="14"/>
      <c r="DM12" s="14"/>
      <c r="DN12" s="14"/>
      <c r="DO12" s="14"/>
      <c r="DP12" s="26"/>
      <c r="DQ12" s="27"/>
      <c r="DR12" s="129"/>
      <c r="DS12" s="130">
        <f>TCP(BO12:DQ12,$BO$9:$DQ$9,data!$H$8)</f>
        <v>0</v>
      </c>
      <c r="DT12" s="135"/>
      <c r="DU12" s="121"/>
      <c r="DV12" s="121"/>
      <c r="DW12" s="134"/>
      <c r="DX12" s="132"/>
      <c r="DY12" s="136"/>
      <c r="DZ12" s="21"/>
      <c r="EA12" s="18"/>
      <c r="EB12" s="4"/>
      <c r="EI12" s="23"/>
      <c r="EJ12" s="23"/>
    </row>
    <row r="13" spans="1:140" ht="15.75" x14ac:dyDescent="0.25">
      <c r="A13" s="12">
        <v>4</v>
      </c>
      <c r="B13" s="16"/>
      <c r="C13" s="24" t="str">
        <f t="shared" si="0"/>
        <v xml:space="preserve"> </v>
      </c>
      <c r="D13" s="25"/>
      <c r="E13" s="20"/>
      <c r="F13" s="19" t="str">
        <f t="shared" si="1"/>
        <v xml:space="preserve"> </v>
      </c>
      <c r="G13" s="180"/>
      <c r="H13" s="120" t="s">
        <v>213</v>
      </c>
      <c r="I13" s="121" t="s">
        <v>213</v>
      </c>
      <c r="J13" s="121" t="s">
        <v>213</v>
      </c>
      <c r="K13" s="121" t="s">
        <v>213</v>
      </c>
      <c r="L13" s="121" t="s">
        <v>213</v>
      </c>
      <c r="M13" s="121" t="s">
        <v>213</v>
      </c>
      <c r="N13" s="121" t="s">
        <v>213</v>
      </c>
      <c r="O13" s="121" t="s">
        <v>213</v>
      </c>
      <c r="P13" s="121"/>
      <c r="Q13" s="121"/>
      <c r="R13" s="121"/>
      <c r="S13" s="121"/>
      <c r="T13" s="121"/>
      <c r="U13" s="121"/>
      <c r="V13" s="121"/>
      <c r="W13" s="121"/>
      <c r="X13" s="121"/>
      <c r="Y13" s="121"/>
      <c r="Z13" s="121"/>
      <c r="AA13" s="121"/>
      <c r="AB13" s="121"/>
      <c r="AC13" s="121"/>
      <c r="AD13" s="121"/>
      <c r="AE13" s="121"/>
      <c r="AF13" s="121"/>
      <c r="AG13" s="121"/>
      <c r="AH13" s="121"/>
      <c r="AI13" s="121"/>
      <c r="AJ13" s="121"/>
      <c r="AK13" s="121"/>
      <c r="AL13" s="121"/>
      <c r="AM13" s="121"/>
      <c r="AN13" s="121"/>
      <c r="AO13" s="121"/>
      <c r="AP13" s="121"/>
      <c r="AQ13" s="121"/>
      <c r="AR13" s="121"/>
      <c r="AS13" s="121"/>
      <c r="AT13" s="121"/>
      <c r="AU13" s="121"/>
      <c r="AV13" s="121"/>
      <c r="AW13" s="121"/>
      <c r="AX13" s="121"/>
      <c r="AY13" s="121"/>
      <c r="AZ13" s="121"/>
      <c r="BA13" s="121"/>
      <c r="BB13" s="121"/>
      <c r="BC13" s="121"/>
      <c r="BD13" s="121"/>
      <c r="BE13" s="121"/>
      <c r="BF13" s="121"/>
      <c r="BG13" s="121"/>
      <c r="BH13" s="121"/>
      <c r="BI13" s="121"/>
      <c r="BJ13" s="122"/>
      <c r="BK13" s="93"/>
      <c r="BL13" s="94"/>
      <c r="BM13" s="95"/>
      <c r="BN13" s="179"/>
      <c r="BO13" s="177"/>
      <c r="BP13" s="14"/>
      <c r="BQ13" s="14"/>
      <c r="BR13" s="14"/>
      <c r="BS13" s="14"/>
      <c r="BT13" s="14"/>
      <c r="BU13" s="14"/>
      <c r="BV13" s="16"/>
      <c r="BW13" s="14"/>
      <c r="BX13" s="14"/>
      <c r="BY13" s="14"/>
      <c r="BZ13" s="14"/>
      <c r="CA13" s="14"/>
      <c r="CB13" s="14"/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14"/>
      <c r="CX13" s="14"/>
      <c r="CY13" s="14"/>
      <c r="CZ13" s="14"/>
      <c r="DA13" s="14"/>
      <c r="DB13" s="14"/>
      <c r="DC13" s="14"/>
      <c r="DD13" s="14"/>
      <c r="DE13" s="14"/>
      <c r="DF13" s="14"/>
      <c r="DG13" s="14"/>
      <c r="DH13" s="14"/>
      <c r="DI13" s="14"/>
      <c r="DJ13" s="14"/>
      <c r="DK13" s="14"/>
      <c r="DL13" s="14"/>
      <c r="DM13" s="14"/>
      <c r="DN13" s="14"/>
      <c r="DO13" s="14"/>
      <c r="DP13" s="26"/>
      <c r="DQ13" s="27"/>
      <c r="DR13" s="129"/>
      <c r="DS13" s="130">
        <f>TCP(BO13:DQ13,$BO$9:$DQ$9,data!$H$8)</f>
        <v>0</v>
      </c>
      <c r="DT13" s="135"/>
      <c r="DU13" s="121"/>
      <c r="DV13" s="121"/>
      <c r="DW13" s="134"/>
      <c r="DX13" s="132"/>
      <c r="DY13" s="136"/>
      <c r="DZ13" s="21"/>
      <c r="EA13" s="18"/>
      <c r="EB13" s="4"/>
      <c r="EI13" s="23"/>
      <c r="EJ13" s="23"/>
    </row>
    <row r="14" spans="1:140" ht="15.75" x14ac:dyDescent="0.25">
      <c r="A14" s="12"/>
      <c r="B14" s="16"/>
      <c r="C14" s="24" t="str">
        <f t="shared" si="0"/>
        <v xml:space="preserve"> </v>
      </c>
      <c r="D14" s="25"/>
      <c r="E14" s="20"/>
      <c r="F14" s="19" t="str">
        <f t="shared" si="1"/>
        <v xml:space="preserve"> </v>
      </c>
      <c r="G14" s="180"/>
      <c r="H14" s="120" t="s">
        <v>213</v>
      </c>
      <c r="I14" s="121" t="s">
        <v>213</v>
      </c>
      <c r="J14" s="121" t="s">
        <v>213</v>
      </c>
      <c r="K14" s="121" t="s">
        <v>213</v>
      </c>
      <c r="L14" s="121" t="s">
        <v>213</v>
      </c>
      <c r="M14" s="121" t="s">
        <v>213</v>
      </c>
      <c r="N14" s="121" t="s">
        <v>213</v>
      </c>
      <c r="O14" s="121" t="s">
        <v>213</v>
      </c>
      <c r="P14" s="121"/>
      <c r="Q14" s="121"/>
      <c r="R14" s="121"/>
      <c r="S14" s="121"/>
      <c r="T14" s="121"/>
      <c r="U14" s="121"/>
      <c r="V14" s="121"/>
      <c r="W14" s="121"/>
      <c r="X14" s="121"/>
      <c r="Y14" s="121"/>
      <c r="Z14" s="121"/>
      <c r="AA14" s="121"/>
      <c r="AB14" s="121"/>
      <c r="AC14" s="121"/>
      <c r="AD14" s="121"/>
      <c r="AE14" s="121"/>
      <c r="AF14" s="121"/>
      <c r="AG14" s="121"/>
      <c r="AH14" s="121"/>
      <c r="AI14" s="121"/>
      <c r="AJ14" s="121"/>
      <c r="AK14" s="121"/>
      <c r="AL14" s="121"/>
      <c r="AM14" s="121"/>
      <c r="AN14" s="121"/>
      <c r="AO14" s="121"/>
      <c r="AP14" s="121"/>
      <c r="AQ14" s="121"/>
      <c r="AR14" s="121"/>
      <c r="AS14" s="121"/>
      <c r="AT14" s="121"/>
      <c r="AU14" s="121"/>
      <c r="AV14" s="121"/>
      <c r="AW14" s="121"/>
      <c r="AX14" s="121"/>
      <c r="AY14" s="121"/>
      <c r="AZ14" s="121"/>
      <c r="BA14" s="121"/>
      <c r="BB14" s="121"/>
      <c r="BC14" s="121"/>
      <c r="BD14" s="121"/>
      <c r="BE14" s="121"/>
      <c r="BF14" s="121"/>
      <c r="BG14" s="121"/>
      <c r="BH14" s="121"/>
      <c r="BI14" s="121"/>
      <c r="BJ14" s="122"/>
      <c r="BK14" s="93"/>
      <c r="BL14" s="94"/>
      <c r="BM14" s="95"/>
      <c r="BN14" s="179"/>
      <c r="BO14" s="177"/>
      <c r="BP14" s="14"/>
      <c r="BQ14" s="14"/>
      <c r="BR14" s="14"/>
      <c r="BS14" s="14"/>
      <c r="BT14" s="14"/>
      <c r="BU14" s="14"/>
      <c r="BV14" s="16"/>
      <c r="BW14" s="14"/>
      <c r="BX14" s="14"/>
      <c r="BY14" s="14"/>
      <c r="BZ14" s="14"/>
      <c r="CA14" s="14"/>
      <c r="CB14" s="14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14"/>
      <c r="CX14" s="14"/>
      <c r="CY14" s="14"/>
      <c r="CZ14" s="14"/>
      <c r="DA14" s="14"/>
      <c r="DB14" s="14"/>
      <c r="DC14" s="14"/>
      <c r="DD14" s="14"/>
      <c r="DE14" s="14"/>
      <c r="DF14" s="14"/>
      <c r="DG14" s="14"/>
      <c r="DH14" s="14"/>
      <c r="DI14" s="14"/>
      <c r="DJ14" s="14"/>
      <c r="DK14" s="14"/>
      <c r="DL14" s="14"/>
      <c r="DM14" s="14"/>
      <c r="DN14" s="14"/>
      <c r="DO14" s="14"/>
      <c r="DP14" s="26"/>
      <c r="DQ14" s="27"/>
      <c r="DR14" s="129"/>
      <c r="DS14" s="130">
        <f>TCP(BO14:DQ14,$BO$9:$DQ$9,data!$H$8)</f>
        <v>0</v>
      </c>
      <c r="DT14" s="135"/>
      <c r="DU14" s="121"/>
      <c r="DV14" s="121"/>
      <c r="DW14" s="134"/>
      <c r="DX14" s="132"/>
      <c r="DY14" s="136"/>
      <c r="DZ14" s="21"/>
      <c r="EA14" s="18"/>
      <c r="EB14" s="4"/>
      <c r="EI14" s="23"/>
      <c r="EJ14" s="23"/>
    </row>
    <row r="15" spans="1:140" ht="15.75" x14ac:dyDescent="0.25">
      <c r="A15" s="12"/>
      <c r="B15" s="16"/>
      <c r="C15" s="24" t="str">
        <f t="shared" si="0"/>
        <v xml:space="preserve"> </v>
      </c>
      <c r="D15" s="25"/>
      <c r="E15" s="20"/>
      <c r="F15" s="19" t="str">
        <f t="shared" si="1"/>
        <v xml:space="preserve"> </v>
      </c>
      <c r="G15" s="180"/>
      <c r="H15" s="120" t="s">
        <v>213</v>
      </c>
      <c r="I15" s="121" t="s">
        <v>213</v>
      </c>
      <c r="J15" s="121" t="s">
        <v>213</v>
      </c>
      <c r="K15" s="121" t="s">
        <v>213</v>
      </c>
      <c r="L15" s="121" t="s">
        <v>213</v>
      </c>
      <c r="M15" s="121" t="s">
        <v>213</v>
      </c>
      <c r="N15" s="121" t="s">
        <v>213</v>
      </c>
      <c r="O15" s="121" t="s">
        <v>213</v>
      </c>
      <c r="P15" s="121"/>
      <c r="Q15" s="121"/>
      <c r="R15" s="121"/>
      <c r="S15" s="121"/>
      <c r="T15" s="121"/>
      <c r="U15" s="121"/>
      <c r="V15" s="121"/>
      <c r="W15" s="121"/>
      <c r="X15" s="121"/>
      <c r="Y15" s="121"/>
      <c r="Z15" s="121"/>
      <c r="AA15" s="121"/>
      <c r="AB15" s="121"/>
      <c r="AC15" s="121"/>
      <c r="AD15" s="121"/>
      <c r="AE15" s="121"/>
      <c r="AF15" s="121"/>
      <c r="AG15" s="121"/>
      <c r="AH15" s="121"/>
      <c r="AI15" s="121"/>
      <c r="AJ15" s="121"/>
      <c r="AK15" s="121"/>
      <c r="AL15" s="121"/>
      <c r="AM15" s="121"/>
      <c r="AN15" s="121"/>
      <c r="AO15" s="121"/>
      <c r="AP15" s="121"/>
      <c r="AQ15" s="121"/>
      <c r="AR15" s="121"/>
      <c r="AS15" s="121"/>
      <c r="AT15" s="121"/>
      <c r="AU15" s="121"/>
      <c r="AV15" s="121"/>
      <c r="AW15" s="121"/>
      <c r="AX15" s="121"/>
      <c r="AY15" s="121"/>
      <c r="AZ15" s="121"/>
      <c r="BA15" s="121"/>
      <c r="BB15" s="121"/>
      <c r="BC15" s="121"/>
      <c r="BD15" s="121"/>
      <c r="BE15" s="121"/>
      <c r="BF15" s="121"/>
      <c r="BG15" s="121"/>
      <c r="BH15" s="121"/>
      <c r="BI15" s="121"/>
      <c r="BJ15" s="122"/>
      <c r="BK15" s="93"/>
      <c r="BL15" s="94"/>
      <c r="BM15" s="95"/>
      <c r="BN15" s="179"/>
      <c r="BO15" s="177"/>
      <c r="BP15" s="14"/>
      <c r="BQ15" s="14"/>
      <c r="BR15" s="14"/>
      <c r="BS15" s="14"/>
      <c r="BT15" s="14"/>
      <c r="BU15" s="14"/>
      <c r="BV15" s="16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26"/>
      <c r="DQ15" s="27"/>
      <c r="DR15" s="129"/>
      <c r="DS15" s="130">
        <f>TCP(BO15:DQ15,$BO$9:$DQ$9,data!$H$8)</f>
        <v>0</v>
      </c>
      <c r="DT15" s="135"/>
      <c r="DU15" s="121"/>
      <c r="DV15" s="121"/>
      <c r="DW15" s="134"/>
      <c r="DX15" s="132"/>
      <c r="DY15" s="136"/>
      <c r="DZ15" s="21"/>
      <c r="EA15" s="18"/>
      <c r="EB15" s="4"/>
      <c r="EI15" s="23"/>
      <c r="EJ15" s="23"/>
    </row>
    <row r="16" spans="1:140" ht="15.75" x14ac:dyDescent="0.25">
      <c r="A16" s="12"/>
      <c r="B16" s="16"/>
      <c r="C16" s="24" t="str">
        <f t="shared" si="0"/>
        <v xml:space="preserve"> </v>
      </c>
      <c r="D16" s="25"/>
      <c r="E16" s="20"/>
      <c r="F16" s="19" t="str">
        <f t="shared" si="1"/>
        <v xml:space="preserve"> </v>
      </c>
      <c r="G16" s="180"/>
      <c r="H16" s="120" t="s">
        <v>213</v>
      </c>
      <c r="I16" s="121" t="s">
        <v>213</v>
      </c>
      <c r="J16" s="121" t="s">
        <v>213</v>
      </c>
      <c r="K16" s="121" t="s">
        <v>213</v>
      </c>
      <c r="L16" s="121" t="s">
        <v>213</v>
      </c>
      <c r="M16" s="121" t="s">
        <v>213</v>
      </c>
      <c r="N16" s="121" t="s">
        <v>213</v>
      </c>
      <c r="O16" s="121" t="s">
        <v>213</v>
      </c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1"/>
      <c r="AM16" s="121"/>
      <c r="AN16" s="121"/>
      <c r="AO16" s="121"/>
      <c r="AP16" s="121"/>
      <c r="AQ16" s="121"/>
      <c r="AR16" s="121"/>
      <c r="AS16" s="121"/>
      <c r="AT16" s="121"/>
      <c r="AU16" s="121"/>
      <c r="AV16" s="121"/>
      <c r="AW16" s="121"/>
      <c r="AX16" s="121"/>
      <c r="AY16" s="121"/>
      <c r="AZ16" s="121"/>
      <c r="BA16" s="121"/>
      <c r="BB16" s="121"/>
      <c r="BC16" s="121"/>
      <c r="BD16" s="121"/>
      <c r="BE16" s="121"/>
      <c r="BF16" s="121"/>
      <c r="BG16" s="121"/>
      <c r="BH16" s="121"/>
      <c r="BI16" s="121"/>
      <c r="BJ16" s="122"/>
      <c r="BK16" s="93"/>
      <c r="BL16" s="94"/>
      <c r="BM16" s="95"/>
      <c r="BN16" s="179"/>
      <c r="BO16" s="177"/>
      <c r="BP16" s="14"/>
      <c r="BQ16" s="14"/>
      <c r="BR16" s="14"/>
      <c r="BS16" s="14"/>
      <c r="BT16" s="14"/>
      <c r="BU16" s="14"/>
      <c r="BV16" s="16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26"/>
      <c r="DQ16" s="27"/>
      <c r="DR16" s="129"/>
      <c r="DS16" s="130">
        <f>TCP(BO16:DQ16,$BO$9:$DQ$9,data!$H$8)</f>
        <v>0</v>
      </c>
      <c r="DT16" s="135"/>
      <c r="DU16" s="121"/>
      <c r="DV16" s="121"/>
      <c r="DW16" s="134"/>
      <c r="DX16" s="132"/>
      <c r="DY16" s="136"/>
      <c r="DZ16" s="21"/>
      <c r="EA16" s="18"/>
      <c r="EB16" s="4"/>
      <c r="EI16" s="23"/>
      <c r="EJ16" s="23"/>
    </row>
    <row r="17" spans="1:140" ht="15.75" x14ac:dyDescent="0.25">
      <c r="A17" s="12"/>
      <c r="B17" s="16"/>
      <c r="C17" s="24" t="str">
        <f t="shared" si="0"/>
        <v xml:space="preserve"> </v>
      </c>
      <c r="D17" s="25"/>
      <c r="E17" s="20"/>
      <c r="F17" s="19" t="str">
        <f t="shared" si="1"/>
        <v xml:space="preserve"> </v>
      </c>
      <c r="G17" s="180"/>
      <c r="H17" s="120" t="s">
        <v>213</v>
      </c>
      <c r="I17" s="121" t="s">
        <v>213</v>
      </c>
      <c r="J17" s="121" t="s">
        <v>213</v>
      </c>
      <c r="K17" s="121" t="s">
        <v>213</v>
      </c>
      <c r="L17" s="121" t="s">
        <v>213</v>
      </c>
      <c r="M17" s="121" t="s">
        <v>213</v>
      </c>
      <c r="N17" s="121" t="s">
        <v>213</v>
      </c>
      <c r="O17" s="121" t="s">
        <v>213</v>
      </c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  <c r="AI17" s="121"/>
      <c r="AJ17" s="121"/>
      <c r="AK17" s="121"/>
      <c r="AL17" s="121"/>
      <c r="AM17" s="121"/>
      <c r="AN17" s="121"/>
      <c r="AO17" s="121"/>
      <c r="AP17" s="121"/>
      <c r="AQ17" s="121"/>
      <c r="AR17" s="121"/>
      <c r="AS17" s="121"/>
      <c r="AT17" s="121"/>
      <c r="AU17" s="121"/>
      <c r="AV17" s="121"/>
      <c r="AW17" s="121"/>
      <c r="AX17" s="121"/>
      <c r="AY17" s="121"/>
      <c r="AZ17" s="121"/>
      <c r="BA17" s="121"/>
      <c r="BB17" s="121"/>
      <c r="BC17" s="121"/>
      <c r="BD17" s="121"/>
      <c r="BE17" s="121"/>
      <c r="BF17" s="121"/>
      <c r="BG17" s="121"/>
      <c r="BH17" s="121"/>
      <c r="BI17" s="121"/>
      <c r="BJ17" s="122"/>
      <c r="BK17" s="93"/>
      <c r="BL17" s="94"/>
      <c r="BM17" s="95"/>
      <c r="BN17" s="179"/>
      <c r="BO17" s="177"/>
      <c r="BP17" s="14"/>
      <c r="BQ17" s="14"/>
      <c r="BR17" s="14"/>
      <c r="BS17" s="14"/>
      <c r="BT17" s="14"/>
      <c r="BU17" s="14"/>
      <c r="BV17" s="16"/>
      <c r="BW17" s="14"/>
      <c r="BX17" s="14"/>
      <c r="BY17" s="14"/>
      <c r="BZ17" s="14"/>
      <c r="CA17" s="14"/>
      <c r="CB17" s="14"/>
      <c r="CC17" s="14"/>
      <c r="CD17" s="14"/>
      <c r="CE17" s="14"/>
      <c r="CF17" s="14"/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14"/>
      <c r="CW17" s="14"/>
      <c r="CX17" s="14"/>
      <c r="CY17" s="14"/>
      <c r="CZ17" s="14"/>
      <c r="DA17" s="14"/>
      <c r="DB17" s="14"/>
      <c r="DC17" s="14"/>
      <c r="DD17" s="14"/>
      <c r="DE17" s="14"/>
      <c r="DF17" s="14"/>
      <c r="DG17" s="14"/>
      <c r="DH17" s="14"/>
      <c r="DI17" s="14"/>
      <c r="DJ17" s="14"/>
      <c r="DK17" s="14"/>
      <c r="DL17" s="14"/>
      <c r="DM17" s="14"/>
      <c r="DN17" s="14"/>
      <c r="DO17" s="14"/>
      <c r="DP17" s="26"/>
      <c r="DQ17" s="27"/>
      <c r="DR17" s="129"/>
      <c r="DS17" s="130">
        <f>TCP(BO17:DQ17,$BO$9:$DQ$9,data!$H$8)</f>
        <v>0</v>
      </c>
      <c r="DT17" s="135"/>
      <c r="DU17" s="121"/>
      <c r="DV17" s="121"/>
      <c r="DW17" s="134"/>
      <c r="DX17" s="132"/>
      <c r="DY17" s="136"/>
      <c r="DZ17" s="21"/>
      <c r="EA17" s="18"/>
      <c r="EB17" s="4"/>
      <c r="EI17" s="23"/>
      <c r="EJ17" s="23"/>
    </row>
    <row r="18" spans="1:140" ht="15.75" x14ac:dyDescent="0.25">
      <c r="A18" s="12"/>
      <c r="B18" s="16"/>
      <c r="C18" s="24" t="str">
        <f t="shared" si="0"/>
        <v xml:space="preserve"> </v>
      </c>
      <c r="D18" s="25"/>
      <c r="E18" s="20"/>
      <c r="F18" s="19" t="str">
        <f t="shared" si="1"/>
        <v xml:space="preserve"> </v>
      </c>
      <c r="G18" s="180"/>
      <c r="H18" s="120" t="s">
        <v>213</v>
      </c>
      <c r="I18" s="121" t="s">
        <v>213</v>
      </c>
      <c r="J18" s="121" t="s">
        <v>213</v>
      </c>
      <c r="K18" s="121" t="s">
        <v>213</v>
      </c>
      <c r="L18" s="121" t="s">
        <v>213</v>
      </c>
      <c r="M18" s="121" t="s">
        <v>213</v>
      </c>
      <c r="N18" s="121" t="s">
        <v>213</v>
      </c>
      <c r="O18" s="121" t="s">
        <v>213</v>
      </c>
      <c r="P18" s="121"/>
      <c r="Q18" s="121"/>
      <c r="R18" s="121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  <c r="AI18" s="121"/>
      <c r="AJ18" s="121"/>
      <c r="AK18" s="121"/>
      <c r="AL18" s="121"/>
      <c r="AM18" s="121"/>
      <c r="AN18" s="121"/>
      <c r="AO18" s="121"/>
      <c r="AP18" s="121"/>
      <c r="AQ18" s="121"/>
      <c r="AR18" s="121"/>
      <c r="AS18" s="121"/>
      <c r="AT18" s="121"/>
      <c r="AU18" s="121"/>
      <c r="AV18" s="121"/>
      <c r="AW18" s="121"/>
      <c r="AX18" s="121"/>
      <c r="AY18" s="121"/>
      <c r="AZ18" s="121"/>
      <c r="BA18" s="121"/>
      <c r="BB18" s="121"/>
      <c r="BC18" s="121"/>
      <c r="BD18" s="121"/>
      <c r="BE18" s="121"/>
      <c r="BF18" s="121"/>
      <c r="BG18" s="121"/>
      <c r="BH18" s="121"/>
      <c r="BI18" s="121"/>
      <c r="BJ18" s="122"/>
      <c r="BK18" s="93"/>
      <c r="BL18" s="94"/>
      <c r="BM18" s="95"/>
      <c r="BN18" s="179"/>
      <c r="BO18" s="177"/>
      <c r="BP18" s="14"/>
      <c r="BQ18" s="14"/>
      <c r="BR18" s="14"/>
      <c r="BS18" s="14"/>
      <c r="BT18" s="14"/>
      <c r="BU18" s="14"/>
      <c r="BV18" s="16"/>
      <c r="BW18" s="14"/>
      <c r="BX18" s="14"/>
      <c r="BY18" s="14"/>
      <c r="BZ18" s="14"/>
      <c r="CA18" s="14"/>
      <c r="CB18" s="14"/>
      <c r="CC18" s="14"/>
      <c r="CD18" s="14"/>
      <c r="CE18" s="14"/>
      <c r="CF18" s="14"/>
      <c r="CG18" s="14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14"/>
      <c r="CS18" s="14"/>
      <c r="CT18" s="14"/>
      <c r="CU18" s="14"/>
      <c r="CV18" s="14"/>
      <c r="CW18" s="14"/>
      <c r="CX18" s="14"/>
      <c r="CY18" s="14"/>
      <c r="CZ18" s="14"/>
      <c r="DA18" s="14"/>
      <c r="DB18" s="14"/>
      <c r="DC18" s="14"/>
      <c r="DD18" s="14"/>
      <c r="DE18" s="14"/>
      <c r="DF18" s="14"/>
      <c r="DG18" s="14"/>
      <c r="DH18" s="14"/>
      <c r="DI18" s="14"/>
      <c r="DJ18" s="14"/>
      <c r="DK18" s="14"/>
      <c r="DL18" s="14"/>
      <c r="DM18" s="14"/>
      <c r="DN18" s="14"/>
      <c r="DO18" s="14"/>
      <c r="DP18" s="26"/>
      <c r="DQ18" s="27"/>
      <c r="DR18" s="129"/>
      <c r="DS18" s="130">
        <f>TCP(BO18:DQ18,$BO$9:$DQ$9,data!$H$8)</f>
        <v>0</v>
      </c>
      <c r="DT18" s="135"/>
      <c r="DU18" s="121"/>
      <c r="DV18" s="121"/>
      <c r="DW18" s="134"/>
      <c r="DX18" s="132"/>
      <c r="DY18" s="136"/>
      <c r="DZ18" s="21"/>
      <c r="EA18" s="18"/>
      <c r="EB18" s="4"/>
      <c r="EI18" s="23"/>
      <c r="EJ18" s="23"/>
    </row>
    <row r="19" spans="1:140" ht="15.75" x14ac:dyDescent="0.25">
      <c r="A19" s="12"/>
      <c r="B19" s="16"/>
      <c r="C19" s="24" t="str">
        <f t="shared" si="0"/>
        <v xml:space="preserve"> </v>
      </c>
      <c r="D19" s="25"/>
      <c r="E19" s="20"/>
      <c r="F19" s="19" t="str">
        <f t="shared" si="1"/>
        <v xml:space="preserve"> </v>
      </c>
      <c r="G19" s="180"/>
      <c r="H19" s="120" t="s">
        <v>213</v>
      </c>
      <c r="I19" s="121" t="s">
        <v>213</v>
      </c>
      <c r="J19" s="121" t="s">
        <v>213</v>
      </c>
      <c r="K19" s="121" t="s">
        <v>213</v>
      </c>
      <c r="L19" s="121" t="s">
        <v>213</v>
      </c>
      <c r="M19" s="121" t="s">
        <v>213</v>
      </c>
      <c r="N19" s="121" t="s">
        <v>213</v>
      </c>
      <c r="O19" s="121" t="s">
        <v>213</v>
      </c>
      <c r="P19" s="121"/>
      <c r="Q19" s="121"/>
      <c r="R19" s="121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1"/>
      <c r="AM19" s="121"/>
      <c r="AN19" s="121"/>
      <c r="AO19" s="121"/>
      <c r="AP19" s="121"/>
      <c r="AQ19" s="121"/>
      <c r="AR19" s="121"/>
      <c r="AS19" s="121"/>
      <c r="AT19" s="121"/>
      <c r="AU19" s="121"/>
      <c r="AV19" s="121"/>
      <c r="AW19" s="121"/>
      <c r="AX19" s="121"/>
      <c r="AY19" s="121"/>
      <c r="AZ19" s="121"/>
      <c r="BA19" s="121"/>
      <c r="BB19" s="121"/>
      <c r="BC19" s="121"/>
      <c r="BD19" s="121"/>
      <c r="BE19" s="121"/>
      <c r="BF19" s="121"/>
      <c r="BG19" s="121"/>
      <c r="BH19" s="121"/>
      <c r="BI19" s="121"/>
      <c r="BJ19" s="122"/>
      <c r="BK19" s="93"/>
      <c r="BL19" s="94"/>
      <c r="BM19" s="95"/>
      <c r="BN19" s="179"/>
      <c r="BO19" s="177"/>
      <c r="BP19" s="14"/>
      <c r="BQ19" s="14"/>
      <c r="BR19" s="14"/>
      <c r="BS19" s="14"/>
      <c r="BT19" s="14"/>
      <c r="BU19" s="14"/>
      <c r="BV19" s="16"/>
      <c r="BW19" s="14"/>
      <c r="BX19" s="14"/>
      <c r="BY19" s="14"/>
      <c r="BZ19" s="14"/>
      <c r="CA19" s="14"/>
      <c r="CB19" s="14"/>
      <c r="CC19" s="14"/>
      <c r="CD19" s="14"/>
      <c r="CE19" s="14"/>
      <c r="CF19" s="14"/>
      <c r="CG19" s="14"/>
      <c r="CH19" s="14"/>
      <c r="CI19" s="14"/>
      <c r="CJ19" s="14"/>
      <c r="CK19" s="14"/>
      <c r="CL19" s="14"/>
      <c r="CM19" s="14"/>
      <c r="CN19" s="14"/>
      <c r="CO19" s="14"/>
      <c r="CP19" s="14"/>
      <c r="CQ19" s="14"/>
      <c r="CR19" s="14"/>
      <c r="CS19" s="14"/>
      <c r="CT19" s="14"/>
      <c r="CU19" s="14"/>
      <c r="CV19" s="14"/>
      <c r="CW19" s="14"/>
      <c r="CX19" s="14"/>
      <c r="CY19" s="14"/>
      <c r="CZ19" s="14"/>
      <c r="DA19" s="14"/>
      <c r="DB19" s="14"/>
      <c r="DC19" s="14"/>
      <c r="DD19" s="14"/>
      <c r="DE19" s="14"/>
      <c r="DF19" s="14"/>
      <c r="DG19" s="14"/>
      <c r="DH19" s="14"/>
      <c r="DI19" s="14"/>
      <c r="DJ19" s="14"/>
      <c r="DK19" s="14"/>
      <c r="DL19" s="14"/>
      <c r="DM19" s="14"/>
      <c r="DN19" s="14"/>
      <c r="DO19" s="14"/>
      <c r="DP19" s="26"/>
      <c r="DQ19" s="27"/>
      <c r="DR19" s="129"/>
      <c r="DS19" s="130">
        <f>TCP(BO19:DQ19,$BO$9:$DQ$9,data!$H$8)</f>
        <v>0</v>
      </c>
      <c r="DT19" s="135"/>
      <c r="DU19" s="121"/>
      <c r="DV19" s="121"/>
      <c r="DW19" s="134"/>
      <c r="DX19" s="132"/>
      <c r="DY19" s="136"/>
      <c r="DZ19" s="21"/>
      <c r="EA19" s="18"/>
      <c r="EB19" s="4"/>
      <c r="EI19" s="23"/>
      <c r="EJ19" s="23"/>
    </row>
    <row r="20" spans="1:140" ht="15.75" x14ac:dyDescent="0.25">
      <c r="A20" s="12"/>
      <c r="B20" s="16"/>
      <c r="C20" s="24" t="str">
        <f t="shared" si="0"/>
        <v xml:space="preserve"> </v>
      </c>
      <c r="D20" s="25"/>
      <c r="E20" s="20"/>
      <c r="F20" s="19" t="str">
        <f t="shared" si="1"/>
        <v xml:space="preserve"> </v>
      </c>
      <c r="G20" s="180"/>
      <c r="H20" s="120" t="s">
        <v>213</v>
      </c>
      <c r="I20" s="121" t="s">
        <v>213</v>
      </c>
      <c r="J20" s="121" t="s">
        <v>213</v>
      </c>
      <c r="K20" s="121" t="s">
        <v>213</v>
      </c>
      <c r="L20" s="121" t="s">
        <v>213</v>
      </c>
      <c r="M20" s="121" t="s">
        <v>213</v>
      </c>
      <c r="N20" s="121" t="s">
        <v>213</v>
      </c>
      <c r="O20" s="121" t="s">
        <v>213</v>
      </c>
      <c r="P20" s="121"/>
      <c r="Q20" s="121"/>
      <c r="R20" s="121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  <c r="AI20" s="121"/>
      <c r="AJ20" s="121"/>
      <c r="AK20" s="121"/>
      <c r="AL20" s="121"/>
      <c r="AM20" s="121"/>
      <c r="AN20" s="121"/>
      <c r="AO20" s="121"/>
      <c r="AP20" s="121"/>
      <c r="AQ20" s="121"/>
      <c r="AR20" s="121"/>
      <c r="AS20" s="121"/>
      <c r="AT20" s="121"/>
      <c r="AU20" s="121"/>
      <c r="AV20" s="121"/>
      <c r="AW20" s="121"/>
      <c r="AX20" s="121"/>
      <c r="AY20" s="121"/>
      <c r="AZ20" s="121"/>
      <c r="BA20" s="121"/>
      <c r="BB20" s="121"/>
      <c r="BC20" s="121"/>
      <c r="BD20" s="121"/>
      <c r="BE20" s="121"/>
      <c r="BF20" s="121"/>
      <c r="BG20" s="121"/>
      <c r="BH20" s="121"/>
      <c r="BI20" s="121"/>
      <c r="BJ20" s="122"/>
      <c r="BK20" s="93"/>
      <c r="BL20" s="94"/>
      <c r="BM20" s="95"/>
      <c r="BN20" s="179"/>
      <c r="BO20" s="177"/>
      <c r="BP20" s="14"/>
      <c r="BQ20" s="14"/>
      <c r="BR20" s="14"/>
      <c r="BS20" s="14"/>
      <c r="BT20" s="14"/>
      <c r="BU20" s="14"/>
      <c r="BV20" s="16"/>
      <c r="BW20" s="14"/>
      <c r="BX20" s="14"/>
      <c r="BY20" s="14"/>
      <c r="BZ20" s="14"/>
      <c r="CA20" s="14"/>
      <c r="CB20" s="14"/>
      <c r="CC20" s="14"/>
      <c r="CD20" s="14"/>
      <c r="CE20" s="14"/>
      <c r="CF20" s="14"/>
      <c r="CG20" s="14"/>
      <c r="CH20" s="14"/>
      <c r="CI20" s="14"/>
      <c r="CJ20" s="14"/>
      <c r="CK20" s="14"/>
      <c r="CL20" s="14"/>
      <c r="CM20" s="14"/>
      <c r="CN20" s="14"/>
      <c r="CO20" s="14"/>
      <c r="CP20" s="14"/>
      <c r="CQ20" s="14"/>
      <c r="CR20" s="14"/>
      <c r="CS20" s="14"/>
      <c r="CT20" s="14"/>
      <c r="CU20" s="14"/>
      <c r="CV20" s="14"/>
      <c r="CW20" s="14"/>
      <c r="CX20" s="14"/>
      <c r="CY20" s="14"/>
      <c r="CZ20" s="14"/>
      <c r="DA20" s="14"/>
      <c r="DB20" s="14"/>
      <c r="DC20" s="14"/>
      <c r="DD20" s="14"/>
      <c r="DE20" s="14"/>
      <c r="DF20" s="14"/>
      <c r="DG20" s="14"/>
      <c r="DH20" s="14"/>
      <c r="DI20" s="14"/>
      <c r="DJ20" s="14"/>
      <c r="DK20" s="14"/>
      <c r="DL20" s="14"/>
      <c r="DM20" s="14"/>
      <c r="DN20" s="14"/>
      <c r="DO20" s="14"/>
      <c r="DP20" s="26"/>
      <c r="DQ20" s="27"/>
      <c r="DR20" s="129"/>
      <c r="DS20" s="130">
        <f>TCP(BO20:DQ20,$BO$9:$DQ$9,data!$H$8)</f>
        <v>0</v>
      </c>
      <c r="DT20" s="135"/>
      <c r="DU20" s="121"/>
      <c r="DV20" s="121"/>
      <c r="DW20" s="134"/>
      <c r="DX20" s="132"/>
      <c r="DY20" s="136"/>
      <c r="DZ20" s="21"/>
      <c r="EA20" s="18"/>
      <c r="EB20" s="4"/>
      <c r="EI20" s="23"/>
      <c r="EJ20" s="23"/>
    </row>
    <row r="21" spans="1:140" ht="15.75" x14ac:dyDescent="0.25">
      <c r="A21" s="12"/>
      <c r="B21" s="16"/>
      <c r="C21" s="24" t="str">
        <f t="shared" si="0"/>
        <v xml:space="preserve"> </v>
      </c>
      <c r="D21" s="25"/>
      <c r="E21" s="20"/>
      <c r="F21" s="19" t="str">
        <f t="shared" si="1"/>
        <v xml:space="preserve"> </v>
      </c>
      <c r="G21" s="180"/>
      <c r="H21" s="120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21"/>
      <c r="AO21" s="121"/>
      <c r="AP21" s="121"/>
      <c r="AQ21" s="121"/>
      <c r="AR21" s="121"/>
      <c r="AS21" s="121"/>
      <c r="AT21" s="121"/>
      <c r="AU21" s="121"/>
      <c r="AV21" s="121"/>
      <c r="AW21" s="121"/>
      <c r="AX21" s="121"/>
      <c r="AY21" s="121"/>
      <c r="AZ21" s="121"/>
      <c r="BA21" s="121"/>
      <c r="BB21" s="121"/>
      <c r="BC21" s="121"/>
      <c r="BD21" s="121"/>
      <c r="BE21" s="121"/>
      <c r="BF21" s="121"/>
      <c r="BG21" s="121"/>
      <c r="BH21" s="121"/>
      <c r="BI21" s="121"/>
      <c r="BJ21" s="122"/>
      <c r="BK21" s="93"/>
      <c r="BL21" s="94"/>
      <c r="BM21" s="95"/>
      <c r="BN21" s="179"/>
      <c r="BO21" s="177"/>
      <c r="BP21" s="14"/>
      <c r="BQ21" s="14"/>
      <c r="BR21" s="14"/>
      <c r="BS21" s="14"/>
      <c r="BT21" s="14"/>
      <c r="BU21" s="14"/>
      <c r="BV21" s="16"/>
      <c r="BW21" s="14"/>
      <c r="BX21" s="14"/>
      <c r="BY21" s="14"/>
      <c r="BZ21" s="14"/>
      <c r="CA21" s="14"/>
      <c r="CB21" s="14"/>
      <c r="CC21" s="14"/>
      <c r="CD21" s="14"/>
      <c r="CE21" s="14"/>
      <c r="CF21" s="14"/>
      <c r="CG21" s="14"/>
      <c r="CH21" s="14"/>
      <c r="CI21" s="14"/>
      <c r="CJ21" s="14"/>
      <c r="CK21" s="14"/>
      <c r="CL21" s="14"/>
      <c r="CM21" s="14"/>
      <c r="CN21" s="14"/>
      <c r="CO21" s="14"/>
      <c r="CP21" s="14"/>
      <c r="CQ21" s="14"/>
      <c r="CR21" s="14"/>
      <c r="CS21" s="14"/>
      <c r="CT21" s="14"/>
      <c r="CU21" s="14"/>
      <c r="CV21" s="14"/>
      <c r="CW21" s="14"/>
      <c r="CX21" s="14"/>
      <c r="CY21" s="14"/>
      <c r="CZ21" s="14"/>
      <c r="DA21" s="14"/>
      <c r="DB21" s="14"/>
      <c r="DC21" s="14"/>
      <c r="DD21" s="14"/>
      <c r="DE21" s="14"/>
      <c r="DF21" s="14"/>
      <c r="DG21" s="14"/>
      <c r="DH21" s="14"/>
      <c r="DI21" s="14"/>
      <c r="DJ21" s="14"/>
      <c r="DK21" s="14"/>
      <c r="DL21" s="14"/>
      <c r="DM21" s="14"/>
      <c r="DN21" s="14"/>
      <c r="DO21" s="14"/>
      <c r="DP21" s="26"/>
      <c r="DQ21" s="27"/>
      <c r="DR21" s="129"/>
      <c r="DS21" s="130">
        <f>TCP(BO21:DQ21,$BO$9:$DQ$9,data!$H$8)</f>
        <v>0</v>
      </c>
      <c r="DT21" s="135"/>
      <c r="DU21" s="121"/>
      <c r="DV21" s="121"/>
      <c r="DW21" s="134"/>
      <c r="DX21" s="132"/>
      <c r="DY21" s="136"/>
      <c r="DZ21" s="21"/>
      <c r="EA21" s="18"/>
      <c r="EB21" s="4"/>
      <c r="EI21" s="23"/>
      <c r="EJ21" s="23"/>
    </row>
    <row r="22" spans="1:140" ht="15.75" x14ac:dyDescent="0.25">
      <c r="A22" s="12"/>
      <c r="B22" s="16"/>
      <c r="C22" s="24" t="str">
        <f t="shared" si="0"/>
        <v xml:space="preserve"> </v>
      </c>
      <c r="D22" s="25"/>
      <c r="E22" s="20"/>
      <c r="F22" s="19" t="str">
        <f t="shared" si="1"/>
        <v xml:space="preserve"> </v>
      </c>
      <c r="G22" s="180"/>
      <c r="H22" s="120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1"/>
      <c r="AR22" s="121"/>
      <c r="AS22" s="121"/>
      <c r="AT22" s="121"/>
      <c r="AU22" s="121"/>
      <c r="AV22" s="121"/>
      <c r="AW22" s="121"/>
      <c r="AX22" s="121"/>
      <c r="AY22" s="121"/>
      <c r="AZ22" s="121"/>
      <c r="BA22" s="121"/>
      <c r="BB22" s="121"/>
      <c r="BC22" s="121"/>
      <c r="BD22" s="121"/>
      <c r="BE22" s="121"/>
      <c r="BF22" s="121"/>
      <c r="BG22" s="121"/>
      <c r="BH22" s="121"/>
      <c r="BI22" s="121"/>
      <c r="BJ22" s="122"/>
      <c r="BK22" s="93"/>
      <c r="BL22" s="94"/>
      <c r="BM22" s="95"/>
      <c r="BN22" s="179"/>
      <c r="BO22" s="177"/>
      <c r="BP22" s="14"/>
      <c r="BQ22" s="14"/>
      <c r="BR22" s="14"/>
      <c r="BS22" s="14"/>
      <c r="BT22" s="14"/>
      <c r="BU22" s="14"/>
      <c r="BV22" s="16"/>
      <c r="BW22" s="14"/>
      <c r="BX22" s="14"/>
      <c r="BY22" s="14"/>
      <c r="BZ22" s="14"/>
      <c r="CA22" s="14"/>
      <c r="CB22" s="14"/>
      <c r="CC22" s="14"/>
      <c r="CD22" s="14"/>
      <c r="CE22" s="14"/>
      <c r="CF22" s="14"/>
      <c r="CG22" s="14"/>
      <c r="CH22" s="14"/>
      <c r="CI22" s="14"/>
      <c r="CJ22" s="14"/>
      <c r="CK22" s="14"/>
      <c r="CL22" s="14"/>
      <c r="CM22" s="14"/>
      <c r="CN22" s="14"/>
      <c r="CO22" s="14"/>
      <c r="CP22" s="14"/>
      <c r="CQ22" s="14"/>
      <c r="CR22" s="14"/>
      <c r="CS22" s="14"/>
      <c r="CT22" s="14"/>
      <c r="CU22" s="14"/>
      <c r="CV22" s="14"/>
      <c r="CW22" s="14"/>
      <c r="CX22" s="14"/>
      <c r="CY22" s="14"/>
      <c r="CZ22" s="14"/>
      <c r="DA22" s="14"/>
      <c r="DB22" s="14"/>
      <c r="DC22" s="14"/>
      <c r="DD22" s="14"/>
      <c r="DE22" s="14"/>
      <c r="DF22" s="14"/>
      <c r="DG22" s="14"/>
      <c r="DH22" s="14"/>
      <c r="DI22" s="14"/>
      <c r="DJ22" s="14"/>
      <c r="DK22" s="14"/>
      <c r="DL22" s="14"/>
      <c r="DM22" s="14"/>
      <c r="DN22" s="14"/>
      <c r="DO22" s="14"/>
      <c r="DP22" s="26"/>
      <c r="DQ22" s="27"/>
      <c r="DR22" s="129"/>
      <c r="DS22" s="130">
        <f>TCP(BO22:DQ22,$BO$9:$DQ$9,data!$H$8)</f>
        <v>0</v>
      </c>
      <c r="DT22" s="135"/>
      <c r="DU22" s="121"/>
      <c r="DV22" s="121"/>
      <c r="DW22" s="134"/>
      <c r="DX22" s="132"/>
      <c r="DY22" s="136"/>
      <c r="DZ22" s="21"/>
      <c r="EA22" s="18"/>
      <c r="EB22" s="4"/>
      <c r="EI22" s="23"/>
      <c r="EJ22" s="23"/>
    </row>
    <row r="23" spans="1:140" ht="15.75" x14ac:dyDescent="0.25">
      <c r="A23" s="12"/>
      <c r="B23" s="16"/>
      <c r="C23" s="24" t="str">
        <f t="shared" si="0"/>
        <v xml:space="preserve"> </v>
      </c>
      <c r="D23" s="25"/>
      <c r="E23" s="20"/>
      <c r="F23" s="19" t="str">
        <f t="shared" si="1"/>
        <v xml:space="preserve"> </v>
      </c>
      <c r="G23" s="180"/>
      <c r="H23" s="120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21"/>
      <c r="W23" s="121"/>
      <c r="X23" s="121"/>
      <c r="Y23" s="121"/>
      <c r="Z23" s="121"/>
      <c r="AA23" s="121"/>
      <c r="AB23" s="121"/>
      <c r="AC23" s="121"/>
      <c r="AD23" s="121"/>
      <c r="AE23" s="121"/>
      <c r="AF23" s="121"/>
      <c r="AG23" s="121"/>
      <c r="AH23" s="121"/>
      <c r="AI23" s="121"/>
      <c r="AJ23" s="121"/>
      <c r="AK23" s="121"/>
      <c r="AL23" s="121"/>
      <c r="AM23" s="121"/>
      <c r="AN23" s="121"/>
      <c r="AO23" s="121"/>
      <c r="AP23" s="121"/>
      <c r="AQ23" s="121"/>
      <c r="AR23" s="121"/>
      <c r="AS23" s="121"/>
      <c r="AT23" s="121"/>
      <c r="AU23" s="121"/>
      <c r="AV23" s="121"/>
      <c r="AW23" s="121"/>
      <c r="AX23" s="121"/>
      <c r="AY23" s="121"/>
      <c r="AZ23" s="121"/>
      <c r="BA23" s="121"/>
      <c r="BB23" s="121"/>
      <c r="BC23" s="121"/>
      <c r="BD23" s="121"/>
      <c r="BE23" s="121"/>
      <c r="BF23" s="121"/>
      <c r="BG23" s="121"/>
      <c r="BH23" s="121"/>
      <c r="BI23" s="121"/>
      <c r="BJ23" s="122"/>
      <c r="BK23" s="93"/>
      <c r="BL23" s="94"/>
      <c r="BM23" s="95"/>
      <c r="BN23" s="179"/>
      <c r="BO23" s="177"/>
      <c r="BP23" s="14"/>
      <c r="BQ23" s="14"/>
      <c r="BR23" s="14"/>
      <c r="BS23" s="14"/>
      <c r="BT23" s="14"/>
      <c r="BU23" s="14"/>
      <c r="BV23" s="16"/>
      <c r="BW23" s="14"/>
      <c r="BX23" s="14"/>
      <c r="BY23" s="14"/>
      <c r="BZ23" s="14"/>
      <c r="CA23" s="14"/>
      <c r="CB23" s="14"/>
      <c r="CC23" s="14"/>
      <c r="CD23" s="14"/>
      <c r="CE23" s="14"/>
      <c r="CF23" s="14"/>
      <c r="CG23" s="14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14"/>
      <c r="CW23" s="14"/>
      <c r="CX23" s="14"/>
      <c r="CY23" s="14"/>
      <c r="CZ23" s="14"/>
      <c r="DA23" s="14"/>
      <c r="DB23" s="14"/>
      <c r="DC23" s="14"/>
      <c r="DD23" s="14"/>
      <c r="DE23" s="14"/>
      <c r="DF23" s="14"/>
      <c r="DG23" s="14"/>
      <c r="DH23" s="14"/>
      <c r="DI23" s="14"/>
      <c r="DJ23" s="14"/>
      <c r="DK23" s="14"/>
      <c r="DL23" s="14"/>
      <c r="DM23" s="14"/>
      <c r="DN23" s="14"/>
      <c r="DO23" s="14"/>
      <c r="DP23" s="26"/>
      <c r="DQ23" s="27"/>
      <c r="DR23" s="129"/>
      <c r="DS23" s="130">
        <f>TCP(BO23:DQ23,$BO$9:$DQ$9,data!$H$8)</f>
        <v>0</v>
      </c>
      <c r="DT23" s="135"/>
      <c r="DU23" s="121"/>
      <c r="DV23" s="121"/>
      <c r="DW23" s="134"/>
      <c r="DX23" s="132"/>
      <c r="DY23" s="136"/>
      <c r="DZ23" s="21"/>
      <c r="EA23" s="18"/>
      <c r="EB23" s="4"/>
      <c r="EI23" s="23"/>
      <c r="EJ23" s="23"/>
    </row>
    <row r="24" spans="1:140" ht="15.75" x14ac:dyDescent="0.25">
      <c r="A24" s="12"/>
      <c r="B24" s="16"/>
      <c r="C24" s="24" t="str">
        <f t="shared" si="0"/>
        <v xml:space="preserve"> </v>
      </c>
      <c r="D24" s="25"/>
      <c r="E24" s="20"/>
      <c r="F24" s="19" t="str">
        <f t="shared" si="1"/>
        <v xml:space="preserve"> </v>
      </c>
      <c r="G24" s="180"/>
      <c r="H24" s="120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21"/>
      <c r="W24" s="121"/>
      <c r="X24" s="121"/>
      <c r="Y24" s="121"/>
      <c r="Z24" s="121"/>
      <c r="AA24" s="121"/>
      <c r="AB24" s="121"/>
      <c r="AC24" s="121"/>
      <c r="AD24" s="121"/>
      <c r="AE24" s="121"/>
      <c r="AF24" s="121"/>
      <c r="AG24" s="121"/>
      <c r="AH24" s="121"/>
      <c r="AI24" s="121"/>
      <c r="AJ24" s="121"/>
      <c r="AK24" s="121"/>
      <c r="AL24" s="121"/>
      <c r="AM24" s="121"/>
      <c r="AN24" s="121"/>
      <c r="AO24" s="121"/>
      <c r="AP24" s="121"/>
      <c r="AQ24" s="121"/>
      <c r="AR24" s="121"/>
      <c r="AS24" s="121"/>
      <c r="AT24" s="121"/>
      <c r="AU24" s="121"/>
      <c r="AV24" s="121"/>
      <c r="AW24" s="121"/>
      <c r="AX24" s="121"/>
      <c r="AY24" s="121"/>
      <c r="AZ24" s="121"/>
      <c r="BA24" s="121"/>
      <c r="BB24" s="121"/>
      <c r="BC24" s="121"/>
      <c r="BD24" s="121"/>
      <c r="BE24" s="121"/>
      <c r="BF24" s="121"/>
      <c r="BG24" s="121"/>
      <c r="BH24" s="121"/>
      <c r="BI24" s="121"/>
      <c r="BJ24" s="122"/>
      <c r="BK24" s="93"/>
      <c r="BL24" s="94"/>
      <c r="BM24" s="95"/>
      <c r="BN24" s="179"/>
      <c r="BO24" s="177"/>
      <c r="BP24" s="14"/>
      <c r="BQ24" s="14"/>
      <c r="BR24" s="14"/>
      <c r="BS24" s="14"/>
      <c r="BT24" s="14"/>
      <c r="BU24" s="14"/>
      <c r="BV24" s="16"/>
      <c r="BW24" s="14"/>
      <c r="BX24" s="14"/>
      <c r="BY24" s="14"/>
      <c r="BZ24" s="14"/>
      <c r="CA24" s="14"/>
      <c r="CB24" s="14"/>
      <c r="CC24" s="14"/>
      <c r="CD24" s="14"/>
      <c r="CE24" s="14"/>
      <c r="CF24" s="14"/>
      <c r="CG24" s="14"/>
      <c r="CH24" s="14"/>
      <c r="CI24" s="14"/>
      <c r="CJ24" s="14"/>
      <c r="CK24" s="14"/>
      <c r="CL24" s="14"/>
      <c r="CM24" s="14"/>
      <c r="CN24" s="14"/>
      <c r="CO24" s="14"/>
      <c r="CP24" s="14"/>
      <c r="CQ24" s="14"/>
      <c r="CR24" s="14"/>
      <c r="CS24" s="14"/>
      <c r="CT24" s="14"/>
      <c r="CU24" s="14"/>
      <c r="CV24" s="14"/>
      <c r="CW24" s="14"/>
      <c r="CX24" s="14"/>
      <c r="CY24" s="14"/>
      <c r="CZ24" s="14"/>
      <c r="DA24" s="14"/>
      <c r="DB24" s="14"/>
      <c r="DC24" s="14"/>
      <c r="DD24" s="14"/>
      <c r="DE24" s="14"/>
      <c r="DF24" s="14"/>
      <c r="DG24" s="14"/>
      <c r="DH24" s="14"/>
      <c r="DI24" s="14"/>
      <c r="DJ24" s="14"/>
      <c r="DK24" s="14"/>
      <c r="DL24" s="14"/>
      <c r="DM24" s="14"/>
      <c r="DN24" s="14"/>
      <c r="DO24" s="14"/>
      <c r="DP24" s="26"/>
      <c r="DQ24" s="27"/>
      <c r="DR24" s="129"/>
      <c r="DS24" s="130">
        <f>TCP(BO24:DQ24,$BO$9:$DQ$9,data!$H$8)</f>
        <v>0</v>
      </c>
      <c r="DT24" s="135"/>
      <c r="DU24" s="121"/>
      <c r="DV24" s="121"/>
      <c r="DW24" s="134"/>
      <c r="DX24" s="132"/>
      <c r="DY24" s="136"/>
      <c r="DZ24" s="21"/>
      <c r="EA24" s="18"/>
      <c r="EB24" s="4"/>
      <c r="EI24" s="23"/>
      <c r="EJ24" s="23"/>
    </row>
    <row r="25" spans="1:140" ht="15.75" x14ac:dyDescent="0.25">
      <c r="A25" s="12"/>
      <c r="B25" s="16"/>
      <c r="C25" s="24" t="str">
        <f t="shared" si="0"/>
        <v xml:space="preserve"> </v>
      </c>
      <c r="D25" s="25"/>
      <c r="E25" s="20"/>
      <c r="F25" s="19" t="str">
        <f t="shared" si="1"/>
        <v xml:space="preserve"> </v>
      </c>
      <c r="G25" s="180"/>
      <c r="H25" s="120"/>
      <c r="I25" s="121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2"/>
      <c r="BK25" s="93"/>
      <c r="BL25" s="94"/>
      <c r="BM25" s="95"/>
      <c r="BN25" s="179"/>
      <c r="BO25" s="177"/>
      <c r="BP25" s="14"/>
      <c r="BQ25" s="14"/>
      <c r="BR25" s="14"/>
      <c r="BS25" s="14"/>
      <c r="BT25" s="14"/>
      <c r="BU25" s="14"/>
      <c r="BV25" s="16"/>
      <c r="BW25" s="14"/>
      <c r="BX25" s="14"/>
      <c r="BY25" s="14"/>
      <c r="BZ25" s="14"/>
      <c r="CA25" s="14"/>
      <c r="CB25" s="14"/>
      <c r="CC25" s="14"/>
      <c r="CD25" s="14"/>
      <c r="CE25" s="14"/>
      <c r="CF25" s="14"/>
      <c r="CG25" s="14"/>
      <c r="CH25" s="14"/>
      <c r="CI25" s="14"/>
      <c r="CJ25" s="14"/>
      <c r="CK25" s="14"/>
      <c r="CL25" s="14"/>
      <c r="CM25" s="14"/>
      <c r="CN25" s="14"/>
      <c r="CO25" s="14"/>
      <c r="CP25" s="14"/>
      <c r="CQ25" s="14"/>
      <c r="CR25" s="14"/>
      <c r="CS25" s="14"/>
      <c r="CT25" s="14"/>
      <c r="CU25" s="14"/>
      <c r="CV25" s="14"/>
      <c r="CW25" s="14"/>
      <c r="CX25" s="14"/>
      <c r="CY25" s="14"/>
      <c r="CZ25" s="14"/>
      <c r="DA25" s="14"/>
      <c r="DB25" s="14"/>
      <c r="DC25" s="14"/>
      <c r="DD25" s="14"/>
      <c r="DE25" s="14"/>
      <c r="DF25" s="14"/>
      <c r="DG25" s="14"/>
      <c r="DH25" s="14"/>
      <c r="DI25" s="14"/>
      <c r="DJ25" s="14"/>
      <c r="DK25" s="14"/>
      <c r="DL25" s="14"/>
      <c r="DM25" s="14"/>
      <c r="DN25" s="14"/>
      <c r="DO25" s="14"/>
      <c r="DP25" s="26"/>
      <c r="DQ25" s="27"/>
      <c r="DR25" s="129"/>
      <c r="DS25" s="130">
        <f>TCP(BO25:DQ25,$BO$9:$DQ$9,data!$H$8)</f>
        <v>0</v>
      </c>
      <c r="DT25" s="135"/>
      <c r="DU25" s="121"/>
      <c r="DV25" s="121"/>
      <c r="DW25" s="134"/>
      <c r="DX25" s="132"/>
      <c r="DY25" s="136"/>
      <c r="DZ25" s="21"/>
      <c r="EA25" s="18"/>
      <c r="EB25" s="4"/>
      <c r="EI25" s="23"/>
      <c r="EJ25" s="23"/>
    </row>
    <row r="26" spans="1:140" ht="15.75" x14ac:dyDescent="0.25">
      <c r="A26" s="12"/>
      <c r="B26" s="16"/>
      <c r="C26" s="24" t="str">
        <f t="shared" si="0"/>
        <v xml:space="preserve"> </v>
      </c>
      <c r="D26" s="25"/>
      <c r="E26" s="20"/>
      <c r="F26" s="19" t="str">
        <f t="shared" si="1"/>
        <v xml:space="preserve"> </v>
      </c>
      <c r="G26" s="180"/>
      <c r="H26" s="120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2"/>
      <c r="BK26" s="93"/>
      <c r="BL26" s="94"/>
      <c r="BM26" s="95"/>
      <c r="BN26" s="179"/>
      <c r="BO26" s="177"/>
      <c r="BP26" s="14"/>
      <c r="BQ26" s="14"/>
      <c r="BR26" s="14"/>
      <c r="BS26" s="14"/>
      <c r="BT26" s="14"/>
      <c r="BU26" s="14"/>
      <c r="BV26" s="16"/>
      <c r="BW26" s="14"/>
      <c r="BX26" s="14"/>
      <c r="BY26" s="14"/>
      <c r="BZ26" s="14"/>
      <c r="CA26" s="14"/>
      <c r="CB26" s="14"/>
      <c r="CC26" s="14"/>
      <c r="CD26" s="14"/>
      <c r="CE26" s="14"/>
      <c r="CF26" s="14"/>
      <c r="CG26" s="14"/>
      <c r="CH26" s="14"/>
      <c r="CI26" s="14"/>
      <c r="CJ26" s="14"/>
      <c r="CK26" s="14"/>
      <c r="CL26" s="14"/>
      <c r="CM26" s="14"/>
      <c r="CN26" s="14"/>
      <c r="CO26" s="14"/>
      <c r="CP26" s="14"/>
      <c r="CQ26" s="14"/>
      <c r="CR26" s="14"/>
      <c r="CS26" s="14"/>
      <c r="CT26" s="14"/>
      <c r="CU26" s="14"/>
      <c r="CV26" s="14"/>
      <c r="CW26" s="14"/>
      <c r="CX26" s="14"/>
      <c r="CY26" s="14"/>
      <c r="CZ26" s="14"/>
      <c r="DA26" s="14"/>
      <c r="DB26" s="14"/>
      <c r="DC26" s="14"/>
      <c r="DD26" s="14"/>
      <c r="DE26" s="14"/>
      <c r="DF26" s="14"/>
      <c r="DG26" s="14"/>
      <c r="DH26" s="14"/>
      <c r="DI26" s="14"/>
      <c r="DJ26" s="14"/>
      <c r="DK26" s="14"/>
      <c r="DL26" s="14"/>
      <c r="DM26" s="14"/>
      <c r="DN26" s="14"/>
      <c r="DO26" s="14"/>
      <c r="DP26" s="26"/>
      <c r="DQ26" s="27"/>
      <c r="DR26" s="129"/>
      <c r="DS26" s="130">
        <f>TCP(BO26:DQ26,$BO$9:$DQ$9,data!$H$8)</f>
        <v>0</v>
      </c>
      <c r="DT26" s="135"/>
      <c r="DU26" s="121"/>
      <c r="DV26" s="121"/>
      <c r="DW26" s="134"/>
      <c r="DX26" s="132"/>
      <c r="DY26" s="136"/>
      <c r="DZ26" s="21"/>
      <c r="EA26" s="18"/>
      <c r="EB26" s="4"/>
      <c r="EI26" s="23"/>
      <c r="EJ26" s="23"/>
    </row>
    <row r="27" spans="1:140" ht="15.75" x14ac:dyDescent="0.25">
      <c r="A27" s="12"/>
      <c r="B27" s="16"/>
      <c r="C27" s="24" t="str">
        <f t="shared" si="0"/>
        <v xml:space="preserve"> </v>
      </c>
      <c r="D27" s="25"/>
      <c r="E27" s="20"/>
      <c r="F27" s="19" t="str">
        <f t="shared" si="1"/>
        <v xml:space="preserve"> </v>
      </c>
      <c r="G27" s="180"/>
      <c r="H27" s="120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2"/>
      <c r="BK27" s="93"/>
      <c r="BL27" s="94"/>
      <c r="BM27" s="95"/>
      <c r="BN27" s="179"/>
      <c r="BO27" s="177"/>
      <c r="BP27" s="14"/>
      <c r="BQ27" s="14"/>
      <c r="BR27" s="14"/>
      <c r="BS27" s="14"/>
      <c r="BT27" s="14"/>
      <c r="BU27" s="14"/>
      <c r="BV27" s="16"/>
      <c r="BW27" s="14"/>
      <c r="BX27" s="14"/>
      <c r="BY27" s="14"/>
      <c r="BZ27" s="14"/>
      <c r="CA27" s="14"/>
      <c r="CB27" s="14"/>
      <c r="CC27" s="14"/>
      <c r="CD27" s="14"/>
      <c r="CE27" s="14"/>
      <c r="CF27" s="14"/>
      <c r="CG27" s="14"/>
      <c r="CH27" s="14"/>
      <c r="CI27" s="14"/>
      <c r="CJ27" s="14"/>
      <c r="CK27" s="14"/>
      <c r="CL27" s="14"/>
      <c r="CM27" s="14"/>
      <c r="CN27" s="14"/>
      <c r="CO27" s="14"/>
      <c r="CP27" s="14"/>
      <c r="CQ27" s="14"/>
      <c r="CR27" s="14"/>
      <c r="CS27" s="14"/>
      <c r="CT27" s="14"/>
      <c r="CU27" s="14"/>
      <c r="CV27" s="14"/>
      <c r="CW27" s="14"/>
      <c r="CX27" s="14"/>
      <c r="CY27" s="14"/>
      <c r="CZ27" s="14"/>
      <c r="DA27" s="14"/>
      <c r="DB27" s="14"/>
      <c r="DC27" s="14"/>
      <c r="DD27" s="14"/>
      <c r="DE27" s="14"/>
      <c r="DF27" s="14"/>
      <c r="DG27" s="14"/>
      <c r="DH27" s="14"/>
      <c r="DI27" s="14"/>
      <c r="DJ27" s="14"/>
      <c r="DK27" s="14"/>
      <c r="DL27" s="14"/>
      <c r="DM27" s="14"/>
      <c r="DN27" s="14"/>
      <c r="DO27" s="14"/>
      <c r="DP27" s="26"/>
      <c r="DQ27" s="27"/>
      <c r="DR27" s="129"/>
      <c r="DS27" s="130">
        <f>TCP(BO27:DQ27,$BO$9:$DQ$9,data!$H$8)</f>
        <v>0</v>
      </c>
      <c r="DT27" s="135"/>
      <c r="DU27" s="121"/>
      <c r="DV27" s="121"/>
      <c r="DW27" s="134"/>
      <c r="DX27" s="132"/>
      <c r="DY27" s="136"/>
      <c r="DZ27" s="21"/>
      <c r="EA27" s="18"/>
      <c r="EB27" s="4"/>
      <c r="EI27" s="23"/>
      <c r="EJ27" s="23"/>
    </row>
    <row r="28" spans="1:140" ht="15.75" x14ac:dyDescent="0.25">
      <c r="A28" s="12"/>
      <c r="B28" s="16"/>
      <c r="C28" s="24" t="str">
        <f t="shared" si="0"/>
        <v xml:space="preserve"> </v>
      </c>
      <c r="D28" s="25"/>
      <c r="E28" s="20"/>
      <c r="F28" s="19" t="str">
        <f t="shared" si="1"/>
        <v xml:space="preserve"> </v>
      </c>
      <c r="G28" s="180"/>
      <c r="H28" s="120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  <c r="AB28" s="121"/>
      <c r="AC28" s="121"/>
      <c r="AD28" s="121"/>
      <c r="AE28" s="121"/>
      <c r="AF28" s="121"/>
      <c r="AG28" s="121"/>
      <c r="AH28" s="121"/>
      <c r="AI28" s="121"/>
      <c r="AJ28" s="121"/>
      <c r="AK28" s="121"/>
      <c r="AL28" s="121"/>
      <c r="AM28" s="121"/>
      <c r="AN28" s="121"/>
      <c r="AO28" s="121"/>
      <c r="AP28" s="121"/>
      <c r="AQ28" s="121"/>
      <c r="AR28" s="121"/>
      <c r="AS28" s="121"/>
      <c r="AT28" s="121"/>
      <c r="AU28" s="121"/>
      <c r="AV28" s="121"/>
      <c r="AW28" s="121"/>
      <c r="AX28" s="121"/>
      <c r="AY28" s="121"/>
      <c r="AZ28" s="121"/>
      <c r="BA28" s="121"/>
      <c r="BB28" s="121"/>
      <c r="BC28" s="121"/>
      <c r="BD28" s="121"/>
      <c r="BE28" s="121"/>
      <c r="BF28" s="121"/>
      <c r="BG28" s="121"/>
      <c r="BH28" s="121"/>
      <c r="BI28" s="121"/>
      <c r="BJ28" s="122"/>
      <c r="BK28" s="93"/>
      <c r="BL28" s="94"/>
      <c r="BM28" s="95"/>
      <c r="BN28" s="179"/>
      <c r="BO28" s="177"/>
      <c r="BP28" s="14"/>
      <c r="BQ28" s="14"/>
      <c r="BR28" s="14"/>
      <c r="BS28" s="14"/>
      <c r="BT28" s="14"/>
      <c r="BU28" s="14"/>
      <c r="BV28" s="16"/>
      <c r="BW28" s="14"/>
      <c r="BX28" s="14"/>
      <c r="BY28" s="14"/>
      <c r="BZ28" s="14"/>
      <c r="CA28" s="14"/>
      <c r="CB28" s="14"/>
      <c r="CC28" s="14"/>
      <c r="CD28" s="14"/>
      <c r="CE28" s="14"/>
      <c r="CF28" s="14"/>
      <c r="CG28" s="14"/>
      <c r="CH28" s="14"/>
      <c r="CI28" s="14"/>
      <c r="CJ28" s="14"/>
      <c r="CK28" s="14"/>
      <c r="CL28" s="14"/>
      <c r="CM28" s="14"/>
      <c r="CN28" s="14"/>
      <c r="CO28" s="14"/>
      <c r="CP28" s="14"/>
      <c r="CQ28" s="14"/>
      <c r="CR28" s="14"/>
      <c r="CS28" s="14"/>
      <c r="CT28" s="14"/>
      <c r="CU28" s="14"/>
      <c r="CV28" s="14"/>
      <c r="CW28" s="14"/>
      <c r="CX28" s="14"/>
      <c r="CY28" s="14"/>
      <c r="CZ28" s="14"/>
      <c r="DA28" s="14"/>
      <c r="DB28" s="14"/>
      <c r="DC28" s="14"/>
      <c r="DD28" s="14"/>
      <c r="DE28" s="14"/>
      <c r="DF28" s="14"/>
      <c r="DG28" s="14"/>
      <c r="DH28" s="14"/>
      <c r="DI28" s="14"/>
      <c r="DJ28" s="14"/>
      <c r="DK28" s="14"/>
      <c r="DL28" s="14"/>
      <c r="DM28" s="14"/>
      <c r="DN28" s="14"/>
      <c r="DO28" s="14"/>
      <c r="DP28" s="26"/>
      <c r="DQ28" s="27"/>
      <c r="DR28" s="129"/>
      <c r="DS28" s="130">
        <f>TCP(BO28:DQ28,$BO$9:$DQ$9,data!$H$8)</f>
        <v>0</v>
      </c>
      <c r="DT28" s="135"/>
      <c r="DU28" s="121"/>
      <c r="DV28" s="121"/>
      <c r="DW28" s="134"/>
      <c r="DX28" s="132"/>
      <c r="DY28" s="136"/>
      <c r="DZ28" s="21"/>
      <c r="EA28" s="18"/>
      <c r="EB28" s="4"/>
      <c r="EI28" s="23"/>
      <c r="EJ28" s="23"/>
    </row>
    <row r="29" spans="1:140" ht="15.75" x14ac:dyDescent="0.25">
      <c r="A29" s="12"/>
      <c r="B29" s="16"/>
      <c r="C29" s="24" t="str">
        <f t="shared" si="0"/>
        <v xml:space="preserve"> </v>
      </c>
      <c r="D29" s="25"/>
      <c r="E29" s="20"/>
      <c r="F29" s="19" t="str">
        <f t="shared" si="1"/>
        <v xml:space="preserve"> </v>
      </c>
      <c r="G29" s="180"/>
      <c r="H29" s="120"/>
      <c r="I29" s="121"/>
      <c r="J29" s="121"/>
      <c r="K29" s="121"/>
      <c r="L29" s="121"/>
      <c r="M29" s="121"/>
      <c r="N29" s="121"/>
      <c r="O29" s="121"/>
      <c r="P29" s="121"/>
      <c r="Q29" s="121"/>
      <c r="R29" s="121"/>
      <c r="S29" s="121"/>
      <c r="T29" s="121"/>
      <c r="U29" s="121"/>
      <c r="V29" s="121"/>
      <c r="W29" s="121"/>
      <c r="X29" s="121"/>
      <c r="Y29" s="121"/>
      <c r="Z29" s="121"/>
      <c r="AA29" s="121"/>
      <c r="AB29" s="121"/>
      <c r="AC29" s="121"/>
      <c r="AD29" s="121"/>
      <c r="AE29" s="121"/>
      <c r="AF29" s="121"/>
      <c r="AG29" s="121"/>
      <c r="AH29" s="121"/>
      <c r="AI29" s="121"/>
      <c r="AJ29" s="121"/>
      <c r="AK29" s="121"/>
      <c r="AL29" s="121"/>
      <c r="AM29" s="121"/>
      <c r="AN29" s="121"/>
      <c r="AO29" s="121"/>
      <c r="AP29" s="121"/>
      <c r="AQ29" s="121"/>
      <c r="AR29" s="121"/>
      <c r="AS29" s="121"/>
      <c r="AT29" s="121"/>
      <c r="AU29" s="121"/>
      <c r="AV29" s="121"/>
      <c r="AW29" s="121"/>
      <c r="AX29" s="121"/>
      <c r="AY29" s="121"/>
      <c r="AZ29" s="121"/>
      <c r="BA29" s="121"/>
      <c r="BB29" s="121"/>
      <c r="BC29" s="121"/>
      <c r="BD29" s="121"/>
      <c r="BE29" s="121"/>
      <c r="BF29" s="121"/>
      <c r="BG29" s="121"/>
      <c r="BH29" s="121"/>
      <c r="BI29" s="121"/>
      <c r="BJ29" s="122"/>
      <c r="BK29" s="93"/>
      <c r="BL29" s="94"/>
      <c r="BM29" s="95"/>
      <c r="BN29" s="179"/>
      <c r="BO29" s="177"/>
      <c r="BP29" s="14"/>
      <c r="BQ29" s="14"/>
      <c r="BR29" s="14"/>
      <c r="BS29" s="14"/>
      <c r="BT29" s="14"/>
      <c r="BU29" s="14"/>
      <c r="BV29" s="16"/>
      <c r="BW29" s="14"/>
      <c r="BX29" s="14"/>
      <c r="BY29" s="14"/>
      <c r="BZ29" s="14"/>
      <c r="CA29" s="14"/>
      <c r="CB29" s="14"/>
      <c r="CC29" s="14"/>
      <c r="CD29" s="14"/>
      <c r="CE29" s="14"/>
      <c r="CF29" s="14"/>
      <c r="CG29" s="14"/>
      <c r="CH29" s="14"/>
      <c r="CI29" s="14"/>
      <c r="CJ29" s="14"/>
      <c r="CK29" s="14"/>
      <c r="CL29" s="14"/>
      <c r="CM29" s="14"/>
      <c r="CN29" s="14"/>
      <c r="CO29" s="14"/>
      <c r="CP29" s="14"/>
      <c r="CQ29" s="14"/>
      <c r="CR29" s="14"/>
      <c r="CS29" s="14"/>
      <c r="CT29" s="14"/>
      <c r="CU29" s="14"/>
      <c r="CV29" s="14"/>
      <c r="CW29" s="14"/>
      <c r="CX29" s="14"/>
      <c r="CY29" s="14"/>
      <c r="CZ29" s="14"/>
      <c r="DA29" s="14"/>
      <c r="DB29" s="14"/>
      <c r="DC29" s="14"/>
      <c r="DD29" s="14"/>
      <c r="DE29" s="14"/>
      <c r="DF29" s="14"/>
      <c r="DG29" s="14"/>
      <c r="DH29" s="14"/>
      <c r="DI29" s="14"/>
      <c r="DJ29" s="14"/>
      <c r="DK29" s="14"/>
      <c r="DL29" s="14"/>
      <c r="DM29" s="14"/>
      <c r="DN29" s="14"/>
      <c r="DO29" s="14"/>
      <c r="DP29" s="26"/>
      <c r="DQ29" s="27"/>
      <c r="DR29" s="129"/>
      <c r="DS29" s="130">
        <f>TCP(BO29:DQ29,$BO$9:$DQ$9,data!$H$8)</f>
        <v>0</v>
      </c>
      <c r="DT29" s="135"/>
      <c r="DU29" s="121"/>
      <c r="DV29" s="121"/>
      <c r="DW29" s="134"/>
      <c r="DX29" s="132"/>
      <c r="DY29" s="136"/>
      <c r="DZ29" s="21"/>
      <c r="EA29" s="18"/>
      <c r="EB29" s="4"/>
      <c r="EI29" s="23"/>
      <c r="EJ29" s="23"/>
    </row>
    <row r="30" spans="1:140" ht="15.75" x14ac:dyDescent="0.25">
      <c r="A30" s="12"/>
      <c r="B30" s="16"/>
      <c r="C30" s="24" t="str">
        <f t="shared" si="0"/>
        <v xml:space="preserve"> </v>
      </c>
      <c r="D30" s="25"/>
      <c r="E30" s="20"/>
      <c r="F30" s="19" t="str">
        <f t="shared" si="1"/>
        <v xml:space="preserve"> </v>
      </c>
      <c r="G30" s="180"/>
      <c r="H30" s="120"/>
      <c r="I30" s="121"/>
      <c r="J30" s="121"/>
      <c r="K30" s="121"/>
      <c r="L30" s="121"/>
      <c r="M30" s="121"/>
      <c r="N30" s="121"/>
      <c r="O30" s="121"/>
      <c r="P30" s="121"/>
      <c r="Q30" s="121"/>
      <c r="R30" s="121"/>
      <c r="S30" s="121"/>
      <c r="T30" s="121"/>
      <c r="U30" s="121"/>
      <c r="V30" s="121"/>
      <c r="W30" s="121"/>
      <c r="X30" s="121"/>
      <c r="Y30" s="121"/>
      <c r="Z30" s="121"/>
      <c r="AA30" s="121"/>
      <c r="AB30" s="121"/>
      <c r="AC30" s="121"/>
      <c r="AD30" s="121"/>
      <c r="AE30" s="121"/>
      <c r="AF30" s="121"/>
      <c r="AG30" s="121"/>
      <c r="AH30" s="121"/>
      <c r="AI30" s="121"/>
      <c r="AJ30" s="121"/>
      <c r="AK30" s="121"/>
      <c r="AL30" s="121"/>
      <c r="AM30" s="121"/>
      <c r="AN30" s="121"/>
      <c r="AO30" s="121"/>
      <c r="AP30" s="121"/>
      <c r="AQ30" s="121"/>
      <c r="AR30" s="121"/>
      <c r="AS30" s="121"/>
      <c r="AT30" s="121"/>
      <c r="AU30" s="121"/>
      <c r="AV30" s="121"/>
      <c r="AW30" s="121"/>
      <c r="AX30" s="121"/>
      <c r="AY30" s="121"/>
      <c r="AZ30" s="121"/>
      <c r="BA30" s="121"/>
      <c r="BB30" s="121"/>
      <c r="BC30" s="121"/>
      <c r="BD30" s="121"/>
      <c r="BE30" s="121"/>
      <c r="BF30" s="121"/>
      <c r="BG30" s="121"/>
      <c r="BH30" s="121"/>
      <c r="BI30" s="121"/>
      <c r="BJ30" s="122"/>
      <c r="BK30" s="93"/>
      <c r="BL30" s="94"/>
      <c r="BM30" s="95"/>
      <c r="BN30" s="179"/>
      <c r="BO30" s="177"/>
      <c r="BP30" s="14"/>
      <c r="BQ30" s="14"/>
      <c r="BR30" s="14"/>
      <c r="BS30" s="14"/>
      <c r="BT30" s="14"/>
      <c r="BU30" s="14"/>
      <c r="BV30" s="16"/>
      <c r="BW30" s="14"/>
      <c r="BX30" s="14"/>
      <c r="BY30" s="14"/>
      <c r="BZ30" s="14"/>
      <c r="CA30" s="14"/>
      <c r="CB30" s="14"/>
      <c r="CC30" s="14"/>
      <c r="CD30" s="14"/>
      <c r="CE30" s="14"/>
      <c r="CF30" s="14"/>
      <c r="CG30" s="14"/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14"/>
      <c r="CX30" s="14"/>
      <c r="CY30" s="14"/>
      <c r="CZ30" s="14"/>
      <c r="DA30" s="14"/>
      <c r="DB30" s="14"/>
      <c r="DC30" s="14"/>
      <c r="DD30" s="14"/>
      <c r="DE30" s="14"/>
      <c r="DF30" s="14"/>
      <c r="DG30" s="14"/>
      <c r="DH30" s="14"/>
      <c r="DI30" s="14"/>
      <c r="DJ30" s="14"/>
      <c r="DK30" s="14"/>
      <c r="DL30" s="14"/>
      <c r="DM30" s="14"/>
      <c r="DN30" s="14"/>
      <c r="DO30" s="14"/>
      <c r="DP30" s="26"/>
      <c r="DQ30" s="27"/>
      <c r="DR30" s="129"/>
      <c r="DS30" s="130">
        <f>TCP(BO30:DQ30,$BO$9:$DQ$9,data!$H$8)</f>
        <v>0</v>
      </c>
      <c r="DT30" s="135"/>
      <c r="DU30" s="121"/>
      <c r="DV30" s="121"/>
      <c r="DW30" s="134"/>
      <c r="DX30" s="132"/>
      <c r="DY30" s="136"/>
      <c r="DZ30" s="21"/>
      <c r="EA30" s="18"/>
      <c r="EB30" s="4"/>
      <c r="EI30" s="23"/>
      <c r="EJ30" s="23"/>
    </row>
    <row r="31" spans="1:140" ht="15.75" x14ac:dyDescent="0.25">
      <c r="A31" s="12"/>
      <c r="B31" s="16"/>
      <c r="C31" s="24" t="str">
        <f t="shared" si="0"/>
        <v xml:space="preserve"> </v>
      </c>
      <c r="D31" s="25"/>
      <c r="E31" s="20"/>
      <c r="F31" s="19" t="str">
        <f t="shared" si="1"/>
        <v xml:space="preserve"> </v>
      </c>
      <c r="G31" s="180"/>
      <c r="H31" s="120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/>
      <c r="AF31" s="121"/>
      <c r="AG31" s="121"/>
      <c r="AH31" s="121"/>
      <c r="AI31" s="121"/>
      <c r="AJ31" s="121"/>
      <c r="AK31" s="121"/>
      <c r="AL31" s="121"/>
      <c r="AM31" s="121"/>
      <c r="AN31" s="121"/>
      <c r="AO31" s="121"/>
      <c r="AP31" s="121"/>
      <c r="AQ31" s="121"/>
      <c r="AR31" s="121"/>
      <c r="AS31" s="121"/>
      <c r="AT31" s="121"/>
      <c r="AU31" s="121"/>
      <c r="AV31" s="121"/>
      <c r="AW31" s="121"/>
      <c r="AX31" s="121"/>
      <c r="AY31" s="121"/>
      <c r="AZ31" s="121"/>
      <c r="BA31" s="121"/>
      <c r="BB31" s="121"/>
      <c r="BC31" s="121"/>
      <c r="BD31" s="121"/>
      <c r="BE31" s="121"/>
      <c r="BF31" s="121"/>
      <c r="BG31" s="121"/>
      <c r="BH31" s="121"/>
      <c r="BI31" s="121"/>
      <c r="BJ31" s="122"/>
      <c r="BK31" s="93"/>
      <c r="BL31" s="94"/>
      <c r="BM31" s="95"/>
      <c r="BN31" s="179"/>
      <c r="BO31" s="177"/>
      <c r="BP31" s="14"/>
      <c r="BQ31" s="14"/>
      <c r="BR31" s="14"/>
      <c r="BS31" s="14"/>
      <c r="BT31" s="14"/>
      <c r="BU31" s="14"/>
      <c r="BV31" s="16"/>
      <c r="BW31" s="14"/>
      <c r="BX31" s="14"/>
      <c r="BY31" s="14"/>
      <c r="BZ31" s="14"/>
      <c r="CA31" s="14"/>
      <c r="CB31" s="14"/>
      <c r="CC31" s="14"/>
      <c r="CD31" s="14"/>
      <c r="CE31" s="14"/>
      <c r="CF31" s="14"/>
      <c r="CG31" s="14"/>
      <c r="CH31" s="14"/>
      <c r="CI31" s="14"/>
      <c r="CJ31" s="14"/>
      <c r="CK31" s="14"/>
      <c r="CL31" s="14"/>
      <c r="CM31" s="14"/>
      <c r="CN31" s="14"/>
      <c r="CO31" s="14"/>
      <c r="CP31" s="14"/>
      <c r="CQ31" s="14"/>
      <c r="CR31" s="14"/>
      <c r="CS31" s="14"/>
      <c r="CT31" s="14"/>
      <c r="CU31" s="14"/>
      <c r="CV31" s="14"/>
      <c r="CW31" s="14"/>
      <c r="CX31" s="14"/>
      <c r="CY31" s="14"/>
      <c r="CZ31" s="14"/>
      <c r="DA31" s="14"/>
      <c r="DB31" s="14"/>
      <c r="DC31" s="14"/>
      <c r="DD31" s="14"/>
      <c r="DE31" s="14"/>
      <c r="DF31" s="14"/>
      <c r="DG31" s="14"/>
      <c r="DH31" s="14"/>
      <c r="DI31" s="14"/>
      <c r="DJ31" s="14"/>
      <c r="DK31" s="14"/>
      <c r="DL31" s="14"/>
      <c r="DM31" s="14"/>
      <c r="DN31" s="14"/>
      <c r="DO31" s="14"/>
      <c r="DP31" s="26"/>
      <c r="DQ31" s="27"/>
      <c r="DR31" s="129"/>
      <c r="DS31" s="130">
        <f>TCP(BO31:DQ31,$BO$9:$DQ$9,data!$H$8)</f>
        <v>0</v>
      </c>
      <c r="DT31" s="135"/>
      <c r="DU31" s="121"/>
      <c r="DV31" s="121"/>
      <c r="DW31" s="134"/>
      <c r="DX31" s="132"/>
      <c r="DY31" s="136"/>
      <c r="DZ31" s="21"/>
      <c r="EA31" s="18"/>
      <c r="EB31" s="4"/>
      <c r="EI31" s="23"/>
      <c r="EJ31" s="23"/>
    </row>
    <row r="32" spans="1:140" ht="15.75" x14ac:dyDescent="0.25">
      <c r="A32" s="12"/>
      <c r="B32" s="16"/>
      <c r="C32" s="24" t="str">
        <f t="shared" si="0"/>
        <v xml:space="preserve"> </v>
      </c>
      <c r="D32" s="25"/>
      <c r="E32" s="20"/>
      <c r="F32" s="19" t="str">
        <f t="shared" si="1"/>
        <v xml:space="preserve"> </v>
      </c>
      <c r="G32" s="180"/>
      <c r="H32" s="120"/>
      <c r="I32" s="121"/>
      <c r="J32" s="121"/>
      <c r="K32" s="121"/>
      <c r="L32" s="121"/>
      <c r="M32" s="121"/>
      <c r="N32" s="121"/>
      <c r="O32" s="121"/>
      <c r="P32" s="121"/>
      <c r="Q32" s="121"/>
      <c r="R32" s="121"/>
      <c r="S32" s="121"/>
      <c r="T32" s="121"/>
      <c r="U32" s="121"/>
      <c r="V32" s="121"/>
      <c r="W32" s="121"/>
      <c r="X32" s="121"/>
      <c r="Y32" s="121"/>
      <c r="Z32" s="121"/>
      <c r="AA32" s="121"/>
      <c r="AB32" s="121"/>
      <c r="AC32" s="121"/>
      <c r="AD32" s="121"/>
      <c r="AE32" s="121"/>
      <c r="AF32" s="121"/>
      <c r="AG32" s="121"/>
      <c r="AH32" s="121"/>
      <c r="AI32" s="121"/>
      <c r="AJ32" s="121"/>
      <c r="AK32" s="121"/>
      <c r="AL32" s="121"/>
      <c r="AM32" s="121"/>
      <c r="AN32" s="121"/>
      <c r="AO32" s="121"/>
      <c r="AP32" s="121"/>
      <c r="AQ32" s="121"/>
      <c r="AR32" s="121"/>
      <c r="AS32" s="121"/>
      <c r="AT32" s="121"/>
      <c r="AU32" s="121"/>
      <c r="AV32" s="121"/>
      <c r="AW32" s="121"/>
      <c r="AX32" s="121"/>
      <c r="AY32" s="121"/>
      <c r="AZ32" s="121"/>
      <c r="BA32" s="121"/>
      <c r="BB32" s="121"/>
      <c r="BC32" s="121"/>
      <c r="BD32" s="121"/>
      <c r="BE32" s="121"/>
      <c r="BF32" s="121"/>
      <c r="BG32" s="121"/>
      <c r="BH32" s="121"/>
      <c r="BI32" s="121"/>
      <c r="BJ32" s="122"/>
      <c r="BK32" s="93"/>
      <c r="BL32" s="94"/>
      <c r="BM32" s="95"/>
      <c r="BN32" s="179"/>
      <c r="BO32" s="177"/>
      <c r="BP32" s="14"/>
      <c r="BQ32" s="14"/>
      <c r="BR32" s="14"/>
      <c r="BS32" s="14"/>
      <c r="BT32" s="14"/>
      <c r="BU32" s="14"/>
      <c r="BV32" s="16"/>
      <c r="BW32" s="14"/>
      <c r="BX32" s="14"/>
      <c r="BY32" s="14"/>
      <c r="BZ32" s="14"/>
      <c r="CA32" s="14"/>
      <c r="CB32" s="14"/>
      <c r="CC32" s="14"/>
      <c r="CD32" s="14"/>
      <c r="CE32" s="14"/>
      <c r="CF32" s="14"/>
      <c r="CG32" s="14"/>
      <c r="CH32" s="14"/>
      <c r="CI32" s="14"/>
      <c r="CJ32" s="14"/>
      <c r="CK32" s="14"/>
      <c r="CL32" s="14"/>
      <c r="CM32" s="14"/>
      <c r="CN32" s="14"/>
      <c r="CO32" s="14"/>
      <c r="CP32" s="14"/>
      <c r="CQ32" s="14"/>
      <c r="CR32" s="14"/>
      <c r="CS32" s="14"/>
      <c r="CT32" s="14"/>
      <c r="CU32" s="14"/>
      <c r="CV32" s="14"/>
      <c r="CW32" s="14"/>
      <c r="CX32" s="14"/>
      <c r="CY32" s="14"/>
      <c r="CZ32" s="14"/>
      <c r="DA32" s="14"/>
      <c r="DB32" s="14"/>
      <c r="DC32" s="14"/>
      <c r="DD32" s="14"/>
      <c r="DE32" s="14"/>
      <c r="DF32" s="14"/>
      <c r="DG32" s="14"/>
      <c r="DH32" s="14"/>
      <c r="DI32" s="14"/>
      <c r="DJ32" s="14"/>
      <c r="DK32" s="14"/>
      <c r="DL32" s="14"/>
      <c r="DM32" s="14"/>
      <c r="DN32" s="14"/>
      <c r="DO32" s="14"/>
      <c r="DP32" s="26"/>
      <c r="DQ32" s="27"/>
      <c r="DR32" s="129"/>
      <c r="DS32" s="130">
        <f>TCP(BO32:DQ32,$BO$9:$DQ$9,data!$H$8)</f>
        <v>0</v>
      </c>
      <c r="DT32" s="135"/>
      <c r="DU32" s="121"/>
      <c r="DV32" s="121"/>
      <c r="DW32" s="134"/>
      <c r="DX32" s="132"/>
      <c r="DY32" s="136"/>
      <c r="DZ32" s="21"/>
      <c r="EA32" s="18"/>
      <c r="EB32" s="4"/>
      <c r="EI32" s="23"/>
      <c r="EJ32" s="23"/>
    </row>
    <row r="33" spans="1:140" ht="15.75" x14ac:dyDescent="0.25">
      <c r="A33" s="12"/>
      <c r="B33" s="16"/>
      <c r="C33" s="24" t="str">
        <f t="shared" si="0"/>
        <v xml:space="preserve"> </v>
      </c>
      <c r="D33" s="25"/>
      <c r="E33" s="20"/>
      <c r="F33" s="19" t="str">
        <f t="shared" si="1"/>
        <v xml:space="preserve"> </v>
      </c>
      <c r="G33" s="180"/>
      <c r="H33" s="120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  <c r="AF33" s="121"/>
      <c r="AG33" s="121"/>
      <c r="AH33" s="121"/>
      <c r="AI33" s="121"/>
      <c r="AJ33" s="121"/>
      <c r="AK33" s="121"/>
      <c r="AL33" s="121"/>
      <c r="AM33" s="121"/>
      <c r="AN33" s="121"/>
      <c r="AO33" s="121"/>
      <c r="AP33" s="121"/>
      <c r="AQ33" s="121"/>
      <c r="AR33" s="121"/>
      <c r="AS33" s="121"/>
      <c r="AT33" s="121"/>
      <c r="AU33" s="121"/>
      <c r="AV33" s="121"/>
      <c r="AW33" s="121"/>
      <c r="AX33" s="121"/>
      <c r="AY33" s="121"/>
      <c r="AZ33" s="121"/>
      <c r="BA33" s="121"/>
      <c r="BB33" s="121"/>
      <c r="BC33" s="121"/>
      <c r="BD33" s="121"/>
      <c r="BE33" s="121"/>
      <c r="BF33" s="121"/>
      <c r="BG33" s="121"/>
      <c r="BH33" s="121"/>
      <c r="BI33" s="121"/>
      <c r="BJ33" s="122"/>
      <c r="BK33" s="93"/>
      <c r="BL33" s="94"/>
      <c r="BM33" s="95"/>
      <c r="BN33" s="179"/>
      <c r="BO33" s="177"/>
      <c r="BP33" s="14"/>
      <c r="BQ33" s="14"/>
      <c r="BR33" s="14"/>
      <c r="BS33" s="14"/>
      <c r="BT33" s="14"/>
      <c r="BU33" s="14"/>
      <c r="BV33" s="16"/>
      <c r="BW33" s="14"/>
      <c r="BX33" s="14"/>
      <c r="BY33" s="14"/>
      <c r="BZ33" s="14"/>
      <c r="CA33" s="14"/>
      <c r="CB33" s="14"/>
      <c r="CC33" s="14"/>
      <c r="CD33" s="14"/>
      <c r="CE33" s="14"/>
      <c r="CF33" s="14"/>
      <c r="CG33" s="14"/>
      <c r="CH33" s="14"/>
      <c r="CI33" s="14"/>
      <c r="CJ33" s="14"/>
      <c r="CK33" s="14"/>
      <c r="CL33" s="14"/>
      <c r="CM33" s="14"/>
      <c r="CN33" s="14"/>
      <c r="CO33" s="14"/>
      <c r="CP33" s="14"/>
      <c r="CQ33" s="14"/>
      <c r="CR33" s="14"/>
      <c r="CS33" s="14"/>
      <c r="CT33" s="14"/>
      <c r="CU33" s="14"/>
      <c r="CV33" s="14"/>
      <c r="CW33" s="14"/>
      <c r="CX33" s="14"/>
      <c r="CY33" s="14"/>
      <c r="CZ33" s="14"/>
      <c r="DA33" s="14"/>
      <c r="DB33" s="14"/>
      <c r="DC33" s="14"/>
      <c r="DD33" s="14"/>
      <c r="DE33" s="14"/>
      <c r="DF33" s="14"/>
      <c r="DG33" s="14"/>
      <c r="DH33" s="14"/>
      <c r="DI33" s="14"/>
      <c r="DJ33" s="14"/>
      <c r="DK33" s="14"/>
      <c r="DL33" s="14"/>
      <c r="DM33" s="14"/>
      <c r="DN33" s="14"/>
      <c r="DO33" s="14"/>
      <c r="DP33" s="26"/>
      <c r="DQ33" s="27"/>
      <c r="DR33" s="129"/>
      <c r="DS33" s="130">
        <f>TCP(BO33:DQ33,$BO$9:$DQ$9,data!$H$8)</f>
        <v>0</v>
      </c>
      <c r="DT33" s="135"/>
      <c r="DU33" s="121"/>
      <c r="DV33" s="121"/>
      <c r="DW33" s="134"/>
      <c r="DX33" s="132"/>
      <c r="DY33" s="136"/>
      <c r="DZ33" s="21"/>
      <c r="EA33" s="18"/>
      <c r="EB33" s="4"/>
      <c r="EI33" s="23"/>
      <c r="EJ33" s="23"/>
    </row>
    <row r="34" spans="1:140" ht="15.75" x14ac:dyDescent="0.25">
      <c r="A34" s="12"/>
      <c r="B34" s="16"/>
      <c r="C34" s="24" t="str">
        <f t="shared" si="0"/>
        <v xml:space="preserve"> </v>
      </c>
      <c r="D34" s="25"/>
      <c r="E34" s="20"/>
      <c r="F34" s="19" t="str">
        <f t="shared" si="1"/>
        <v xml:space="preserve"> </v>
      </c>
      <c r="G34" s="180"/>
      <c r="H34" s="120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U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21"/>
      <c r="AH34" s="121"/>
      <c r="AI34" s="121"/>
      <c r="AJ34" s="121"/>
      <c r="AK34" s="121"/>
      <c r="AL34" s="121"/>
      <c r="AM34" s="121"/>
      <c r="AN34" s="121"/>
      <c r="AO34" s="121"/>
      <c r="AP34" s="121"/>
      <c r="AQ34" s="121"/>
      <c r="AR34" s="121"/>
      <c r="AS34" s="121"/>
      <c r="AT34" s="121"/>
      <c r="AU34" s="121"/>
      <c r="AV34" s="121"/>
      <c r="AW34" s="121"/>
      <c r="AX34" s="121"/>
      <c r="AY34" s="121"/>
      <c r="AZ34" s="121"/>
      <c r="BA34" s="121"/>
      <c r="BB34" s="121"/>
      <c r="BC34" s="121"/>
      <c r="BD34" s="121"/>
      <c r="BE34" s="121"/>
      <c r="BF34" s="121"/>
      <c r="BG34" s="121"/>
      <c r="BH34" s="121"/>
      <c r="BI34" s="121"/>
      <c r="BJ34" s="122"/>
      <c r="BK34" s="93"/>
      <c r="BL34" s="94"/>
      <c r="BM34" s="95"/>
      <c r="BN34" s="179"/>
      <c r="BO34" s="177"/>
      <c r="BP34" s="14"/>
      <c r="BQ34" s="14"/>
      <c r="BR34" s="14"/>
      <c r="BS34" s="14"/>
      <c r="BT34" s="14"/>
      <c r="BU34" s="14"/>
      <c r="BV34" s="16"/>
      <c r="BW34" s="14"/>
      <c r="BX34" s="14"/>
      <c r="BY34" s="14"/>
      <c r="BZ34" s="14"/>
      <c r="CA34" s="14"/>
      <c r="CB34" s="14"/>
      <c r="CC34" s="14"/>
      <c r="CD34" s="14"/>
      <c r="CE34" s="14"/>
      <c r="CF34" s="14"/>
      <c r="CG34" s="14"/>
      <c r="CH34" s="14"/>
      <c r="CI34" s="14"/>
      <c r="CJ34" s="14"/>
      <c r="CK34" s="14"/>
      <c r="CL34" s="14"/>
      <c r="CM34" s="14"/>
      <c r="CN34" s="14"/>
      <c r="CO34" s="14"/>
      <c r="CP34" s="14"/>
      <c r="CQ34" s="14"/>
      <c r="CR34" s="14"/>
      <c r="CS34" s="14"/>
      <c r="CT34" s="14"/>
      <c r="CU34" s="14"/>
      <c r="CV34" s="14"/>
      <c r="CW34" s="14"/>
      <c r="CX34" s="14"/>
      <c r="CY34" s="14"/>
      <c r="CZ34" s="14"/>
      <c r="DA34" s="14"/>
      <c r="DB34" s="14"/>
      <c r="DC34" s="14"/>
      <c r="DD34" s="14"/>
      <c r="DE34" s="14"/>
      <c r="DF34" s="14"/>
      <c r="DG34" s="14"/>
      <c r="DH34" s="14"/>
      <c r="DI34" s="14"/>
      <c r="DJ34" s="14"/>
      <c r="DK34" s="14"/>
      <c r="DL34" s="14"/>
      <c r="DM34" s="14"/>
      <c r="DN34" s="14"/>
      <c r="DO34" s="14"/>
      <c r="DP34" s="26"/>
      <c r="DQ34" s="27"/>
      <c r="DR34" s="129"/>
      <c r="DS34" s="130">
        <f>TCP(BO34:DQ34,$BO$9:$DQ$9,data!$H$8)</f>
        <v>0</v>
      </c>
      <c r="DT34" s="135"/>
      <c r="DU34" s="121"/>
      <c r="DV34" s="121"/>
      <c r="DW34" s="134"/>
      <c r="DX34" s="132"/>
      <c r="DY34" s="136"/>
      <c r="DZ34" s="21"/>
      <c r="EA34" s="18"/>
      <c r="EB34" s="4"/>
      <c r="EI34" s="23"/>
      <c r="EJ34" s="23"/>
    </row>
    <row r="35" spans="1:140" ht="15.75" x14ac:dyDescent="0.25">
      <c r="A35" s="12"/>
      <c r="B35" s="16"/>
      <c r="C35" s="24" t="str">
        <f t="shared" si="0"/>
        <v xml:space="preserve"> </v>
      </c>
      <c r="D35" s="25"/>
      <c r="E35" s="20"/>
      <c r="F35" s="19" t="str">
        <f t="shared" si="1"/>
        <v xml:space="preserve"> </v>
      </c>
      <c r="G35" s="180"/>
      <c r="H35" s="120"/>
      <c r="I35" s="121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121"/>
      <c r="BH35" s="121"/>
      <c r="BI35" s="121"/>
      <c r="BJ35" s="122"/>
      <c r="BK35" s="93"/>
      <c r="BL35" s="94"/>
      <c r="BM35" s="95"/>
      <c r="BN35" s="179"/>
      <c r="BO35" s="177"/>
      <c r="BP35" s="14"/>
      <c r="BQ35" s="14"/>
      <c r="BR35" s="14"/>
      <c r="BS35" s="14"/>
      <c r="BT35" s="14"/>
      <c r="BU35" s="14"/>
      <c r="BV35" s="16"/>
      <c r="BW35" s="14"/>
      <c r="BX35" s="14"/>
      <c r="BY35" s="14"/>
      <c r="BZ35" s="14"/>
      <c r="CA35" s="14"/>
      <c r="CB35" s="14"/>
      <c r="CC35" s="14"/>
      <c r="CD35" s="14"/>
      <c r="CE35" s="14"/>
      <c r="CF35" s="14"/>
      <c r="CG35" s="14"/>
      <c r="CH35" s="14"/>
      <c r="CI35" s="14"/>
      <c r="CJ35" s="14"/>
      <c r="CK35" s="14"/>
      <c r="CL35" s="14"/>
      <c r="CM35" s="14"/>
      <c r="CN35" s="14"/>
      <c r="CO35" s="14"/>
      <c r="CP35" s="14"/>
      <c r="CQ35" s="14"/>
      <c r="CR35" s="14"/>
      <c r="CS35" s="14"/>
      <c r="CT35" s="14"/>
      <c r="CU35" s="14"/>
      <c r="CV35" s="14"/>
      <c r="CW35" s="14"/>
      <c r="CX35" s="14"/>
      <c r="CY35" s="14"/>
      <c r="CZ35" s="14"/>
      <c r="DA35" s="14"/>
      <c r="DB35" s="14"/>
      <c r="DC35" s="14"/>
      <c r="DD35" s="14"/>
      <c r="DE35" s="14"/>
      <c r="DF35" s="14"/>
      <c r="DG35" s="14"/>
      <c r="DH35" s="14"/>
      <c r="DI35" s="14"/>
      <c r="DJ35" s="14"/>
      <c r="DK35" s="14"/>
      <c r="DL35" s="14"/>
      <c r="DM35" s="14"/>
      <c r="DN35" s="14"/>
      <c r="DO35" s="14"/>
      <c r="DP35" s="26"/>
      <c r="DQ35" s="27"/>
      <c r="DR35" s="129"/>
      <c r="DS35" s="130">
        <f>TCP(BO35:DQ35,$BO$9:$DQ$9,data!$H$8)</f>
        <v>0</v>
      </c>
      <c r="DT35" s="135"/>
      <c r="DU35" s="121"/>
      <c r="DV35" s="121"/>
      <c r="DW35" s="134"/>
      <c r="DX35" s="132"/>
      <c r="DY35" s="136"/>
      <c r="DZ35" s="21"/>
      <c r="EA35" s="18"/>
      <c r="EB35" s="4"/>
      <c r="EI35" s="23"/>
      <c r="EJ35" s="23"/>
    </row>
    <row r="36" spans="1:140" ht="15.75" x14ac:dyDescent="0.25">
      <c r="A36" s="12"/>
      <c r="B36" s="16"/>
      <c r="C36" s="24" t="str">
        <f t="shared" si="0"/>
        <v xml:space="preserve"> </v>
      </c>
      <c r="D36" s="25"/>
      <c r="E36" s="20"/>
      <c r="F36" s="19" t="str">
        <f t="shared" si="1"/>
        <v xml:space="preserve"> </v>
      </c>
      <c r="G36" s="180"/>
      <c r="H36" s="120"/>
      <c r="I36" s="121"/>
      <c r="J36" s="121"/>
      <c r="K36" s="121"/>
      <c r="L36" s="121"/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/>
      <c r="AG36" s="121"/>
      <c r="AH36" s="121"/>
      <c r="AI36" s="121"/>
      <c r="AJ36" s="121"/>
      <c r="AK36" s="121"/>
      <c r="AL36" s="121"/>
      <c r="AM36" s="121"/>
      <c r="AN36" s="121"/>
      <c r="AO36" s="121"/>
      <c r="AP36" s="121"/>
      <c r="AQ36" s="121"/>
      <c r="AR36" s="121"/>
      <c r="AS36" s="121"/>
      <c r="AT36" s="121"/>
      <c r="AU36" s="121"/>
      <c r="AV36" s="121"/>
      <c r="AW36" s="121"/>
      <c r="AX36" s="121"/>
      <c r="AY36" s="121"/>
      <c r="AZ36" s="121"/>
      <c r="BA36" s="121"/>
      <c r="BB36" s="121"/>
      <c r="BC36" s="121"/>
      <c r="BD36" s="121"/>
      <c r="BE36" s="121"/>
      <c r="BF36" s="121"/>
      <c r="BG36" s="121"/>
      <c r="BH36" s="121"/>
      <c r="BI36" s="121"/>
      <c r="BJ36" s="122"/>
      <c r="BK36" s="93"/>
      <c r="BL36" s="94"/>
      <c r="BM36" s="95"/>
      <c r="BN36" s="179"/>
      <c r="BO36" s="177"/>
      <c r="BP36" s="14"/>
      <c r="BQ36" s="14"/>
      <c r="BR36" s="14"/>
      <c r="BS36" s="14"/>
      <c r="BT36" s="14"/>
      <c r="BU36" s="14"/>
      <c r="BV36" s="16"/>
      <c r="BW36" s="14"/>
      <c r="BX36" s="14"/>
      <c r="BY36" s="14"/>
      <c r="BZ36" s="14"/>
      <c r="CA36" s="14"/>
      <c r="CB36" s="14"/>
      <c r="CC36" s="14"/>
      <c r="CD36" s="14"/>
      <c r="CE36" s="14"/>
      <c r="CF36" s="14"/>
      <c r="CG36" s="14"/>
      <c r="CH36" s="14"/>
      <c r="CI36" s="14"/>
      <c r="CJ36" s="14"/>
      <c r="CK36" s="14"/>
      <c r="CL36" s="14"/>
      <c r="CM36" s="14"/>
      <c r="CN36" s="14"/>
      <c r="CO36" s="14"/>
      <c r="CP36" s="14"/>
      <c r="CQ36" s="14"/>
      <c r="CR36" s="14"/>
      <c r="CS36" s="14"/>
      <c r="CT36" s="14"/>
      <c r="CU36" s="14"/>
      <c r="CV36" s="14"/>
      <c r="CW36" s="14"/>
      <c r="CX36" s="14"/>
      <c r="CY36" s="14"/>
      <c r="CZ36" s="14"/>
      <c r="DA36" s="14"/>
      <c r="DB36" s="14"/>
      <c r="DC36" s="14"/>
      <c r="DD36" s="14"/>
      <c r="DE36" s="14"/>
      <c r="DF36" s="14"/>
      <c r="DG36" s="14"/>
      <c r="DH36" s="14"/>
      <c r="DI36" s="14"/>
      <c r="DJ36" s="14"/>
      <c r="DK36" s="14"/>
      <c r="DL36" s="14"/>
      <c r="DM36" s="14"/>
      <c r="DN36" s="14"/>
      <c r="DO36" s="14"/>
      <c r="DP36" s="26"/>
      <c r="DQ36" s="27"/>
      <c r="DR36" s="129"/>
      <c r="DS36" s="130">
        <f>TCP(BO36:DQ36,$BO$9:$DQ$9,data!$H$8)</f>
        <v>0</v>
      </c>
      <c r="DT36" s="135"/>
      <c r="DU36" s="121"/>
      <c r="DV36" s="121"/>
      <c r="DW36" s="134"/>
      <c r="DX36" s="132"/>
      <c r="DY36" s="136"/>
      <c r="DZ36" s="21"/>
      <c r="EA36" s="18"/>
      <c r="EB36" s="4"/>
      <c r="EI36" s="23"/>
      <c r="EJ36" s="23"/>
    </row>
    <row r="37" spans="1:140" ht="15.75" x14ac:dyDescent="0.25">
      <c r="A37" s="12"/>
      <c r="B37" s="16"/>
      <c r="C37" s="24" t="str">
        <f t="shared" si="0"/>
        <v xml:space="preserve"> </v>
      </c>
      <c r="D37" s="25"/>
      <c r="E37" s="20"/>
      <c r="F37" s="19" t="str">
        <f t="shared" si="1"/>
        <v xml:space="preserve"> </v>
      </c>
      <c r="G37" s="180"/>
      <c r="H37" s="120"/>
      <c r="I37" s="121"/>
      <c r="J37" s="121"/>
      <c r="K37" s="121"/>
      <c r="L37" s="121"/>
      <c r="M37" s="121"/>
      <c r="N37" s="121"/>
      <c r="O37" s="121"/>
      <c r="P37" s="121"/>
      <c r="Q37" s="121"/>
      <c r="R37" s="121"/>
      <c r="S37" s="121"/>
      <c r="T37" s="121"/>
      <c r="U37" s="121"/>
      <c r="V37" s="121"/>
      <c r="W37" s="121"/>
      <c r="X37" s="121"/>
      <c r="Y37" s="121"/>
      <c r="Z37" s="121"/>
      <c r="AA37" s="121"/>
      <c r="AB37" s="121"/>
      <c r="AC37" s="121"/>
      <c r="AD37" s="121"/>
      <c r="AE37" s="121"/>
      <c r="AF37" s="121"/>
      <c r="AG37" s="121"/>
      <c r="AH37" s="121"/>
      <c r="AI37" s="121"/>
      <c r="AJ37" s="121"/>
      <c r="AK37" s="121"/>
      <c r="AL37" s="121"/>
      <c r="AM37" s="121"/>
      <c r="AN37" s="121"/>
      <c r="AO37" s="121"/>
      <c r="AP37" s="121"/>
      <c r="AQ37" s="121"/>
      <c r="AR37" s="121"/>
      <c r="AS37" s="121"/>
      <c r="AT37" s="121"/>
      <c r="AU37" s="121"/>
      <c r="AV37" s="121"/>
      <c r="AW37" s="121"/>
      <c r="AX37" s="121"/>
      <c r="AY37" s="121"/>
      <c r="AZ37" s="121"/>
      <c r="BA37" s="121"/>
      <c r="BB37" s="121"/>
      <c r="BC37" s="121"/>
      <c r="BD37" s="121"/>
      <c r="BE37" s="121"/>
      <c r="BF37" s="121"/>
      <c r="BG37" s="121"/>
      <c r="BH37" s="121"/>
      <c r="BI37" s="121"/>
      <c r="BJ37" s="122"/>
      <c r="BK37" s="93"/>
      <c r="BL37" s="94"/>
      <c r="BM37" s="95"/>
      <c r="BN37" s="179"/>
      <c r="BO37" s="177"/>
      <c r="BP37" s="14"/>
      <c r="BQ37" s="14"/>
      <c r="BR37" s="14"/>
      <c r="BS37" s="14"/>
      <c r="BT37" s="14"/>
      <c r="BU37" s="14"/>
      <c r="BV37" s="16"/>
      <c r="BW37" s="14"/>
      <c r="BX37" s="14"/>
      <c r="BY37" s="14"/>
      <c r="BZ37" s="14"/>
      <c r="CA37" s="14"/>
      <c r="CB37" s="14"/>
      <c r="CC37" s="14"/>
      <c r="CD37" s="14"/>
      <c r="CE37" s="14"/>
      <c r="CF37" s="14"/>
      <c r="CG37" s="14"/>
      <c r="CH37" s="14"/>
      <c r="CI37" s="14"/>
      <c r="CJ37" s="14"/>
      <c r="CK37" s="14"/>
      <c r="CL37" s="14"/>
      <c r="CM37" s="14"/>
      <c r="CN37" s="14"/>
      <c r="CO37" s="14"/>
      <c r="CP37" s="14"/>
      <c r="CQ37" s="14"/>
      <c r="CR37" s="14"/>
      <c r="CS37" s="14"/>
      <c r="CT37" s="14"/>
      <c r="CU37" s="14"/>
      <c r="CV37" s="14"/>
      <c r="CW37" s="14"/>
      <c r="CX37" s="14"/>
      <c r="CY37" s="14"/>
      <c r="CZ37" s="14"/>
      <c r="DA37" s="14"/>
      <c r="DB37" s="14"/>
      <c r="DC37" s="14"/>
      <c r="DD37" s="14"/>
      <c r="DE37" s="14"/>
      <c r="DF37" s="14"/>
      <c r="DG37" s="14"/>
      <c r="DH37" s="14"/>
      <c r="DI37" s="14"/>
      <c r="DJ37" s="14"/>
      <c r="DK37" s="14"/>
      <c r="DL37" s="14"/>
      <c r="DM37" s="14"/>
      <c r="DN37" s="14"/>
      <c r="DO37" s="14"/>
      <c r="DP37" s="26"/>
      <c r="DQ37" s="27"/>
      <c r="DR37" s="129"/>
      <c r="DS37" s="130">
        <f>TCP(BO37:DQ37,$BO$9:$DQ$9,data!$H$8)</f>
        <v>0</v>
      </c>
      <c r="DT37" s="135"/>
      <c r="DU37" s="121"/>
      <c r="DV37" s="121"/>
      <c r="DW37" s="134"/>
      <c r="DX37" s="132"/>
      <c r="DY37" s="136"/>
      <c r="DZ37" s="21"/>
      <c r="EA37" s="18"/>
      <c r="EB37" s="4"/>
      <c r="EI37" s="23"/>
      <c r="EJ37" s="23"/>
    </row>
    <row r="38" spans="1:140" ht="15.75" x14ac:dyDescent="0.25">
      <c r="A38" s="12"/>
      <c r="B38" s="16"/>
      <c r="C38" s="24" t="str">
        <f t="shared" si="0"/>
        <v xml:space="preserve"> </v>
      </c>
      <c r="D38" s="25"/>
      <c r="E38" s="20"/>
      <c r="F38" s="19" t="str">
        <f t="shared" si="1"/>
        <v xml:space="preserve"> </v>
      </c>
      <c r="G38" s="180"/>
      <c r="H38" s="120"/>
      <c r="I38" s="121"/>
      <c r="J38" s="121"/>
      <c r="K38" s="121"/>
      <c r="L38" s="121"/>
      <c r="M38" s="121"/>
      <c r="N38" s="121"/>
      <c r="O38" s="121"/>
      <c r="P38" s="121"/>
      <c r="Q38" s="121"/>
      <c r="R38" s="121"/>
      <c r="S38" s="121"/>
      <c r="T38" s="121"/>
      <c r="U38" s="121"/>
      <c r="V38" s="121"/>
      <c r="W38" s="121"/>
      <c r="X38" s="121"/>
      <c r="Y38" s="121"/>
      <c r="Z38" s="121"/>
      <c r="AA38" s="121"/>
      <c r="AB38" s="121"/>
      <c r="AC38" s="121"/>
      <c r="AD38" s="121"/>
      <c r="AE38" s="121"/>
      <c r="AF38" s="121"/>
      <c r="AG38" s="121"/>
      <c r="AH38" s="121"/>
      <c r="AI38" s="121"/>
      <c r="AJ38" s="121"/>
      <c r="AK38" s="121"/>
      <c r="AL38" s="121"/>
      <c r="AM38" s="121"/>
      <c r="AN38" s="121"/>
      <c r="AO38" s="121"/>
      <c r="AP38" s="121"/>
      <c r="AQ38" s="121"/>
      <c r="AR38" s="121"/>
      <c r="AS38" s="121"/>
      <c r="AT38" s="121"/>
      <c r="AU38" s="121"/>
      <c r="AV38" s="121"/>
      <c r="AW38" s="121"/>
      <c r="AX38" s="121"/>
      <c r="AY38" s="121"/>
      <c r="AZ38" s="121"/>
      <c r="BA38" s="121"/>
      <c r="BB38" s="121"/>
      <c r="BC38" s="121"/>
      <c r="BD38" s="121"/>
      <c r="BE38" s="121"/>
      <c r="BF38" s="121"/>
      <c r="BG38" s="121"/>
      <c r="BH38" s="121"/>
      <c r="BI38" s="121"/>
      <c r="BJ38" s="122"/>
      <c r="BK38" s="93"/>
      <c r="BL38" s="94"/>
      <c r="BM38" s="95"/>
      <c r="BN38" s="179"/>
      <c r="BO38" s="177"/>
      <c r="BP38" s="14"/>
      <c r="BQ38" s="14"/>
      <c r="BR38" s="14"/>
      <c r="BS38" s="14"/>
      <c r="BT38" s="14"/>
      <c r="BU38" s="14"/>
      <c r="BV38" s="16"/>
      <c r="BW38" s="14"/>
      <c r="BX38" s="14"/>
      <c r="BY38" s="14"/>
      <c r="BZ38" s="14"/>
      <c r="CA38" s="14"/>
      <c r="CB38" s="14"/>
      <c r="CC38" s="14"/>
      <c r="CD38" s="14"/>
      <c r="CE38" s="14"/>
      <c r="CF38" s="14"/>
      <c r="CG38" s="14"/>
      <c r="CH38" s="14"/>
      <c r="CI38" s="14"/>
      <c r="CJ38" s="14"/>
      <c r="CK38" s="14"/>
      <c r="CL38" s="14"/>
      <c r="CM38" s="14"/>
      <c r="CN38" s="14"/>
      <c r="CO38" s="14"/>
      <c r="CP38" s="14"/>
      <c r="CQ38" s="14"/>
      <c r="CR38" s="14"/>
      <c r="CS38" s="14"/>
      <c r="CT38" s="14"/>
      <c r="CU38" s="14"/>
      <c r="CV38" s="14"/>
      <c r="CW38" s="14"/>
      <c r="CX38" s="14"/>
      <c r="CY38" s="14"/>
      <c r="CZ38" s="14"/>
      <c r="DA38" s="14"/>
      <c r="DB38" s="14"/>
      <c r="DC38" s="14"/>
      <c r="DD38" s="14"/>
      <c r="DE38" s="14"/>
      <c r="DF38" s="14"/>
      <c r="DG38" s="14"/>
      <c r="DH38" s="14"/>
      <c r="DI38" s="14"/>
      <c r="DJ38" s="14"/>
      <c r="DK38" s="14"/>
      <c r="DL38" s="14"/>
      <c r="DM38" s="14"/>
      <c r="DN38" s="14"/>
      <c r="DO38" s="14"/>
      <c r="DP38" s="26"/>
      <c r="DQ38" s="27"/>
      <c r="DR38" s="129"/>
      <c r="DS38" s="130">
        <f>TCP(BO38:DQ38,$BO$9:$DQ$9,data!$H$8)</f>
        <v>0</v>
      </c>
      <c r="DT38" s="135"/>
      <c r="DU38" s="121"/>
      <c r="DV38" s="121"/>
      <c r="DW38" s="134"/>
      <c r="DX38" s="132"/>
      <c r="DY38" s="136"/>
      <c r="DZ38" s="21"/>
      <c r="EA38" s="18"/>
      <c r="EB38" s="4"/>
      <c r="EI38" s="23"/>
      <c r="EJ38" s="23"/>
    </row>
    <row r="39" spans="1:140" ht="15.75" x14ac:dyDescent="0.25">
      <c r="A39" s="12"/>
      <c r="B39" s="16"/>
      <c r="C39" s="24" t="str">
        <f t="shared" si="0"/>
        <v xml:space="preserve"> </v>
      </c>
      <c r="D39" s="25"/>
      <c r="E39" s="20"/>
      <c r="F39" s="19" t="str">
        <f t="shared" si="1"/>
        <v xml:space="preserve"> </v>
      </c>
      <c r="G39" s="180"/>
      <c r="H39" s="120"/>
      <c r="I39" s="121"/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/>
      <c r="AG39" s="121"/>
      <c r="AH39" s="121"/>
      <c r="AI39" s="121"/>
      <c r="AJ39" s="121"/>
      <c r="AK39" s="121"/>
      <c r="AL39" s="121"/>
      <c r="AM39" s="121"/>
      <c r="AN39" s="121"/>
      <c r="AO39" s="121"/>
      <c r="AP39" s="121"/>
      <c r="AQ39" s="121"/>
      <c r="AR39" s="121"/>
      <c r="AS39" s="121"/>
      <c r="AT39" s="121"/>
      <c r="AU39" s="121"/>
      <c r="AV39" s="121"/>
      <c r="AW39" s="121"/>
      <c r="AX39" s="121"/>
      <c r="AY39" s="121"/>
      <c r="AZ39" s="121"/>
      <c r="BA39" s="121"/>
      <c r="BB39" s="121"/>
      <c r="BC39" s="121"/>
      <c r="BD39" s="121"/>
      <c r="BE39" s="121"/>
      <c r="BF39" s="121"/>
      <c r="BG39" s="121"/>
      <c r="BH39" s="121"/>
      <c r="BI39" s="121"/>
      <c r="BJ39" s="122"/>
      <c r="BK39" s="93"/>
      <c r="BL39" s="94"/>
      <c r="BM39" s="95"/>
      <c r="BN39" s="179"/>
      <c r="BO39" s="177"/>
      <c r="BP39" s="14"/>
      <c r="BQ39" s="14"/>
      <c r="BR39" s="14"/>
      <c r="BS39" s="14"/>
      <c r="BT39" s="14"/>
      <c r="BU39" s="14"/>
      <c r="BV39" s="16"/>
      <c r="BW39" s="14"/>
      <c r="BX39" s="14"/>
      <c r="BY39" s="14"/>
      <c r="BZ39" s="14"/>
      <c r="CA39" s="14"/>
      <c r="CB39" s="14"/>
      <c r="CC39" s="14"/>
      <c r="CD39" s="14"/>
      <c r="CE39" s="14"/>
      <c r="CF39" s="14"/>
      <c r="CG39" s="14"/>
      <c r="CH39" s="14"/>
      <c r="CI39" s="14"/>
      <c r="CJ39" s="14"/>
      <c r="CK39" s="14"/>
      <c r="CL39" s="14"/>
      <c r="CM39" s="14"/>
      <c r="CN39" s="14"/>
      <c r="CO39" s="14"/>
      <c r="CP39" s="14"/>
      <c r="CQ39" s="14"/>
      <c r="CR39" s="14"/>
      <c r="CS39" s="14"/>
      <c r="CT39" s="14"/>
      <c r="CU39" s="14"/>
      <c r="CV39" s="14"/>
      <c r="CW39" s="14"/>
      <c r="CX39" s="14"/>
      <c r="CY39" s="14"/>
      <c r="CZ39" s="14"/>
      <c r="DA39" s="14"/>
      <c r="DB39" s="14"/>
      <c r="DC39" s="14"/>
      <c r="DD39" s="14"/>
      <c r="DE39" s="14"/>
      <c r="DF39" s="14"/>
      <c r="DG39" s="14"/>
      <c r="DH39" s="14"/>
      <c r="DI39" s="14"/>
      <c r="DJ39" s="14"/>
      <c r="DK39" s="14"/>
      <c r="DL39" s="14"/>
      <c r="DM39" s="14"/>
      <c r="DN39" s="14"/>
      <c r="DO39" s="14"/>
      <c r="DP39" s="26"/>
      <c r="DQ39" s="27"/>
      <c r="DR39" s="129"/>
      <c r="DS39" s="130">
        <f>TCP(BO39:DQ39,$BO$9:$DQ$9,data!$H$8)</f>
        <v>0</v>
      </c>
      <c r="DT39" s="135"/>
      <c r="DU39" s="121"/>
      <c r="DV39" s="121"/>
      <c r="DW39" s="134"/>
      <c r="DX39" s="132"/>
      <c r="DY39" s="136"/>
      <c r="DZ39" s="21"/>
      <c r="EA39" s="18"/>
      <c r="EB39" s="4"/>
      <c r="EI39" s="23"/>
      <c r="EJ39" s="23"/>
    </row>
    <row r="40" spans="1:140" ht="15.75" x14ac:dyDescent="0.25">
      <c r="A40" s="12"/>
      <c r="B40" s="16"/>
      <c r="C40" s="24" t="str">
        <f t="shared" si="0"/>
        <v xml:space="preserve"> </v>
      </c>
      <c r="D40" s="25"/>
      <c r="E40" s="20"/>
      <c r="F40" s="19" t="str">
        <f t="shared" si="1"/>
        <v xml:space="preserve"> </v>
      </c>
      <c r="G40" s="180"/>
      <c r="H40" s="120"/>
      <c r="I40" s="121"/>
      <c r="J40" s="121"/>
      <c r="K40" s="121"/>
      <c r="L40" s="121"/>
      <c r="M40" s="121"/>
      <c r="N40" s="121"/>
      <c r="O40" s="121"/>
      <c r="P40" s="121"/>
      <c r="Q40" s="121"/>
      <c r="R40" s="121"/>
      <c r="S40" s="121"/>
      <c r="T40" s="121"/>
      <c r="U40" s="121"/>
      <c r="V40" s="121"/>
      <c r="W40" s="121"/>
      <c r="X40" s="121"/>
      <c r="Y40" s="121"/>
      <c r="Z40" s="121"/>
      <c r="AA40" s="121"/>
      <c r="AB40" s="121"/>
      <c r="AC40" s="121"/>
      <c r="AD40" s="121"/>
      <c r="AE40" s="121"/>
      <c r="AF40" s="121"/>
      <c r="AG40" s="121"/>
      <c r="AH40" s="121"/>
      <c r="AI40" s="121"/>
      <c r="AJ40" s="121"/>
      <c r="AK40" s="121"/>
      <c r="AL40" s="121"/>
      <c r="AM40" s="121"/>
      <c r="AN40" s="121"/>
      <c r="AO40" s="121"/>
      <c r="AP40" s="121"/>
      <c r="AQ40" s="121"/>
      <c r="AR40" s="121"/>
      <c r="AS40" s="121"/>
      <c r="AT40" s="121"/>
      <c r="AU40" s="121"/>
      <c r="AV40" s="121"/>
      <c r="AW40" s="121"/>
      <c r="AX40" s="121"/>
      <c r="AY40" s="121"/>
      <c r="AZ40" s="121"/>
      <c r="BA40" s="121"/>
      <c r="BB40" s="121"/>
      <c r="BC40" s="121"/>
      <c r="BD40" s="121"/>
      <c r="BE40" s="121"/>
      <c r="BF40" s="121"/>
      <c r="BG40" s="121"/>
      <c r="BH40" s="121"/>
      <c r="BI40" s="121"/>
      <c r="BJ40" s="122"/>
      <c r="BK40" s="93"/>
      <c r="BL40" s="94"/>
      <c r="BM40" s="95"/>
      <c r="BN40" s="179"/>
      <c r="BO40" s="177"/>
      <c r="BP40" s="14"/>
      <c r="BQ40" s="14"/>
      <c r="BR40" s="14"/>
      <c r="BS40" s="14"/>
      <c r="BT40" s="14"/>
      <c r="BU40" s="14"/>
      <c r="BV40" s="16"/>
      <c r="BW40" s="14"/>
      <c r="BX40" s="14"/>
      <c r="BY40" s="14"/>
      <c r="BZ40" s="14"/>
      <c r="CA40" s="14"/>
      <c r="CB40" s="14"/>
      <c r="CC40" s="14"/>
      <c r="CD40" s="14"/>
      <c r="CE40" s="14"/>
      <c r="CF40" s="14"/>
      <c r="CG40" s="14"/>
      <c r="CH40" s="14"/>
      <c r="CI40" s="14"/>
      <c r="CJ40" s="14"/>
      <c r="CK40" s="14"/>
      <c r="CL40" s="14"/>
      <c r="CM40" s="14"/>
      <c r="CN40" s="14"/>
      <c r="CO40" s="14"/>
      <c r="CP40" s="14"/>
      <c r="CQ40" s="14"/>
      <c r="CR40" s="14"/>
      <c r="CS40" s="14"/>
      <c r="CT40" s="14"/>
      <c r="CU40" s="14"/>
      <c r="CV40" s="14"/>
      <c r="CW40" s="14"/>
      <c r="CX40" s="14"/>
      <c r="CY40" s="14"/>
      <c r="CZ40" s="14"/>
      <c r="DA40" s="14"/>
      <c r="DB40" s="14"/>
      <c r="DC40" s="14"/>
      <c r="DD40" s="14"/>
      <c r="DE40" s="14"/>
      <c r="DF40" s="14"/>
      <c r="DG40" s="14"/>
      <c r="DH40" s="14"/>
      <c r="DI40" s="14"/>
      <c r="DJ40" s="14"/>
      <c r="DK40" s="14"/>
      <c r="DL40" s="14"/>
      <c r="DM40" s="14"/>
      <c r="DN40" s="14"/>
      <c r="DO40" s="14"/>
      <c r="DP40" s="26"/>
      <c r="DQ40" s="27"/>
      <c r="DR40" s="129"/>
      <c r="DS40" s="130">
        <f>TCP(BO40:DQ40,$BO$9:$DQ$9,data!$H$8)</f>
        <v>0</v>
      </c>
      <c r="DT40" s="135"/>
      <c r="DU40" s="121"/>
      <c r="DV40" s="121"/>
      <c r="DW40" s="134"/>
      <c r="DX40" s="132"/>
      <c r="DY40" s="136"/>
      <c r="DZ40" s="21"/>
      <c r="EA40" s="18"/>
      <c r="EB40" s="4"/>
      <c r="EI40" s="23"/>
      <c r="EJ40" s="23"/>
    </row>
    <row r="41" spans="1:140" ht="15.75" x14ac:dyDescent="0.25">
      <c r="A41" s="12"/>
      <c r="B41" s="16"/>
      <c r="C41" s="24" t="str">
        <f t="shared" si="0"/>
        <v xml:space="preserve"> </v>
      </c>
      <c r="D41" s="25"/>
      <c r="E41" s="20"/>
      <c r="F41" s="19" t="str">
        <f t="shared" si="1"/>
        <v xml:space="preserve"> </v>
      </c>
      <c r="G41" s="180"/>
      <c r="H41" s="120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1"/>
      <c r="AI41" s="121"/>
      <c r="AJ41" s="121"/>
      <c r="AK41" s="121"/>
      <c r="AL41" s="121"/>
      <c r="AM41" s="121"/>
      <c r="AN41" s="121"/>
      <c r="AO41" s="121"/>
      <c r="AP41" s="121"/>
      <c r="AQ41" s="121"/>
      <c r="AR41" s="121"/>
      <c r="AS41" s="121"/>
      <c r="AT41" s="121"/>
      <c r="AU41" s="121"/>
      <c r="AV41" s="121"/>
      <c r="AW41" s="121"/>
      <c r="AX41" s="121"/>
      <c r="AY41" s="121"/>
      <c r="AZ41" s="121"/>
      <c r="BA41" s="121"/>
      <c r="BB41" s="121"/>
      <c r="BC41" s="121"/>
      <c r="BD41" s="121"/>
      <c r="BE41" s="121"/>
      <c r="BF41" s="121"/>
      <c r="BG41" s="121"/>
      <c r="BH41" s="121"/>
      <c r="BI41" s="121"/>
      <c r="BJ41" s="122"/>
      <c r="BK41" s="93"/>
      <c r="BL41" s="94"/>
      <c r="BM41" s="95"/>
      <c r="BN41" s="179"/>
      <c r="BO41" s="177"/>
      <c r="BP41" s="14"/>
      <c r="BQ41" s="14"/>
      <c r="BR41" s="14"/>
      <c r="BS41" s="14"/>
      <c r="BT41" s="14"/>
      <c r="BU41" s="14"/>
      <c r="BV41" s="16"/>
      <c r="BW41" s="14"/>
      <c r="BX41" s="14"/>
      <c r="BY41" s="14"/>
      <c r="BZ41" s="14"/>
      <c r="CA41" s="14"/>
      <c r="CB41" s="14"/>
      <c r="CC41" s="14"/>
      <c r="CD41" s="14"/>
      <c r="CE41" s="14"/>
      <c r="CF41" s="14"/>
      <c r="CG41" s="14"/>
      <c r="CH41" s="14"/>
      <c r="CI41" s="14"/>
      <c r="CJ41" s="14"/>
      <c r="CK41" s="14"/>
      <c r="CL41" s="14"/>
      <c r="CM41" s="14"/>
      <c r="CN41" s="14"/>
      <c r="CO41" s="14"/>
      <c r="CP41" s="14"/>
      <c r="CQ41" s="14"/>
      <c r="CR41" s="14"/>
      <c r="CS41" s="14"/>
      <c r="CT41" s="14"/>
      <c r="CU41" s="14"/>
      <c r="CV41" s="14"/>
      <c r="CW41" s="14"/>
      <c r="CX41" s="14"/>
      <c r="CY41" s="14"/>
      <c r="CZ41" s="14"/>
      <c r="DA41" s="14"/>
      <c r="DB41" s="14"/>
      <c r="DC41" s="14"/>
      <c r="DD41" s="14"/>
      <c r="DE41" s="14"/>
      <c r="DF41" s="14"/>
      <c r="DG41" s="14"/>
      <c r="DH41" s="14"/>
      <c r="DI41" s="14"/>
      <c r="DJ41" s="14"/>
      <c r="DK41" s="14"/>
      <c r="DL41" s="14"/>
      <c r="DM41" s="14"/>
      <c r="DN41" s="14"/>
      <c r="DO41" s="14"/>
      <c r="DP41" s="26"/>
      <c r="DQ41" s="27"/>
      <c r="DR41" s="129"/>
      <c r="DS41" s="130">
        <f>TCP(BO41:DQ41,$BO$9:$DQ$9,data!$H$8)</f>
        <v>0</v>
      </c>
      <c r="DT41" s="135"/>
      <c r="DU41" s="121"/>
      <c r="DV41" s="121"/>
      <c r="DW41" s="134"/>
      <c r="DX41" s="132"/>
      <c r="DY41" s="136"/>
      <c r="DZ41" s="21"/>
      <c r="EA41" s="18"/>
      <c r="EB41" s="4"/>
      <c r="EI41" s="23"/>
      <c r="EJ41" s="23"/>
    </row>
    <row r="42" spans="1:140" ht="15.75" x14ac:dyDescent="0.25">
      <c r="A42" s="12"/>
      <c r="B42" s="16"/>
      <c r="C42" s="24" t="str">
        <f t="shared" si="0"/>
        <v xml:space="preserve"> </v>
      </c>
      <c r="D42" s="25"/>
      <c r="E42" s="20"/>
      <c r="F42" s="19" t="str">
        <f t="shared" si="1"/>
        <v xml:space="preserve"> </v>
      </c>
      <c r="G42" s="180"/>
      <c r="H42" s="120"/>
      <c r="I42" s="121"/>
      <c r="J42" s="121"/>
      <c r="K42" s="121"/>
      <c r="L42" s="121"/>
      <c r="M42" s="121"/>
      <c r="N42" s="121"/>
      <c r="O42" s="121"/>
      <c r="P42" s="121"/>
      <c r="Q42" s="121"/>
      <c r="R42" s="121"/>
      <c r="S42" s="121"/>
      <c r="T42" s="121"/>
      <c r="U42" s="121"/>
      <c r="V42" s="121"/>
      <c r="W42" s="121"/>
      <c r="X42" s="121"/>
      <c r="Y42" s="121"/>
      <c r="Z42" s="121"/>
      <c r="AA42" s="121"/>
      <c r="AB42" s="121"/>
      <c r="AC42" s="121"/>
      <c r="AD42" s="121"/>
      <c r="AE42" s="121"/>
      <c r="AF42" s="121"/>
      <c r="AG42" s="121"/>
      <c r="AH42" s="121"/>
      <c r="AI42" s="121"/>
      <c r="AJ42" s="121"/>
      <c r="AK42" s="121"/>
      <c r="AL42" s="121"/>
      <c r="AM42" s="121"/>
      <c r="AN42" s="121"/>
      <c r="AO42" s="121"/>
      <c r="AP42" s="121"/>
      <c r="AQ42" s="121"/>
      <c r="AR42" s="121"/>
      <c r="AS42" s="121"/>
      <c r="AT42" s="121"/>
      <c r="AU42" s="121"/>
      <c r="AV42" s="121"/>
      <c r="AW42" s="121"/>
      <c r="AX42" s="121"/>
      <c r="AY42" s="121"/>
      <c r="AZ42" s="121"/>
      <c r="BA42" s="121"/>
      <c r="BB42" s="121"/>
      <c r="BC42" s="121"/>
      <c r="BD42" s="121"/>
      <c r="BE42" s="121"/>
      <c r="BF42" s="121"/>
      <c r="BG42" s="121"/>
      <c r="BH42" s="121"/>
      <c r="BI42" s="121"/>
      <c r="BJ42" s="122"/>
      <c r="BK42" s="93"/>
      <c r="BL42" s="94"/>
      <c r="BM42" s="95"/>
      <c r="BN42" s="179"/>
      <c r="BO42" s="177"/>
      <c r="BP42" s="14"/>
      <c r="BQ42" s="14"/>
      <c r="BR42" s="14"/>
      <c r="BS42" s="14"/>
      <c r="BT42" s="14"/>
      <c r="BU42" s="14"/>
      <c r="BV42" s="16"/>
      <c r="BW42" s="14"/>
      <c r="BX42" s="14"/>
      <c r="BY42" s="14"/>
      <c r="BZ42" s="14"/>
      <c r="CA42" s="14"/>
      <c r="CB42" s="14"/>
      <c r="CC42" s="14"/>
      <c r="CD42" s="14"/>
      <c r="CE42" s="14"/>
      <c r="CF42" s="14"/>
      <c r="CG42" s="14"/>
      <c r="CH42" s="14"/>
      <c r="CI42" s="14"/>
      <c r="CJ42" s="14"/>
      <c r="CK42" s="14"/>
      <c r="CL42" s="14"/>
      <c r="CM42" s="14"/>
      <c r="CN42" s="14"/>
      <c r="CO42" s="14"/>
      <c r="CP42" s="14"/>
      <c r="CQ42" s="14"/>
      <c r="CR42" s="14"/>
      <c r="CS42" s="14"/>
      <c r="CT42" s="14"/>
      <c r="CU42" s="14"/>
      <c r="CV42" s="14"/>
      <c r="CW42" s="14"/>
      <c r="CX42" s="14"/>
      <c r="CY42" s="14"/>
      <c r="CZ42" s="14"/>
      <c r="DA42" s="14"/>
      <c r="DB42" s="14"/>
      <c r="DC42" s="14"/>
      <c r="DD42" s="14"/>
      <c r="DE42" s="14"/>
      <c r="DF42" s="14"/>
      <c r="DG42" s="14"/>
      <c r="DH42" s="14"/>
      <c r="DI42" s="14"/>
      <c r="DJ42" s="14"/>
      <c r="DK42" s="14"/>
      <c r="DL42" s="14"/>
      <c r="DM42" s="14"/>
      <c r="DN42" s="14"/>
      <c r="DO42" s="14"/>
      <c r="DP42" s="26"/>
      <c r="DQ42" s="27"/>
      <c r="DR42" s="129"/>
      <c r="DS42" s="130">
        <f>TCP(BO42:DQ42,$BO$9:$DQ$9,data!$H$8)</f>
        <v>0</v>
      </c>
      <c r="DT42" s="135"/>
      <c r="DU42" s="121"/>
      <c r="DV42" s="121"/>
      <c r="DW42" s="134"/>
      <c r="DX42" s="132"/>
      <c r="DY42" s="136"/>
      <c r="DZ42" s="21"/>
      <c r="EA42" s="18"/>
      <c r="EB42" s="4"/>
      <c r="EI42" s="23"/>
      <c r="EJ42" s="23"/>
    </row>
    <row r="43" spans="1:140" ht="15.75" x14ac:dyDescent="0.25">
      <c r="A43" s="12"/>
      <c r="B43" s="16"/>
      <c r="C43" s="24" t="str">
        <f t="shared" si="0"/>
        <v xml:space="preserve"> </v>
      </c>
      <c r="D43" s="25"/>
      <c r="E43" s="20"/>
      <c r="F43" s="19" t="str">
        <f t="shared" si="1"/>
        <v xml:space="preserve"> </v>
      </c>
      <c r="G43" s="180"/>
      <c r="H43" s="120"/>
      <c r="I43" s="121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2"/>
      <c r="BK43" s="93"/>
      <c r="BL43" s="94"/>
      <c r="BM43" s="95"/>
      <c r="BN43" s="179"/>
      <c r="BO43" s="177"/>
      <c r="BP43" s="14"/>
      <c r="BQ43" s="14"/>
      <c r="BR43" s="14"/>
      <c r="BS43" s="14"/>
      <c r="BT43" s="14"/>
      <c r="BU43" s="14"/>
      <c r="BV43" s="16"/>
      <c r="BW43" s="14"/>
      <c r="BX43" s="14"/>
      <c r="BY43" s="14"/>
      <c r="BZ43" s="14"/>
      <c r="CA43" s="14"/>
      <c r="CB43" s="14"/>
      <c r="CC43" s="14"/>
      <c r="CD43" s="14"/>
      <c r="CE43" s="14"/>
      <c r="CF43" s="14"/>
      <c r="CG43" s="14"/>
      <c r="CH43" s="14"/>
      <c r="CI43" s="14"/>
      <c r="CJ43" s="14"/>
      <c r="CK43" s="14"/>
      <c r="CL43" s="14"/>
      <c r="CM43" s="14"/>
      <c r="CN43" s="14"/>
      <c r="CO43" s="14"/>
      <c r="CP43" s="14"/>
      <c r="CQ43" s="14"/>
      <c r="CR43" s="14"/>
      <c r="CS43" s="14"/>
      <c r="CT43" s="14"/>
      <c r="CU43" s="14"/>
      <c r="CV43" s="14"/>
      <c r="CW43" s="14"/>
      <c r="CX43" s="14"/>
      <c r="CY43" s="14"/>
      <c r="CZ43" s="14"/>
      <c r="DA43" s="14"/>
      <c r="DB43" s="14"/>
      <c r="DC43" s="14"/>
      <c r="DD43" s="14"/>
      <c r="DE43" s="14"/>
      <c r="DF43" s="14"/>
      <c r="DG43" s="14"/>
      <c r="DH43" s="14"/>
      <c r="DI43" s="14"/>
      <c r="DJ43" s="14"/>
      <c r="DK43" s="14"/>
      <c r="DL43" s="14"/>
      <c r="DM43" s="14"/>
      <c r="DN43" s="14"/>
      <c r="DO43" s="14"/>
      <c r="DP43" s="26"/>
      <c r="DQ43" s="27"/>
      <c r="DR43" s="129"/>
      <c r="DS43" s="130">
        <f>TCP(BO43:DQ43,$BO$9:$DQ$9,data!$H$8)</f>
        <v>0</v>
      </c>
      <c r="DT43" s="135"/>
      <c r="DU43" s="121"/>
      <c r="DV43" s="121"/>
      <c r="DW43" s="134"/>
      <c r="DX43" s="132"/>
      <c r="DY43" s="136"/>
      <c r="DZ43" s="21"/>
      <c r="EA43" s="18"/>
      <c r="EB43" s="4"/>
      <c r="EI43" s="23"/>
      <c r="EJ43" s="23"/>
    </row>
    <row r="44" spans="1:140" ht="15.75" x14ac:dyDescent="0.25">
      <c r="A44" s="12"/>
      <c r="B44" s="16"/>
      <c r="C44" s="24" t="str">
        <f t="shared" si="0"/>
        <v xml:space="preserve"> </v>
      </c>
      <c r="D44" s="25"/>
      <c r="E44" s="20"/>
      <c r="F44" s="19" t="str">
        <f t="shared" si="1"/>
        <v xml:space="preserve"> </v>
      </c>
      <c r="G44" s="180"/>
      <c r="H44" s="120"/>
      <c r="I44" s="121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121"/>
      <c r="BE44" s="121"/>
      <c r="BF44" s="121"/>
      <c r="BG44" s="121"/>
      <c r="BH44" s="121"/>
      <c r="BI44" s="121"/>
      <c r="BJ44" s="122"/>
      <c r="BK44" s="93"/>
      <c r="BL44" s="94"/>
      <c r="BM44" s="95"/>
      <c r="BN44" s="179"/>
      <c r="BO44" s="177"/>
      <c r="BP44" s="14"/>
      <c r="BQ44" s="14"/>
      <c r="BR44" s="14"/>
      <c r="BS44" s="14"/>
      <c r="BT44" s="14"/>
      <c r="BU44" s="14"/>
      <c r="BV44" s="16"/>
      <c r="BW44" s="14"/>
      <c r="BX44" s="14"/>
      <c r="BY44" s="14"/>
      <c r="BZ44" s="14"/>
      <c r="CA44" s="14"/>
      <c r="CB44" s="14"/>
      <c r="CC44" s="14"/>
      <c r="CD44" s="14"/>
      <c r="CE44" s="14"/>
      <c r="CF44" s="14"/>
      <c r="CG44" s="14"/>
      <c r="CH44" s="14"/>
      <c r="CI44" s="14"/>
      <c r="CJ44" s="14"/>
      <c r="CK44" s="14"/>
      <c r="CL44" s="14"/>
      <c r="CM44" s="14"/>
      <c r="CN44" s="14"/>
      <c r="CO44" s="14"/>
      <c r="CP44" s="14"/>
      <c r="CQ44" s="14"/>
      <c r="CR44" s="14"/>
      <c r="CS44" s="14"/>
      <c r="CT44" s="14"/>
      <c r="CU44" s="14"/>
      <c r="CV44" s="14"/>
      <c r="CW44" s="14"/>
      <c r="CX44" s="14"/>
      <c r="CY44" s="14"/>
      <c r="CZ44" s="14"/>
      <c r="DA44" s="14"/>
      <c r="DB44" s="14"/>
      <c r="DC44" s="14"/>
      <c r="DD44" s="14"/>
      <c r="DE44" s="14"/>
      <c r="DF44" s="14"/>
      <c r="DG44" s="14"/>
      <c r="DH44" s="14"/>
      <c r="DI44" s="14"/>
      <c r="DJ44" s="14"/>
      <c r="DK44" s="14"/>
      <c r="DL44" s="14"/>
      <c r="DM44" s="14"/>
      <c r="DN44" s="14"/>
      <c r="DO44" s="14"/>
      <c r="DP44" s="26"/>
      <c r="DQ44" s="27"/>
      <c r="DR44" s="129"/>
      <c r="DS44" s="130">
        <f>TCP(BO44:DQ44,$BO$9:$DQ$9,data!$H$8)</f>
        <v>0</v>
      </c>
      <c r="DT44" s="135"/>
      <c r="DU44" s="121"/>
      <c r="DV44" s="121"/>
      <c r="DW44" s="134"/>
      <c r="DX44" s="132"/>
      <c r="DY44" s="136"/>
      <c r="DZ44" s="21"/>
      <c r="EA44" s="18"/>
      <c r="EB44" s="4"/>
      <c r="EI44" s="23"/>
      <c r="EJ44" s="23"/>
    </row>
    <row r="45" spans="1:140" ht="15.75" x14ac:dyDescent="0.25">
      <c r="A45" s="12"/>
      <c r="B45" s="16"/>
      <c r="C45" s="24" t="str">
        <f t="shared" si="0"/>
        <v xml:space="preserve"> </v>
      </c>
      <c r="D45" s="25"/>
      <c r="E45" s="20"/>
      <c r="F45" s="19" t="str">
        <f t="shared" si="1"/>
        <v xml:space="preserve"> </v>
      </c>
      <c r="G45" s="180"/>
      <c r="H45" s="120"/>
      <c r="I45" s="121"/>
      <c r="J45" s="121"/>
      <c r="K45" s="121"/>
      <c r="L45" s="121"/>
      <c r="M45" s="121"/>
      <c r="N45" s="121"/>
      <c r="O45" s="121"/>
      <c r="P45" s="121"/>
      <c r="Q45" s="121"/>
      <c r="R45" s="121"/>
      <c r="S45" s="121"/>
      <c r="T45" s="121"/>
      <c r="U45" s="121"/>
      <c r="V45" s="121"/>
      <c r="W45" s="121"/>
      <c r="X45" s="121"/>
      <c r="Y45" s="121"/>
      <c r="Z45" s="121"/>
      <c r="AA45" s="121"/>
      <c r="AB45" s="121"/>
      <c r="AC45" s="121"/>
      <c r="AD45" s="121"/>
      <c r="AE45" s="121"/>
      <c r="AF45" s="121"/>
      <c r="AG45" s="121"/>
      <c r="AH45" s="121"/>
      <c r="AI45" s="121"/>
      <c r="AJ45" s="121"/>
      <c r="AK45" s="121"/>
      <c r="AL45" s="121"/>
      <c r="AM45" s="121"/>
      <c r="AN45" s="121"/>
      <c r="AO45" s="121"/>
      <c r="AP45" s="121"/>
      <c r="AQ45" s="121"/>
      <c r="AR45" s="121"/>
      <c r="AS45" s="121"/>
      <c r="AT45" s="121"/>
      <c r="AU45" s="121"/>
      <c r="AV45" s="121"/>
      <c r="AW45" s="121"/>
      <c r="AX45" s="121"/>
      <c r="AY45" s="121"/>
      <c r="AZ45" s="121"/>
      <c r="BA45" s="121"/>
      <c r="BB45" s="121"/>
      <c r="BC45" s="121"/>
      <c r="BD45" s="121"/>
      <c r="BE45" s="121"/>
      <c r="BF45" s="121"/>
      <c r="BG45" s="121"/>
      <c r="BH45" s="121"/>
      <c r="BI45" s="121"/>
      <c r="BJ45" s="122"/>
      <c r="BK45" s="93"/>
      <c r="BL45" s="94"/>
      <c r="BM45" s="95"/>
      <c r="BN45" s="179"/>
      <c r="BO45" s="177"/>
      <c r="BP45" s="14"/>
      <c r="BQ45" s="14"/>
      <c r="BR45" s="14"/>
      <c r="BS45" s="14"/>
      <c r="BT45" s="14"/>
      <c r="BU45" s="14"/>
      <c r="BV45" s="16"/>
      <c r="BW45" s="14"/>
      <c r="BX45" s="14"/>
      <c r="BY45" s="14"/>
      <c r="BZ45" s="14"/>
      <c r="CA45" s="14"/>
      <c r="CB45" s="14"/>
      <c r="CC45" s="14"/>
      <c r="CD45" s="14"/>
      <c r="CE45" s="14"/>
      <c r="CF45" s="14"/>
      <c r="CG45" s="14"/>
      <c r="CH45" s="14"/>
      <c r="CI45" s="14"/>
      <c r="CJ45" s="14"/>
      <c r="CK45" s="14"/>
      <c r="CL45" s="14"/>
      <c r="CM45" s="14"/>
      <c r="CN45" s="14"/>
      <c r="CO45" s="14"/>
      <c r="CP45" s="14"/>
      <c r="CQ45" s="14"/>
      <c r="CR45" s="14"/>
      <c r="CS45" s="14"/>
      <c r="CT45" s="14"/>
      <c r="CU45" s="14"/>
      <c r="CV45" s="14"/>
      <c r="CW45" s="14"/>
      <c r="CX45" s="14"/>
      <c r="CY45" s="14"/>
      <c r="CZ45" s="14"/>
      <c r="DA45" s="14"/>
      <c r="DB45" s="14"/>
      <c r="DC45" s="14"/>
      <c r="DD45" s="14"/>
      <c r="DE45" s="14"/>
      <c r="DF45" s="14"/>
      <c r="DG45" s="14"/>
      <c r="DH45" s="14"/>
      <c r="DI45" s="14"/>
      <c r="DJ45" s="14"/>
      <c r="DK45" s="14"/>
      <c r="DL45" s="14"/>
      <c r="DM45" s="14"/>
      <c r="DN45" s="14"/>
      <c r="DO45" s="14"/>
      <c r="DP45" s="26"/>
      <c r="DQ45" s="27"/>
      <c r="DR45" s="129"/>
      <c r="DS45" s="130">
        <f>TCP(BO45:DQ45,$BO$9:$DQ$9,data!$H$8)</f>
        <v>0</v>
      </c>
      <c r="DT45" s="135"/>
      <c r="DU45" s="121"/>
      <c r="DV45" s="121"/>
      <c r="DW45" s="134"/>
      <c r="DX45" s="132"/>
      <c r="DY45" s="136"/>
      <c r="DZ45" s="21"/>
      <c r="EA45" s="18"/>
      <c r="EB45" s="4"/>
      <c r="EI45" s="23"/>
      <c r="EJ45" s="23"/>
    </row>
    <row r="46" spans="1:140" ht="15.75" x14ac:dyDescent="0.25">
      <c r="A46" s="12"/>
      <c r="B46" s="16"/>
      <c r="C46" s="24" t="str">
        <f t="shared" si="0"/>
        <v xml:space="preserve"> </v>
      </c>
      <c r="D46" s="25"/>
      <c r="E46" s="20"/>
      <c r="F46" s="19" t="str">
        <f t="shared" si="1"/>
        <v xml:space="preserve"> </v>
      </c>
      <c r="G46" s="180"/>
      <c r="H46" s="120"/>
      <c r="I46" s="121"/>
      <c r="J46" s="121"/>
      <c r="K46" s="121"/>
      <c r="L46" s="121"/>
      <c r="M46" s="121"/>
      <c r="N46" s="121"/>
      <c r="O46" s="121"/>
      <c r="P46" s="121"/>
      <c r="Q46" s="121"/>
      <c r="R46" s="121"/>
      <c r="S46" s="121"/>
      <c r="T46" s="121"/>
      <c r="U46" s="121"/>
      <c r="V46" s="121"/>
      <c r="W46" s="121"/>
      <c r="X46" s="121"/>
      <c r="Y46" s="121"/>
      <c r="Z46" s="121"/>
      <c r="AA46" s="121"/>
      <c r="AB46" s="121"/>
      <c r="AC46" s="121"/>
      <c r="AD46" s="121"/>
      <c r="AE46" s="121"/>
      <c r="AF46" s="121"/>
      <c r="AG46" s="121"/>
      <c r="AH46" s="121"/>
      <c r="AI46" s="121"/>
      <c r="AJ46" s="121"/>
      <c r="AK46" s="121"/>
      <c r="AL46" s="121"/>
      <c r="AM46" s="121"/>
      <c r="AN46" s="121"/>
      <c r="AO46" s="121"/>
      <c r="AP46" s="121"/>
      <c r="AQ46" s="121"/>
      <c r="AR46" s="121"/>
      <c r="AS46" s="121"/>
      <c r="AT46" s="121"/>
      <c r="AU46" s="121"/>
      <c r="AV46" s="121"/>
      <c r="AW46" s="121"/>
      <c r="AX46" s="121"/>
      <c r="AY46" s="121"/>
      <c r="AZ46" s="121"/>
      <c r="BA46" s="121"/>
      <c r="BB46" s="121"/>
      <c r="BC46" s="121"/>
      <c r="BD46" s="121"/>
      <c r="BE46" s="121"/>
      <c r="BF46" s="121"/>
      <c r="BG46" s="121"/>
      <c r="BH46" s="121"/>
      <c r="BI46" s="121"/>
      <c r="BJ46" s="122"/>
      <c r="BK46" s="93"/>
      <c r="BL46" s="94"/>
      <c r="BM46" s="95"/>
      <c r="BN46" s="179"/>
      <c r="BO46" s="177"/>
      <c r="BP46" s="14"/>
      <c r="BQ46" s="14"/>
      <c r="BR46" s="14"/>
      <c r="BS46" s="14"/>
      <c r="BT46" s="14"/>
      <c r="BU46" s="14"/>
      <c r="BV46" s="16"/>
      <c r="BW46" s="14"/>
      <c r="BX46" s="14"/>
      <c r="BY46" s="14"/>
      <c r="BZ46" s="14"/>
      <c r="CA46" s="14"/>
      <c r="CB46" s="14"/>
      <c r="CC46" s="14"/>
      <c r="CD46" s="14"/>
      <c r="CE46" s="14"/>
      <c r="CF46" s="14"/>
      <c r="CG46" s="14"/>
      <c r="CH46" s="14"/>
      <c r="CI46" s="14"/>
      <c r="CJ46" s="14"/>
      <c r="CK46" s="14"/>
      <c r="CL46" s="14"/>
      <c r="CM46" s="14"/>
      <c r="CN46" s="14"/>
      <c r="CO46" s="14"/>
      <c r="CP46" s="14"/>
      <c r="CQ46" s="14"/>
      <c r="CR46" s="14"/>
      <c r="CS46" s="14"/>
      <c r="CT46" s="14"/>
      <c r="CU46" s="14"/>
      <c r="CV46" s="14"/>
      <c r="CW46" s="14"/>
      <c r="CX46" s="14"/>
      <c r="CY46" s="14"/>
      <c r="CZ46" s="14"/>
      <c r="DA46" s="14"/>
      <c r="DB46" s="14"/>
      <c r="DC46" s="14"/>
      <c r="DD46" s="14"/>
      <c r="DE46" s="14"/>
      <c r="DF46" s="14"/>
      <c r="DG46" s="14"/>
      <c r="DH46" s="14"/>
      <c r="DI46" s="14"/>
      <c r="DJ46" s="14"/>
      <c r="DK46" s="14"/>
      <c r="DL46" s="14"/>
      <c r="DM46" s="14"/>
      <c r="DN46" s="14"/>
      <c r="DO46" s="14"/>
      <c r="DP46" s="26"/>
      <c r="DQ46" s="27"/>
      <c r="DR46" s="129"/>
      <c r="DS46" s="130">
        <f>TCP(BO46:DQ46,$BO$9:$DQ$9,data!$H$8)</f>
        <v>0</v>
      </c>
      <c r="DT46" s="135"/>
      <c r="DU46" s="121"/>
      <c r="DV46" s="121"/>
      <c r="DW46" s="134"/>
      <c r="DX46" s="132"/>
      <c r="DY46" s="136"/>
      <c r="DZ46" s="21"/>
      <c r="EA46" s="18"/>
      <c r="EB46" s="4"/>
      <c r="EI46" s="23"/>
      <c r="EJ46" s="23"/>
    </row>
    <row r="47" spans="1:140" ht="15.75" x14ac:dyDescent="0.25">
      <c r="A47" s="12"/>
      <c r="B47" s="16"/>
      <c r="C47" s="24" t="str">
        <f t="shared" si="0"/>
        <v xml:space="preserve"> </v>
      </c>
      <c r="D47" s="25"/>
      <c r="E47" s="20"/>
      <c r="F47" s="19" t="str">
        <f t="shared" si="1"/>
        <v xml:space="preserve"> </v>
      </c>
      <c r="G47" s="180"/>
      <c r="H47" s="120"/>
      <c r="I47" s="121"/>
      <c r="J47" s="121"/>
      <c r="K47" s="121"/>
      <c r="L47" s="121"/>
      <c r="M47" s="121"/>
      <c r="N47" s="121"/>
      <c r="O47" s="121"/>
      <c r="P47" s="121"/>
      <c r="Q47" s="121"/>
      <c r="R47" s="121"/>
      <c r="S47" s="121"/>
      <c r="T47" s="121"/>
      <c r="U47" s="121"/>
      <c r="V47" s="121"/>
      <c r="W47" s="121"/>
      <c r="X47" s="121"/>
      <c r="Y47" s="121"/>
      <c r="Z47" s="121"/>
      <c r="AA47" s="121"/>
      <c r="AB47" s="121"/>
      <c r="AC47" s="121"/>
      <c r="AD47" s="121"/>
      <c r="AE47" s="121"/>
      <c r="AF47" s="121"/>
      <c r="AG47" s="121"/>
      <c r="AH47" s="121"/>
      <c r="AI47" s="121"/>
      <c r="AJ47" s="121"/>
      <c r="AK47" s="121"/>
      <c r="AL47" s="121"/>
      <c r="AM47" s="121"/>
      <c r="AN47" s="121"/>
      <c r="AO47" s="121"/>
      <c r="AP47" s="121"/>
      <c r="AQ47" s="121"/>
      <c r="AR47" s="121"/>
      <c r="AS47" s="121"/>
      <c r="AT47" s="121"/>
      <c r="AU47" s="121"/>
      <c r="AV47" s="121"/>
      <c r="AW47" s="121"/>
      <c r="AX47" s="121"/>
      <c r="AY47" s="121"/>
      <c r="AZ47" s="121"/>
      <c r="BA47" s="121"/>
      <c r="BB47" s="121"/>
      <c r="BC47" s="121"/>
      <c r="BD47" s="121"/>
      <c r="BE47" s="121"/>
      <c r="BF47" s="121"/>
      <c r="BG47" s="121"/>
      <c r="BH47" s="121"/>
      <c r="BI47" s="121"/>
      <c r="BJ47" s="122"/>
      <c r="BK47" s="93"/>
      <c r="BL47" s="94"/>
      <c r="BM47" s="95"/>
      <c r="BN47" s="179"/>
      <c r="BO47" s="177"/>
      <c r="BP47" s="14"/>
      <c r="BQ47" s="14"/>
      <c r="BR47" s="14"/>
      <c r="BS47" s="14"/>
      <c r="BT47" s="14"/>
      <c r="BU47" s="14"/>
      <c r="BV47" s="16"/>
      <c r="BW47" s="14"/>
      <c r="BX47" s="14"/>
      <c r="BY47" s="14"/>
      <c r="BZ47" s="14"/>
      <c r="CA47" s="14"/>
      <c r="CB47" s="14"/>
      <c r="CC47" s="14"/>
      <c r="CD47" s="14"/>
      <c r="CE47" s="14"/>
      <c r="CF47" s="14"/>
      <c r="CG47" s="14"/>
      <c r="CH47" s="14"/>
      <c r="CI47" s="14"/>
      <c r="CJ47" s="14"/>
      <c r="CK47" s="14"/>
      <c r="CL47" s="14"/>
      <c r="CM47" s="14"/>
      <c r="CN47" s="14"/>
      <c r="CO47" s="14"/>
      <c r="CP47" s="14"/>
      <c r="CQ47" s="14"/>
      <c r="CR47" s="14"/>
      <c r="CS47" s="14"/>
      <c r="CT47" s="14"/>
      <c r="CU47" s="14"/>
      <c r="CV47" s="14"/>
      <c r="CW47" s="14"/>
      <c r="CX47" s="14"/>
      <c r="CY47" s="14"/>
      <c r="CZ47" s="14"/>
      <c r="DA47" s="14"/>
      <c r="DB47" s="14"/>
      <c r="DC47" s="14"/>
      <c r="DD47" s="14"/>
      <c r="DE47" s="14"/>
      <c r="DF47" s="14"/>
      <c r="DG47" s="14"/>
      <c r="DH47" s="14"/>
      <c r="DI47" s="14"/>
      <c r="DJ47" s="14"/>
      <c r="DK47" s="14"/>
      <c r="DL47" s="14"/>
      <c r="DM47" s="14"/>
      <c r="DN47" s="14"/>
      <c r="DO47" s="14"/>
      <c r="DP47" s="26"/>
      <c r="DQ47" s="27"/>
      <c r="DR47" s="129"/>
      <c r="DS47" s="130">
        <f>TCP(BO47:DQ47,$BO$9:$DQ$9,data!$H$8)</f>
        <v>0</v>
      </c>
      <c r="DT47" s="135"/>
      <c r="DU47" s="121"/>
      <c r="DV47" s="121"/>
      <c r="DW47" s="134"/>
      <c r="DX47" s="132"/>
      <c r="DY47" s="136"/>
      <c r="DZ47" s="21"/>
      <c r="EA47" s="18"/>
      <c r="EB47" s="4"/>
      <c r="EI47" s="23"/>
      <c r="EJ47" s="23"/>
    </row>
    <row r="48" spans="1:140" ht="15.75" x14ac:dyDescent="0.25">
      <c r="A48" s="12"/>
      <c r="B48" s="16"/>
      <c r="C48" s="24" t="str">
        <f t="shared" si="0"/>
        <v xml:space="preserve"> </v>
      </c>
      <c r="D48" s="25"/>
      <c r="E48" s="20"/>
      <c r="F48" s="19" t="str">
        <f t="shared" si="1"/>
        <v xml:space="preserve"> </v>
      </c>
      <c r="G48" s="180"/>
      <c r="H48" s="120"/>
      <c r="I48" s="121"/>
      <c r="J48" s="121"/>
      <c r="K48" s="121"/>
      <c r="L48" s="121"/>
      <c r="M48" s="121"/>
      <c r="N48" s="121"/>
      <c r="O48" s="121"/>
      <c r="P48" s="121"/>
      <c r="Q48" s="121"/>
      <c r="R48" s="121"/>
      <c r="S48" s="121"/>
      <c r="T48" s="121"/>
      <c r="U48" s="121"/>
      <c r="V48" s="121"/>
      <c r="W48" s="121"/>
      <c r="X48" s="121"/>
      <c r="Y48" s="121"/>
      <c r="Z48" s="121"/>
      <c r="AA48" s="121"/>
      <c r="AB48" s="121"/>
      <c r="AC48" s="121"/>
      <c r="AD48" s="121"/>
      <c r="AE48" s="121"/>
      <c r="AF48" s="121"/>
      <c r="AG48" s="121"/>
      <c r="AH48" s="121"/>
      <c r="AI48" s="121"/>
      <c r="AJ48" s="121"/>
      <c r="AK48" s="121"/>
      <c r="AL48" s="121"/>
      <c r="AM48" s="121"/>
      <c r="AN48" s="121"/>
      <c r="AO48" s="121"/>
      <c r="AP48" s="121"/>
      <c r="AQ48" s="121"/>
      <c r="AR48" s="121"/>
      <c r="AS48" s="121"/>
      <c r="AT48" s="121"/>
      <c r="AU48" s="121"/>
      <c r="AV48" s="121"/>
      <c r="AW48" s="121"/>
      <c r="AX48" s="121"/>
      <c r="AY48" s="121"/>
      <c r="AZ48" s="121"/>
      <c r="BA48" s="121"/>
      <c r="BB48" s="121"/>
      <c r="BC48" s="121"/>
      <c r="BD48" s="121"/>
      <c r="BE48" s="121"/>
      <c r="BF48" s="121"/>
      <c r="BG48" s="121"/>
      <c r="BH48" s="121"/>
      <c r="BI48" s="121"/>
      <c r="BJ48" s="122"/>
      <c r="BK48" s="93"/>
      <c r="BL48" s="94"/>
      <c r="BM48" s="95"/>
      <c r="BN48" s="179"/>
      <c r="BO48" s="177"/>
      <c r="BP48" s="14"/>
      <c r="BQ48" s="14"/>
      <c r="BR48" s="14"/>
      <c r="BS48" s="14"/>
      <c r="BT48" s="14"/>
      <c r="BU48" s="14"/>
      <c r="BV48" s="16"/>
      <c r="BW48" s="14"/>
      <c r="BX48" s="14"/>
      <c r="BY48" s="14"/>
      <c r="BZ48" s="14"/>
      <c r="CA48" s="14"/>
      <c r="CB48" s="14"/>
      <c r="CC48" s="14"/>
      <c r="CD48" s="14"/>
      <c r="CE48" s="14"/>
      <c r="CF48" s="14"/>
      <c r="CG48" s="14"/>
      <c r="CH48" s="14"/>
      <c r="CI48" s="14"/>
      <c r="CJ48" s="14"/>
      <c r="CK48" s="14"/>
      <c r="CL48" s="14"/>
      <c r="CM48" s="14"/>
      <c r="CN48" s="14"/>
      <c r="CO48" s="14"/>
      <c r="CP48" s="14"/>
      <c r="CQ48" s="14"/>
      <c r="CR48" s="14"/>
      <c r="CS48" s="14"/>
      <c r="CT48" s="14"/>
      <c r="CU48" s="14"/>
      <c r="CV48" s="14"/>
      <c r="CW48" s="14"/>
      <c r="CX48" s="14"/>
      <c r="CY48" s="14"/>
      <c r="CZ48" s="14"/>
      <c r="DA48" s="14"/>
      <c r="DB48" s="14"/>
      <c r="DC48" s="14"/>
      <c r="DD48" s="14"/>
      <c r="DE48" s="14"/>
      <c r="DF48" s="14"/>
      <c r="DG48" s="14"/>
      <c r="DH48" s="14"/>
      <c r="DI48" s="14"/>
      <c r="DJ48" s="14"/>
      <c r="DK48" s="14"/>
      <c r="DL48" s="14"/>
      <c r="DM48" s="14"/>
      <c r="DN48" s="14"/>
      <c r="DO48" s="14"/>
      <c r="DP48" s="26"/>
      <c r="DQ48" s="27"/>
      <c r="DR48" s="129"/>
      <c r="DS48" s="130">
        <f>TCP(BO48:DQ48,$BO$9:$DQ$9,data!$H$8)</f>
        <v>0</v>
      </c>
      <c r="DT48" s="135"/>
      <c r="DU48" s="121"/>
      <c r="DV48" s="121"/>
      <c r="DW48" s="134"/>
      <c r="DX48" s="132"/>
      <c r="DY48" s="136"/>
      <c r="DZ48" s="21"/>
      <c r="EA48" s="18"/>
      <c r="EB48" s="4"/>
      <c r="EI48" s="23"/>
      <c r="EJ48" s="23"/>
    </row>
    <row r="49" spans="1:140" ht="15.75" x14ac:dyDescent="0.25">
      <c r="A49" s="12"/>
      <c r="B49" s="16"/>
      <c r="C49" s="24" t="str">
        <f t="shared" si="0"/>
        <v xml:space="preserve"> </v>
      </c>
      <c r="D49" s="25"/>
      <c r="E49" s="20"/>
      <c r="F49" s="19" t="str">
        <f t="shared" si="1"/>
        <v xml:space="preserve"> </v>
      </c>
      <c r="G49" s="180"/>
      <c r="H49" s="120"/>
      <c r="I49" s="121"/>
      <c r="J49" s="121"/>
      <c r="K49" s="121"/>
      <c r="L49" s="121"/>
      <c r="M49" s="121"/>
      <c r="N49" s="121"/>
      <c r="O49" s="121"/>
      <c r="P49" s="121"/>
      <c r="Q49" s="121"/>
      <c r="R49" s="121"/>
      <c r="S49" s="121"/>
      <c r="T49" s="121"/>
      <c r="U49" s="121"/>
      <c r="V49" s="121"/>
      <c r="W49" s="121"/>
      <c r="X49" s="121"/>
      <c r="Y49" s="121"/>
      <c r="Z49" s="121"/>
      <c r="AA49" s="121"/>
      <c r="AB49" s="121"/>
      <c r="AC49" s="121"/>
      <c r="AD49" s="121"/>
      <c r="AE49" s="121"/>
      <c r="AF49" s="121"/>
      <c r="AG49" s="121"/>
      <c r="AH49" s="121"/>
      <c r="AI49" s="121"/>
      <c r="AJ49" s="121"/>
      <c r="AK49" s="121"/>
      <c r="AL49" s="121"/>
      <c r="AM49" s="121"/>
      <c r="AN49" s="121"/>
      <c r="AO49" s="121"/>
      <c r="AP49" s="121"/>
      <c r="AQ49" s="121"/>
      <c r="AR49" s="121"/>
      <c r="AS49" s="121"/>
      <c r="AT49" s="121"/>
      <c r="AU49" s="121"/>
      <c r="AV49" s="121"/>
      <c r="AW49" s="121"/>
      <c r="AX49" s="121"/>
      <c r="AY49" s="121"/>
      <c r="AZ49" s="121"/>
      <c r="BA49" s="121"/>
      <c r="BB49" s="121"/>
      <c r="BC49" s="121"/>
      <c r="BD49" s="121"/>
      <c r="BE49" s="121"/>
      <c r="BF49" s="121"/>
      <c r="BG49" s="121"/>
      <c r="BH49" s="121"/>
      <c r="BI49" s="121"/>
      <c r="BJ49" s="122"/>
      <c r="BK49" s="93"/>
      <c r="BL49" s="94"/>
      <c r="BM49" s="95"/>
      <c r="BN49" s="179"/>
      <c r="BO49" s="177"/>
      <c r="BP49" s="14"/>
      <c r="BQ49" s="14"/>
      <c r="BR49" s="14"/>
      <c r="BS49" s="14"/>
      <c r="BT49" s="14"/>
      <c r="BU49" s="14"/>
      <c r="BV49" s="16"/>
      <c r="BW49" s="14"/>
      <c r="BX49" s="14"/>
      <c r="BY49" s="14"/>
      <c r="BZ49" s="14"/>
      <c r="CA49" s="14"/>
      <c r="CB49" s="14"/>
      <c r="CC49" s="14"/>
      <c r="CD49" s="14"/>
      <c r="CE49" s="14"/>
      <c r="CF49" s="14"/>
      <c r="CG49" s="14"/>
      <c r="CH49" s="14"/>
      <c r="CI49" s="14"/>
      <c r="CJ49" s="14"/>
      <c r="CK49" s="14"/>
      <c r="CL49" s="14"/>
      <c r="CM49" s="14"/>
      <c r="CN49" s="14"/>
      <c r="CO49" s="14"/>
      <c r="CP49" s="14"/>
      <c r="CQ49" s="14"/>
      <c r="CR49" s="14"/>
      <c r="CS49" s="14"/>
      <c r="CT49" s="14"/>
      <c r="CU49" s="14"/>
      <c r="CV49" s="14"/>
      <c r="CW49" s="14"/>
      <c r="CX49" s="14"/>
      <c r="CY49" s="14"/>
      <c r="CZ49" s="14"/>
      <c r="DA49" s="14"/>
      <c r="DB49" s="14"/>
      <c r="DC49" s="14"/>
      <c r="DD49" s="14"/>
      <c r="DE49" s="14"/>
      <c r="DF49" s="14"/>
      <c r="DG49" s="14"/>
      <c r="DH49" s="14"/>
      <c r="DI49" s="14"/>
      <c r="DJ49" s="14"/>
      <c r="DK49" s="14"/>
      <c r="DL49" s="14"/>
      <c r="DM49" s="14"/>
      <c r="DN49" s="14"/>
      <c r="DO49" s="14"/>
      <c r="DP49" s="26"/>
      <c r="DQ49" s="27"/>
      <c r="DR49" s="129"/>
      <c r="DS49" s="130">
        <f>TCP(BO49:DQ49,$BO$9:$DQ$9,data!$H$8)</f>
        <v>0</v>
      </c>
      <c r="DT49" s="135"/>
      <c r="DU49" s="121"/>
      <c r="DV49" s="121"/>
      <c r="DW49" s="134"/>
      <c r="DX49" s="132"/>
      <c r="DY49" s="136"/>
      <c r="DZ49" s="21"/>
      <c r="EA49" s="18"/>
      <c r="EB49" s="4"/>
      <c r="EI49" s="23"/>
      <c r="EJ49" s="23"/>
    </row>
    <row r="50" spans="1:140" ht="15.75" x14ac:dyDescent="0.25">
      <c r="A50" s="12"/>
      <c r="B50" s="16"/>
      <c r="C50" s="24" t="str">
        <f t="shared" si="0"/>
        <v xml:space="preserve"> </v>
      </c>
      <c r="D50" s="25"/>
      <c r="E50" s="20"/>
      <c r="F50" s="19" t="str">
        <f t="shared" si="1"/>
        <v xml:space="preserve"> </v>
      </c>
      <c r="G50" s="180"/>
      <c r="H50" s="120"/>
      <c r="I50" s="121"/>
      <c r="J50" s="121"/>
      <c r="K50" s="121"/>
      <c r="L50" s="121"/>
      <c r="M50" s="121"/>
      <c r="N50" s="121"/>
      <c r="O50" s="121"/>
      <c r="P50" s="121"/>
      <c r="Q50" s="121"/>
      <c r="R50" s="121"/>
      <c r="S50" s="121"/>
      <c r="T50" s="121"/>
      <c r="U50" s="121"/>
      <c r="V50" s="121"/>
      <c r="W50" s="121"/>
      <c r="X50" s="121"/>
      <c r="Y50" s="121"/>
      <c r="Z50" s="121"/>
      <c r="AA50" s="121"/>
      <c r="AB50" s="121"/>
      <c r="AC50" s="121"/>
      <c r="AD50" s="121"/>
      <c r="AE50" s="121"/>
      <c r="AF50" s="121"/>
      <c r="AG50" s="121"/>
      <c r="AH50" s="121"/>
      <c r="AI50" s="121"/>
      <c r="AJ50" s="121"/>
      <c r="AK50" s="121"/>
      <c r="AL50" s="121"/>
      <c r="AM50" s="121"/>
      <c r="AN50" s="121"/>
      <c r="AO50" s="121"/>
      <c r="AP50" s="121"/>
      <c r="AQ50" s="121"/>
      <c r="AR50" s="121"/>
      <c r="AS50" s="121"/>
      <c r="AT50" s="121"/>
      <c r="AU50" s="121"/>
      <c r="AV50" s="121"/>
      <c r="AW50" s="121"/>
      <c r="AX50" s="121"/>
      <c r="AY50" s="121"/>
      <c r="AZ50" s="121"/>
      <c r="BA50" s="121"/>
      <c r="BB50" s="121"/>
      <c r="BC50" s="121"/>
      <c r="BD50" s="121"/>
      <c r="BE50" s="121"/>
      <c r="BF50" s="121"/>
      <c r="BG50" s="121"/>
      <c r="BH50" s="121"/>
      <c r="BI50" s="121"/>
      <c r="BJ50" s="122"/>
      <c r="BK50" s="93"/>
      <c r="BL50" s="94"/>
      <c r="BM50" s="95"/>
      <c r="BN50" s="179"/>
      <c r="BO50" s="177"/>
      <c r="BP50" s="14"/>
      <c r="BQ50" s="14"/>
      <c r="BR50" s="14"/>
      <c r="BS50" s="14"/>
      <c r="BT50" s="14"/>
      <c r="BU50" s="14"/>
      <c r="BV50" s="16"/>
      <c r="BW50" s="14"/>
      <c r="BX50" s="14"/>
      <c r="BY50" s="14"/>
      <c r="BZ50" s="14"/>
      <c r="CA50" s="14"/>
      <c r="CB50" s="14"/>
      <c r="CC50" s="14"/>
      <c r="CD50" s="14"/>
      <c r="CE50" s="14"/>
      <c r="CF50" s="14"/>
      <c r="CG50" s="14"/>
      <c r="CH50" s="14"/>
      <c r="CI50" s="14"/>
      <c r="CJ50" s="14"/>
      <c r="CK50" s="14"/>
      <c r="CL50" s="14"/>
      <c r="CM50" s="14"/>
      <c r="CN50" s="14"/>
      <c r="CO50" s="14"/>
      <c r="CP50" s="14"/>
      <c r="CQ50" s="14"/>
      <c r="CR50" s="14"/>
      <c r="CS50" s="14"/>
      <c r="CT50" s="14"/>
      <c r="CU50" s="14"/>
      <c r="CV50" s="14"/>
      <c r="CW50" s="14"/>
      <c r="CX50" s="14"/>
      <c r="CY50" s="14"/>
      <c r="CZ50" s="14"/>
      <c r="DA50" s="14"/>
      <c r="DB50" s="14"/>
      <c r="DC50" s="14"/>
      <c r="DD50" s="14"/>
      <c r="DE50" s="14"/>
      <c r="DF50" s="14"/>
      <c r="DG50" s="14"/>
      <c r="DH50" s="14"/>
      <c r="DI50" s="14"/>
      <c r="DJ50" s="14"/>
      <c r="DK50" s="14"/>
      <c r="DL50" s="14"/>
      <c r="DM50" s="14"/>
      <c r="DN50" s="14"/>
      <c r="DO50" s="14"/>
      <c r="DP50" s="26"/>
      <c r="DQ50" s="27"/>
      <c r="DR50" s="129"/>
      <c r="DS50" s="130">
        <f>TCP(BO50:DQ50,$BO$9:$DQ$9,data!$H$8)</f>
        <v>0</v>
      </c>
      <c r="DT50" s="135"/>
      <c r="DU50" s="121"/>
      <c r="DV50" s="121"/>
      <c r="DW50" s="134"/>
      <c r="DX50" s="132"/>
      <c r="DY50" s="136"/>
      <c r="DZ50" s="21"/>
      <c r="EA50" s="18"/>
      <c r="EB50" s="4"/>
      <c r="EI50" s="23"/>
      <c r="EJ50" s="23"/>
    </row>
    <row r="51" spans="1:140" ht="15.75" x14ac:dyDescent="0.25">
      <c r="A51" s="12"/>
      <c r="B51" s="16"/>
      <c r="C51" s="24" t="str">
        <f t="shared" si="0"/>
        <v xml:space="preserve"> </v>
      </c>
      <c r="D51" s="25"/>
      <c r="E51" s="20"/>
      <c r="F51" s="19" t="str">
        <f t="shared" si="1"/>
        <v xml:space="preserve"> </v>
      </c>
      <c r="G51" s="180"/>
      <c r="H51" s="120"/>
      <c r="I51" s="121"/>
      <c r="J51" s="121"/>
      <c r="K51" s="121"/>
      <c r="L51" s="121"/>
      <c r="M51" s="121"/>
      <c r="N51" s="121"/>
      <c r="O51" s="121"/>
      <c r="P51" s="121"/>
      <c r="Q51" s="121"/>
      <c r="R51" s="121"/>
      <c r="S51" s="121"/>
      <c r="T51" s="121"/>
      <c r="U51" s="121"/>
      <c r="V51" s="121"/>
      <c r="W51" s="121"/>
      <c r="X51" s="121"/>
      <c r="Y51" s="121"/>
      <c r="Z51" s="121"/>
      <c r="AA51" s="121"/>
      <c r="AB51" s="121"/>
      <c r="AC51" s="121"/>
      <c r="AD51" s="121"/>
      <c r="AE51" s="121"/>
      <c r="AF51" s="121"/>
      <c r="AG51" s="121"/>
      <c r="AH51" s="121"/>
      <c r="AI51" s="121"/>
      <c r="AJ51" s="121"/>
      <c r="AK51" s="121"/>
      <c r="AL51" s="121"/>
      <c r="AM51" s="121"/>
      <c r="AN51" s="121"/>
      <c r="AO51" s="121"/>
      <c r="AP51" s="121"/>
      <c r="AQ51" s="121"/>
      <c r="AR51" s="121"/>
      <c r="AS51" s="121"/>
      <c r="AT51" s="121"/>
      <c r="AU51" s="121"/>
      <c r="AV51" s="121"/>
      <c r="AW51" s="121"/>
      <c r="AX51" s="121"/>
      <c r="AY51" s="121"/>
      <c r="AZ51" s="121"/>
      <c r="BA51" s="121"/>
      <c r="BB51" s="121"/>
      <c r="BC51" s="121"/>
      <c r="BD51" s="121"/>
      <c r="BE51" s="121"/>
      <c r="BF51" s="121"/>
      <c r="BG51" s="121"/>
      <c r="BH51" s="121"/>
      <c r="BI51" s="121"/>
      <c r="BJ51" s="122"/>
      <c r="BK51" s="93"/>
      <c r="BL51" s="94"/>
      <c r="BM51" s="95"/>
      <c r="BN51" s="179"/>
      <c r="BO51" s="177"/>
      <c r="BP51" s="14"/>
      <c r="BQ51" s="14"/>
      <c r="BR51" s="14"/>
      <c r="BS51" s="14"/>
      <c r="BT51" s="14"/>
      <c r="BU51" s="14"/>
      <c r="BV51" s="16"/>
      <c r="BW51" s="14"/>
      <c r="BX51" s="14"/>
      <c r="BY51" s="14"/>
      <c r="BZ51" s="14"/>
      <c r="CA51" s="14"/>
      <c r="CB51" s="14"/>
      <c r="CC51" s="14"/>
      <c r="CD51" s="14"/>
      <c r="CE51" s="14"/>
      <c r="CF51" s="14"/>
      <c r="CG51" s="14"/>
      <c r="CH51" s="14"/>
      <c r="CI51" s="14"/>
      <c r="CJ51" s="14"/>
      <c r="CK51" s="14"/>
      <c r="CL51" s="14"/>
      <c r="CM51" s="14"/>
      <c r="CN51" s="14"/>
      <c r="CO51" s="14"/>
      <c r="CP51" s="14"/>
      <c r="CQ51" s="14"/>
      <c r="CR51" s="14"/>
      <c r="CS51" s="14"/>
      <c r="CT51" s="14"/>
      <c r="CU51" s="14"/>
      <c r="CV51" s="14"/>
      <c r="CW51" s="14"/>
      <c r="CX51" s="14"/>
      <c r="CY51" s="14"/>
      <c r="CZ51" s="14"/>
      <c r="DA51" s="14"/>
      <c r="DB51" s="14"/>
      <c r="DC51" s="14"/>
      <c r="DD51" s="14"/>
      <c r="DE51" s="14"/>
      <c r="DF51" s="14"/>
      <c r="DG51" s="14"/>
      <c r="DH51" s="14"/>
      <c r="DI51" s="14"/>
      <c r="DJ51" s="14"/>
      <c r="DK51" s="14"/>
      <c r="DL51" s="14"/>
      <c r="DM51" s="14"/>
      <c r="DN51" s="14"/>
      <c r="DO51" s="14"/>
      <c r="DP51" s="26"/>
      <c r="DQ51" s="27"/>
      <c r="DR51" s="129"/>
      <c r="DS51" s="130">
        <f>TCP(BO51:DQ51,$BO$9:$DQ$9,data!$H$8)</f>
        <v>0</v>
      </c>
      <c r="DT51" s="135"/>
      <c r="DU51" s="121"/>
      <c r="DV51" s="121"/>
      <c r="DW51" s="134"/>
      <c r="DX51" s="132"/>
      <c r="DY51" s="136"/>
      <c r="DZ51" s="21"/>
      <c r="EA51" s="18"/>
      <c r="EB51" s="4"/>
      <c r="EI51" s="23"/>
      <c r="EJ51" s="23"/>
    </row>
    <row r="52" spans="1:140" ht="15.75" x14ac:dyDescent="0.25">
      <c r="A52" s="12"/>
      <c r="B52" s="16"/>
      <c r="C52" s="24" t="str">
        <f t="shared" si="0"/>
        <v xml:space="preserve"> </v>
      </c>
      <c r="D52" s="25"/>
      <c r="E52" s="20"/>
      <c r="F52" s="19" t="str">
        <f t="shared" si="1"/>
        <v xml:space="preserve"> </v>
      </c>
      <c r="G52" s="180"/>
      <c r="H52" s="120"/>
      <c r="I52" s="121"/>
      <c r="J52" s="121"/>
      <c r="K52" s="121"/>
      <c r="L52" s="121"/>
      <c r="M52" s="121"/>
      <c r="N52" s="121"/>
      <c r="O52" s="121"/>
      <c r="P52" s="121"/>
      <c r="Q52" s="121"/>
      <c r="R52" s="121"/>
      <c r="S52" s="121"/>
      <c r="T52" s="121"/>
      <c r="U52" s="121"/>
      <c r="V52" s="121"/>
      <c r="W52" s="121"/>
      <c r="X52" s="121"/>
      <c r="Y52" s="121"/>
      <c r="Z52" s="121"/>
      <c r="AA52" s="121"/>
      <c r="AB52" s="121"/>
      <c r="AC52" s="121"/>
      <c r="AD52" s="121"/>
      <c r="AE52" s="121"/>
      <c r="AF52" s="121"/>
      <c r="AG52" s="121"/>
      <c r="AH52" s="121"/>
      <c r="AI52" s="121"/>
      <c r="AJ52" s="121"/>
      <c r="AK52" s="121"/>
      <c r="AL52" s="121"/>
      <c r="AM52" s="121"/>
      <c r="AN52" s="121"/>
      <c r="AO52" s="121"/>
      <c r="AP52" s="121"/>
      <c r="AQ52" s="121"/>
      <c r="AR52" s="121"/>
      <c r="AS52" s="121"/>
      <c r="AT52" s="121"/>
      <c r="AU52" s="121"/>
      <c r="AV52" s="121"/>
      <c r="AW52" s="121"/>
      <c r="AX52" s="121"/>
      <c r="AY52" s="121"/>
      <c r="AZ52" s="121"/>
      <c r="BA52" s="121"/>
      <c r="BB52" s="121"/>
      <c r="BC52" s="121"/>
      <c r="BD52" s="121"/>
      <c r="BE52" s="121"/>
      <c r="BF52" s="121"/>
      <c r="BG52" s="121"/>
      <c r="BH52" s="121"/>
      <c r="BI52" s="121"/>
      <c r="BJ52" s="122"/>
      <c r="BK52" s="93"/>
      <c r="BL52" s="94"/>
      <c r="BM52" s="95"/>
      <c r="BN52" s="179"/>
      <c r="BO52" s="177"/>
      <c r="BP52" s="14"/>
      <c r="BQ52" s="14"/>
      <c r="BR52" s="14"/>
      <c r="BS52" s="14"/>
      <c r="BT52" s="14"/>
      <c r="BU52" s="14"/>
      <c r="BV52" s="16"/>
      <c r="BW52" s="14"/>
      <c r="BX52" s="14"/>
      <c r="BY52" s="14"/>
      <c r="BZ52" s="14"/>
      <c r="CA52" s="14"/>
      <c r="CB52" s="14"/>
      <c r="CC52" s="14"/>
      <c r="CD52" s="14"/>
      <c r="CE52" s="14"/>
      <c r="CF52" s="14"/>
      <c r="CG52" s="14"/>
      <c r="CH52" s="14"/>
      <c r="CI52" s="14"/>
      <c r="CJ52" s="14"/>
      <c r="CK52" s="14"/>
      <c r="CL52" s="14"/>
      <c r="CM52" s="14"/>
      <c r="CN52" s="14"/>
      <c r="CO52" s="14"/>
      <c r="CP52" s="14"/>
      <c r="CQ52" s="14"/>
      <c r="CR52" s="14"/>
      <c r="CS52" s="14"/>
      <c r="CT52" s="14"/>
      <c r="CU52" s="14"/>
      <c r="CV52" s="14"/>
      <c r="CW52" s="14"/>
      <c r="CX52" s="14"/>
      <c r="CY52" s="14"/>
      <c r="CZ52" s="14"/>
      <c r="DA52" s="14"/>
      <c r="DB52" s="14"/>
      <c r="DC52" s="14"/>
      <c r="DD52" s="14"/>
      <c r="DE52" s="14"/>
      <c r="DF52" s="14"/>
      <c r="DG52" s="14"/>
      <c r="DH52" s="14"/>
      <c r="DI52" s="14"/>
      <c r="DJ52" s="14"/>
      <c r="DK52" s="14"/>
      <c r="DL52" s="14"/>
      <c r="DM52" s="14"/>
      <c r="DN52" s="14"/>
      <c r="DO52" s="14"/>
      <c r="DP52" s="26"/>
      <c r="DQ52" s="27"/>
      <c r="DR52" s="129"/>
      <c r="DS52" s="130">
        <f>TCP(BO52:DQ52,$BO$9:$DQ$9,data!$H$8)</f>
        <v>0</v>
      </c>
      <c r="DT52" s="135"/>
      <c r="DU52" s="121"/>
      <c r="DV52" s="121"/>
      <c r="DW52" s="134"/>
      <c r="DX52" s="132"/>
      <c r="DY52" s="136"/>
      <c r="DZ52" s="21"/>
      <c r="EA52" s="18"/>
      <c r="EB52" s="4"/>
      <c r="EI52" s="23"/>
      <c r="EJ52" s="23"/>
    </row>
    <row r="53" spans="1:140" ht="15.75" x14ac:dyDescent="0.25">
      <c r="A53" s="12"/>
      <c r="B53" s="16"/>
      <c r="C53" s="24" t="str">
        <f t="shared" si="0"/>
        <v xml:space="preserve"> </v>
      </c>
      <c r="D53" s="25"/>
      <c r="E53" s="20"/>
      <c r="F53" s="19" t="str">
        <f t="shared" si="1"/>
        <v xml:space="preserve"> </v>
      </c>
      <c r="G53" s="180"/>
      <c r="H53" s="120"/>
      <c r="I53" s="121"/>
      <c r="J53" s="121"/>
      <c r="K53" s="121"/>
      <c r="L53" s="121"/>
      <c r="M53" s="121"/>
      <c r="N53" s="121"/>
      <c r="O53" s="121"/>
      <c r="P53" s="121"/>
      <c r="Q53" s="121"/>
      <c r="R53" s="121"/>
      <c r="S53" s="121"/>
      <c r="T53" s="121"/>
      <c r="U53" s="121"/>
      <c r="V53" s="121"/>
      <c r="W53" s="121"/>
      <c r="X53" s="121"/>
      <c r="Y53" s="121"/>
      <c r="Z53" s="121"/>
      <c r="AA53" s="121"/>
      <c r="AB53" s="121"/>
      <c r="AC53" s="121"/>
      <c r="AD53" s="121"/>
      <c r="AE53" s="121"/>
      <c r="AF53" s="121"/>
      <c r="AG53" s="121"/>
      <c r="AH53" s="121"/>
      <c r="AI53" s="121"/>
      <c r="AJ53" s="121"/>
      <c r="AK53" s="121"/>
      <c r="AL53" s="121"/>
      <c r="AM53" s="121"/>
      <c r="AN53" s="121"/>
      <c r="AO53" s="121"/>
      <c r="AP53" s="121"/>
      <c r="AQ53" s="121"/>
      <c r="AR53" s="121"/>
      <c r="AS53" s="121"/>
      <c r="AT53" s="121"/>
      <c r="AU53" s="121"/>
      <c r="AV53" s="121"/>
      <c r="AW53" s="121"/>
      <c r="AX53" s="121"/>
      <c r="AY53" s="121"/>
      <c r="AZ53" s="121"/>
      <c r="BA53" s="121"/>
      <c r="BB53" s="121"/>
      <c r="BC53" s="121"/>
      <c r="BD53" s="121"/>
      <c r="BE53" s="121"/>
      <c r="BF53" s="121"/>
      <c r="BG53" s="121"/>
      <c r="BH53" s="121"/>
      <c r="BI53" s="121"/>
      <c r="BJ53" s="122"/>
      <c r="BK53" s="93"/>
      <c r="BL53" s="94"/>
      <c r="BM53" s="95"/>
      <c r="BN53" s="179"/>
      <c r="BO53" s="177"/>
      <c r="BP53" s="14"/>
      <c r="BQ53" s="14"/>
      <c r="BR53" s="14"/>
      <c r="BS53" s="14"/>
      <c r="BT53" s="14"/>
      <c r="BU53" s="14"/>
      <c r="BV53" s="16"/>
      <c r="BW53" s="14"/>
      <c r="BX53" s="14"/>
      <c r="BY53" s="14"/>
      <c r="BZ53" s="14"/>
      <c r="CA53" s="14"/>
      <c r="CB53" s="14"/>
      <c r="CC53" s="14"/>
      <c r="CD53" s="14"/>
      <c r="CE53" s="14"/>
      <c r="CF53" s="14"/>
      <c r="CG53" s="14"/>
      <c r="CH53" s="14"/>
      <c r="CI53" s="14"/>
      <c r="CJ53" s="14"/>
      <c r="CK53" s="14"/>
      <c r="CL53" s="14"/>
      <c r="CM53" s="14"/>
      <c r="CN53" s="14"/>
      <c r="CO53" s="14"/>
      <c r="CP53" s="14"/>
      <c r="CQ53" s="14"/>
      <c r="CR53" s="14"/>
      <c r="CS53" s="14"/>
      <c r="CT53" s="14"/>
      <c r="CU53" s="14"/>
      <c r="CV53" s="14"/>
      <c r="CW53" s="14"/>
      <c r="CX53" s="14"/>
      <c r="CY53" s="14"/>
      <c r="CZ53" s="14"/>
      <c r="DA53" s="14"/>
      <c r="DB53" s="14"/>
      <c r="DC53" s="14"/>
      <c r="DD53" s="14"/>
      <c r="DE53" s="14"/>
      <c r="DF53" s="14"/>
      <c r="DG53" s="14"/>
      <c r="DH53" s="14"/>
      <c r="DI53" s="14"/>
      <c r="DJ53" s="14"/>
      <c r="DK53" s="14"/>
      <c r="DL53" s="14"/>
      <c r="DM53" s="14"/>
      <c r="DN53" s="14"/>
      <c r="DO53" s="14"/>
      <c r="DP53" s="26"/>
      <c r="DQ53" s="27"/>
      <c r="DR53" s="129"/>
      <c r="DS53" s="130">
        <f>TCP(BO53:DQ53,$BO$9:$DQ$9,data!$H$8)</f>
        <v>0</v>
      </c>
      <c r="DT53" s="135"/>
      <c r="DU53" s="121"/>
      <c r="DV53" s="121"/>
      <c r="DW53" s="134"/>
      <c r="DX53" s="132"/>
      <c r="DY53" s="136"/>
      <c r="DZ53" s="21"/>
      <c r="EA53" s="18"/>
      <c r="EB53" s="4"/>
      <c r="EI53" s="23"/>
      <c r="EJ53" s="23"/>
    </row>
    <row r="54" spans="1:140" ht="15.75" x14ac:dyDescent="0.25">
      <c r="A54" s="12"/>
      <c r="B54" s="16"/>
      <c r="C54" s="24" t="str">
        <f t="shared" si="0"/>
        <v xml:space="preserve"> </v>
      </c>
      <c r="D54" s="25"/>
      <c r="E54" s="20"/>
      <c r="F54" s="19" t="str">
        <f t="shared" si="1"/>
        <v xml:space="preserve"> </v>
      </c>
      <c r="G54" s="180"/>
      <c r="H54" s="120"/>
      <c r="I54" s="121"/>
      <c r="J54" s="121"/>
      <c r="K54" s="121"/>
      <c r="L54" s="121"/>
      <c r="M54" s="121"/>
      <c r="N54" s="121"/>
      <c r="O54" s="121"/>
      <c r="P54" s="121"/>
      <c r="Q54" s="121"/>
      <c r="R54" s="121"/>
      <c r="S54" s="121"/>
      <c r="T54" s="121"/>
      <c r="U54" s="121"/>
      <c r="V54" s="121"/>
      <c r="W54" s="121"/>
      <c r="X54" s="121"/>
      <c r="Y54" s="121"/>
      <c r="Z54" s="121"/>
      <c r="AA54" s="121"/>
      <c r="AB54" s="121"/>
      <c r="AC54" s="121"/>
      <c r="AD54" s="121"/>
      <c r="AE54" s="121"/>
      <c r="AF54" s="121"/>
      <c r="AG54" s="121"/>
      <c r="AH54" s="121"/>
      <c r="AI54" s="121"/>
      <c r="AJ54" s="121"/>
      <c r="AK54" s="121"/>
      <c r="AL54" s="121"/>
      <c r="AM54" s="121"/>
      <c r="AN54" s="121"/>
      <c r="AO54" s="121"/>
      <c r="AP54" s="121"/>
      <c r="AQ54" s="121"/>
      <c r="AR54" s="121"/>
      <c r="AS54" s="121"/>
      <c r="AT54" s="121"/>
      <c r="AU54" s="121"/>
      <c r="AV54" s="121"/>
      <c r="AW54" s="121"/>
      <c r="AX54" s="121"/>
      <c r="AY54" s="121"/>
      <c r="AZ54" s="121"/>
      <c r="BA54" s="121"/>
      <c r="BB54" s="121"/>
      <c r="BC54" s="121"/>
      <c r="BD54" s="121"/>
      <c r="BE54" s="121"/>
      <c r="BF54" s="121"/>
      <c r="BG54" s="121"/>
      <c r="BH54" s="121"/>
      <c r="BI54" s="121"/>
      <c r="BJ54" s="122"/>
      <c r="BK54" s="93"/>
      <c r="BL54" s="94"/>
      <c r="BM54" s="95"/>
      <c r="BN54" s="179"/>
      <c r="BO54" s="177"/>
      <c r="BP54" s="14"/>
      <c r="BQ54" s="14"/>
      <c r="BR54" s="14"/>
      <c r="BS54" s="14"/>
      <c r="BT54" s="14"/>
      <c r="BU54" s="14"/>
      <c r="BV54" s="16"/>
      <c r="BW54" s="14"/>
      <c r="BX54" s="14"/>
      <c r="BY54" s="14"/>
      <c r="BZ54" s="14"/>
      <c r="CA54" s="14"/>
      <c r="CB54" s="14"/>
      <c r="CC54" s="14"/>
      <c r="CD54" s="14"/>
      <c r="CE54" s="14"/>
      <c r="CF54" s="14"/>
      <c r="CG54" s="14"/>
      <c r="CH54" s="14"/>
      <c r="CI54" s="14"/>
      <c r="CJ54" s="14"/>
      <c r="CK54" s="14"/>
      <c r="CL54" s="14"/>
      <c r="CM54" s="14"/>
      <c r="CN54" s="14"/>
      <c r="CO54" s="14"/>
      <c r="CP54" s="14"/>
      <c r="CQ54" s="14"/>
      <c r="CR54" s="14"/>
      <c r="CS54" s="14"/>
      <c r="CT54" s="14"/>
      <c r="CU54" s="14"/>
      <c r="CV54" s="14"/>
      <c r="CW54" s="14"/>
      <c r="CX54" s="14"/>
      <c r="CY54" s="14"/>
      <c r="CZ54" s="14"/>
      <c r="DA54" s="14"/>
      <c r="DB54" s="14"/>
      <c r="DC54" s="14"/>
      <c r="DD54" s="14"/>
      <c r="DE54" s="14"/>
      <c r="DF54" s="14"/>
      <c r="DG54" s="14"/>
      <c r="DH54" s="14"/>
      <c r="DI54" s="14"/>
      <c r="DJ54" s="14"/>
      <c r="DK54" s="14"/>
      <c r="DL54" s="14"/>
      <c r="DM54" s="14"/>
      <c r="DN54" s="14"/>
      <c r="DO54" s="14"/>
      <c r="DP54" s="26"/>
      <c r="DQ54" s="27"/>
      <c r="DR54" s="129"/>
      <c r="DS54" s="130">
        <f>TCP(BO54:DQ54,$BO$9:$DQ$9,data!$H$8)</f>
        <v>0</v>
      </c>
      <c r="DT54" s="135"/>
      <c r="DU54" s="121"/>
      <c r="DV54" s="121"/>
      <c r="DW54" s="134"/>
      <c r="DX54" s="132"/>
      <c r="DY54" s="136"/>
      <c r="DZ54" s="21"/>
      <c r="EA54" s="18"/>
      <c r="EB54" s="4"/>
      <c r="EI54" s="23"/>
      <c r="EJ54" s="23"/>
    </row>
    <row r="55" spans="1:140" ht="15.75" x14ac:dyDescent="0.25">
      <c r="A55" s="12"/>
      <c r="B55" s="16"/>
      <c r="C55" s="24" t="str">
        <f t="shared" si="0"/>
        <v xml:space="preserve"> </v>
      </c>
      <c r="D55" s="25"/>
      <c r="E55" s="20"/>
      <c r="F55" s="19" t="str">
        <f t="shared" si="1"/>
        <v xml:space="preserve"> </v>
      </c>
      <c r="G55" s="180"/>
      <c r="H55" s="120"/>
      <c r="I55" s="121"/>
      <c r="J55" s="121"/>
      <c r="K55" s="121"/>
      <c r="L55" s="121"/>
      <c r="M55" s="121"/>
      <c r="N55" s="121"/>
      <c r="O55" s="121"/>
      <c r="P55" s="121"/>
      <c r="Q55" s="121"/>
      <c r="R55" s="121"/>
      <c r="S55" s="121"/>
      <c r="T55" s="121"/>
      <c r="U55" s="121"/>
      <c r="V55" s="121"/>
      <c r="W55" s="121"/>
      <c r="X55" s="121"/>
      <c r="Y55" s="121"/>
      <c r="Z55" s="121"/>
      <c r="AA55" s="121"/>
      <c r="AB55" s="121"/>
      <c r="AC55" s="121"/>
      <c r="AD55" s="121"/>
      <c r="AE55" s="121"/>
      <c r="AF55" s="121"/>
      <c r="AG55" s="121"/>
      <c r="AH55" s="121"/>
      <c r="AI55" s="121"/>
      <c r="AJ55" s="121"/>
      <c r="AK55" s="121"/>
      <c r="AL55" s="121"/>
      <c r="AM55" s="121"/>
      <c r="AN55" s="121"/>
      <c r="AO55" s="121"/>
      <c r="AP55" s="121"/>
      <c r="AQ55" s="121"/>
      <c r="AR55" s="121"/>
      <c r="AS55" s="121"/>
      <c r="AT55" s="121"/>
      <c r="AU55" s="121"/>
      <c r="AV55" s="121"/>
      <c r="AW55" s="121"/>
      <c r="AX55" s="121"/>
      <c r="AY55" s="121"/>
      <c r="AZ55" s="121"/>
      <c r="BA55" s="121"/>
      <c r="BB55" s="121"/>
      <c r="BC55" s="121"/>
      <c r="BD55" s="121"/>
      <c r="BE55" s="121"/>
      <c r="BF55" s="121"/>
      <c r="BG55" s="121"/>
      <c r="BH55" s="121"/>
      <c r="BI55" s="121"/>
      <c r="BJ55" s="122"/>
      <c r="BK55" s="93"/>
      <c r="BL55" s="94"/>
      <c r="BM55" s="95"/>
      <c r="BN55" s="179"/>
      <c r="BO55" s="177"/>
      <c r="BP55" s="14"/>
      <c r="BQ55" s="14"/>
      <c r="BR55" s="14"/>
      <c r="BS55" s="14"/>
      <c r="BT55" s="14"/>
      <c r="BU55" s="14"/>
      <c r="BV55" s="16"/>
      <c r="BW55" s="14"/>
      <c r="BX55" s="14"/>
      <c r="BY55" s="14"/>
      <c r="BZ55" s="14"/>
      <c r="CA55" s="14"/>
      <c r="CB55" s="14"/>
      <c r="CC55" s="14"/>
      <c r="CD55" s="14"/>
      <c r="CE55" s="14"/>
      <c r="CF55" s="14"/>
      <c r="CG55" s="14"/>
      <c r="CH55" s="14"/>
      <c r="CI55" s="14"/>
      <c r="CJ55" s="14"/>
      <c r="CK55" s="14"/>
      <c r="CL55" s="14"/>
      <c r="CM55" s="14"/>
      <c r="CN55" s="14"/>
      <c r="CO55" s="14"/>
      <c r="CP55" s="14"/>
      <c r="CQ55" s="14"/>
      <c r="CR55" s="14"/>
      <c r="CS55" s="14"/>
      <c r="CT55" s="14"/>
      <c r="CU55" s="14"/>
      <c r="CV55" s="14"/>
      <c r="CW55" s="14"/>
      <c r="CX55" s="14"/>
      <c r="CY55" s="14"/>
      <c r="CZ55" s="14"/>
      <c r="DA55" s="14"/>
      <c r="DB55" s="14"/>
      <c r="DC55" s="14"/>
      <c r="DD55" s="14"/>
      <c r="DE55" s="14"/>
      <c r="DF55" s="14"/>
      <c r="DG55" s="14"/>
      <c r="DH55" s="14"/>
      <c r="DI55" s="14"/>
      <c r="DJ55" s="14"/>
      <c r="DK55" s="14"/>
      <c r="DL55" s="14"/>
      <c r="DM55" s="14"/>
      <c r="DN55" s="14"/>
      <c r="DO55" s="14"/>
      <c r="DP55" s="26"/>
      <c r="DQ55" s="27"/>
      <c r="DR55" s="129"/>
      <c r="DS55" s="130">
        <f>TCP(BO55:DQ55,$BO$9:$DQ$9,data!$H$8)</f>
        <v>0</v>
      </c>
      <c r="DT55" s="135"/>
      <c r="DU55" s="121"/>
      <c r="DV55" s="121"/>
      <c r="DW55" s="134"/>
      <c r="DX55" s="132"/>
      <c r="DY55" s="136"/>
      <c r="DZ55" s="21"/>
      <c r="EA55" s="18"/>
      <c r="EB55" s="4"/>
      <c r="EI55" s="23"/>
      <c r="EJ55" s="23"/>
    </row>
    <row r="56" spans="1:140" ht="15.75" x14ac:dyDescent="0.25">
      <c r="A56" s="12"/>
      <c r="B56" s="16"/>
      <c r="C56" s="24" t="str">
        <f t="shared" si="0"/>
        <v xml:space="preserve"> </v>
      </c>
      <c r="D56" s="25"/>
      <c r="E56" s="20"/>
      <c r="F56" s="19" t="str">
        <f t="shared" si="1"/>
        <v xml:space="preserve"> </v>
      </c>
      <c r="G56" s="180"/>
      <c r="H56" s="120"/>
      <c r="I56" s="121"/>
      <c r="J56" s="121"/>
      <c r="K56" s="121"/>
      <c r="L56" s="121"/>
      <c r="M56" s="121"/>
      <c r="N56" s="121"/>
      <c r="O56" s="121"/>
      <c r="P56" s="121"/>
      <c r="Q56" s="121"/>
      <c r="R56" s="121"/>
      <c r="S56" s="121"/>
      <c r="T56" s="121"/>
      <c r="U56" s="121"/>
      <c r="V56" s="121"/>
      <c r="W56" s="121"/>
      <c r="X56" s="121"/>
      <c r="Y56" s="121"/>
      <c r="Z56" s="121"/>
      <c r="AA56" s="121"/>
      <c r="AB56" s="121"/>
      <c r="AC56" s="121"/>
      <c r="AD56" s="121"/>
      <c r="AE56" s="121"/>
      <c r="AF56" s="121"/>
      <c r="AG56" s="121"/>
      <c r="AH56" s="121"/>
      <c r="AI56" s="121"/>
      <c r="AJ56" s="121"/>
      <c r="AK56" s="121"/>
      <c r="AL56" s="121"/>
      <c r="AM56" s="121"/>
      <c r="AN56" s="121"/>
      <c r="AO56" s="121"/>
      <c r="AP56" s="121"/>
      <c r="AQ56" s="121"/>
      <c r="AR56" s="121"/>
      <c r="AS56" s="121"/>
      <c r="AT56" s="121"/>
      <c r="AU56" s="121"/>
      <c r="AV56" s="121"/>
      <c r="AW56" s="121"/>
      <c r="AX56" s="121"/>
      <c r="AY56" s="121"/>
      <c r="AZ56" s="121"/>
      <c r="BA56" s="121"/>
      <c r="BB56" s="121"/>
      <c r="BC56" s="121"/>
      <c r="BD56" s="121"/>
      <c r="BE56" s="121"/>
      <c r="BF56" s="121"/>
      <c r="BG56" s="121"/>
      <c r="BH56" s="121"/>
      <c r="BI56" s="121"/>
      <c r="BJ56" s="122"/>
      <c r="BK56" s="93"/>
      <c r="BL56" s="94"/>
      <c r="BM56" s="95"/>
      <c r="BN56" s="179"/>
      <c r="BO56" s="177"/>
      <c r="BP56" s="14"/>
      <c r="BQ56" s="14"/>
      <c r="BR56" s="14"/>
      <c r="BS56" s="14"/>
      <c r="BT56" s="14"/>
      <c r="BU56" s="14"/>
      <c r="BV56" s="16"/>
      <c r="BW56" s="14"/>
      <c r="BX56" s="14"/>
      <c r="BY56" s="14"/>
      <c r="BZ56" s="14"/>
      <c r="CA56" s="14"/>
      <c r="CB56" s="14"/>
      <c r="CC56" s="14"/>
      <c r="CD56" s="14"/>
      <c r="CE56" s="14"/>
      <c r="CF56" s="14"/>
      <c r="CG56" s="14"/>
      <c r="CH56" s="14"/>
      <c r="CI56" s="14"/>
      <c r="CJ56" s="14"/>
      <c r="CK56" s="14"/>
      <c r="CL56" s="14"/>
      <c r="CM56" s="14"/>
      <c r="CN56" s="14"/>
      <c r="CO56" s="14"/>
      <c r="CP56" s="14"/>
      <c r="CQ56" s="14"/>
      <c r="CR56" s="14"/>
      <c r="CS56" s="14"/>
      <c r="CT56" s="14"/>
      <c r="CU56" s="14"/>
      <c r="CV56" s="14"/>
      <c r="CW56" s="14"/>
      <c r="CX56" s="14"/>
      <c r="CY56" s="14"/>
      <c r="CZ56" s="14"/>
      <c r="DA56" s="14"/>
      <c r="DB56" s="14"/>
      <c r="DC56" s="14"/>
      <c r="DD56" s="14"/>
      <c r="DE56" s="14"/>
      <c r="DF56" s="14"/>
      <c r="DG56" s="14"/>
      <c r="DH56" s="14"/>
      <c r="DI56" s="14"/>
      <c r="DJ56" s="14"/>
      <c r="DK56" s="14"/>
      <c r="DL56" s="14"/>
      <c r="DM56" s="14"/>
      <c r="DN56" s="14"/>
      <c r="DO56" s="14"/>
      <c r="DP56" s="26"/>
      <c r="DQ56" s="27"/>
      <c r="DR56" s="129"/>
      <c r="DS56" s="130">
        <f>TCP(BO56:DQ56,$BO$9:$DQ$9,data!$H$8)</f>
        <v>0</v>
      </c>
      <c r="DT56" s="135"/>
      <c r="DU56" s="121"/>
      <c r="DV56" s="121"/>
      <c r="DW56" s="134"/>
      <c r="DX56" s="132"/>
      <c r="DY56" s="136"/>
      <c r="DZ56" s="21"/>
      <c r="EA56" s="18"/>
      <c r="EB56" s="4"/>
      <c r="EI56" s="23"/>
      <c r="EJ56" s="23"/>
    </row>
    <row r="57" spans="1:140" ht="15.75" x14ac:dyDescent="0.25">
      <c r="A57" s="12"/>
      <c r="B57" s="16"/>
      <c r="C57" s="24" t="str">
        <f t="shared" si="0"/>
        <v xml:space="preserve"> </v>
      </c>
      <c r="D57" s="25"/>
      <c r="E57" s="20"/>
      <c r="F57" s="19"/>
      <c r="G57" s="180"/>
      <c r="H57" s="120"/>
      <c r="I57" s="121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2"/>
      <c r="BK57" s="93"/>
      <c r="BL57" s="94"/>
      <c r="BM57" s="95"/>
      <c r="BN57" s="179"/>
      <c r="BO57" s="177"/>
      <c r="BP57" s="14"/>
      <c r="BQ57" s="14"/>
      <c r="BR57" s="14"/>
      <c r="BS57" s="14"/>
      <c r="BT57" s="14"/>
      <c r="BU57" s="14"/>
      <c r="BV57" s="16"/>
      <c r="BW57" s="14"/>
      <c r="BX57" s="14"/>
      <c r="BY57" s="14"/>
      <c r="BZ57" s="14"/>
      <c r="CA57" s="14"/>
      <c r="CB57" s="14"/>
      <c r="CC57" s="14"/>
      <c r="CD57" s="14"/>
      <c r="CE57" s="14"/>
      <c r="CF57" s="14"/>
      <c r="CG57" s="14"/>
      <c r="CH57" s="14"/>
      <c r="CI57" s="14"/>
      <c r="CJ57" s="14"/>
      <c r="CK57" s="14"/>
      <c r="CL57" s="14"/>
      <c r="CM57" s="14"/>
      <c r="CN57" s="14"/>
      <c r="CO57" s="14"/>
      <c r="CP57" s="14"/>
      <c r="CQ57" s="14"/>
      <c r="CR57" s="14"/>
      <c r="CS57" s="14"/>
      <c r="CT57" s="14"/>
      <c r="CU57" s="14"/>
      <c r="CV57" s="14"/>
      <c r="CW57" s="14"/>
      <c r="CX57" s="14"/>
      <c r="CY57" s="14"/>
      <c r="CZ57" s="14"/>
      <c r="DA57" s="14"/>
      <c r="DB57" s="14"/>
      <c r="DC57" s="14"/>
      <c r="DD57" s="14"/>
      <c r="DE57" s="14"/>
      <c r="DF57" s="14"/>
      <c r="DG57" s="14"/>
      <c r="DH57" s="14"/>
      <c r="DI57" s="14"/>
      <c r="DJ57" s="14"/>
      <c r="DK57" s="14"/>
      <c r="DL57" s="14"/>
      <c r="DM57" s="14"/>
      <c r="DN57" s="14"/>
      <c r="DO57" s="14"/>
      <c r="DP57" s="26"/>
      <c r="DQ57" s="27"/>
      <c r="DR57" s="129"/>
      <c r="DS57" s="130">
        <f>TCP(BO57:DQ57,$BO$9:$DQ$9,data!$H$8)</f>
        <v>0</v>
      </c>
      <c r="DT57" s="135"/>
      <c r="DU57" s="121"/>
      <c r="DV57" s="121"/>
      <c r="DW57" s="134"/>
      <c r="DX57" s="132"/>
      <c r="DY57" s="136"/>
      <c r="DZ57" s="21"/>
      <c r="EA57" s="18"/>
      <c r="EB57" s="4"/>
      <c r="EI57" s="23"/>
      <c r="EJ57" s="23"/>
    </row>
    <row r="58" spans="1:140" ht="15.75" x14ac:dyDescent="0.25">
      <c r="A58" s="12"/>
      <c r="B58" s="16"/>
      <c r="C58" s="24" t="str">
        <f t="shared" si="0"/>
        <v xml:space="preserve"> </v>
      </c>
      <c r="D58" s="25"/>
      <c r="E58" s="20"/>
      <c r="F58" s="19"/>
      <c r="G58" s="180"/>
      <c r="H58" s="120"/>
      <c r="I58" s="121"/>
      <c r="J58" s="121"/>
      <c r="K58" s="121"/>
      <c r="L58" s="121"/>
      <c r="M58" s="121"/>
      <c r="N58" s="121"/>
      <c r="O58" s="121"/>
      <c r="P58" s="121"/>
      <c r="Q58" s="121"/>
      <c r="R58" s="121"/>
      <c r="S58" s="121"/>
      <c r="T58" s="121"/>
      <c r="U58" s="121"/>
      <c r="V58" s="121"/>
      <c r="W58" s="121"/>
      <c r="X58" s="121"/>
      <c r="Y58" s="121"/>
      <c r="Z58" s="121"/>
      <c r="AA58" s="121"/>
      <c r="AB58" s="121"/>
      <c r="AC58" s="121"/>
      <c r="AD58" s="121"/>
      <c r="AE58" s="121"/>
      <c r="AF58" s="121"/>
      <c r="AG58" s="121"/>
      <c r="AH58" s="121"/>
      <c r="AI58" s="121"/>
      <c r="AJ58" s="121"/>
      <c r="AK58" s="121"/>
      <c r="AL58" s="121"/>
      <c r="AM58" s="121"/>
      <c r="AN58" s="121"/>
      <c r="AO58" s="121"/>
      <c r="AP58" s="121"/>
      <c r="AQ58" s="121"/>
      <c r="AR58" s="121"/>
      <c r="AS58" s="121"/>
      <c r="AT58" s="121"/>
      <c r="AU58" s="121"/>
      <c r="AV58" s="121"/>
      <c r="AW58" s="121"/>
      <c r="AX58" s="121"/>
      <c r="AY58" s="121"/>
      <c r="AZ58" s="121"/>
      <c r="BA58" s="121"/>
      <c r="BB58" s="121"/>
      <c r="BC58" s="121"/>
      <c r="BD58" s="121"/>
      <c r="BE58" s="121"/>
      <c r="BF58" s="121"/>
      <c r="BG58" s="121"/>
      <c r="BH58" s="121"/>
      <c r="BI58" s="121"/>
      <c r="BJ58" s="122"/>
      <c r="BK58" s="93"/>
      <c r="BL58" s="94"/>
      <c r="BM58" s="95"/>
      <c r="BN58" s="179"/>
      <c r="BO58" s="177"/>
      <c r="BP58" s="14"/>
      <c r="BQ58" s="14"/>
      <c r="BR58" s="14"/>
      <c r="BS58" s="14"/>
      <c r="BT58" s="14"/>
      <c r="BU58" s="14"/>
      <c r="BV58" s="16"/>
      <c r="BW58" s="14"/>
      <c r="BX58" s="14"/>
      <c r="BY58" s="14"/>
      <c r="BZ58" s="14"/>
      <c r="CA58" s="14"/>
      <c r="CB58" s="14"/>
      <c r="CC58" s="14"/>
      <c r="CD58" s="14"/>
      <c r="CE58" s="14"/>
      <c r="CF58" s="14"/>
      <c r="CG58" s="14"/>
      <c r="CH58" s="14"/>
      <c r="CI58" s="14"/>
      <c r="CJ58" s="14"/>
      <c r="CK58" s="14"/>
      <c r="CL58" s="14"/>
      <c r="CM58" s="14"/>
      <c r="CN58" s="14"/>
      <c r="CO58" s="14"/>
      <c r="CP58" s="14"/>
      <c r="CQ58" s="14"/>
      <c r="CR58" s="14"/>
      <c r="CS58" s="14"/>
      <c r="CT58" s="14"/>
      <c r="CU58" s="14"/>
      <c r="CV58" s="14"/>
      <c r="CW58" s="14"/>
      <c r="CX58" s="14"/>
      <c r="CY58" s="14"/>
      <c r="CZ58" s="14"/>
      <c r="DA58" s="14"/>
      <c r="DB58" s="14"/>
      <c r="DC58" s="14"/>
      <c r="DD58" s="14"/>
      <c r="DE58" s="14"/>
      <c r="DF58" s="14"/>
      <c r="DG58" s="14"/>
      <c r="DH58" s="14"/>
      <c r="DI58" s="14"/>
      <c r="DJ58" s="14"/>
      <c r="DK58" s="14"/>
      <c r="DL58" s="14"/>
      <c r="DM58" s="14"/>
      <c r="DN58" s="14"/>
      <c r="DO58" s="14"/>
      <c r="DP58" s="26"/>
      <c r="DQ58" s="27"/>
      <c r="DR58" s="129"/>
      <c r="DS58" s="130">
        <f>TCP(BO58:DQ58,$BO$9:$DQ$9,data!$H$8)</f>
        <v>0</v>
      </c>
      <c r="DT58" s="135"/>
      <c r="DU58" s="121"/>
      <c r="DV58" s="121"/>
      <c r="DW58" s="134"/>
      <c r="DX58" s="132"/>
      <c r="DY58" s="136"/>
      <c r="DZ58" s="21"/>
      <c r="EA58" s="18"/>
      <c r="EB58" s="4"/>
      <c r="EI58" s="23"/>
      <c r="EJ58" s="23"/>
    </row>
    <row r="59" spans="1:140" ht="15.75" x14ac:dyDescent="0.25">
      <c r="A59" s="12"/>
      <c r="B59" s="16"/>
      <c r="C59" s="24" t="str">
        <f t="shared" si="0"/>
        <v xml:space="preserve"> </v>
      </c>
      <c r="D59" s="25"/>
      <c r="E59" s="20"/>
      <c r="F59" s="19"/>
      <c r="G59" s="180"/>
      <c r="H59" s="120"/>
      <c r="I59" s="121"/>
      <c r="J59" s="121"/>
      <c r="K59" s="121"/>
      <c r="L59" s="121"/>
      <c r="M59" s="121"/>
      <c r="N59" s="121"/>
      <c r="O59" s="121"/>
      <c r="P59" s="121"/>
      <c r="Q59" s="121"/>
      <c r="R59" s="121"/>
      <c r="S59" s="121"/>
      <c r="T59" s="121"/>
      <c r="U59" s="121"/>
      <c r="V59" s="121"/>
      <c r="W59" s="121"/>
      <c r="X59" s="121"/>
      <c r="Y59" s="121"/>
      <c r="Z59" s="121"/>
      <c r="AA59" s="121"/>
      <c r="AB59" s="121"/>
      <c r="AC59" s="121"/>
      <c r="AD59" s="121"/>
      <c r="AE59" s="121"/>
      <c r="AF59" s="121"/>
      <c r="AG59" s="121"/>
      <c r="AH59" s="121"/>
      <c r="AI59" s="121"/>
      <c r="AJ59" s="121"/>
      <c r="AK59" s="121"/>
      <c r="AL59" s="121"/>
      <c r="AM59" s="121"/>
      <c r="AN59" s="121"/>
      <c r="AO59" s="121"/>
      <c r="AP59" s="121"/>
      <c r="AQ59" s="121"/>
      <c r="AR59" s="121"/>
      <c r="AS59" s="121"/>
      <c r="AT59" s="121"/>
      <c r="AU59" s="121"/>
      <c r="AV59" s="121"/>
      <c r="AW59" s="121"/>
      <c r="AX59" s="121"/>
      <c r="AY59" s="121"/>
      <c r="AZ59" s="121"/>
      <c r="BA59" s="121"/>
      <c r="BB59" s="121"/>
      <c r="BC59" s="121"/>
      <c r="BD59" s="121"/>
      <c r="BE59" s="121"/>
      <c r="BF59" s="121"/>
      <c r="BG59" s="121"/>
      <c r="BH59" s="121"/>
      <c r="BI59" s="121"/>
      <c r="BJ59" s="122"/>
      <c r="BK59" s="93"/>
      <c r="BL59" s="94"/>
      <c r="BM59" s="95"/>
      <c r="BN59" s="179"/>
      <c r="BO59" s="177"/>
      <c r="BP59" s="14"/>
      <c r="BQ59" s="14"/>
      <c r="BR59" s="14"/>
      <c r="BS59" s="14"/>
      <c r="BT59" s="14"/>
      <c r="BU59" s="14"/>
      <c r="BV59" s="16"/>
      <c r="BW59" s="14"/>
      <c r="BX59" s="14"/>
      <c r="BY59" s="14"/>
      <c r="BZ59" s="14"/>
      <c r="CA59" s="14"/>
      <c r="CB59" s="14"/>
      <c r="CC59" s="14"/>
      <c r="CD59" s="14"/>
      <c r="CE59" s="14"/>
      <c r="CF59" s="14"/>
      <c r="CG59" s="14"/>
      <c r="CH59" s="14"/>
      <c r="CI59" s="14"/>
      <c r="CJ59" s="14"/>
      <c r="CK59" s="14"/>
      <c r="CL59" s="14"/>
      <c r="CM59" s="14"/>
      <c r="CN59" s="14"/>
      <c r="CO59" s="14"/>
      <c r="CP59" s="14"/>
      <c r="CQ59" s="14"/>
      <c r="CR59" s="14"/>
      <c r="CS59" s="14"/>
      <c r="CT59" s="14"/>
      <c r="CU59" s="14"/>
      <c r="CV59" s="14"/>
      <c r="CW59" s="14"/>
      <c r="CX59" s="14"/>
      <c r="CY59" s="14"/>
      <c r="CZ59" s="14"/>
      <c r="DA59" s="14"/>
      <c r="DB59" s="14"/>
      <c r="DC59" s="14"/>
      <c r="DD59" s="14"/>
      <c r="DE59" s="14"/>
      <c r="DF59" s="14"/>
      <c r="DG59" s="14"/>
      <c r="DH59" s="14"/>
      <c r="DI59" s="14"/>
      <c r="DJ59" s="14"/>
      <c r="DK59" s="14"/>
      <c r="DL59" s="14"/>
      <c r="DM59" s="14"/>
      <c r="DN59" s="14"/>
      <c r="DO59" s="14"/>
      <c r="DP59" s="26"/>
      <c r="DQ59" s="27"/>
      <c r="DR59" s="129"/>
      <c r="DS59" s="130">
        <f>TCP(BO59:DQ59,$BO$9:$DQ$9,data!$H$8)</f>
        <v>0</v>
      </c>
      <c r="DT59" s="135"/>
      <c r="DU59" s="121"/>
      <c r="DV59" s="121"/>
      <c r="DW59" s="134"/>
      <c r="DX59" s="132"/>
      <c r="DY59" s="136"/>
      <c r="DZ59" s="21"/>
      <c r="EA59" s="18"/>
      <c r="EB59" s="4"/>
      <c r="EI59" s="23"/>
      <c r="EJ59" s="23"/>
    </row>
    <row r="60" spans="1:140" ht="15.75" x14ac:dyDescent="0.25">
      <c r="A60" s="12"/>
      <c r="B60" s="16"/>
      <c r="C60" s="24" t="str">
        <f t="shared" si="0"/>
        <v xml:space="preserve"> </v>
      </c>
      <c r="D60" s="25"/>
      <c r="E60" s="20"/>
      <c r="F60" s="19"/>
      <c r="G60" s="180"/>
      <c r="H60" s="120"/>
      <c r="I60" s="121"/>
      <c r="J60" s="121"/>
      <c r="K60" s="121"/>
      <c r="L60" s="121"/>
      <c r="M60" s="121"/>
      <c r="N60" s="121"/>
      <c r="O60" s="121"/>
      <c r="P60" s="121"/>
      <c r="Q60" s="121"/>
      <c r="R60" s="121"/>
      <c r="S60" s="121"/>
      <c r="T60" s="121"/>
      <c r="U60" s="121"/>
      <c r="V60" s="121"/>
      <c r="W60" s="121"/>
      <c r="X60" s="121"/>
      <c r="Y60" s="121"/>
      <c r="Z60" s="121"/>
      <c r="AA60" s="121"/>
      <c r="AB60" s="121"/>
      <c r="AC60" s="121"/>
      <c r="AD60" s="121"/>
      <c r="AE60" s="121"/>
      <c r="AF60" s="121"/>
      <c r="AG60" s="121"/>
      <c r="AH60" s="121"/>
      <c r="AI60" s="121"/>
      <c r="AJ60" s="121"/>
      <c r="AK60" s="121"/>
      <c r="AL60" s="121"/>
      <c r="AM60" s="121"/>
      <c r="AN60" s="121"/>
      <c r="AO60" s="121"/>
      <c r="AP60" s="121"/>
      <c r="AQ60" s="121"/>
      <c r="AR60" s="121"/>
      <c r="AS60" s="121"/>
      <c r="AT60" s="121"/>
      <c r="AU60" s="121"/>
      <c r="AV60" s="121"/>
      <c r="AW60" s="121"/>
      <c r="AX60" s="121"/>
      <c r="AY60" s="121"/>
      <c r="AZ60" s="121"/>
      <c r="BA60" s="121"/>
      <c r="BB60" s="121"/>
      <c r="BC60" s="121"/>
      <c r="BD60" s="121"/>
      <c r="BE60" s="121"/>
      <c r="BF60" s="121"/>
      <c r="BG60" s="121"/>
      <c r="BH60" s="121"/>
      <c r="BI60" s="121"/>
      <c r="BJ60" s="122"/>
      <c r="BK60" s="93"/>
      <c r="BL60" s="94"/>
      <c r="BM60" s="95"/>
      <c r="BN60" s="179"/>
      <c r="BO60" s="177"/>
      <c r="BP60" s="14"/>
      <c r="BQ60" s="14"/>
      <c r="BR60" s="14"/>
      <c r="BS60" s="14"/>
      <c r="BT60" s="14"/>
      <c r="BU60" s="14"/>
      <c r="BV60" s="16"/>
      <c r="BW60" s="14"/>
      <c r="BX60" s="14"/>
      <c r="BY60" s="14"/>
      <c r="BZ60" s="14"/>
      <c r="CA60" s="14"/>
      <c r="CB60" s="14"/>
      <c r="CC60" s="14"/>
      <c r="CD60" s="14"/>
      <c r="CE60" s="14"/>
      <c r="CF60" s="14"/>
      <c r="CG60" s="14"/>
      <c r="CH60" s="14"/>
      <c r="CI60" s="14"/>
      <c r="CJ60" s="14"/>
      <c r="CK60" s="14"/>
      <c r="CL60" s="14"/>
      <c r="CM60" s="14"/>
      <c r="CN60" s="14"/>
      <c r="CO60" s="14"/>
      <c r="CP60" s="14"/>
      <c r="CQ60" s="14"/>
      <c r="CR60" s="14"/>
      <c r="CS60" s="14"/>
      <c r="CT60" s="14"/>
      <c r="CU60" s="14"/>
      <c r="CV60" s="14"/>
      <c r="CW60" s="14"/>
      <c r="CX60" s="14"/>
      <c r="CY60" s="14"/>
      <c r="CZ60" s="14"/>
      <c r="DA60" s="14"/>
      <c r="DB60" s="14"/>
      <c r="DC60" s="14"/>
      <c r="DD60" s="14"/>
      <c r="DE60" s="14"/>
      <c r="DF60" s="14"/>
      <c r="DG60" s="14"/>
      <c r="DH60" s="14"/>
      <c r="DI60" s="14"/>
      <c r="DJ60" s="14"/>
      <c r="DK60" s="14"/>
      <c r="DL60" s="14"/>
      <c r="DM60" s="14"/>
      <c r="DN60" s="14"/>
      <c r="DO60" s="14"/>
      <c r="DP60" s="26"/>
      <c r="DQ60" s="27"/>
      <c r="DR60" s="129"/>
      <c r="DS60" s="130">
        <f>TCP(BO60:DQ60,$BO$9:$DQ$9,data!$H$8)</f>
        <v>0</v>
      </c>
      <c r="DT60" s="135"/>
      <c r="DU60" s="121"/>
      <c r="DV60" s="121"/>
      <c r="DW60" s="134"/>
      <c r="DX60" s="132"/>
      <c r="DY60" s="136"/>
      <c r="DZ60" s="21"/>
      <c r="EA60" s="18"/>
      <c r="EB60" s="4"/>
      <c r="EI60" s="23"/>
      <c r="EJ60" s="23"/>
    </row>
    <row r="61" spans="1:140" ht="15.75" x14ac:dyDescent="0.25">
      <c r="A61" s="12"/>
      <c r="B61" s="16"/>
      <c r="C61" s="24" t="str">
        <f t="shared" si="0"/>
        <v xml:space="preserve"> </v>
      </c>
      <c r="D61" s="25"/>
      <c r="E61" s="20"/>
      <c r="F61" s="19"/>
      <c r="G61" s="180"/>
      <c r="H61" s="120"/>
      <c r="I61" s="121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2"/>
      <c r="BK61" s="93"/>
      <c r="BL61" s="94"/>
      <c r="BM61" s="95"/>
      <c r="BN61" s="179"/>
      <c r="BO61" s="177"/>
      <c r="BP61" s="14"/>
      <c r="BQ61" s="14"/>
      <c r="BR61" s="14"/>
      <c r="BS61" s="14"/>
      <c r="BT61" s="14"/>
      <c r="BU61" s="14"/>
      <c r="BV61" s="16"/>
      <c r="BW61" s="14"/>
      <c r="BX61" s="14"/>
      <c r="BY61" s="14"/>
      <c r="BZ61" s="14"/>
      <c r="CA61" s="14"/>
      <c r="CB61" s="14"/>
      <c r="CC61" s="14"/>
      <c r="CD61" s="14"/>
      <c r="CE61" s="14"/>
      <c r="CF61" s="14"/>
      <c r="CG61" s="14"/>
      <c r="CH61" s="14"/>
      <c r="CI61" s="14"/>
      <c r="CJ61" s="14"/>
      <c r="CK61" s="14"/>
      <c r="CL61" s="14"/>
      <c r="CM61" s="14"/>
      <c r="CN61" s="14"/>
      <c r="CO61" s="14"/>
      <c r="CP61" s="14"/>
      <c r="CQ61" s="14"/>
      <c r="CR61" s="14"/>
      <c r="CS61" s="14"/>
      <c r="CT61" s="14"/>
      <c r="CU61" s="14"/>
      <c r="CV61" s="14"/>
      <c r="CW61" s="14"/>
      <c r="CX61" s="14"/>
      <c r="CY61" s="14"/>
      <c r="CZ61" s="14"/>
      <c r="DA61" s="14"/>
      <c r="DB61" s="14"/>
      <c r="DC61" s="14"/>
      <c r="DD61" s="14"/>
      <c r="DE61" s="14"/>
      <c r="DF61" s="14"/>
      <c r="DG61" s="14"/>
      <c r="DH61" s="14"/>
      <c r="DI61" s="14"/>
      <c r="DJ61" s="14"/>
      <c r="DK61" s="14"/>
      <c r="DL61" s="14"/>
      <c r="DM61" s="14"/>
      <c r="DN61" s="14"/>
      <c r="DO61" s="14"/>
      <c r="DP61" s="26"/>
      <c r="DQ61" s="27"/>
      <c r="DR61" s="129"/>
      <c r="DS61" s="130">
        <f>TCP(BO61:DQ61,$BO$9:$DQ$9,data!$H$8)</f>
        <v>0</v>
      </c>
      <c r="DT61" s="135"/>
      <c r="DU61" s="121"/>
      <c r="DV61" s="121"/>
      <c r="DW61" s="134"/>
      <c r="DX61" s="132"/>
      <c r="DY61" s="136"/>
      <c r="DZ61" s="21"/>
      <c r="EA61" s="18"/>
      <c r="EB61" s="4"/>
      <c r="EI61" s="23"/>
      <c r="EJ61" s="23"/>
    </row>
    <row r="62" spans="1:140" ht="15.75" x14ac:dyDescent="0.25">
      <c r="A62" s="12"/>
      <c r="B62" s="16"/>
      <c r="C62" s="24" t="str">
        <f t="shared" si="0"/>
        <v xml:space="preserve"> </v>
      </c>
      <c r="D62" s="25"/>
      <c r="E62" s="20"/>
      <c r="F62" s="19"/>
      <c r="G62" s="180"/>
      <c r="H62" s="120"/>
      <c r="I62" s="121"/>
      <c r="J62" s="121"/>
      <c r="K62" s="121"/>
      <c r="L62" s="121"/>
      <c r="M62" s="121"/>
      <c r="N62" s="121"/>
      <c r="O62" s="121"/>
      <c r="P62" s="121"/>
      <c r="Q62" s="121"/>
      <c r="R62" s="121"/>
      <c r="S62" s="121"/>
      <c r="T62" s="121"/>
      <c r="U62" s="121"/>
      <c r="V62" s="121"/>
      <c r="W62" s="121"/>
      <c r="X62" s="121"/>
      <c r="Y62" s="121"/>
      <c r="Z62" s="121"/>
      <c r="AA62" s="121"/>
      <c r="AB62" s="121"/>
      <c r="AC62" s="121"/>
      <c r="AD62" s="121"/>
      <c r="AE62" s="121"/>
      <c r="AF62" s="121"/>
      <c r="AG62" s="121"/>
      <c r="AH62" s="121"/>
      <c r="AI62" s="121"/>
      <c r="AJ62" s="121"/>
      <c r="AK62" s="121"/>
      <c r="AL62" s="121"/>
      <c r="AM62" s="121"/>
      <c r="AN62" s="121"/>
      <c r="AO62" s="121"/>
      <c r="AP62" s="121"/>
      <c r="AQ62" s="121"/>
      <c r="AR62" s="121"/>
      <c r="AS62" s="121"/>
      <c r="AT62" s="121"/>
      <c r="AU62" s="121"/>
      <c r="AV62" s="121"/>
      <c r="AW62" s="121"/>
      <c r="AX62" s="121"/>
      <c r="AY62" s="121"/>
      <c r="AZ62" s="121"/>
      <c r="BA62" s="121"/>
      <c r="BB62" s="121"/>
      <c r="BC62" s="121"/>
      <c r="BD62" s="121"/>
      <c r="BE62" s="121"/>
      <c r="BF62" s="121"/>
      <c r="BG62" s="121"/>
      <c r="BH62" s="121"/>
      <c r="BI62" s="121"/>
      <c r="BJ62" s="122"/>
      <c r="BK62" s="93"/>
      <c r="BL62" s="94"/>
      <c r="BM62" s="95"/>
      <c r="BN62" s="179"/>
      <c r="BO62" s="177"/>
      <c r="BP62" s="14"/>
      <c r="BQ62" s="14"/>
      <c r="BR62" s="14"/>
      <c r="BS62" s="14"/>
      <c r="BT62" s="14"/>
      <c r="BU62" s="14"/>
      <c r="BV62" s="16"/>
      <c r="BW62" s="14"/>
      <c r="BX62" s="14"/>
      <c r="BY62" s="14"/>
      <c r="BZ62" s="14"/>
      <c r="CA62" s="14"/>
      <c r="CB62" s="14"/>
      <c r="CC62" s="14"/>
      <c r="CD62" s="14"/>
      <c r="CE62" s="14"/>
      <c r="CF62" s="14"/>
      <c r="CG62" s="14"/>
      <c r="CH62" s="14"/>
      <c r="CI62" s="14"/>
      <c r="CJ62" s="14"/>
      <c r="CK62" s="14"/>
      <c r="CL62" s="14"/>
      <c r="CM62" s="14"/>
      <c r="CN62" s="14"/>
      <c r="CO62" s="14"/>
      <c r="CP62" s="14"/>
      <c r="CQ62" s="14"/>
      <c r="CR62" s="14"/>
      <c r="CS62" s="14"/>
      <c r="CT62" s="14"/>
      <c r="CU62" s="14"/>
      <c r="CV62" s="14"/>
      <c r="CW62" s="14"/>
      <c r="CX62" s="14"/>
      <c r="CY62" s="14"/>
      <c r="CZ62" s="14"/>
      <c r="DA62" s="14"/>
      <c r="DB62" s="14"/>
      <c r="DC62" s="14"/>
      <c r="DD62" s="14"/>
      <c r="DE62" s="14"/>
      <c r="DF62" s="14"/>
      <c r="DG62" s="14"/>
      <c r="DH62" s="14"/>
      <c r="DI62" s="14"/>
      <c r="DJ62" s="14"/>
      <c r="DK62" s="14"/>
      <c r="DL62" s="14"/>
      <c r="DM62" s="14"/>
      <c r="DN62" s="14"/>
      <c r="DO62" s="14"/>
      <c r="DP62" s="26"/>
      <c r="DQ62" s="27"/>
      <c r="DR62" s="129"/>
      <c r="DS62" s="130">
        <f>TCP(BO62:DQ62,$BO$9:$DQ$9,data!$H$8)</f>
        <v>0</v>
      </c>
      <c r="DT62" s="135"/>
      <c r="DU62" s="121"/>
      <c r="DV62" s="121"/>
      <c r="DW62" s="134"/>
      <c r="DX62" s="132"/>
      <c r="DY62" s="136"/>
      <c r="DZ62" s="21"/>
      <c r="EA62" s="18"/>
      <c r="EB62" s="4"/>
      <c r="EI62" s="23"/>
      <c r="EJ62" s="23"/>
    </row>
    <row r="63" spans="1:140" ht="15.75" x14ac:dyDescent="0.25">
      <c r="A63" s="12"/>
      <c r="B63" s="16"/>
      <c r="C63" s="24" t="str">
        <f t="shared" si="0"/>
        <v xml:space="preserve"> </v>
      </c>
      <c r="D63" s="25"/>
      <c r="E63" s="20"/>
      <c r="F63" s="19"/>
      <c r="G63" s="180"/>
      <c r="H63" s="120"/>
      <c r="I63" s="121"/>
      <c r="J63" s="121"/>
      <c r="K63" s="121"/>
      <c r="L63" s="121"/>
      <c r="M63" s="121"/>
      <c r="N63" s="121"/>
      <c r="O63" s="121"/>
      <c r="P63" s="121"/>
      <c r="Q63" s="121"/>
      <c r="R63" s="121"/>
      <c r="S63" s="121"/>
      <c r="T63" s="121"/>
      <c r="U63" s="121"/>
      <c r="V63" s="121"/>
      <c r="W63" s="121"/>
      <c r="X63" s="121"/>
      <c r="Y63" s="121"/>
      <c r="Z63" s="121"/>
      <c r="AA63" s="121"/>
      <c r="AB63" s="121"/>
      <c r="AC63" s="121"/>
      <c r="AD63" s="121"/>
      <c r="AE63" s="121"/>
      <c r="AF63" s="121"/>
      <c r="AG63" s="121"/>
      <c r="AH63" s="121"/>
      <c r="AI63" s="121"/>
      <c r="AJ63" s="121"/>
      <c r="AK63" s="121"/>
      <c r="AL63" s="121"/>
      <c r="AM63" s="121"/>
      <c r="AN63" s="121"/>
      <c r="AO63" s="121"/>
      <c r="AP63" s="121"/>
      <c r="AQ63" s="121"/>
      <c r="AR63" s="121"/>
      <c r="AS63" s="121"/>
      <c r="AT63" s="121"/>
      <c r="AU63" s="121"/>
      <c r="AV63" s="121"/>
      <c r="AW63" s="121"/>
      <c r="AX63" s="121"/>
      <c r="AY63" s="121"/>
      <c r="AZ63" s="121"/>
      <c r="BA63" s="121"/>
      <c r="BB63" s="121"/>
      <c r="BC63" s="121"/>
      <c r="BD63" s="121"/>
      <c r="BE63" s="121"/>
      <c r="BF63" s="121"/>
      <c r="BG63" s="121"/>
      <c r="BH63" s="121"/>
      <c r="BI63" s="121"/>
      <c r="BJ63" s="122"/>
      <c r="BK63" s="93"/>
      <c r="BL63" s="94"/>
      <c r="BM63" s="95"/>
      <c r="BN63" s="179"/>
      <c r="BO63" s="177"/>
      <c r="BP63" s="14"/>
      <c r="BQ63" s="14"/>
      <c r="BR63" s="14"/>
      <c r="BS63" s="14"/>
      <c r="BT63" s="14"/>
      <c r="BU63" s="14"/>
      <c r="BV63" s="16"/>
      <c r="BW63" s="14"/>
      <c r="BX63" s="14"/>
      <c r="BY63" s="14"/>
      <c r="BZ63" s="14"/>
      <c r="CA63" s="14"/>
      <c r="CB63" s="14"/>
      <c r="CC63" s="14"/>
      <c r="CD63" s="14"/>
      <c r="CE63" s="14"/>
      <c r="CF63" s="14"/>
      <c r="CG63" s="14"/>
      <c r="CH63" s="14"/>
      <c r="CI63" s="14"/>
      <c r="CJ63" s="14"/>
      <c r="CK63" s="14"/>
      <c r="CL63" s="14"/>
      <c r="CM63" s="14"/>
      <c r="CN63" s="14"/>
      <c r="CO63" s="14"/>
      <c r="CP63" s="14"/>
      <c r="CQ63" s="14"/>
      <c r="CR63" s="14"/>
      <c r="CS63" s="14"/>
      <c r="CT63" s="14"/>
      <c r="CU63" s="14"/>
      <c r="CV63" s="14"/>
      <c r="CW63" s="14"/>
      <c r="CX63" s="14"/>
      <c r="CY63" s="14"/>
      <c r="CZ63" s="14"/>
      <c r="DA63" s="14"/>
      <c r="DB63" s="14"/>
      <c r="DC63" s="14"/>
      <c r="DD63" s="14"/>
      <c r="DE63" s="14"/>
      <c r="DF63" s="14"/>
      <c r="DG63" s="14"/>
      <c r="DH63" s="14"/>
      <c r="DI63" s="14"/>
      <c r="DJ63" s="14"/>
      <c r="DK63" s="14"/>
      <c r="DL63" s="14"/>
      <c r="DM63" s="14"/>
      <c r="DN63" s="14"/>
      <c r="DO63" s="14"/>
      <c r="DP63" s="26"/>
      <c r="DQ63" s="27"/>
      <c r="DR63" s="129"/>
      <c r="DS63" s="130">
        <f>TCP(BO63:DQ63,$BO$9:$DQ$9,data!$H$8)</f>
        <v>0</v>
      </c>
      <c r="DT63" s="135"/>
      <c r="DU63" s="121"/>
      <c r="DV63" s="121"/>
      <c r="DW63" s="134"/>
      <c r="DX63" s="132"/>
      <c r="DY63" s="136"/>
      <c r="DZ63" s="21"/>
      <c r="EA63" s="18"/>
      <c r="EB63" s="4"/>
      <c r="EI63" s="23"/>
      <c r="EJ63" s="23"/>
    </row>
    <row r="64" spans="1:140" ht="15.75" x14ac:dyDescent="0.25">
      <c r="A64" s="12"/>
      <c r="B64" s="16"/>
      <c r="C64" s="24" t="str">
        <f t="shared" si="0"/>
        <v xml:space="preserve"> </v>
      </c>
      <c r="D64" s="25"/>
      <c r="E64" s="20"/>
      <c r="F64" s="19"/>
      <c r="G64" s="180"/>
      <c r="H64" s="120"/>
      <c r="I64" s="121"/>
      <c r="J64" s="121"/>
      <c r="K64" s="121"/>
      <c r="L64" s="121"/>
      <c r="M64" s="121"/>
      <c r="N64" s="121"/>
      <c r="O64" s="121"/>
      <c r="P64" s="121"/>
      <c r="Q64" s="121"/>
      <c r="R64" s="121"/>
      <c r="S64" s="121"/>
      <c r="T64" s="121"/>
      <c r="U64" s="121"/>
      <c r="V64" s="121"/>
      <c r="W64" s="121"/>
      <c r="X64" s="121"/>
      <c r="Y64" s="121"/>
      <c r="Z64" s="121"/>
      <c r="AA64" s="121"/>
      <c r="AB64" s="121"/>
      <c r="AC64" s="121"/>
      <c r="AD64" s="121"/>
      <c r="AE64" s="121"/>
      <c r="AF64" s="121"/>
      <c r="AG64" s="121"/>
      <c r="AH64" s="121"/>
      <c r="AI64" s="121"/>
      <c r="AJ64" s="121"/>
      <c r="AK64" s="121"/>
      <c r="AL64" s="121"/>
      <c r="AM64" s="121"/>
      <c r="AN64" s="121"/>
      <c r="AO64" s="121"/>
      <c r="AP64" s="121"/>
      <c r="AQ64" s="121"/>
      <c r="AR64" s="121"/>
      <c r="AS64" s="121"/>
      <c r="AT64" s="121"/>
      <c r="AU64" s="121"/>
      <c r="AV64" s="121"/>
      <c r="AW64" s="121"/>
      <c r="AX64" s="121"/>
      <c r="AY64" s="121"/>
      <c r="AZ64" s="121"/>
      <c r="BA64" s="121"/>
      <c r="BB64" s="121"/>
      <c r="BC64" s="121"/>
      <c r="BD64" s="121"/>
      <c r="BE64" s="121"/>
      <c r="BF64" s="121"/>
      <c r="BG64" s="121"/>
      <c r="BH64" s="121"/>
      <c r="BI64" s="121"/>
      <c r="BJ64" s="122"/>
      <c r="BK64" s="93"/>
      <c r="BL64" s="94"/>
      <c r="BM64" s="95"/>
      <c r="BN64" s="179"/>
      <c r="BO64" s="177"/>
      <c r="BP64" s="14"/>
      <c r="BQ64" s="14"/>
      <c r="BR64" s="14"/>
      <c r="BS64" s="14"/>
      <c r="BT64" s="14"/>
      <c r="BU64" s="14"/>
      <c r="BV64" s="16"/>
      <c r="BW64" s="14"/>
      <c r="BX64" s="14"/>
      <c r="BY64" s="14"/>
      <c r="BZ64" s="14"/>
      <c r="CA64" s="14"/>
      <c r="CB64" s="14"/>
      <c r="CC64" s="14"/>
      <c r="CD64" s="14"/>
      <c r="CE64" s="14"/>
      <c r="CF64" s="14"/>
      <c r="CG64" s="14"/>
      <c r="CH64" s="14"/>
      <c r="CI64" s="14"/>
      <c r="CJ64" s="14"/>
      <c r="CK64" s="14"/>
      <c r="CL64" s="14"/>
      <c r="CM64" s="14"/>
      <c r="CN64" s="14"/>
      <c r="CO64" s="14"/>
      <c r="CP64" s="14"/>
      <c r="CQ64" s="14"/>
      <c r="CR64" s="14"/>
      <c r="CS64" s="14"/>
      <c r="CT64" s="14"/>
      <c r="CU64" s="14"/>
      <c r="CV64" s="14"/>
      <c r="CW64" s="14"/>
      <c r="CX64" s="14"/>
      <c r="CY64" s="14"/>
      <c r="CZ64" s="14"/>
      <c r="DA64" s="14"/>
      <c r="DB64" s="14"/>
      <c r="DC64" s="14"/>
      <c r="DD64" s="14"/>
      <c r="DE64" s="14"/>
      <c r="DF64" s="14"/>
      <c r="DG64" s="14"/>
      <c r="DH64" s="14"/>
      <c r="DI64" s="14"/>
      <c r="DJ64" s="14"/>
      <c r="DK64" s="14"/>
      <c r="DL64" s="14"/>
      <c r="DM64" s="14"/>
      <c r="DN64" s="14"/>
      <c r="DO64" s="14"/>
      <c r="DP64" s="26"/>
      <c r="DQ64" s="27"/>
      <c r="DR64" s="129"/>
      <c r="DS64" s="130">
        <f>TCP(BO64:DQ64,$BO$9:$DQ$9,data!$H$8)</f>
        <v>0</v>
      </c>
      <c r="DT64" s="135"/>
      <c r="DU64" s="121"/>
      <c r="DV64" s="121"/>
      <c r="DW64" s="134"/>
      <c r="DX64" s="132"/>
      <c r="DY64" s="136"/>
      <c r="DZ64" s="21"/>
      <c r="EA64" s="18"/>
      <c r="EB64" s="4"/>
      <c r="EI64" s="23"/>
      <c r="EJ64" s="23"/>
    </row>
    <row r="65" spans="1:140" ht="15.75" x14ac:dyDescent="0.25">
      <c r="A65" s="12"/>
      <c r="B65" s="16"/>
      <c r="C65" s="24" t="str">
        <f t="shared" si="0"/>
        <v xml:space="preserve"> </v>
      </c>
      <c r="D65" s="25"/>
      <c r="E65" s="20"/>
      <c r="F65" s="19"/>
      <c r="G65" s="180"/>
      <c r="H65" s="120"/>
      <c r="I65" s="121"/>
      <c r="J65" s="121"/>
      <c r="K65" s="121"/>
      <c r="L65" s="121"/>
      <c r="M65" s="121"/>
      <c r="N65" s="121"/>
      <c r="O65" s="121"/>
      <c r="P65" s="121"/>
      <c r="Q65" s="121"/>
      <c r="R65" s="121"/>
      <c r="S65" s="121"/>
      <c r="T65" s="121"/>
      <c r="U65" s="121"/>
      <c r="V65" s="121"/>
      <c r="W65" s="121"/>
      <c r="X65" s="121"/>
      <c r="Y65" s="121"/>
      <c r="Z65" s="121"/>
      <c r="AA65" s="121"/>
      <c r="AB65" s="121"/>
      <c r="AC65" s="121"/>
      <c r="AD65" s="121"/>
      <c r="AE65" s="121"/>
      <c r="AF65" s="121"/>
      <c r="AG65" s="121"/>
      <c r="AH65" s="121"/>
      <c r="AI65" s="121"/>
      <c r="AJ65" s="121"/>
      <c r="AK65" s="121"/>
      <c r="AL65" s="121"/>
      <c r="AM65" s="121"/>
      <c r="AN65" s="121"/>
      <c r="AO65" s="121"/>
      <c r="AP65" s="121"/>
      <c r="AQ65" s="121"/>
      <c r="AR65" s="121"/>
      <c r="AS65" s="121"/>
      <c r="AT65" s="121"/>
      <c r="AU65" s="121"/>
      <c r="AV65" s="121"/>
      <c r="AW65" s="121"/>
      <c r="AX65" s="121"/>
      <c r="AY65" s="121"/>
      <c r="AZ65" s="121"/>
      <c r="BA65" s="121"/>
      <c r="BB65" s="121"/>
      <c r="BC65" s="121"/>
      <c r="BD65" s="121"/>
      <c r="BE65" s="121"/>
      <c r="BF65" s="121"/>
      <c r="BG65" s="121"/>
      <c r="BH65" s="121"/>
      <c r="BI65" s="121"/>
      <c r="BJ65" s="122"/>
      <c r="BK65" s="93"/>
      <c r="BL65" s="94"/>
      <c r="BM65" s="95"/>
      <c r="BN65" s="179"/>
      <c r="BO65" s="177"/>
      <c r="BP65" s="14"/>
      <c r="BQ65" s="14"/>
      <c r="BR65" s="14"/>
      <c r="BS65" s="14"/>
      <c r="BT65" s="14"/>
      <c r="BU65" s="14"/>
      <c r="BV65" s="16"/>
      <c r="BW65" s="14"/>
      <c r="BX65" s="14"/>
      <c r="BY65" s="14"/>
      <c r="BZ65" s="14"/>
      <c r="CA65" s="14"/>
      <c r="CB65" s="14"/>
      <c r="CC65" s="14"/>
      <c r="CD65" s="14"/>
      <c r="CE65" s="14"/>
      <c r="CF65" s="14"/>
      <c r="CG65" s="14"/>
      <c r="CH65" s="14"/>
      <c r="CI65" s="14"/>
      <c r="CJ65" s="14"/>
      <c r="CK65" s="14"/>
      <c r="CL65" s="14"/>
      <c r="CM65" s="14"/>
      <c r="CN65" s="14"/>
      <c r="CO65" s="14"/>
      <c r="CP65" s="14"/>
      <c r="CQ65" s="14"/>
      <c r="CR65" s="14"/>
      <c r="CS65" s="14"/>
      <c r="CT65" s="14"/>
      <c r="CU65" s="14"/>
      <c r="CV65" s="14"/>
      <c r="CW65" s="14"/>
      <c r="CX65" s="14"/>
      <c r="CY65" s="14"/>
      <c r="CZ65" s="14"/>
      <c r="DA65" s="14"/>
      <c r="DB65" s="14"/>
      <c r="DC65" s="14"/>
      <c r="DD65" s="14"/>
      <c r="DE65" s="14"/>
      <c r="DF65" s="14"/>
      <c r="DG65" s="14"/>
      <c r="DH65" s="14"/>
      <c r="DI65" s="14"/>
      <c r="DJ65" s="14"/>
      <c r="DK65" s="14"/>
      <c r="DL65" s="14"/>
      <c r="DM65" s="14"/>
      <c r="DN65" s="14"/>
      <c r="DO65" s="14"/>
      <c r="DP65" s="26"/>
      <c r="DQ65" s="27"/>
      <c r="DR65" s="129"/>
      <c r="DS65" s="130">
        <f>TCP(BO65:DQ65,$BO$9:$DQ$9,data!$H$8)</f>
        <v>0</v>
      </c>
      <c r="DT65" s="135"/>
      <c r="DU65" s="121"/>
      <c r="DV65" s="121"/>
      <c r="DW65" s="134"/>
      <c r="DX65" s="132"/>
      <c r="DY65" s="136"/>
      <c r="DZ65" s="21"/>
      <c r="EA65" s="18"/>
      <c r="EB65" s="4"/>
      <c r="EI65" s="23"/>
      <c r="EJ65" s="23"/>
    </row>
    <row r="66" spans="1:140" ht="15.75" x14ac:dyDescent="0.25">
      <c r="A66" s="12"/>
      <c r="B66" s="16"/>
      <c r="C66" s="24" t="str">
        <f t="shared" si="0"/>
        <v xml:space="preserve"> </v>
      </c>
      <c r="D66" s="25"/>
      <c r="E66" s="20"/>
      <c r="F66" s="19"/>
      <c r="G66" s="180"/>
      <c r="H66" s="120"/>
      <c r="I66" s="121"/>
      <c r="J66" s="121"/>
      <c r="K66" s="121"/>
      <c r="L66" s="121"/>
      <c r="M66" s="121"/>
      <c r="N66" s="121"/>
      <c r="O66" s="121"/>
      <c r="P66" s="121"/>
      <c r="Q66" s="121"/>
      <c r="R66" s="121"/>
      <c r="S66" s="121"/>
      <c r="T66" s="121"/>
      <c r="U66" s="121"/>
      <c r="V66" s="121"/>
      <c r="W66" s="121"/>
      <c r="X66" s="121"/>
      <c r="Y66" s="121"/>
      <c r="Z66" s="121"/>
      <c r="AA66" s="121"/>
      <c r="AB66" s="121"/>
      <c r="AC66" s="121"/>
      <c r="AD66" s="121"/>
      <c r="AE66" s="121"/>
      <c r="AF66" s="121"/>
      <c r="AG66" s="121"/>
      <c r="AH66" s="121"/>
      <c r="AI66" s="121"/>
      <c r="AJ66" s="121"/>
      <c r="AK66" s="121"/>
      <c r="AL66" s="121"/>
      <c r="AM66" s="121"/>
      <c r="AN66" s="121"/>
      <c r="AO66" s="121"/>
      <c r="AP66" s="121"/>
      <c r="AQ66" s="121"/>
      <c r="AR66" s="121"/>
      <c r="AS66" s="121"/>
      <c r="AT66" s="121"/>
      <c r="AU66" s="121"/>
      <c r="AV66" s="121"/>
      <c r="AW66" s="121"/>
      <c r="AX66" s="121"/>
      <c r="AY66" s="121"/>
      <c r="AZ66" s="121"/>
      <c r="BA66" s="121"/>
      <c r="BB66" s="121"/>
      <c r="BC66" s="121"/>
      <c r="BD66" s="121"/>
      <c r="BE66" s="121"/>
      <c r="BF66" s="121"/>
      <c r="BG66" s="121"/>
      <c r="BH66" s="121"/>
      <c r="BI66" s="121"/>
      <c r="BJ66" s="122"/>
      <c r="BK66" s="93"/>
      <c r="BL66" s="94"/>
      <c r="BM66" s="95"/>
      <c r="BN66" s="179"/>
      <c r="BO66" s="177"/>
      <c r="BP66" s="14"/>
      <c r="BQ66" s="14"/>
      <c r="BR66" s="14"/>
      <c r="BS66" s="14"/>
      <c r="BT66" s="14"/>
      <c r="BU66" s="14"/>
      <c r="BV66" s="16"/>
      <c r="BW66" s="14"/>
      <c r="BX66" s="14"/>
      <c r="BY66" s="14"/>
      <c r="BZ66" s="14"/>
      <c r="CA66" s="14"/>
      <c r="CB66" s="14"/>
      <c r="CC66" s="14"/>
      <c r="CD66" s="14"/>
      <c r="CE66" s="14"/>
      <c r="CF66" s="14"/>
      <c r="CG66" s="14"/>
      <c r="CH66" s="14"/>
      <c r="CI66" s="14"/>
      <c r="CJ66" s="14"/>
      <c r="CK66" s="14"/>
      <c r="CL66" s="14"/>
      <c r="CM66" s="14"/>
      <c r="CN66" s="14"/>
      <c r="CO66" s="14"/>
      <c r="CP66" s="14"/>
      <c r="CQ66" s="14"/>
      <c r="CR66" s="14"/>
      <c r="CS66" s="14"/>
      <c r="CT66" s="14"/>
      <c r="CU66" s="14"/>
      <c r="CV66" s="14"/>
      <c r="CW66" s="14"/>
      <c r="CX66" s="14"/>
      <c r="CY66" s="14"/>
      <c r="CZ66" s="14"/>
      <c r="DA66" s="14"/>
      <c r="DB66" s="14"/>
      <c r="DC66" s="14"/>
      <c r="DD66" s="14"/>
      <c r="DE66" s="14"/>
      <c r="DF66" s="14"/>
      <c r="DG66" s="14"/>
      <c r="DH66" s="14"/>
      <c r="DI66" s="14"/>
      <c r="DJ66" s="14"/>
      <c r="DK66" s="14"/>
      <c r="DL66" s="14"/>
      <c r="DM66" s="14"/>
      <c r="DN66" s="14"/>
      <c r="DO66" s="14"/>
      <c r="DP66" s="26"/>
      <c r="DQ66" s="27"/>
      <c r="DR66" s="129"/>
      <c r="DS66" s="130">
        <f>TCP(BO66:DQ66,$BO$9:$DQ$9,data!$H$8)</f>
        <v>0</v>
      </c>
      <c r="DT66" s="135"/>
      <c r="DU66" s="121"/>
      <c r="DV66" s="121"/>
      <c r="DW66" s="134"/>
      <c r="DX66" s="132"/>
      <c r="DY66" s="136"/>
      <c r="DZ66" s="21"/>
      <c r="EA66" s="18"/>
      <c r="EB66" s="4"/>
      <c r="EI66" s="23"/>
      <c r="EJ66" s="23"/>
    </row>
    <row r="67" spans="1:140" ht="15.75" x14ac:dyDescent="0.25">
      <c r="A67" s="12"/>
      <c r="B67" s="16"/>
      <c r="C67" s="24" t="str">
        <f t="shared" si="0"/>
        <v xml:space="preserve"> </v>
      </c>
      <c r="D67" s="25"/>
      <c r="E67" s="20"/>
      <c r="F67" s="19"/>
      <c r="G67" s="180"/>
      <c r="H67" s="120"/>
      <c r="I67" s="121"/>
      <c r="J67" s="121"/>
      <c r="K67" s="121"/>
      <c r="L67" s="121"/>
      <c r="M67" s="121"/>
      <c r="N67" s="121"/>
      <c r="O67" s="121"/>
      <c r="P67" s="121"/>
      <c r="Q67" s="121"/>
      <c r="R67" s="121"/>
      <c r="S67" s="121"/>
      <c r="T67" s="121"/>
      <c r="U67" s="121"/>
      <c r="V67" s="121"/>
      <c r="W67" s="12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  <c r="AP67" s="121"/>
      <c r="AQ67" s="121"/>
      <c r="AR67" s="121"/>
      <c r="AS67" s="121"/>
      <c r="AT67" s="121"/>
      <c r="AU67" s="121"/>
      <c r="AV67" s="121"/>
      <c r="AW67" s="121"/>
      <c r="AX67" s="121"/>
      <c r="AY67" s="121"/>
      <c r="AZ67" s="121"/>
      <c r="BA67" s="121"/>
      <c r="BB67" s="121"/>
      <c r="BC67" s="121"/>
      <c r="BD67" s="121"/>
      <c r="BE67" s="121"/>
      <c r="BF67" s="121"/>
      <c r="BG67" s="121"/>
      <c r="BH67" s="121"/>
      <c r="BI67" s="121"/>
      <c r="BJ67" s="122"/>
      <c r="BK67" s="93"/>
      <c r="BL67" s="94"/>
      <c r="BM67" s="95"/>
      <c r="BN67" s="179"/>
      <c r="BO67" s="177"/>
      <c r="BP67" s="14"/>
      <c r="BQ67" s="14"/>
      <c r="BR67" s="14"/>
      <c r="BS67" s="14"/>
      <c r="BT67" s="14"/>
      <c r="BU67" s="14"/>
      <c r="BV67" s="16"/>
      <c r="BW67" s="14"/>
      <c r="BX67" s="14"/>
      <c r="BY67" s="14"/>
      <c r="BZ67" s="14"/>
      <c r="CA67" s="14"/>
      <c r="CB67" s="14"/>
      <c r="CC67" s="14"/>
      <c r="CD67" s="14"/>
      <c r="CE67" s="14"/>
      <c r="CF67" s="14"/>
      <c r="CG67" s="14"/>
      <c r="CH67" s="14"/>
      <c r="CI67" s="14"/>
      <c r="CJ67" s="14"/>
      <c r="CK67" s="14"/>
      <c r="CL67" s="14"/>
      <c r="CM67" s="14"/>
      <c r="CN67" s="14"/>
      <c r="CO67" s="14"/>
      <c r="CP67" s="14"/>
      <c r="CQ67" s="14"/>
      <c r="CR67" s="14"/>
      <c r="CS67" s="14"/>
      <c r="CT67" s="14"/>
      <c r="CU67" s="14"/>
      <c r="CV67" s="14"/>
      <c r="CW67" s="14"/>
      <c r="CX67" s="14"/>
      <c r="CY67" s="14"/>
      <c r="CZ67" s="14"/>
      <c r="DA67" s="14"/>
      <c r="DB67" s="14"/>
      <c r="DC67" s="14"/>
      <c r="DD67" s="14"/>
      <c r="DE67" s="14"/>
      <c r="DF67" s="14"/>
      <c r="DG67" s="14"/>
      <c r="DH67" s="14"/>
      <c r="DI67" s="14"/>
      <c r="DJ67" s="14"/>
      <c r="DK67" s="14"/>
      <c r="DL67" s="14"/>
      <c r="DM67" s="14"/>
      <c r="DN67" s="14"/>
      <c r="DO67" s="14"/>
      <c r="DP67" s="26"/>
      <c r="DQ67" s="27"/>
      <c r="DR67" s="129"/>
      <c r="DS67" s="130">
        <f>TCP(BO67:DQ67,$BO$9:$DQ$9,data!$H$8)</f>
        <v>0</v>
      </c>
      <c r="DT67" s="135"/>
      <c r="DU67" s="121"/>
      <c r="DV67" s="121"/>
      <c r="DW67" s="134"/>
      <c r="DX67" s="132"/>
      <c r="DY67" s="136"/>
      <c r="DZ67" s="21"/>
      <c r="EA67" s="18"/>
      <c r="EB67" s="4"/>
      <c r="EI67" s="23"/>
      <c r="EJ67" s="23"/>
    </row>
    <row r="68" spans="1:140" ht="15.75" x14ac:dyDescent="0.25">
      <c r="A68" s="12"/>
      <c r="B68" s="16"/>
      <c r="C68" s="24" t="str">
        <f t="shared" si="0"/>
        <v xml:space="preserve"> </v>
      </c>
      <c r="D68" s="25"/>
      <c r="E68" s="20"/>
      <c r="F68" s="19"/>
      <c r="G68" s="180"/>
      <c r="H68" s="120"/>
      <c r="I68" s="121"/>
      <c r="J68" s="121"/>
      <c r="K68" s="121"/>
      <c r="L68" s="121"/>
      <c r="M68" s="121"/>
      <c r="N68" s="121"/>
      <c r="O68" s="121"/>
      <c r="P68" s="121"/>
      <c r="Q68" s="121"/>
      <c r="R68" s="121"/>
      <c r="S68" s="121"/>
      <c r="T68" s="121"/>
      <c r="U68" s="121"/>
      <c r="V68" s="121"/>
      <c r="W68" s="121"/>
      <c r="X68" s="121"/>
      <c r="Y68" s="121"/>
      <c r="Z68" s="121"/>
      <c r="AA68" s="121"/>
      <c r="AB68" s="121"/>
      <c r="AC68" s="121"/>
      <c r="AD68" s="121"/>
      <c r="AE68" s="121"/>
      <c r="AF68" s="121"/>
      <c r="AG68" s="121"/>
      <c r="AH68" s="121"/>
      <c r="AI68" s="121"/>
      <c r="AJ68" s="121"/>
      <c r="AK68" s="121"/>
      <c r="AL68" s="121"/>
      <c r="AM68" s="121"/>
      <c r="AN68" s="121"/>
      <c r="AO68" s="121"/>
      <c r="AP68" s="121"/>
      <c r="AQ68" s="121"/>
      <c r="AR68" s="121"/>
      <c r="AS68" s="121"/>
      <c r="AT68" s="121"/>
      <c r="AU68" s="121"/>
      <c r="AV68" s="121"/>
      <c r="AW68" s="121"/>
      <c r="AX68" s="121"/>
      <c r="AY68" s="121"/>
      <c r="AZ68" s="121"/>
      <c r="BA68" s="121"/>
      <c r="BB68" s="121"/>
      <c r="BC68" s="121"/>
      <c r="BD68" s="121"/>
      <c r="BE68" s="121"/>
      <c r="BF68" s="121"/>
      <c r="BG68" s="121"/>
      <c r="BH68" s="121"/>
      <c r="BI68" s="121"/>
      <c r="BJ68" s="122"/>
      <c r="BK68" s="93"/>
      <c r="BL68" s="94"/>
      <c r="BM68" s="95"/>
      <c r="BN68" s="179"/>
      <c r="BO68" s="177"/>
      <c r="BP68" s="14"/>
      <c r="BQ68" s="14"/>
      <c r="BR68" s="14"/>
      <c r="BS68" s="14"/>
      <c r="BT68" s="14"/>
      <c r="BU68" s="14"/>
      <c r="BV68" s="16"/>
      <c r="BW68" s="14"/>
      <c r="BX68" s="14"/>
      <c r="BY68" s="14"/>
      <c r="BZ68" s="14"/>
      <c r="CA68" s="14"/>
      <c r="CB68" s="14"/>
      <c r="CC68" s="14"/>
      <c r="CD68" s="14"/>
      <c r="CE68" s="14"/>
      <c r="CF68" s="14"/>
      <c r="CG68" s="14"/>
      <c r="CH68" s="14"/>
      <c r="CI68" s="14"/>
      <c r="CJ68" s="14"/>
      <c r="CK68" s="14"/>
      <c r="CL68" s="14"/>
      <c r="CM68" s="14"/>
      <c r="CN68" s="14"/>
      <c r="CO68" s="14"/>
      <c r="CP68" s="14"/>
      <c r="CQ68" s="14"/>
      <c r="CR68" s="14"/>
      <c r="CS68" s="14"/>
      <c r="CT68" s="14"/>
      <c r="CU68" s="14"/>
      <c r="CV68" s="14"/>
      <c r="CW68" s="14"/>
      <c r="CX68" s="14"/>
      <c r="CY68" s="14"/>
      <c r="CZ68" s="14"/>
      <c r="DA68" s="14"/>
      <c r="DB68" s="14"/>
      <c r="DC68" s="14"/>
      <c r="DD68" s="14"/>
      <c r="DE68" s="14"/>
      <c r="DF68" s="14"/>
      <c r="DG68" s="14"/>
      <c r="DH68" s="14"/>
      <c r="DI68" s="14"/>
      <c r="DJ68" s="14"/>
      <c r="DK68" s="14"/>
      <c r="DL68" s="14"/>
      <c r="DM68" s="14"/>
      <c r="DN68" s="14"/>
      <c r="DO68" s="14"/>
      <c r="DP68" s="26"/>
      <c r="DQ68" s="27"/>
      <c r="DR68" s="129"/>
      <c r="DS68" s="130">
        <f>TCP(BO68:DQ68,$BO$9:$DQ$9,data!$H$8)</f>
        <v>0</v>
      </c>
      <c r="DT68" s="135"/>
      <c r="DU68" s="121"/>
      <c r="DV68" s="121"/>
      <c r="DW68" s="134"/>
      <c r="DX68" s="132"/>
      <c r="DY68" s="136"/>
      <c r="DZ68" s="21"/>
      <c r="EA68" s="18"/>
      <c r="EB68" s="4"/>
      <c r="EI68" s="23"/>
      <c r="EJ68" s="23"/>
    </row>
    <row r="69" spans="1:140" ht="15.75" x14ac:dyDescent="0.25">
      <c r="A69" s="12"/>
      <c r="B69" s="16"/>
      <c r="C69" s="24" t="str">
        <f t="shared" si="0"/>
        <v xml:space="preserve"> </v>
      </c>
      <c r="D69" s="25"/>
      <c r="E69" s="20"/>
      <c r="F69" s="19"/>
      <c r="G69" s="180"/>
      <c r="H69" s="120"/>
      <c r="I69" s="121"/>
      <c r="J69" s="121"/>
      <c r="K69" s="121"/>
      <c r="L69" s="121"/>
      <c r="M69" s="121"/>
      <c r="N69" s="121"/>
      <c r="O69" s="121"/>
      <c r="P69" s="121"/>
      <c r="Q69" s="121"/>
      <c r="R69" s="121"/>
      <c r="S69" s="121"/>
      <c r="T69" s="121"/>
      <c r="U69" s="121"/>
      <c r="V69" s="121"/>
      <c r="W69" s="121"/>
      <c r="X69" s="121"/>
      <c r="Y69" s="121"/>
      <c r="Z69" s="121"/>
      <c r="AA69" s="121"/>
      <c r="AB69" s="121"/>
      <c r="AC69" s="121"/>
      <c r="AD69" s="121"/>
      <c r="AE69" s="121"/>
      <c r="AF69" s="121"/>
      <c r="AG69" s="121"/>
      <c r="AH69" s="121"/>
      <c r="AI69" s="121"/>
      <c r="AJ69" s="121"/>
      <c r="AK69" s="121"/>
      <c r="AL69" s="121"/>
      <c r="AM69" s="121"/>
      <c r="AN69" s="121"/>
      <c r="AO69" s="121"/>
      <c r="AP69" s="121"/>
      <c r="AQ69" s="121"/>
      <c r="AR69" s="121"/>
      <c r="AS69" s="121"/>
      <c r="AT69" s="121"/>
      <c r="AU69" s="121"/>
      <c r="AV69" s="121"/>
      <c r="AW69" s="121"/>
      <c r="AX69" s="121"/>
      <c r="AY69" s="121"/>
      <c r="AZ69" s="121"/>
      <c r="BA69" s="121"/>
      <c r="BB69" s="121"/>
      <c r="BC69" s="121"/>
      <c r="BD69" s="121"/>
      <c r="BE69" s="121"/>
      <c r="BF69" s="121"/>
      <c r="BG69" s="121"/>
      <c r="BH69" s="121"/>
      <c r="BI69" s="121"/>
      <c r="BJ69" s="122"/>
      <c r="BK69" s="93"/>
      <c r="BL69" s="94"/>
      <c r="BM69" s="95"/>
      <c r="BN69" s="179"/>
      <c r="BO69" s="177"/>
      <c r="BP69" s="14"/>
      <c r="BQ69" s="14"/>
      <c r="BR69" s="14"/>
      <c r="BS69" s="14"/>
      <c r="BT69" s="14"/>
      <c r="BU69" s="14"/>
      <c r="BV69" s="16"/>
      <c r="BW69" s="14"/>
      <c r="BX69" s="14"/>
      <c r="BY69" s="14"/>
      <c r="BZ69" s="14"/>
      <c r="CA69" s="14"/>
      <c r="CB69" s="14"/>
      <c r="CC69" s="14"/>
      <c r="CD69" s="14"/>
      <c r="CE69" s="14"/>
      <c r="CF69" s="14"/>
      <c r="CG69" s="14"/>
      <c r="CH69" s="14"/>
      <c r="CI69" s="14"/>
      <c r="CJ69" s="14"/>
      <c r="CK69" s="14"/>
      <c r="CL69" s="14"/>
      <c r="CM69" s="14"/>
      <c r="CN69" s="14"/>
      <c r="CO69" s="14"/>
      <c r="CP69" s="14"/>
      <c r="CQ69" s="14"/>
      <c r="CR69" s="14"/>
      <c r="CS69" s="14"/>
      <c r="CT69" s="14"/>
      <c r="CU69" s="14"/>
      <c r="CV69" s="14"/>
      <c r="CW69" s="14"/>
      <c r="CX69" s="14"/>
      <c r="CY69" s="14"/>
      <c r="CZ69" s="14"/>
      <c r="DA69" s="14"/>
      <c r="DB69" s="14"/>
      <c r="DC69" s="14"/>
      <c r="DD69" s="14"/>
      <c r="DE69" s="14"/>
      <c r="DF69" s="14"/>
      <c r="DG69" s="14"/>
      <c r="DH69" s="14"/>
      <c r="DI69" s="14"/>
      <c r="DJ69" s="14"/>
      <c r="DK69" s="14"/>
      <c r="DL69" s="14"/>
      <c r="DM69" s="14"/>
      <c r="DN69" s="14"/>
      <c r="DO69" s="14"/>
      <c r="DP69" s="26"/>
      <c r="DQ69" s="27"/>
      <c r="DR69" s="129"/>
      <c r="DS69" s="130">
        <f>TCP(BO69:DQ69,$BO$9:$DQ$9,data!$H$8)</f>
        <v>0</v>
      </c>
      <c r="DT69" s="135"/>
      <c r="DU69" s="121"/>
      <c r="DV69" s="121"/>
      <c r="DW69" s="134"/>
      <c r="DX69" s="132"/>
      <c r="DY69" s="136"/>
      <c r="DZ69" s="21"/>
      <c r="EA69" s="18"/>
      <c r="EB69" s="4"/>
      <c r="EI69" s="23"/>
      <c r="EJ69" s="23"/>
    </row>
    <row r="70" spans="1:140" ht="15.75" x14ac:dyDescent="0.25">
      <c r="A70" s="12"/>
      <c r="B70" s="16"/>
      <c r="C70" s="24" t="str">
        <f t="shared" si="0"/>
        <v xml:space="preserve"> </v>
      </c>
      <c r="D70" s="25"/>
      <c r="E70" s="20"/>
      <c r="F70" s="19"/>
      <c r="G70" s="180"/>
      <c r="H70" s="120"/>
      <c r="I70" s="121"/>
      <c r="J70" s="121"/>
      <c r="K70" s="121"/>
      <c r="L70" s="121"/>
      <c r="M70" s="121"/>
      <c r="N70" s="121"/>
      <c r="O70" s="121"/>
      <c r="P70" s="121"/>
      <c r="Q70" s="121"/>
      <c r="R70" s="121"/>
      <c r="S70" s="121"/>
      <c r="T70" s="121"/>
      <c r="U70" s="121"/>
      <c r="V70" s="121"/>
      <c r="W70" s="121"/>
      <c r="X70" s="121"/>
      <c r="Y70" s="121"/>
      <c r="Z70" s="121"/>
      <c r="AA70" s="121"/>
      <c r="AB70" s="121"/>
      <c r="AC70" s="121"/>
      <c r="AD70" s="121"/>
      <c r="AE70" s="121"/>
      <c r="AF70" s="121"/>
      <c r="AG70" s="121"/>
      <c r="AH70" s="121"/>
      <c r="AI70" s="121"/>
      <c r="AJ70" s="121"/>
      <c r="AK70" s="121"/>
      <c r="AL70" s="121"/>
      <c r="AM70" s="121"/>
      <c r="AN70" s="121"/>
      <c r="AO70" s="121"/>
      <c r="AP70" s="121"/>
      <c r="AQ70" s="121"/>
      <c r="AR70" s="121"/>
      <c r="AS70" s="121"/>
      <c r="AT70" s="121"/>
      <c r="AU70" s="121"/>
      <c r="AV70" s="121"/>
      <c r="AW70" s="121"/>
      <c r="AX70" s="121"/>
      <c r="AY70" s="121"/>
      <c r="AZ70" s="121"/>
      <c r="BA70" s="121"/>
      <c r="BB70" s="121"/>
      <c r="BC70" s="121"/>
      <c r="BD70" s="121"/>
      <c r="BE70" s="121"/>
      <c r="BF70" s="121"/>
      <c r="BG70" s="121"/>
      <c r="BH70" s="121"/>
      <c r="BI70" s="121"/>
      <c r="BJ70" s="122"/>
      <c r="BK70" s="93"/>
      <c r="BL70" s="94"/>
      <c r="BM70" s="95"/>
      <c r="BN70" s="179"/>
      <c r="BO70" s="177"/>
      <c r="BP70" s="14"/>
      <c r="BQ70" s="14"/>
      <c r="BR70" s="14"/>
      <c r="BS70" s="14"/>
      <c r="BT70" s="14"/>
      <c r="BU70" s="14"/>
      <c r="BV70" s="16"/>
      <c r="BW70" s="14"/>
      <c r="BX70" s="14"/>
      <c r="BY70" s="14"/>
      <c r="BZ70" s="14"/>
      <c r="CA70" s="14"/>
      <c r="CB70" s="14"/>
      <c r="CC70" s="14"/>
      <c r="CD70" s="14"/>
      <c r="CE70" s="14"/>
      <c r="CF70" s="14"/>
      <c r="CG70" s="14"/>
      <c r="CH70" s="14"/>
      <c r="CI70" s="14"/>
      <c r="CJ70" s="14"/>
      <c r="CK70" s="14"/>
      <c r="CL70" s="14"/>
      <c r="CM70" s="14"/>
      <c r="CN70" s="14"/>
      <c r="CO70" s="14"/>
      <c r="CP70" s="14"/>
      <c r="CQ70" s="14"/>
      <c r="CR70" s="14"/>
      <c r="CS70" s="14"/>
      <c r="CT70" s="14"/>
      <c r="CU70" s="14"/>
      <c r="CV70" s="14"/>
      <c r="CW70" s="14"/>
      <c r="CX70" s="14"/>
      <c r="CY70" s="14"/>
      <c r="CZ70" s="14"/>
      <c r="DA70" s="14"/>
      <c r="DB70" s="14"/>
      <c r="DC70" s="14"/>
      <c r="DD70" s="14"/>
      <c r="DE70" s="14"/>
      <c r="DF70" s="14"/>
      <c r="DG70" s="14"/>
      <c r="DH70" s="14"/>
      <c r="DI70" s="14"/>
      <c r="DJ70" s="14"/>
      <c r="DK70" s="14"/>
      <c r="DL70" s="14"/>
      <c r="DM70" s="14"/>
      <c r="DN70" s="14"/>
      <c r="DO70" s="14"/>
      <c r="DP70" s="26"/>
      <c r="DQ70" s="27"/>
      <c r="DR70" s="129"/>
      <c r="DS70" s="130">
        <f>TCP(BO70:DQ70,$BO$9:$DQ$9,data!$H$8)</f>
        <v>0</v>
      </c>
      <c r="DT70" s="135"/>
      <c r="DU70" s="121"/>
      <c r="DV70" s="121"/>
      <c r="DW70" s="134"/>
      <c r="DX70" s="132"/>
      <c r="DY70" s="136"/>
      <c r="DZ70" s="21"/>
      <c r="EA70" s="18"/>
      <c r="EB70" s="4"/>
      <c r="EI70" s="23"/>
      <c r="EJ70" s="23"/>
    </row>
    <row r="71" spans="1:140" ht="15.75" x14ac:dyDescent="0.25">
      <c r="A71" s="12"/>
      <c r="B71" s="16"/>
      <c r="C71" s="24" t="str">
        <f t="shared" si="0"/>
        <v xml:space="preserve"> </v>
      </c>
      <c r="D71" s="25"/>
      <c r="E71" s="20"/>
      <c r="F71" s="19"/>
      <c r="G71" s="180"/>
      <c r="H71" s="120"/>
      <c r="I71" s="121"/>
      <c r="J71" s="121"/>
      <c r="K71" s="121"/>
      <c r="L71" s="121"/>
      <c r="M71" s="121"/>
      <c r="N71" s="121"/>
      <c r="O71" s="121"/>
      <c r="P71" s="121"/>
      <c r="Q71" s="121"/>
      <c r="R71" s="121"/>
      <c r="S71" s="121"/>
      <c r="T71" s="121"/>
      <c r="U71" s="121"/>
      <c r="V71" s="121"/>
      <c r="W71" s="121"/>
      <c r="X71" s="121"/>
      <c r="Y71" s="121"/>
      <c r="Z71" s="121"/>
      <c r="AA71" s="121"/>
      <c r="AB71" s="121"/>
      <c r="AC71" s="121"/>
      <c r="AD71" s="121"/>
      <c r="AE71" s="121"/>
      <c r="AF71" s="121"/>
      <c r="AG71" s="121"/>
      <c r="AH71" s="121"/>
      <c r="AI71" s="121"/>
      <c r="AJ71" s="121"/>
      <c r="AK71" s="121"/>
      <c r="AL71" s="121"/>
      <c r="AM71" s="121"/>
      <c r="AN71" s="121"/>
      <c r="AO71" s="121"/>
      <c r="AP71" s="121"/>
      <c r="AQ71" s="121"/>
      <c r="AR71" s="121"/>
      <c r="AS71" s="121"/>
      <c r="AT71" s="121"/>
      <c r="AU71" s="121"/>
      <c r="AV71" s="121"/>
      <c r="AW71" s="121"/>
      <c r="AX71" s="121"/>
      <c r="AY71" s="121"/>
      <c r="AZ71" s="121"/>
      <c r="BA71" s="121"/>
      <c r="BB71" s="121"/>
      <c r="BC71" s="121"/>
      <c r="BD71" s="121"/>
      <c r="BE71" s="121"/>
      <c r="BF71" s="121"/>
      <c r="BG71" s="121"/>
      <c r="BH71" s="121"/>
      <c r="BI71" s="121"/>
      <c r="BJ71" s="122"/>
      <c r="BK71" s="93"/>
      <c r="BL71" s="94"/>
      <c r="BM71" s="95"/>
      <c r="BN71" s="179"/>
      <c r="BO71" s="177"/>
      <c r="BP71" s="14"/>
      <c r="BQ71" s="14"/>
      <c r="BR71" s="14"/>
      <c r="BS71" s="14"/>
      <c r="BT71" s="14"/>
      <c r="BU71" s="14"/>
      <c r="BV71" s="16"/>
      <c r="BW71" s="14"/>
      <c r="BX71" s="14"/>
      <c r="BY71" s="14"/>
      <c r="BZ71" s="14"/>
      <c r="CA71" s="14"/>
      <c r="CB71" s="14"/>
      <c r="CC71" s="14"/>
      <c r="CD71" s="14"/>
      <c r="CE71" s="14"/>
      <c r="CF71" s="14"/>
      <c r="CG71" s="14"/>
      <c r="CH71" s="14"/>
      <c r="CI71" s="14"/>
      <c r="CJ71" s="14"/>
      <c r="CK71" s="14"/>
      <c r="CL71" s="14"/>
      <c r="CM71" s="14"/>
      <c r="CN71" s="14"/>
      <c r="CO71" s="14"/>
      <c r="CP71" s="14"/>
      <c r="CQ71" s="14"/>
      <c r="CR71" s="14"/>
      <c r="CS71" s="14"/>
      <c r="CT71" s="14"/>
      <c r="CU71" s="14"/>
      <c r="CV71" s="14"/>
      <c r="CW71" s="14"/>
      <c r="CX71" s="14"/>
      <c r="CY71" s="14"/>
      <c r="CZ71" s="14"/>
      <c r="DA71" s="14"/>
      <c r="DB71" s="14"/>
      <c r="DC71" s="14"/>
      <c r="DD71" s="14"/>
      <c r="DE71" s="14"/>
      <c r="DF71" s="14"/>
      <c r="DG71" s="14"/>
      <c r="DH71" s="14"/>
      <c r="DI71" s="14"/>
      <c r="DJ71" s="14"/>
      <c r="DK71" s="14"/>
      <c r="DL71" s="14"/>
      <c r="DM71" s="14"/>
      <c r="DN71" s="14"/>
      <c r="DO71" s="14"/>
      <c r="DP71" s="26"/>
      <c r="DQ71" s="27"/>
      <c r="DR71" s="129"/>
      <c r="DS71" s="130">
        <f>TCP(BO71:DQ71,$BO$9:$DQ$9,data!$H$8)</f>
        <v>0</v>
      </c>
      <c r="DT71" s="135"/>
      <c r="DU71" s="121"/>
      <c r="DV71" s="121"/>
      <c r="DW71" s="134"/>
      <c r="DX71" s="132"/>
      <c r="DY71" s="136"/>
      <c r="DZ71" s="21"/>
      <c r="EA71" s="18"/>
      <c r="EB71" s="4"/>
      <c r="EI71" s="23"/>
      <c r="EJ71" s="23"/>
    </row>
    <row r="72" spans="1:140" ht="15.75" x14ac:dyDescent="0.25">
      <c r="A72" s="12"/>
      <c r="B72" s="16"/>
      <c r="C72" s="24" t="str">
        <f t="shared" si="0"/>
        <v xml:space="preserve"> </v>
      </c>
      <c r="D72" s="25"/>
      <c r="E72" s="20"/>
      <c r="F72" s="19"/>
      <c r="G72" s="180"/>
      <c r="H72" s="120"/>
      <c r="I72" s="121"/>
      <c r="J72" s="121"/>
      <c r="K72" s="121"/>
      <c r="L72" s="121"/>
      <c r="M72" s="121"/>
      <c r="N72" s="121"/>
      <c r="O72" s="121"/>
      <c r="P72" s="121"/>
      <c r="Q72" s="121"/>
      <c r="R72" s="121"/>
      <c r="S72" s="121"/>
      <c r="T72" s="121"/>
      <c r="U72" s="121"/>
      <c r="V72" s="121"/>
      <c r="W72" s="121"/>
      <c r="X72" s="121"/>
      <c r="Y72" s="121"/>
      <c r="Z72" s="121"/>
      <c r="AA72" s="121"/>
      <c r="AB72" s="121"/>
      <c r="AC72" s="121"/>
      <c r="AD72" s="121"/>
      <c r="AE72" s="121"/>
      <c r="AF72" s="121"/>
      <c r="AG72" s="121"/>
      <c r="AH72" s="121"/>
      <c r="AI72" s="121"/>
      <c r="AJ72" s="121"/>
      <c r="AK72" s="121"/>
      <c r="AL72" s="121"/>
      <c r="AM72" s="121"/>
      <c r="AN72" s="121"/>
      <c r="AO72" s="121"/>
      <c r="AP72" s="121"/>
      <c r="AQ72" s="121"/>
      <c r="AR72" s="121"/>
      <c r="AS72" s="121"/>
      <c r="AT72" s="121"/>
      <c r="AU72" s="121"/>
      <c r="AV72" s="121"/>
      <c r="AW72" s="121"/>
      <c r="AX72" s="121"/>
      <c r="AY72" s="121"/>
      <c r="AZ72" s="121"/>
      <c r="BA72" s="121"/>
      <c r="BB72" s="121"/>
      <c r="BC72" s="121"/>
      <c r="BD72" s="121"/>
      <c r="BE72" s="121"/>
      <c r="BF72" s="121"/>
      <c r="BG72" s="121"/>
      <c r="BH72" s="121"/>
      <c r="BI72" s="121"/>
      <c r="BJ72" s="122"/>
      <c r="BK72" s="93"/>
      <c r="BL72" s="94"/>
      <c r="BM72" s="95"/>
      <c r="BN72" s="179"/>
      <c r="BO72" s="177"/>
      <c r="BP72" s="14"/>
      <c r="BQ72" s="14"/>
      <c r="BR72" s="14"/>
      <c r="BS72" s="14"/>
      <c r="BT72" s="14"/>
      <c r="BU72" s="14"/>
      <c r="BV72" s="16"/>
      <c r="BW72" s="14"/>
      <c r="BX72" s="14"/>
      <c r="BY72" s="14"/>
      <c r="BZ72" s="14"/>
      <c r="CA72" s="14"/>
      <c r="CB72" s="14"/>
      <c r="CC72" s="14"/>
      <c r="CD72" s="14"/>
      <c r="CE72" s="14"/>
      <c r="CF72" s="14"/>
      <c r="CG72" s="14"/>
      <c r="CH72" s="14"/>
      <c r="CI72" s="14"/>
      <c r="CJ72" s="14"/>
      <c r="CK72" s="14"/>
      <c r="CL72" s="14"/>
      <c r="CM72" s="14"/>
      <c r="CN72" s="14"/>
      <c r="CO72" s="14"/>
      <c r="CP72" s="14"/>
      <c r="CQ72" s="14"/>
      <c r="CR72" s="14"/>
      <c r="CS72" s="14"/>
      <c r="CT72" s="14"/>
      <c r="CU72" s="14"/>
      <c r="CV72" s="14"/>
      <c r="CW72" s="14"/>
      <c r="CX72" s="14"/>
      <c r="CY72" s="14"/>
      <c r="CZ72" s="14"/>
      <c r="DA72" s="14"/>
      <c r="DB72" s="14"/>
      <c r="DC72" s="14"/>
      <c r="DD72" s="14"/>
      <c r="DE72" s="14"/>
      <c r="DF72" s="14"/>
      <c r="DG72" s="14"/>
      <c r="DH72" s="14"/>
      <c r="DI72" s="14"/>
      <c r="DJ72" s="14"/>
      <c r="DK72" s="14"/>
      <c r="DL72" s="14"/>
      <c r="DM72" s="14"/>
      <c r="DN72" s="14"/>
      <c r="DO72" s="14"/>
      <c r="DP72" s="26"/>
      <c r="DQ72" s="27"/>
      <c r="DR72" s="129"/>
      <c r="DS72" s="130">
        <f>TCP(BO72:DQ72,$BO$9:$DQ$9,data!$H$8)</f>
        <v>0</v>
      </c>
      <c r="DT72" s="135"/>
      <c r="DU72" s="121"/>
      <c r="DV72" s="121"/>
      <c r="DW72" s="134"/>
      <c r="DX72" s="132"/>
      <c r="DY72" s="136"/>
      <c r="DZ72" s="21"/>
      <c r="EA72" s="18"/>
      <c r="EB72" s="4"/>
      <c r="EI72" s="23"/>
      <c r="EJ72" s="23"/>
    </row>
    <row r="73" spans="1:140" ht="15.75" x14ac:dyDescent="0.25">
      <c r="A73" s="12"/>
      <c r="B73" s="16"/>
      <c r="C73" s="24" t="str">
        <f t="shared" si="0"/>
        <v xml:space="preserve"> </v>
      </c>
      <c r="D73" s="25"/>
      <c r="E73" s="20"/>
      <c r="F73" s="19"/>
      <c r="G73" s="180"/>
      <c r="H73" s="120"/>
      <c r="I73" s="121"/>
      <c r="J73" s="121"/>
      <c r="K73" s="121"/>
      <c r="L73" s="121"/>
      <c r="M73" s="121"/>
      <c r="N73" s="121"/>
      <c r="O73" s="121"/>
      <c r="P73" s="121"/>
      <c r="Q73" s="121"/>
      <c r="R73" s="121"/>
      <c r="S73" s="121"/>
      <c r="T73" s="121"/>
      <c r="U73" s="121"/>
      <c r="V73" s="121"/>
      <c r="W73" s="121"/>
      <c r="X73" s="121"/>
      <c r="Y73" s="121"/>
      <c r="Z73" s="121"/>
      <c r="AA73" s="121"/>
      <c r="AB73" s="121"/>
      <c r="AC73" s="121"/>
      <c r="AD73" s="121"/>
      <c r="AE73" s="121"/>
      <c r="AF73" s="121"/>
      <c r="AG73" s="121"/>
      <c r="AH73" s="121"/>
      <c r="AI73" s="121"/>
      <c r="AJ73" s="121"/>
      <c r="AK73" s="121"/>
      <c r="AL73" s="121"/>
      <c r="AM73" s="121"/>
      <c r="AN73" s="121"/>
      <c r="AO73" s="121"/>
      <c r="AP73" s="121"/>
      <c r="AQ73" s="121"/>
      <c r="AR73" s="121"/>
      <c r="AS73" s="121"/>
      <c r="AT73" s="121"/>
      <c r="AU73" s="121"/>
      <c r="AV73" s="121"/>
      <c r="AW73" s="121"/>
      <c r="AX73" s="121"/>
      <c r="AY73" s="121"/>
      <c r="AZ73" s="121"/>
      <c r="BA73" s="121"/>
      <c r="BB73" s="121"/>
      <c r="BC73" s="121"/>
      <c r="BD73" s="121"/>
      <c r="BE73" s="121"/>
      <c r="BF73" s="121"/>
      <c r="BG73" s="121"/>
      <c r="BH73" s="121"/>
      <c r="BI73" s="121"/>
      <c r="BJ73" s="122"/>
      <c r="BK73" s="93"/>
      <c r="BL73" s="94"/>
      <c r="BM73" s="95"/>
      <c r="BN73" s="179"/>
      <c r="BO73" s="177"/>
      <c r="BP73" s="14"/>
      <c r="BQ73" s="14"/>
      <c r="BR73" s="14"/>
      <c r="BS73" s="14"/>
      <c r="BT73" s="14"/>
      <c r="BU73" s="14"/>
      <c r="BV73" s="16"/>
      <c r="BW73" s="14"/>
      <c r="BX73" s="14"/>
      <c r="BY73" s="14"/>
      <c r="BZ73" s="14"/>
      <c r="CA73" s="14"/>
      <c r="CB73" s="14"/>
      <c r="CC73" s="14"/>
      <c r="CD73" s="14"/>
      <c r="CE73" s="14"/>
      <c r="CF73" s="14"/>
      <c r="CG73" s="14"/>
      <c r="CH73" s="14"/>
      <c r="CI73" s="14"/>
      <c r="CJ73" s="14"/>
      <c r="CK73" s="14"/>
      <c r="CL73" s="14"/>
      <c r="CM73" s="14"/>
      <c r="CN73" s="14"/>
      <c r="CO73" s="14"/>
      <c r="CP73" s="14"/>
      <c r="CQ73" s="14"/>
      <c r="CR73" s="14"/>
      <c r="CS73" s="14"/>
      <c r="CT73" s="14"/>
      <c r="CU73" s="14"/>
      <c r="CV73" s="14"/>
      <c r="CW73" s="14"/>
      <c r="CX73" s="14"/>
      <c r="CY73" s="14"/>
      <c r="CZ73" s="14"/>
      <c r="DA73" s="14"/>
      <c r="DB73" s="14"/>
      <c r="DC73" s="14"/>
      <c r="DD73" s="14"/>
      <c r="DE73" s="14"/>
      <c r="DF73" s="14"/>
      <c r="DG73" s="14"/>
      <c r="DH73" s="14"/>
      <c r="DI73" s="14"/>
      <c r="DJ73" s="14"/>
      <c r="DK73" s="14"/>
      <c r="DL73" s="14"/>
      <c r="DM73" s="14"/>
      <c r="DN73" s="14"/>
      <c r="DO73" s="14"/>
      <c r="DP73" s="26"/>
      <c r="DQ73" s="27"/>
      <c r="DR73" s="129"/>
      <c r="DS73" s="130">
        <f>TCP(BO73:DQ73,$BO$9:$DQ$9,data!$H$8)</f>
        <v>0</v>
      </c>
      <c r="DT73" s="135"/>
      <c r="DU73" s="121"/>
      <c r="DV73" s="121"/>
      <c r="DW73" s="134"/>
      <c r="DX73" s="132"/>
      <c r="DY73" s="136"/>
      <c r="DZ73" s="21"/>
      <c r="EA73" s="18"/>
      <c r="EB73" s="4"/>
      <c r="EI73" s="23"/>
      <c r="EJ73" s="23"/>
    </row>
    <row r="74" spans="1:140" ht="15.75" x14ac:dyDescent="0.25">
      <c r="A74" s="12"/>
      <c r="B74" s="16"/>
      <c r="C74" s="24" t="str">
        <f t="shared" si="0"/>
        <v xml:space="preserve"> </v>
      </c>
      <c r="D74" s="25"/>
      <c r="E74" s="20"/>
      <c r="F74" s="19"/>
      <c r="G74" s="180"/>
      <c r="H74" s="120"/>
      <c r="I74" s="121"/>
      <c r="J74" s="121"/>
      <c r="K74" s="121"/>
      <c r="L74" s="121"/>
      <c r="M74" s="121"/>
      <c r="N74" s="121"/>
      <c r="O74" s="121"/>
      <c r="P74" s="121"/>
      <c r="Q74" s="121"/>
      <c r="R74" s="121"/>
      <c r="S74" s="121"/>
      <c r="T74" s="121"/>
      <c r="U74" s="121"/>
      <c r="V74" s="121"/>
      <c r="W74" s="121"/>
      <c r="X74" s="121"/>
      <c r="Y74" s="121"/>
      <c r="Z74" s="121"/>
      <c r="AA74" s="121"/>
      <c r="AB74" s="121"/>
      <c r="AC74" s="121"/>
      <c r="AD74" s="121"/>
      <c r="AE74" s="121"/>
      <c r="AF74" s="121"/>
      <c r="AG74" s="121"/>
      <c r="AH74" s="121"/>
      <c r="AI74" s="121"/>
      <c r="AJ74" s="121"/>
      <c r="AK74" s="121"/>
      <c r="AL74" s="121"/>
      <c r="AM74" s="121"/>
      <c r="AN74" s="121"/>
      <c r="AO74" s="121"/>
      <c r="AP74" s="121"/>
      <c r="AQ74" s="121"/>
      <c r="AR74" s="121"/>
      <c r="AS74" s="121"/>
      <c r="AT74" s="121"/>
      <c r="AU74" s="121"/>
      <c r="AV74" s="121"/>
      <c r="AW74" s="121"/>
      <c r="AX74" s="121"/>
      <c r="AY74" s="121"/>
      <c r="AZ74" s="121"/>
      <c r="BA74" s="121"/>
      <c r="BB74" s="121"/>
      <c r="BC74" s="121"/>
      <c r="BD74" s="121"/>
      <c r="BE74" s="121"/>
      <c r="BF74" s="121"/>
      <c r="BG74" s="121"/>
      <c r="BH74" s="121"/>
      <c r="BI74" s="121"/>
      <c r="BJ74" s="122"/>
      <c r="BK74" s="93"/>
      <c r="BL74" s="94"/>
      <c r="BM74" s="95"/>
      <c r="BN74" s="179"/>
      <c r="BO74" s="177"/>
      <c r="BP74" s="14"/>
      <c r="BQ74" s="14"/>
      <c r="BR74" s="14"/>
      <c r="BS74" s="14"/>
      <c r="BT74" s="14"/>
      <c r="BU74" s="14"/>
      <c r="BV74" s="16"/>
      <c r="BW74" s="14"/>
      <c r="BX74" s="14"/>
      <c r="BY74" s="14"/>
      <c r="BZ74" s="14"/>
      <c r="CA74" s="14"/>
      <c r="CB74" s="14"/>
      <c r="CC74" s="14"/>
      <c r="CD74" s="14"/>
      <c r="CE74" s="14"/>
      <c r="CF74" s="14"/>
      <c r="CG74" s="14"/>
      <c r="CH74" s="14"/>
      <c r="CI74" s="14"/>
      <c r="CJ74" s="14"/>
      <c r="CK74" s="14"/>
      <c r="CL74" s="14"/>
      <c r="CM74" s="14"/>
      <c r="CN74" s="14"/>
      <c r="CO74" s="14"/>
      <c r="CP74" s="14"/>
      <c r="CQ74" s="14"/>
      <c r="CR74" s="14"/>
      <c r="CS74" s="14"/>
      <c r="CT74" s="14"/>
      <c r="CU74" s="14"/>
      <c r="CV74" s="14"/>
      <c r="CW74" s="14"/>
      <c r="CX74" s="14"/>
      <c r="CY74" s="14"/>
      <c r="CZ74" s="14"/>
      <c r="DA74" s="14"/>
      <c r="DB74" s="14"/>
      <c r="DC74" s="14"/>
      <c r="DD74" s="14"/>
      <c r="DE74" s="14"/>
      <c r="DF74" s="14"/>
      <c r="DG74" s="14"/>
      <c r="DH74" s="14"/>
      <c r="DI74" s="14"/>
      <c r="DJ74" s="14"/>
      <c r="DK74" s="14"/>
      <c r="DL74" s="14"/>
      <c r="DM74" s="14"/>
      <c r="DN74" s="14"/>
      <c r="DO74" s="14"/>
      <c r="DP74" s="26"/>
      <c r="DQ74" s="27"/>
      <c r="DR74" s="129"/>
      <c r="DS74" s="130">
        <f>TCP(BO74:DQ74,$BO$9:$DQ$9,data!$H$8)</f>
        <v>0</v>
      </c>
      <c r="DT74" s="135"/>
      <c r="DU74" s="121"/>
      <c r="DV74" s="121"/>
      <c r="DW74" s="134"/>
      <c r="DX74" s="132"/>
      <c r="DY74" s="136"/>
      <c r="DZ74" s="21"/>
      <c r="EA74" s="18"/>
      <c r="EB74" s="4"/>
      <c r="EI74" s="23"/>
      <c r="EJ74" s="23"/>
    </row>
    <row r="75" spans="1:140" ht="15.75" x14ac:dyDescent="0.25">
      <c r="A75" s="12"/>
      <c r="B75" s="16"/>
      <c r="C75" s="24" t="str">
        <f t="shared" si="0"/>
        <v xml:space="preserve"> </v>
      </c>
      <c r="D75" s="25"/>
      <c r="E75" s="20"/>
      <c r="F75" s="19"/>
      <c r="G75" s="180"/>
      <c r="H75" s="120"/>
      <c r="I75" s="121"/>
      <c r="J75" s="121"/>
      <c r="K75" s="121"/>
      <c r="L75" s="121"/>
      <c r="M75" s="121"/>
      <c r="N75" s="121"/>
      <c r="O75" s="121"/>
      <c r="P75" s="121"/>
      <c r="Q75" s="121"/>
      <c r="R75" s="121"/>
      <c r="S75" s="121"/>
      <c r="T75" s="121"/>
      <c r="U75" s="121"/>
      <c r="V75" s="121"/>
      <c r="W75" s="121"/>
      <c r="X75" s="121"/>
      <c r="Y75" s="121"/>
      <c r="Z75" s="121"/>
      <c r="AA75" s="121"/>
      <c r="AB75" s="121"/>
      <c r="AC75" s="121"/>
      <c r="AD75" s="121"/>
      <c r="AE75" s="121"/>
      <c r="AF75" s="121"/>
      <c r="AG75" s="121"/>
      <c r="AH75" s="121"/>
      <c r="AI75" s="121"/>
      <c r="AJ75" s="121"/>
      <c r="AK75" s="121"/>
      <c r="AL75" s="121"/>
      <c r="AM75" s="121"/>
      <c r="AN75" s="121"/>
      <c r="AO75" s="121"/>
      <c r="AP75" s="121"/>
      <c r="AQ75" s="121"/>
      <c r="AR75" s="121"/>
      <c r="AS75" s="121"/>
      <c r="AT75" s="121"/>
      <c r="AU75" s="121"/>
      <c r="AV75" s="121"/>
      <c r="AW75" s="121"/>
      <c r="AX75" s="121"/>
      <c r="AY75" s="121"/>
      <c r="AZ75" s="121"/>
      <c r="BA75" s="121"/>
      <c r="BB75" s="121"/>
      <c r="BC75" s="121"/>
      <c r="BD75" s="121"/>
      <c r="BE75" s="121"/>
      <c r="BF75" s="121"/>
      <c r="BG75" s="121"/>
      <c r="BH75" s="121"/>
      <c r="BI75" s="121"/>
      <c r="BJ75" s="122"/>
      <c r="BK75" s="93"/>
      <c r="BL75" s="94"/>
      <c r="BM75" s="95"/>
      <c r="BN75" s="179"/>
      <c r="BO75" s="177"/>
      <c r="BP75" s="14"/>
      <c r="BQ75" s="14"/>
      <c r="BR75" s="14"/>
      <c r="BS75" s="14"/>
      <c r="BT75" s="14"/>
      <c r="BU75" s="14"/>
      <c r="BV75" s="16"/>
      <c r="BW75" s="14"/>
      <c r="BX75" s="14"/>
      <c r="BY75" s="14"/>
      <c r="BZ75" s="14"/>
      <c r="CA75" s="14"/>
      <c r="CB75" s="14"/>
      <c r="CC75" s="14"/>
      <c r="CD75" s="14"/>
      <c r="CE75" s="14"/>
      <c r="CF75" s="14"/>
      <c r="CG75" s="14"/>
      <c r="CH75" s="14"/>
      <c r="CI75" s="14"/>
      <c r="CJ75" s="14"/>
      <c r="CK75" s="14"/>
      <c r="CL75" s="14"/>
      <c r="CM75" s="14"/>
      <c r="CN75" s="14"/>
      <c r="CO75" s="14"/>
      <c r="CP75" s="14"/>
      <c r="CQ75" s="14"/>
      <c r="CR75" s="14"/>
      <c r="CS75" s="14"/>
      <c r="CT75" s="14"/>
      <c r="CU75" s="14"/>
      <c r="CV75" s="14"/>
      <c r="CW75" s="14"/>
      <c r="CX75" s="14"/>
      <c r="CY75" s="14"/>
      <c r="CZ75" s="14"/>
      <c r="DA75" s="14"/>
      <c r="DB75" s="14"/>
      <c r="DC75" s="14"/>
      <c r="DD75" s="14"/>
      <c r="DE75" s="14"/>
      <c r="DF75" s="14"/>
      <c r="DG75" s="14"/>
      <c r="DH75" s="14"/>
      <c r="DI75" s="14"/>
      <c r="DJ75" s="14"/>
      <c r="DK75" s="14"/>
      <c r="DL75" s="14"/>
      <c r="DM75" s="14"/>
      <c r="DN75" s="14"/>
      <c r="DO75" s="14"/>
      <c r="DP75" s="26"/>
      <c r="DQ75" s="27"/>
      <c r="DR75" s="129"/>
      <c r="DS75" s="130">
        <f>TCP(BO75:DQ75,$BO$9:$DQ$9,data!$H$8)</f>
        <v>0</v>
      </c>
      <c r="DT75" s="135"/>
      <c r="DU75" s="121"/>
      <c r="DV75" s="121"/>
      <c r="DW75" s="134"/>
      <c r="DX75" s="132"/>
      <c r="DY75" s="136"/>
      <c r="DZ75" s="21"/>
      <c r="EA75" s="18"/>
      <c r="EB75" s="4"/>
      <c r="EI75" s="23"/>
      <c r="EJ75" s="23"/>
    </row>
    <row r="76" spans="1:140" ht="15.75" x14ac:dyDescent="0.25">
      <c r="A76" s="12"/>
      <c r="B76" s="16"/>
      <c r="C76" s="24" t="str">
        <f t="shared" ref="C76:C139" si="2">D76 &amp; " " &amp; E76</f>
        <v xml:space="preserve"> </v>
      </c>
      <c r="D76" s="25"/>
      <c r="E76" s="20"/>
      <c r="F76" s="19"/>
      <c r="G76" s="180"/>
      <c r="H76" s="120"/>
      <c r="I76" s="121"/>
      <c r="J76" s="121"/>
      <c r="K76" s="121"/>
      <c r="L76" s="121"/>
      <c r="M76" s="121"/>
      <c r="N76" s="121"/>
      <c r="O76" s="121"/>
      <c r="P76" s="121"/>
      <c r="Q76" s="121"/>
      <c r="R76" s="121"/>
      <c r="S76" s="121"/>
      <c r="T76" s="121"/>
      <c r="U76" s="121"/>
      <c r="V76" s="121"/>
      <c r="W76" s="121"/>
      <c r="X76" s="121"/>
      <c r="Y76" s="121"/>
      <c r="Z76" s="121"/>
      <c r="AA76" s="121"/>
      <c r="AB76" s="121"/>
      <c r="AC76" s="121"/>
      <c r="AD76" s="121"/>
      <c r="AE76" s="121"/>
      <c r="AF76" s="121"/>
      <c r="AG76" s="121"/>
      <c r="AH76" s="121"/>
      <c r="AI76" s="121"/>
      <c r="AJ76" s="121"/>
      <c r="AK76" s="121"/>
      <c r="AL76" s="121"/>
      <c r="AM76" s="121"/>
      <c r="AN76" s="121"/>
      <c r="AO76" s="121"/>
      <c r="AP76" s="121"/>
      <c r="AQ76" s="121"/>
      <c r="AR76" s="121"/>
      <c r="AS76" s="121"/>
      <c r="AT76" s="121"/>
      <c r="AU76" s="121"/>
      <c r="AV76" s="121"/>
      <c r="AW76" s="121"/>
      <c r="AX76" s="121"/>
      <c r="AY76" s="121"/>
      <c r="AZ76" s="121"/>
      <c r="BA76" s="121"/>
      <c r="BB76" s="121"/>
      <c r="BC76" s="121"/>
      <c r="BD76" s="121"/>
      <c r="BE76" s="121"/>
      <c r="BF76" s="121"/>
      <c r="BG76" s="121"/>
      <c r="BH76" s="121"/>
      <c r="BI76" s="121"/>
      <c r="BJ76" s="122"/>
      <c r="BK76" s="93"/>
      <c r="BL76" s="94"/>
      <c r="BM76" s="95"/>
      <c r="BN76" s="179"/>
      <c r="BO76" s="177"/>
      <c r="BP76" s="14"/>
      <c r="BQ76" s="14"/>
      <c r="BR76" s="14"/>
      <c r="BS76" s="14"/>
      <c r="BT76" s="14"/>
      <c r="BU76" s="14"/>
      <c r="BV76" s="16"/>
      <c r="BW76" s="14"/>
      <c r="BX76" s="14"/>
      <c r="BY76" s="14"/>
      <c r="BZ76" s="14"/>
      <c r="CA76" s="14"/>
      <c r="CB76" s="14"/>
      <c r="CC76" s="14"/>
      <c r="CD76" s="14"/>
      <c r="CE76" s="14"/>
      <c r="CF76" s="14"/>
      <c r="CG76" s="14"/>
      <c r="CH76" s="14"/>
      <c r="CI76" s="14"/>
      <c r="CJ76" s="14"/>
      <c r="CK76" s="14"/>
      <c r="CL76" s="14"/>
      <c r="CM76" s="14"/>
      <c r="CN76" s="14"/>
      <c r="CO76" s="14"/>
      <c r="CP76" s="14"/>
      <c r="CQ76" s="14"/>
      <c r="CR76" s="14"/>
      <c r="CS76" s="14"/>
      <c r="CT76" s="14"/>
      <c r="CU76" s="14"/>
      <c r="CV76" s="14"/>
      <c r="CW76" s="14"/>
      <c r="CX76" s="14"/>
      <c r="CY76" s="14"/>
      <c r="CZ76" s="14"/>
      <c r="DA76" s="14"/>
      <c r="DB76" s="14"/>
      <c r="DC76" s="14"/>
      <c r="DD76" s="14"/>
      <c r="DE76" s="14"/>
      <c r="DF76" s="14"/>
      <c r="DG76" s="14"/>
      <c r="DH76" s="14"/>
      <c r="DI76" s="14"/>
      <c r="DJ76" s="14"/>
      <c r="DK76" s="14"/>
      <c r="DL76" s="14"/>
      <c r="DM76" s="14"/>
      <c r="DN76" s="14"/>
      <c r="DO76" s="14"/>
      <c r="DP76" s="26"/>
      <c r="DQ76" s="27"/>
      <c r="DR76" s="129"/>
      <c r="DS76" s="130">
        <f>TCP(BO76:DQ76,$BO$9:$DQ$9,data!$H$8)</f>
        <v>0</v>
      </c>
      <c r="DT76" s="135"/>
      <c r="DU76" s="121"/>
      <c r="DV76" s="121"/>
      <c r="DW76" s="134"/>
      <c r="DX76" s="132"/>
      <c r="DY76" s="136"/>
      <c r="DZ76" s="21"/>
      <c r="EA76" s="18"/>
      <c r="EB76" s="4"/>
      <c r="EI76" s="23"/>
      <c r="EJ76" s="23"/>
    </row>
    <row r="77" spans="1:140" ht="15.75" x14ac:dyDescent="0.25">
      <c r="A77" s="12"/>
      <c r="B77" s="16"/>
      <c r="C77" s="24" t="str">
        <f t="shared" si="2"/>
        <v xml:space="preserve"> </v>
      </c>
      <c r="D77" s="25"/>
      <c r="E77" s="20"/>
      <c r="F77" s="19"/>
      <c r="G77" s="180"/>
      <c r="H77" s="120"/>
      <c r="I77" s="121"/>
      <c r="J77" s="121"/>
      <c r="K77" s="121"/>
      <c r="L77" s="121"/>
      <c r="M77" s="121"/>
      <c r="N77" s="121"/>
      <c r="O77" s="121"/>
      <c r="P77" s="121"/>
      <c r="Q77" s="121"/>
      <c r="R77" s="121"/>
      <c r="S77" s="121"/>
      <c r="T77" s="121"/>
      <c r="U77" s="121"/>
      <c r="V77" s="121"/>
      <c r="W77" s="121"/>
      <c r="X77" s="121"/>
      <c r="Y77" s="121"/>
      <c r="Z77" s="121"/>
      <c r="AA77" s="121"/>
      <c r="AB77" s="121"/>
      <c r="AC77" s="121"/>
      <c r="AD77" s="121"/>
      <c r="AE77" s="121"/>
      <c r="AF77" s="121"/>
      <c r="AG77" s="121"/>
      <c r="AH77" s="121"/>
      <c r="AI77" s="121"/>
      <c r="AJ77" s="121"/>
      <c r="AK77" s="121"/>
      <c r="AL77" s="121"/>
      <c r="AM77" s="121"/>
      <c r="AN77" s="121"/>
      <c r="AO77" s="121"/>
      <c r="AP77" s="121"/>
      <c r="AQ77" s="121"/>
      <c r="AR77" s="121"/>
      <c r="AS77" s="121"/>
      <c r="AT77" s="121"/>
      <c r="AU77" s="121"/>
      <c r="AV77" s="121"/>
      <c r="AW77" s="121"/>
      <c r="AX77" s="121"/>
      <c r="AY77" s="121"/>
      <c r="AZ77" s="121"/>
      <c r="BA77" s="121"/>
      <c r="BB77" s="121"/>
      <c r="BC77" s="121"/>
      <c r="BD77" s="121"/>
      <c r="BE77" s="121"/>
      <c r="BF77" s="121"/>
      <c r="BG77" s="121"/>
      <c r="BH77" s="121"/>
      <c r="BI77" s="121"/>
      <c r="BJ77" s="122"/>
      <c r="BK77" s="93"/>
      <c r="BL77" s="94"/>
      <c r="BM77" s="95"/>
      <c r="BN77" s="179"/>
      <c r="BO77" s="177"/>
      <c r="BP77" s="14"/>
      <c r="BQ77" s="14"/>
      <c r="BR77" s="14"/>
      <c r="BS77" s="14"/>
      <c r="BT77" s="14"/>
      <c r="BU77" s="14"/>
      <c r="BV77" s="16"/>
      <c r="BW77" s="14"/>
      <c r="BX77" s="14"/>
      <c r="BY77" s="14"/>
      <c r="BZ77" s="14"/>
      <c r="CA77" s="14"/>
      <c r="CB77" s="14"/>
      <c r="CC77" s="14"/>
      <c r="CD77" s="14"/>
      <c r="CE77" s="14"/>
      <c r="CF77" s="14"/>
      <c r="CG77" s="14"/>
      <c r="CH77" s="14"/>
      <c r="CI77" s="14"/>
      <c r="CJ77" s="14"/>
      <c r="CK77" s="14"/>
      <c r="CL77" s="14"/>
      <c r="CM77" s="14"/>
      <c r="CN77" s="14"/>
      <c r="CO77" s="14"/>
      <c r="CP77" s="14"/>
      <c r="CQ77" s="14"/>
      <c r="CR77" s="14"/>
      <c r="CS77" s="14"/>
      <c r="CT77" s="14"/>
      <c r="CU77" s="14"/>
      <c r="CV77" s="14"/>
      <c r="CW77" s="14"/>
      <c r="CX77" s="14"/>
      <c r="CY77" s="14"/>
      <c r="CZ77" s="14"/>
      <c r="DA77" s="14"/>
      <c r="DB77" s="14"/>
      <c r="DC77" s="14"/>
      <c r="DD77" s="14"/>
      <c r="DE77" s="14"/>
      <c r="DF77" s="14"/>
      <c r="DG77" s="14"/>
      <c r="DH77" s="14"/>
      <c r="DI77" s="14"/>
      <c r="DJ77" s="14"/>
      <c r="DK77" s="14"/>
      <c r="DL77" s="14"/>
      <c r="DM77" s="14"/>
      <c r="DN77" s="14"/>
      <c r="DO77" s="14"/>
      <c r="DP77" s="26"/>
      <c r="DQ77" s="27"/>
      <c r="DR77" s="129"/>
      <c r="DS77" s="130">
        <f>TCP(BO77:DQ77,$BO$9:$DQ$9,data!$H$8)</f>
        <v>0</v>
      </c>
      <c r="DT77" s="135"/>
      <c r="DU77" s="121"/>
      <c r="DV77" s="121"/>
      <c r="DW77" s="134"/>
      <c r="DX77" s="132"/>
      <c r="DY77" s="136"/>
      <c r="DZ77" s="21"/>
      <c r="EA77" s="18"/>
      <c r="EB77" s="4"/>
      <c r="EI77" s="23"/>
      <c r="EJ77" s="23"/>
    </row>
    <row r="78" spans="1:140" ht="15.75" x14ac:dyDescent="0.25">
      <c r="A78" s="12"/>
      <c r="B78" s="16"/>
      <c r="C78" s="24" t="str">
        <f t="shared" si="2"/>
        <v xml:space="preserve"> </v>
      </c>
      <c r="D78" s="25"/>
      <c r="E78" s="20"/>
      <c r="F78" s="19"/>
      <c r="G78" s="180"/>
      <c r="H78" s="120"/>
      <c r="I78" s="121"/>
      <c r="J78" s="121"/>
      <c r="K78" s="121"/>
      <c r="L78" s="121"/>
      <c r="M78" s="121"/>
      <c r="N78" s="121"/>
      <c r="O78" s="121"/>
      <c r="P78" s="121"/>
      <c r="Q78" s="121"/>
      <c r="R78" s="121"/>
      <c r="S78" s="121"/>
      <c r="T78" s="121"/>
      <c r="U78" s="121"/>
      <c r="V78" s="121"/>
      <c r="W78" s="121"/>
      <c r="X78" s="121"/>
      <c r="Y78" s="121"/>
      <c r="Z78" s="121"/>
      <c r="AA78" s="121"/>
      <c r="AB78" s="121"/>
      <c r="AC78" s="121"/>
      <c r="AD78" s="121"/>
      <c r="AE78" s="121"/>
      <c r="AF78" s="121"/>
      <c r="AG78" s="121"/>
      <c r="AH78" s="121"/>
      <c r="AI78" s="121"/>
      <c r="AJ78" s="121"/>
      <c r="AK78" s="121"/>
      <c r="AL78" s="121"/>
      <c r="AM78" s="121"/>
      <c r="AN78" s="121"/>
      <c r="AO78" s="121"/>
      <c r="AP78" s="121"/>
      <c r="AQ78" s="121"/>
      <c r="AR78" s="121"/>
      <c r="AS78" s="121"/>
      <c r="AT78" s="121"/>
      <c r="AU78" s="121"/>
      <c r="AV78" s="121"/>
      <c r="AW78" s="121"/>
      <c r="AX78" s="121"/>
      <c r="AY78" s="121"/>
      <c r="AZ78" s="121"/>
      <c r="BA78" s="121"/>
      <c r="BB78" s="121"/>
      <c r="BC78" s="121"/>
      <c r="BD78" s="121"/>
      <c r="BE78" s="121"/>
      <c r="BF78" s="121"/>
      <c r="BG78" s="121"/>
      <c r="BH78" s="121"/>
      <c r="BI78" s="121"/>
      <c r="BJ78" s="122"/>
      <c r="BK78" s="93"/>
      <c r="BL78" s="94"/>
      <c r="BM78" s="95"/>
      <c r="BN78" s="179"/>
      <c r="BO78" s="177"/>
      <c r="BP78" s="14"/>
      <c r="BQ78" s="14"/>
      <c r="BR78" s="14"/>
      <c r="BS78" s="14"/>
      <c r="BT78" s="14"/>
      <c r="BU78" s="14"/>
      <c r="BV78" s="16"/>
      <c r="BW78" s="14"/>
      <c r="BX78" s="14"/>
      <c r="BY78" s="14"/>
      <c r="BZ78" s="14"/>
      <c r="CA78" s="14"/>
      <c r="CB78" s="14"/>
      <c r="CC78" s="14"/>
      <c r="CD78" s="14"/>
      <c r="CE78" s="14"/>
      <c r="CF78" s="14"/>
      <c r="CG78" s="14"/>
      <c r="CH78" s="14"/>
      <c r="CI78" s="14"/>
      <c r="CJ78" s="14"/>
      <c r="CK78" s="14"/>
      <c r="CL78" s="14"/>
      <c r="CM78" s="14"/>
      <c r="CN78" s="14"/>
      <c r="CO78" s="14"/>
      <c r="CP78" s="14"/>
      <c r="CQ78" s="14"/>
      <c r="CR78" s="14"/>
      <c r="CS78" s="14"/>
      <c r="CT78" s="14"/>
      <c r="CU78" s="14"/>
      <c r="CV78" s="14"/>
      <c r="CW78" s="14"/>
      <c r="CX78" s="14"/>
      <c r="CY78" s="14"/>
      <c r="CZ78" s="14"/>
      <c r="DA78" s="14"/>
      <c r="DB78" s="14"/>
      <c r="DC78" s="14"/>
      <c r="DD78" s="14"/>
      <c r="DE78" s="14"/>
      <c r="DF78" s="14"/>
      <c r="DG78" s="14"/>
      <c r="DH78" s="14"/>
      <c r="DI78" s="14"/>
      <c r="DJ78" s="14"/>
      <c r="DK78" s="14"/>
      <c r="DL78" s="14"/>
      <c r="DM78" s="14"/>
      <c r="DN78" s="14"/>
      <c r="DO78" s="14"/>
      <c r="DP78" s="26"/>
      <c r="DQ78" s="27"/>
      <c r="DR78" s="129"/>
      <c r="DS78" s="130">
        <f>TCP(BO78:DQ78,$BO$9:$DQ$9,data!$H$8)</f>
        <v>0</v>
      </c>
      <c r="DT78" s="135"/>
      <c r="DU78" s="121"/>
      <c r="DV78" s="121"/>
      <c r="DW78" s="134"/>
      <c r="DX78" s="132"/>
      <c r="DY78" s="136"/>
      <c r="DZ78" s="21"/>
      <c r="EA78" s="18"/>
      <c r="EB78" s="4"/>
      <c r="EI78" s="23"/>
      <c r="EJ78" s="23"/>
    </row>
    <row r="79" spans="1:140" ht="15.75" x14ac:dyDescent="0.25">
      <c r="A79" s="12"/>
      <c r="B79" s="16"/>
      <c r="C79" s="24" t="str">
        <f t="shared" si="2"/>
        <v xml:space="preserve"> </v>
      </c>
      <c r="D79" s="25"/>
      <c r="E79" s="20"/>
      <c r="F79" s="19"/>
      <c r="G79" s="180"/>
      <c r="H79" s="120"/>
      <c r="I79" s="121"/>
      <c r="J79" s="121"/>
      <c r="K79" s="121"/>
      <c r="L79" s="121"/>
      <c r="M79" s="121"/>
      <c r="N79" s="121"/>
      <c r="O79" s="121"/>
      <c r="P79" s="121"/>
      <c r="Q79" s="121"/>
      <c r="R79" s="121"/>
      <c r="S79" s="121"/>
      <c r="T79" s="121"/>
      <c r="U79" s="121"/>
      <c r="V79" s="121"/>
      <c r="W79" s="121"/>
      <c r="X79" s="121"/>
      <c r="Y79" s="121"/>
      <c r="Z79" s="121"/>
      <c r="AA79" s="121"/>
      <c r="AB79" s="121"/>
      <c r="AC79" s="121"/>
      <c r="AD79" s="121"/>
      <c r="AE79" s="121"/>
      <c r="AF79" s="121"/>
      <c r="AG79" s="121"/>
      <c r="AH79" s="121"/>
      <c r="AI79" s="121"/>
      <c r="AJ79" s="121"/>
      <c r="AK79" s="121"/>
      <c r="AL79" s="121"/>
      <c r="AM79" s="121"/>
      <c r="AN79" s="121"/>
      <c r="AO79" s="121"/>
      <c r="AP79" s="121"/>
      <c r="AQ79" s="121"/>
      <c r="AR79" s="121"/>
      <c r="AS79" s="121"/>
      <c r="AT79" s="121"/>
      <c r="AU79" s="121"/>
      <c r="AV79" s="121"/>
      <c r="AW79" s="121"/>
      <c r="AX79" s="121"/>
      <c r="AY79" s="121"/>
      <c r="AZ79" s="121"/>
      <c r="BA79" s="121"/>
      <c r="BB79" s="121"/>
      <c r="BC79" s="121"/>
      <c r="BD79" s="121"/>
      <c r="BE79" s="121"/>
      <c r="BF79" s="121"/>
      <c r="BG79" s="121"/>
      <c r="BH79" s="121"/>
      <c r="BI79" s="121"/>
      <c r="BJ79" s="122"/>
      <c r="BK79" s="93"/>
      <c r="BL79" s="94"/>
      <c r="BM79" s="95"/>
      <c r="BN79" s="179"/>
      <c r="BO79" s="177"/>
      <c r="BP79" s="14"/>
      <c r="BQ79" s="14"/>
      <c r="BR79" s="14"/>
      <c r="BS79" s="14"/>
      <c r="BT79" s="14"/>
      <c r="BU79" s="14"/>
      <c r="BV79" s="16"/>
      <c r="BW79" s="14"/>
      <c r="BX79" s="14"/>
      <c r="BY79" s="14"/>
      <c r="BZ79" s="14"/>
      <c r="CA79" s="14"/>
      <c r="CB79" s="14"/>
      <c r="CC79" s="14"/>
      <c r="CD79" s="14"/>
      <c r="CE79" s="14"/>
      <c r="CF79" s="14"/>
      <c r="CG79" s="14"/>
      <c r="CH79" s="14"/>
      <c r="CI79" s="14"/>
      <c r="CJ79" s="14"/>
      <c r="CK79" s="14"/>
      <c r="CL79" s="14"/>
      <c r="CM79" s="14"/>
      <c r="CN79" s="14"/>
      <c r="CO79" s="14"/>
      <c r="CP79" s="14"/>
      <c r="CQ79" s="14"/>
      <c r="CR79" s="14"/>
      <c r="CS79" s="14"/>
      <c r="CT79" s="14"/>
      <c r="CU79" s="14"/>
      <c r="CV79" s="14"/>
      <c r="CW79" s="14"/>
      <c r="CX79" s="14"/>
      <c r="CY79" s="14"/>
      <c r="CZ79" s="14"/>
      <c r="DA79" s="14"/>
      <c r="DB79" s="14"/>
      <c r="DC79" s="14"/>
      <c r="DD79" s="14"/>
      <c r="DE79" s="14"/>
      <c r="DF79" s="14"/>
      <c r="DG79" s="14"/>
      <c r="DH79" s="14"/>
      <c r="DI79" s="14"/>
      <c r="DJ79" s="14"/>
      <c r="DK79" s="14"/>
      <c r="DL79" s="14"/>
      <c r="DM79" s="14"/>
      <c r="DN79" s="14"/>
      <c r="DO79" s="14"/>
      <c r="DP79" s="26"/>
      <c r="DQ79" s="27"/>
      <c r="DR79" s="129"/>
      <c r="DS79" s="130">
        <f>TCP(BO79:DQ79,$BO$9:$DQ$9,data!$H$8)</f>
        <v>0</v>
      </c>
      <c r="DT79" s="135"/>
      <c r="DU79" s="121"/>
      <c r="DV79" s="121"/>
      <c r="DW79" s="134"/>
      <c r="DX79" s="132"/>
      <c r="DY79" s="136"/>
      <c r="DZ79" s="21"/>
      <c r="EA79" s="18"/>
      <c r="EB79" s="4"/>
      <c r="EI79" s="23"/>
      <c r="EJ79" s="23"/>
    </row>
    <row r="80" spans="1:140" ht="15.75" x14ac:dyDescent="0.25">
      <c r="A80" s="12"/>
      <c r="B80" s="16"/>
      <c r="C80" s="24" t="str">
        <f t="shared" si="2"/>
        <v xml:space="preserve"> </v>
      </c>
      <c r="D80" s="25"/>
      <c r="E80" s="20"/>
      <c r="F80" s="19"/>
      <c r="G80" s="180"/>
      <c r="H80" s="120"/>
      <c r="I80" s="121"/>
      <c r="J80" s="121"/>
      <c r="K80" s="121"/>
      <c r="L80" s="121"/>
      <c r="M80" s="121"/>
      <c r="N80" s="121"/>
      <c r="O80" s="121"/>
      <c r="P80" s="121"/>
      <c r="Q80" s="121"/>
      <c r="R80" s="121"/>
      <c r="S80" s="121"/>
      <c r="T80" s="121"/>
      <c r="U80" s="121"/>
      <c r="V80" s="121"/>
      <c r="W80" s="121"/>
      <c r="X80" s="121"/>
      <c r="Y80" s="121"/>
      <c r="Z80" s="121"/>
      <c r="AA80" s="121"/>
      <c r="AB80" s="121"/>
      <c r="AC80" s="121"/>
      <c r="AD80" s="121"/>
      <c r="AE80" s="121"/>
      <c r="AF80" s="121"/>
      <c r="AG80" s="121"/>
      <c r="AH80" s="121"/>
      <c r="AI80" s="121"/>
      <c r="AJ80" s="121"/>
      <c r="AK80" s="121"/>
      <c r="AL80" s="121"/>
      <c r="AM80" s="121"/>
      <c r="AN80" s="121"/>
      <c r="AO80" s="121"/>
      <c r="AP80" s="121"/>
      <c r="AQ80" s="121"/>
      <c r="AR80" s="121"/>
      <c r="AS80" s="121"/>
      <c r="AT80" s="121"/>
      <c r="AU80" s="121"/>
      <c r="AV80" s="121"/>
      <c r="AW80" s="121"/>
      <c r="AX80" s="121"/>
      <c r="AY80" s="121"/>
      <c r="AZ80" s="121"/>
      <c r="BA80" s="121"/>
      <c r="BB80" s="121"/>
      <c r="BC80" s="121"/>
      <c r="BD80" s="121"/>
      <c r="BE80" s="121"/>
      <c r="BF80" s="121"/>
      <c r="BG80" s="121"/>
      <c r="BH80" s="121"/>
      <c r="BI80" s="121"/>
      <c r="BJ80" s="122"/>
      <c r="BK80" s="93"/>
      <c r="BL80" s="94"/>
      <c r="BM80" s="95"/>
      <c r="BN80" s="179"/>
      <c r="BO80" s="177"/>
      <c r="BP80" s="14"/>
      <c r="BQ80" s="14"/>
      <c r="BR80" s="14"/>
      <c r="BS80" s="14"/>
      <c r="BT80" s="14"/>
      <c r="BU80" s="14"/>
      <c r="BV80" s="16"/>
      <c r="BW80" s="14"/>
      <c r="BX80" s="14"/>
      <c r="BY80" s="14"/>
      <c r="BZ80" s="14"/>
      <c r="CA80" s="14"/>
      <c r="CB80" s="14"/>
      <c r="CC80" s="14"/>
      <c r="CD80" s="14"/>
      <c r="CE80" s="14"/>
      <c r="CF80" s="14"/>
      <c r="CG80" s="14"/>
      <c r="CH80" s="14"/>
      <c r="CI80" s="14"/>
      <c r="CJ80" s="14"/>
      <c r="CK80" s="14"/>
      <c r="CL80" s="14"/>
      <c r="CM80" s="14"/>
      <c r="CN80" s="14"/>
      <c r="CO80" s="14"/>
      <c r="CP80" s="14"/>
      <c r="CQ80" s="14"/>
      <c r="CR80" s="14"/>
      <c r="CS80" s="14"/>
      <c r="CT80" s="14"/>
      <c r="CU80" s="14"/>
      <c r="CV80" s="14"/>
      <c r="CW80" s="14"/>
      <c r="CX80" s="14"/>
      <c r="CY80" s="14"/>
      <c r="CZ80" s="14"/>
      <c r="DA80" s="14"/>
      <c r="DB80" s="14"/>
      <c r="DC80" s="14"/>
      <c r="DD80" s="14"/>
      <c r="DE80" s="14"/>
      <c r="DF80" s="14"/>
      <c r="DG80" s="14"/>
      <c r="DH80" s="14"/>
      <c r="DI80" s="14"/>
      <c r="DJ80" s="14"/>
      <c r="DK80" s="14"/>
      <c r="DL80" s="14"/>
      <c r="DM80" s="14"/>
      <c r="DN80" s="14"/>
      <c r="DO80" s="14"/>
      <c r="DP80" s="26"/>
      <c r="DQ80" s="27"/>
      <c r="DR80" s="129"/>
      <c r="DS80" s="130">
        <f>TCP(BO80:DQ80,$BO$9:$DQ$9,data!$H$8)</f>
        <v>0</v>
      </c>
      <c r="DT80" s="135"/>
      <c r="DU80" s="121"/>
      <c r="DV80" s="121"/>
      <c r="DW80" s="134"/>
      <c r="DX80" s="132"/>
      <c r="DY80" s="136"/>
      <c r="DZ80" s="21"/>
      <c r="EA80" s="18"/>
      <c r="EB80" s="4"/>
      <c r="EI80" s="23"/>
      <c r="EJ80" s="23"/>
    </row>
    <row r="81" spans="1:140" ht="15.75" x14ac:dyDescent="0.25">
      <c r="A81" s="12"/>
      <c r="B81" s="16"/>
      <c r="C81" s="24" t="str">
        <f t="shared" si="2"/>
        <v xml:space="preserve"> </v>
      </c>
      <c r="D81" s="25"/>
      <c r="E81" s="20"/>
      <c r="F81" s="19"/>
      <c r="G81" s="180"/>
      <c r="H81" s="120"/>
      <c r="I81" s="121"/>
      <c r="J81" s="121"/>
      <c r="K81" s="121"/>
      <c r="L81" s="121"/>
      <c r="M81" s="121"/>
      <c r="N81" s="121"/>
      <c r="O81" s="121"/>
      <c r="P81" s="121"/>
      <c r="Q81" s="121"/>
      <c r="R81" s="121"/>
      <c r="S81" s="121"/>
      <c r="T81" s="121"/>
      <c r="U81" s="121"/>
      <c r="V81" s="121"/>
      <c r="W81" s="121"/>
      <c r="X81" s="121"/>
      <c r="Y81" s="121"/>
      <c r="Z81" s="121"/>
      <c r="AA81" s="121"/>
      <c r="AB81" s="121"/>
      <c r="AC81" s="121"/>
      <c r="AD81" s="121"/>
      <c r="AE81" s="121"/>
      <c r="AF81" s="121"/>
      <c r="AG81" s="121"/>
      <c r="AH81" s="121"/>
      <c r="AI81" s="121"/>
      <c r="AJ81" s="121"/>
      <c r="AK81" s="121"/>
      <c r="AL81" s="121"/>
      <c r="AM81" s="121"/>
      <c r="AN81" s="121"/>
      <c r="AO81" s="121"/>
      <c r="AP81" s="121"/>
      <c r="AQ81" s="121"/>
      <c r="AR81" s="121"/>
      <c r="AS81" s="121"/>
      <c r="AT81" s="121"/>
      <c r="AU81" s="121"/>
      <c r="AV81" s="121"/>
      <c r="AW81" s="121"/>
      <c r="AX81" s="121"/>
      <c r="AY81" s="121"/>
      <c r="AZ81" s="121"/>
      <c r="BA81" s="121"/>
      <c r="BB81" s="121"/>
      <c r="BC81" s="121"/>
      <c r="BD81" s="121"/>
      <c r="BE81" s="121"/>
      <c r="BF81" s="121"/>
      <c r="BG81" s="121"/>
      <c r="BH81" s="121"/>
      <c r="BI81" s="121"/>
      <c r="BJ81" s="122"/>
      <c r="BK81" s="93"/>
      <c r="BL81" s="94"/>
      <c r="BM81" s="95"/>
      <c r="BN81" s="179"/>
      <c r="BO81" s="177"/>
      <c r="BP81" s="14"/>
      <c r="BQ81" s="14"/>
      <c r="BR81" s="14"/>
      <c r="BS81" s="14"/>
      <c r="BT81" s="14"/>
      <c r="BU81" s="14"/>
      <c r="BV81" s="16"/>
      <c r="BW81" s="14"/>
      <c r="BX81" s="14"/>
      <c r="BY81" s="14"/>
      <c r="BZ81" s="14"/>
      <c r="CA81" s="14"/>
      <c r="CB81" s="14"/>
      <c r="CC81" s="14"/>
      <c r="CD81" s="14"/>
      <c r="CE81" s="14"/>
      <c r="CF81" s="14"/>
      <c r="CG81" s="14"/>
      <c r="CH81" s="14"/>
      <c r="CI81" s="14"/>
      <c r="CJ81" s="14"/>
      <c r="CK81" s="14"/>
      <c r="CL81" s="14"/>
      <c r="CM81" s="14"/>
      <c r="CN81" s="14"/>
      <c r="CO81" s="14"/>
      <c r="CP81" s="14"/>
      <c r="CQ81" s="14"/>
      <c r="CR81" s="14"/>
      <c r="CS81" s="14"/>
      <c r="CT81" s="14"/>
      <c r="CU81" s="14"/>
      <c r="CV81" s="14"/>
      <c r="CW81" s="14"/>
      <c r="CX81" s="14"/>
      <c r="CY81" s="14"/>
      <c r="CZ81" s="14"/>
      <c r="DA81" s="14"/>
      <c r="DB81" s="14"/>
      <c r="DC81" s="14"/>
      <c r="DD81" s="14"/>
      <c r="DE81" s="14"/>
      <c r="DF81" s="14"/>
      <c r="DG81" s="14"/>
      <c r="DH81" s="14"/>
      <c r="DI81" s="14"/>
      <c r="DJ81" s="14"/>
      <c r="DK81" s="14"/>
      <c r="DL81" s="14"/>
      <c r="DM81" s="14"/>
      <c r="DN81" s="14"/>
      <c r="DO81" s="14"/>
      <c r="DP81" s="26"/>
      <c r="DQ81" s="27"/>
      <c r="DR81" s="129"/>
      <c r="DS81" s="130">
        <f>TCP(BO81:DQ81,$BO$9:$DQ$9,data!$H$8)</f>
        <v>0</v>
      </c>
      <c r="DT81" s="135"/>
      <c r="DU81" s="121"/>
      <c r="DV81" s="121"/>
      <c r="DW81" s="134"/>
      <c r="DX81" s="132"/>
      <c r="DY81" s="136"/>
      <c r="DZ81" s="21"/>
      <c r="EA81" s="18"/>
      <c r="EB81" s="4"/>
      <c r="EI81" s="23"/>
      <c r="EJ81" s="23"/>
    </row>
    <row r="82" spans="1:140" ht="15.75" x14ac:dyDescent="0.25">
      <c r="A82" s="12"/>
      <c r="B82" s="16"/>
      <c r="C82" s="24" t="str">
        <f t="shared" si="2"/>
        <v xml:space="preserve"> </v>
      </c>
      <c r="D82" s="25"/>
      <c r="E82" s="20"/>
      <c r="F82" s="19"/>
      <c r="G82" s="180"/>
      <c r="H82" s="120"/>
      <c r="I82" s="121"/>
      <c r="J82" s="121"/>
      <c r="K82" s="121"/>
      <c r="L82" s="121"/>
      <c r="M82" s="121"/>
      <c r="N82" s="121"/>
      <c r="O82" s="121"/>
      <c r="P82" s="121"/>
      <c r="Q82" s="121"/>
      <c r="R82" s="121"/>
      <c r="S82" s="121"/>
      <c r="T82" s="121"/>
      <c r="U82" s="121"/>
      <c r="V82" s="121"/>
      <c r="W82" s="121"/>
      <c r="X82" s="121"/>
      <c r="Y82" s="121"/>
      <c r="Z82" s="121"/>
      <c r="AA82" s="121"/>
      <c r="AB82" s="121"/>
      <c r="AC82" s="121"/>
      <c r="AD82" s="121"/>
      <c r="AE82" s="121"/>
      <c r="AF82" s="121"/>
      <c r="AG82" s="121"/>
      <c r="AH82" s="121"/>
      <c r="AI82" s="121"/>
      <c r="AJ82" s="121"/>
      <c r="AK82" s="121"/>
      <c r="AL82" s="121"/>
      <c r="AM82" s="121"/>
      <c r="AN82" s="121"/>
      <c r="AO82" s="121"/>
      <c r="AP82" s="121"/>
      <c r="AQ82" s="121"/>
      <c r="AR82" s="121"/>
      <c r="AS82" s="121"/>
      <c r="AT82" s="121"/>
      <c r="AU82" s="121"/>
      <c r="AV82" s="121"/>
      <c r="AW82" s="121"/>
      <c r="AX82" s="121"/>
      <c r="AY82" s="121"/>
      <c r="AZ82" s="121"/>
      <c r="BA82" s="121"/>
      <c r="BB82" s="121"/>
      <c r="BC82" s="121"/>
      <c r="BD82" s="121"/>
      <c r="BE82" s="121"/>
      <c r="BF82" s="121"/>
      <c r="BG82" s="121"/>
      <c r="BH82" s="121"/>
      <c r="BI82" s="121"/>
      <c r="BJ82" s="122"/>
      <c r="BK82" s="93"/>
      <c r="BL82" s="94"/>
      <c r="BM82" s="95"/>
      <c r="BN82" s="179"/>
      <c r="BO82" s="177"/>
      <c r="BP82" s="14"/>
      <c r="BQ82" s="14"/>
      <c r="BR82" s="14"/>
      <c r="BS82" s="14"/>
      <c r="BT82" s="14"/>
      <c r="BU82" s="14"/>
      <c r="BV82" s="16"/>
      <c r="BW82" s="14"/>
      <c r="BX82" s="14"/>
      <c r="BY82" s="14"/>
      <c r="BZ82" s="14"/>
      <c r="CA82" s="14"/>
      <c r="CB82" s="14"/>
      <c r="CC82" s="14"/>
      <c r="CD82" s="14"/>
      <c r="CE82" s="14"/>
      <c r="CF82" s="14"/>
      <c r="CG82" s="14"/>
      <c r="CH82" s="14"/>
      <c r="CI82" s="14"/>
      <c r="CJ82" s="14"/>
      <c r="CK82" s="14"/>
      <c r="CL82" s="14"/>
      <c r="CM82" s="14"/>
      <c r="CN82" s="14"/>
      <c r="CO82" s="14"/>
      <c r="CP82" s="14"/>
      <c r="CQ82" s="14"/>
      <c r="CR82" s="14"/>
      <c r="CS82" s="14"/>
      <c r="CT82" s="14"/>
      <c r="CU82" s="14"/>
      <c r="CV82" s="14"/>
      <c r="CW82" s="14"/>
      <c r="CX82" s="14"/>
      <c r="CY82" s="14"/>
      <c r="CZ82" s="14"/>
      <c r="DA82" s="14"/>
      <c r="DB82" s="14"/>
      <c r="DC82" s="14"/>
      <c r="DD82" s="14"/>
      <c r="DE82" s="14"/>
      <c r="DF82" s="14"/>
      <c r="DG82" s="14"/>
      <c r="DH82" s="14"/>
      <c r="DI82" s="14"/>
      <c r="DJ82" s="14"/>
      <c r="DK82" s="14"/>
      <c r="DL82" s="14"/>
      <c r="DM82" s="14"/>
      <c r="DN82" s="14"/>
      <c r="DO82" s="14"/>
      <c r="DP82" s="26"/>
      <c r="DQ82" s="27"/>
      <c r="DR82" s="129"/>
      <c r="DS82" s="130">
        <f>TCP(BO82:DQ82,$BO$9:$DQ$9,data!$H$8)</f>
        <v>0</v>
      </c>
      <c r="DT82" s="135"/>
      <c r="DU82" s="121"/>
      <c r="DV82" s="121"/>
      <c r="DW82" s="134"/>
      <c r="DX82" s="132"/>
      <c r="DY82" s="136"/>
      <c r="DZ82" s="21"/>
      <c r="EA82" s="18"/>
      <c r="EB82" s="4"/>
      <c r="EI82" s="23"/>
      <c r="EJ82" s="23"/>
    </row>
    <row r="83" spans="1:140" ht="15.75" x14ac:dyDescent="0.25">
      <c r="A83" s="12"/>
      <c r="B83" s="16"/>
      <c r="C83" s="24" t="str">
        <f t="shared" si="2"/>
        <v xml:space="preserve"> </v>
      </c>
      <c r="D83" s="25"/>
      <c r="E83" s="20"/>
      <c r="F83" s="19"/>
      <c r="G83" s="180"/>
      <c r="H83" s="120"/>
      <c r="I83" s="121"/>
      <c r="J83" s="121"/>
      <c r="K83" s="121"/>
      <c r="L83" s="121"/>
      <c r="M83" s="121"/>
      <c r="N83" s="121"/>
      <c r="O83" s="121"/>
      <c r="P83" s="121"/>
      <c r="Q83" s="121"/>
      <c r="R83" s="121"/>
      <c r="S83" s="121"/>
      <c r="T83" s="121"/>
      <c r="U83" s="121"/>
      <c r="V83" s="121"/>
      <c r="W83" s="121"/>
      <c r="X83" s="121"/>
      <c r="Y83" s="121"/>
      <c r="Z83" s="121"/>
      <c r="AA83" s="121"/>
      <c r="AB83" s="121"/>
      <c r="AC83" s="121"/>
      <c r="AD83" s="121"/>
      <c r="AE83" s="121"/>
      <c r="AF83" s="121"/>
      <c r="AG83" s="121"/>
      <c r="AH83" s="121"/>
      <c r="AI83" s="121"/>
      <c r="AJ83" s="121"/>
      <c r="AK83" s="121"/>
      <c r="AL83" s="121"/>
      <c r="AM83" s="121"/>
      <c r="AN83" s="121"/>
      <c r="AO83" s="121"/>
      <c r="AP83" s="121"/>
      <c r="AQ83" s="121"/>
      <c r="AR83" s="121"/>
      <c r="AS83" s="121"/>
      <c r="AT83" s="121"/>
      <c r="AU83" s="121"/>
      <c r="AV83" s="121"/>
      <c r="AW83" s="121"/>
      <c r="AX83" s="121"/>
      <c r="AY83" s="121"/>
      <c r="AZ83" s="121"/>
      <c r="BA83" s="121"/>
      <c r="BB83" s="121"/>
      <c r="BC83" s="121"/>
      <c r="BD83" s="121"/>
      <c r="BE83" s="121"/>
      <c r="BF83" s="121"/>
      <c r="BG83" s="121"/>
      <c r="BH83" s="121"/>
      <c r="BI83" s="121"/>
      <c r="BJ83" s="122"/>
      <c r="BK83" s="93"/>
      <c r="BL83" s="94"/>
      <c r="BM83" s="95"/>
      <c r="BN83" s="179"/>
      <c r="BO83" s="177"/>
      <c r="BP83" s="14"/>
      <c r="BQ83" s="14"/>
      <c r="BR83" s="14"/>
      <c r="BS83" s="14"/>
      <c r="BT83" s="14"/>
      <c r="BU83" s="14"/>
      <c r="BV83" s="16"/>
      <c r="BW83" s="14"/>
      <c r="BX83" s="14"/>
      <c r="BY83" s="14"/>
      <c r="BZ83" s="14"/>
      <c r="CA83" s="14"/>
      <c r="CB83" s="14"/>
      <c r="CC83" s="14"/>
      <c r="CD83" s="14"/>
      <c r="CE83" s="14"/>
      <c r="CF83" s="14"/>
      <c r="CG83" s="14"/>
      <c r="CH83" s="14"/>
      <c r="CI83" s="14"/>
      <c r="CJ83" s="14"/>
      <c r="CK83" s="14"/>
      <c r="CL83" s="14"/>
      <c r="CM83" s="14"/>
      <c r="CN83" s="14"/>
      <c r="CO83" s="14"/>
      <c r="CP83" s="14"/>
      <c r="CQ83" s="14"/>
      <c r="CR83" s="14"/>
      <c r="CS83" s="14"/>
      <c r="CT83" s="14"/>
      <c r="CU83" s="14"/>
      <c r="CV83" s="14"/>
      <c r="CW83" s="14"/>
      <c r="CX83" s="14"/>
      <c r="CY83" s="14"/>
      <c r="CZ83" s="14"/>
      <c r="DA83" s="14"/>
      <c r="DB83" s="14"/>
      <c r="DC83" s="14"/>
      <c r="DD83" s="14"/>
      <c r="DE83" s="14"/>
      <c r="DF83" s="14"/>
      <c r="DG83" s="14"/>
      <c r="DH83" s="14"/>
      <c r="DI83" s="14"/>
      <c r="DJ83" s="14"/>
      <c r="DK83" s="14"/>
      <c r="DL83" s="14"/>
      <c r="DM83" s="14"/>
      <c r="DN83" s="14"/>
      <c r="DO83" s="14"/>
      <c r="DP83" s="26"/>
      <c r="DQ83" s="27"/>
      <c r="DR83" s="129"/>
      <c r="DS83" s="130">
        <f>TCP(BO83:DQ83,$BO$9:$DQ$9,data!$H$8)</f>
        <v>0</v>
      </c>
      <c r="DT83" s="135"/>
      <c r="DU83" s="121"/>
      <c r="DV83" s="121"/>
      <c r="DW83" s="134"/>
      <c r="DX83" s="132"/>
      <c r="DY83" s="136"/>
      <c r="DZ83" s="21"/>
      <c r="EA83" s="18"/>
      <c r="EB83" s="4"/>
      <c r="EI83" s="23"/>
      <c r="EJ83" s="23"/>
    </row>
    <row r="84" spans="1:140" ht="15.75" x14ac:dyDescent="0.25">
      <c r="A84" s="12"/>
      <c r="B84" s="16"/>
      <c r="C84" s="24" t="str">
        <f t="shared" si="2"/>
        <v xml:space="preserve"> </v>
      </c>
      <c r="D84" s="25"/>
      <c r="E84" s="20"/>
      <c r="F84" s="19"/>
      <c r="G84" s="180"/>
      <c r="H84" s="120"/>
      <c r="I84" s="121"/>
      <c r="J84" s="121"/>
      <c r="K84" s="121"/>
      <c r="L84" s="121"/>
      <c r="M84" s="121"/>
      <c r="N84" s="121"/>
      <c r="O84" s="121"/>
      <c r="P84" s="121"/>
      <c r="Q84" s="121"/>
      <c r="R84" s="121"/>
      <c r="S84" s="121"/>
      <c r="T84" s="121"/>
      <c r="U84" s="121"/>
      <c r="V84" s="121"/>
      <c r="W84" s="121"/>
      <c r="X84" s="121"/>
      <c r="Y84" s="121"/>
      <c r="Z84" s="121"/>
      <c r="AA84" s="121"/>
      <c r="AB84" s="121"/>
      <c r="AC84" s="121"/>
      <c r="AD84" s="121"/>
      <c r="AE84" s="121"/>
      <c r="AF84" s="121"/>
      <c r="AG84" s="121"/>
      <c r="AH84" s="121"/>
      <c r="AI84" s="121"/>
      <c r="AJ84" s="121"/>
      <c r="AK84" s="121"/>
      <c r="AL84" s="121"/>
      <c r="AM84" s="121"/>
      <c r="AN84" s="121"/>
      <c r="AO84" s="121"/>
      <c r="AP84" s="121"/>
      <c r="AQ84" s="121"/>
      <c r="AR84" s="121"/>
      <c r="AS84" s="121"/>
      <c r="AT84" s="121"/>
      <c r="AU84" s="121"/>
      <c r="AV84" s="121"/>
      <c r="AW84" s="121"/>
      <c r="AX84" s="121"/>
      <c r="AY84" s="121"/>
      <c r="AZ84" s="121"/>
      <c r="BA84" s="121"/>
      <c r="BB84" s="121"/>
      <c r="BC84" s="121"/>
      <c r="BD84" s="121"/>
      <c r="BE84" s="121"/>
      <c r="BF84" s="121"/>
      <c r="BG84" s="121"/>
      <c r="BH84" s="121"/>
      <c r="BI84" s="121"/>
      <c r="BJ84" s="122"/>
      <c r="BK84" s="93"/>
      <c r="BL84" s="94"/>
      <c r="BM84" s="95"/>
      <c r="BN84" s="179"/>
      <c r="BO84" s="177"/>
      <c r="BP84" s="14"/>
      <c r="BQ84" s="14"/>
      <c r="BR84" s="14"/>
      <c r="BS84" s="14"/>
      <c r="BT84" s="14"/>
      <c r="BU84" s="14"/>
      <c r="BV84" s="16"/>
      <c r="BW84" s="14"/>
      <c r="BX84" s="14"/>
      <c r="BY84" s="14"/>
      <c r="BZ84" s="14"/>
      <c r="CA84" s="14"/>
      <c r="CB84" s="14"/>
      <c r="CC84" s="14"/>
      <c r="CD84" s="14"/>
      <c r="CE84" s="14"/>
      <c r="CF84" s="14"/>
      <c r="CG84" s="14"/>
      <c r="CH84" s="14"/>
      <c r="CI84" s="14"/>
      <c r="CJ84" s="14"/>
      <c r="CK84" s="14"/>
      <c r="CL84" s="14"/>
      <c r="CM84" s="14"/>
      <c r="CN84" s="14"/>
      <c r="CO84" s="14"/>
      <c r="CP84" s="14"/>
      <c r="CQ84" s="14"/>
      <c r="CR84" s="14"/>
      <c r="CS84" s="14"/>
      <c r="CT84" s="14"/>
      <c r="CU84" s="14"/>
      <c r="CV84" s="14"/>
      <c r="CW84" s="14"/>
      <c r="CX84" s="14"/>
      <c r="CY84" s="14"/>
      <c r="CZ84" s="14"/>
      <c r="DA84" s="14"/>
      <c r="DB84" s="14"/>
      <c r="DC84" s="14"/>
      <c r="DD84" s="14"/>
      <c r="DE84" s="14"/>
      <c r="DF84" s="14"/>
      <c r="DG84" s="14"/>
      <c r="DH84" s="14"/>
      <c r="DI84" s="14"/>
      <c r="DJ84" s="14"/>
      <c r="DK84" s="14"/>
      <c r="DL84" s="14"/>
      <c r="DM84" s="14"/>
      <c r="DN84" s="14"/>
      <c r="DO84" s="14"/>
      <c r="DP84" s="26"/>
      <c r="DQ84" s="27"/>
      <c r="DR84" s="129"/>
      <c r="DS84" s="130">
        <f>TCP(BO84:DQ84,$BO$9:$DQ$9,data!$H$8)</f>
        <v>0</v>
      </c>
      <c r="DT84" s="135"/>
      <c r="DU84" s="121"/>
      <c r="DV84" s="121"/>
      <c r="DW84" s="134"/>
      <c r="DX84" s="132"/>
      <c r="DY84" s="136"/>
      <c r="DZ84" s="21"/>
      <c r="EA84" s="18"/>
      <c r="EB84" s="4"/>
      <c r="EI84" s="23"/>
      <c r="EJ84" s="23"/>
    </row>
    <row r="85" spans="1:140" ht="15.75" x14ac:dyDescent="0.25">
      <c r="A85" s="12"/>
      <c r="B85" s="16"/>
      <c r="C85" s="24" t="str">
        <f t="shared" si="2"/>
        <v xml:space="preserve"> </v>
      </c>
      <c r="D85" s="25"/>
      <c r="E85" s="20"/>
      <c r="F85" s="19"/>
      <c r="G85" s="180"/>
      <c r="H85" s="120"/>
      <c r="I85" s="121"/>
      <c r="J85" s="121"/>
      <c r="K85" s="121"/>
      <c r="L85" s="121"/>
      <c r="M85" s="121"/>
      <c r="N85" s="121"/>
      <c r="O85" s="121"/>
      <c r="P85" s="121"/>
      <c r="Q85" s="121"/>
      <c r="R85" s="121"/>
      <c r="S85" s="121"/>
      <c r="T85" s="121"/>
      <c r="U85" s="121"/>
      <c r="V85" s="121"/>
      <c r="W85" s="121"/>
      <c r="X85" s="121"/>
      <c r="Y85" s="121"/>
      <c r="Z85" s="121"/>
      <c r="AA85" s="121"/>
      <c r="AB85" s="121"/>
      <c r="AC85" s="121"/>
      <c r="AD85" s="121"/>
      <c r="AE85" s="121"/>
      <c r="AF85" s="121"/>
      <c r="AG85" s="121"/>
      <c r="AH85" s="121"/>
      <c r="AI85" s="121"/>
      <c r="AJ85" s="121"/>
      <c r="AK85" s="121"/>
      <c r="AL85" s="121"/>
      <c r="AM85" s="121"/>
      <c r="AN85" s="121"/>
      <c r="AO85" s="121"/>
      <c r="AP85" s="121"/>
      <c r="AQ85" s="121"/>
      <c r="AR85" s="121"/>
      <c r="AS85" s="121"/>
      <c r="AT85" s="121"/>
      <c r="AU85" s="121"/>
      <c r="AV85" s="121"/>
      <c r="AW85" s="121"/>
      <c r="AX85" s="121"/>
      <c r="AY85" s="121"/>
      <c r="AZ85" s="121"/>
      <c r="BA85" s="121"/>
      <c r="BB85" s="121"/>
      <c r="BC85" s="121"/>
      <c r="BD85" s="121"/>
      <c r="BE85" s="121"/>
      <c r="BF85" s="121"/>
      <c r="BG85" s="121"/>
      <c r="BH85" s="121"/>
      <c r="BI85" s="121"/>
      <c r="BJ85" s="122"/>
      <c r="BK85" s="93"/>
      <c r="BL85" s="94"/>
      <c r="BM85" s="95"/>
      <c r="BN85" s="179"/>
      <c r="BO85" s="177"/>
      <c r="BP85" s="14"/>
      <c r="BQ85" s="14"/>
      <c r="BR85" s="14"/>
      <c r="BS85" s="14"/>
      <c r="BT85" s="14"/>
      <c r="BU85" s="14"/>
      <c r="BV85" s="16"/>
      <c r="BW85" s="14"/>
      <c r="BX85" s="14"/>
      <c r="BY85" s="14"/>
      <c r="BZ85" s="14"/>
      <c r="CA85" s="14"/>
      <c r="CB85" s="14"/>
      <c r="CC85" s="14"/>
      <c r="CD85" s="14"/>
      <c r="CE85" s="14"/>
      <c r="CF85" s="14"/>
      <c r="CG85" s="14"/>
      <c r="CH85" s="14"/>
      <c r="CI85" s="14"/>
      <c r="CJ85" s="14"/>
      <c r="CK85" s="14"/>
      <c r="CL85" s="14"/>
      <c r="CM85" s="14"/>
      <c r="CN85" s="14"/>
      <c r="CO85" s="14"/>
      <c r="CP85" s="14"/>
      <c r="CQ85" s="14"/>
      <c r="CR85" s="14"/>
      <c r="CS85" s="14"/>
      <c r="CT85" s="14"/>
      <c r="CU85" s="14"/>
      <c r="CV85" s="14"/>
      <c r="CW85" s="14"/>
      <c r="CX85" s="14"/>
      <c r="CY85" s="14"/>
      <c r="CZ85" s="14"/>
      <c r="DA85" s="14"/>
      <c r="DB85" s="14"/>
      <c r="DC85" s="14"/>
      <c r="DD85" s="14"/>
      <c r="DE85" s="14"/>
      <c r="DF85" s="14"/>
      <c r="DG85" s="14"/>
      <c r="DH85" s="14"/>
      <c r="DI85" s="14"/>
      <c r="DJ85" s="14"/>
      <c r="DK85" s="14"/>
      <c r="DL85" s="14"/>
      <c r="DM85" s="14"/>
      <c r="DN85" s="14"/>
      <c r="DO85" s="14"/>
      <c r="DP85" s="26"/>
      <c r="DQ85" s="27"/>
      <c r="DR85" s="129"/>
      <c r="DS85" s="130">
        <f>TCP(BO85:DQ85,$BO$9:$DQ$9,data!$H$8)</f>
        <v>0</v>
      </c>
      <c r="DT85" s="135"/>
      <c r="DU85" s="121"/>
      <c r="DV85" s="121"/>
      <c r="DW85" s="134"/>
      <c r="DX85" s="132"/>
      <c r="DY85" s="136"/>
      <c r="DZ85" s="21"/>
      <c r="EA85" s="18"/>
      <c r="EB85" s="4"/>
      <c r="EI85" s="23"/>
      <c r="EJ85" s="23"/>
    </row>
    <row r="86" spans="1:140" ht="15.75" x14ac:dyDescent="0.25">
      <c r="A86" s="12"/>
      <c r="B86" s="16"/>
      <c r="C86" s="24" t="str">
        <f t="shared" si="2"/>
        <v xml:space="preserve"> </v>
      </c>
      <c r="D86" s="25"/>
      <c r="E86" s="20"/>
      <c r="F86" s="19"/>
      <c r="G86" s="180"/>
      <c r="H86" s="120"/>
      <c r="I86" s="121"/>
      <c r="J86" s="121"/>
      <c r="K86" s="121"/>
      <c r="L86" s="121"/>
      <c r="M86" s="121"/>
      <c r="N86" s="121"/>
      <c r="O86" s="121"/>
      <c r="P86" s="121"/>
      <c r="Q86" s="121"/>
      <c r="R86" s="121"/>
      <c r="S86" s="121"/>
      <c r="T86" s="121"/>
      <c r="U86" s="121"/>
      <c r="V86" s="121"/>
      <c r="W86" s="121"/>
      <c r="X86" s="121"/>
      <c r="Y86" s="121"/>
      <c r="Z86" s="121"/>
      <c r="AA86" s="121"/>
      <c r="AB86" s="121"/>
      <c r="AC86" s="121"/>
      <c r="AD86" s="121"/>
      <c r="AE86" s="121"/>
      <c r="AF86" s="121"/>
      <c r="AG86" s="121"/>
      <c r="AH86" s="121"/>
      <c r="AI86" s="121"/>
      <c r="AJ86" s="121"/>
      <c r="AK86" s="121"/>
      <c r="AL86" s="121"/>
      <c r="AM86" s="121"/>
      <c r="AN86" s="121"/>
      <c r="AO86" s="121"/>
      <c r="AP86" s="121"/>
      <c r="AQ86" s="121"/>
      <c r="AR86" s="121"/>
      <c r="AS86" s="121"/>
      <c r="AT86" s="121"/>
      <c r="AU86" s="121"/>
      <c r="AV86" s="121"/>
      <c r="AW86" s="121"/>
      <c r="AX86" s="121"/>
      <c r="AY86" s="121"/>
      <c r="AZ86" s="121"/>
      <c r="BA86" s="121"/>
      <c r="BB86" s="121"/>
      <c r="BC86" s="121"/>
      <c r="BD86" s="121"/>
      <c r="BE86" s="121"/>
      <c r="BF86" s="121"/>
      <c r="BG86" s="121"/>
      <c r="BH86" s="121"/>
      <c r="BI86" s="121"/>
      <c r="BJ86" s="122"/>
      <c r="BK86" s="93"/>
      <c r="BL86" s="94"/>
      <c r="BM86" s="95"/>
      <c r="BN86" s="179"/>
      <c r="BO86" s="177"/>
      <c r="BP86" s="14"/>
      <c r="BQ86" s="14"/>
      <c r="BR86" s="14"/>
      <c r="BS86" s="14"/>
      <c r="BT86" s="14"/>
      <c r="BU86" s="14"/>
      <c r="BV86" s="16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4"/>
      <c r="CI86" s="14"/>
      <c r="CJ86" s="14"/>
      <c r="CK86" s="14"/>
      <c r="CL86" s="14"/>
      <c r="CM86" s="14"/>
      <c r="CN86" s="14"/>
      <c r="CO86" s="14"/>
      <c r="CP86" s="14"/>
      <c r="CQ86" s="14"/>
      <c r="CR86" s="14"/>
      <c r="CS86" s="14"/>
      <c r="CT86" s="14"/>
      <c r="CU86" s="14"/>
      <c r="CV86" s="14"/>
      <c r="CW86" s="14"/>
      <c r="CX86" s="14"/>
      <c r="CY86" s="14"/>
      <c r="CZ86" s="14"/>
      <c r="DA86" s="14"/>
      <c r="DB86" s="14"/>
      <c r="DC86" s="14"/>
      <c r="DD86" s="14"/>
      <c r="DE86" s="14"/>
      <c r="DF86" s="14"/>
      <c r="DG86" s="14"/>
      <c r="DH86" s="14"/>
      <c r="DI86" s="14"/>
      <c r="DJ86" s="14"/>
      <c r="DK86" s="14"/>
      <c r="DL86" s="14"/>
      <c r="DM86" s="14"/>
      <c r="DN86" s="14"/>
      <c r="DO86" s="14"/>
      <c r="DP86" s="26"/>
      <c r="DQ86" s="27"/>
      <c r="DR86" s="129"/>
      <c r="DS86" s="130">
        <f>TCP(BO86:DQ86,$BO$9:$DQ$9,data!$H$8)</f>
        <v>0</v>
      </c>
      <c r="DT86" s="135"/>
      <c r="DU86" s="121"/>
      <c r="DV86" s="121"/>
      <c r="DW86" s="134"/>
      <c r="DX86" s="132"/>
      <c r="DY86" s="136"/>
      <c r="DZ86" s="21"/>
      <c r="EA86" s="18"/>
      <c r="EB86" s="4"/>
      <c r="EI86" s="23"/>
      <c r="EJ86" s="23"/>
    </row>
    <row r="87" spans="1:140" ht="15.75" x14ac:dyDescent="0.25">
      <c r="A87" s="12"/>
      <c r="B87" s="16"/>
      <c r="C87" s="24" t="str">
        <f t="shared" si="2"/>
        <v xml:space="preserve"> </v>
      </c>
      <c r="D87" s="25"/>
      <c r="E87" s="20"/>
      <c r="F87" s="19"/>
      <c r="G87" s="180"/>
      <c r="H87" s="120"/>
      <c r="I87" s="121"/>
      <c r="J87" s="121"/>
      <c r="K87" s="121"/>
      <c r="L87" s="121"/>
      <c r="M87" s="121"/>
      <c r="N87" s="121"/>
      <c r="O87" s="121"/>
      <c r="P87" s="121"/>
      <c r="Q87" s="121"/>
      <c r="R87" s="121"/>
      <c r="S87" s="121"/>
      <c r="T87" s="121"/>
      <c r="U87" s="121"/>
      <c r="V87" s="121"/>
      <c r="W87" s="121"/>
      <c r="X87" s="121"/>
      <c r="Y87" s="121"/>
      <c r="Z87" s="121"/>
      <c r="AA87" s="121"/>
      <c r="AB87" s="121"/>
      <c r="AC87" s="121"/>
      <c r="AD87" s="121"/>
      <c r="AE87" s="121"/>
      <c r="AF87" s="121"/>
      <c r="AG87" s="121"/>
      <c r="AH87" s="121"/>
      <c r="AI87" s="121"/>
      <c r="AJ87" s="121"/>
      <c r="AK87" s="121"/>
      <c r="AL87" s="121"/>
      <c r="AM87" s="121"/>
      <c r="AN87" s="121"/>
      <c r="AO87" s="121"/>
      <c r="AP87" s="121"/>
      <c r="AQ87" s="121"/>
      <c r="AR87" s="121"/>
      <c r="AS87" s="121"/>
      <c r="AT87" s="121"/>
      <c r="AU87" s="121"/>
      <c r="AV87" s="121"/>
      <c r="AW87" s="121"/>
      <c r="AX87" s="121"/>
      <c r="AY87" s="121"/>
      <c r="AZ87" s="121"/>
      <c r="BA87" s="121"/>
      <c r="BB87" s="121"/>
      <c r="BC87" s="121"/>
      <c r="BD87" s="121"/>
      <c r="BE87" s="121"/>
      <c r="BF87" s="121"/>
      <c r="BG87" s="121"/>
      <c r="BH87" s="121"/>
      <c r="BI87" s="121"/>
      <c r="BJ87" s="122"/>
      <c r="BK87" s="93"/>
      <c r="BL87" s="94"/>
      <c r="BM87" s="95"/>
      <c r="BN87" s="179"/>
      <c r="BO87" s="177"/>
      <c r="BP87" s="14"/>
      <c r="BQ87" s="14"/>
      <c r="BR87" s="14"/>
      <c r="BS87" s="14"/>
      <c r="BT87" s="14"/>
      <c r="BU87" s="14"/>
      <c r="BV87" s="16"/>
      <c r="BW87" s="14"/>
      <c r="BX87" s="14"/>
      <c r="BY87" s="14"/>
      <c r="BZ87" s="14"/>
      <c r="CA87" s="14"/>
      <c r="CB87" s="14"/>
      <c r="CC87" s="14"/>
      <c r="CD87" s="14"/>
      <c r="CE87" s="14"/>
      <c r="CF87" s="14"/>
      <c r="CG87" s="14"/>
      <c r="CH87" s="14"/>
      <c r="CI87" s="14"/>
      <c r="CJ87" s="14"/>
      <c r="CK87" s="14"/>
      <c r="CL87" s="14"/>
      <c r="CM87" s="14"/>
      <c r="CN87" s="14"/>
      <c r="CO87" s="14"/>
      <c r="CP87" s="14"/>
      <c r="CQ87" s="14"/>
      <c r="CR87" s="14"/>
      <c r="CS87" s="14"/>
      <c r="CT87" s="14"/>
      <c r="CU87" s="14"/>
      <c r="CV87" s="14"/>
      <c r="CW87" s="14"/>
      <c r="CX87" s="14"/>
      <c r="CY87" s="14"/>
      <c r="CZ87" s="14"/>
      <c r="DA87" s="14"/>
      <c r="DB87" s="14"/>
      <c r="DC87" s="14"/>
      <c r="DD87" s="14"/>
      <c r="DE87" s="14"/>
      <c r="DF87" s="14"/>
      <c r="DG87" s="14"/>
      <c r="DH87" s="14"/>
      <c r="DI87" s="14"/>
      <c r="DJ87" s="14"/>
      <c r="DK87" s="14"/>
      <c r="DL87" s="14"/>
      <c r="DM87" s="14"/>
      <c r="DN87" s="14"/>
      <c r="DO87" s="14"/>
      <c r="DP87" s="26"/>
      <c r="DQ87" s="27"/>
      <c r="DR87" s="129"/>
      <c r="DS87" s="130">
        <f>TCP(BO87:DQ87,$BO$9:$DQ$9,data!$H$8)</f>
        <v>0</v>
      </c>
      <c r="DT87" s="135"/>
      <c r="DU87" s="121"/>
      <c r="DV87" s="121"/>
      <c r="DW87" s="134"/>
      <c r="DX87" s="132"/>
      <c r="DY87" s="136"/>
      <c r="DZ87" s="21"/>
      <c r="EA87" s="18"/>
      <c r="EB87" s="4"/>
      <c r="EI87" s="23"/>
      <c r="EJ87" s="23"/>
    </row>
    <row r="88" spans="1:140" ht="15.75" x14ac:dyDescent="0.25">
      <c r="A88" s="12"/>
      <c r="B88" s="16"/>
      <c r="C88" s="24" t="str">
        <f t="shared" si="2"/>
        <v xml:space="preserve"> </v>
      </c>
      <c r="D88" s="25"/>
      <c r="E88" s="20"/>
      <c r="F88" s="19"/>
      <c r="G88" s="180"/>
      <c r="H88" s="120"/>
      <c r="I88" s="121"/>
      <c r="J88" s="121"/>
      <c r="K88" s="121"/>
      <c r="L88" s="121"/>
      <c r="M88" s="121"/>
      <c r="N88" s="121"/>
      <c r="O88" s="121"/>
      <c r="P88" s="121"/>
      <c r="Q88" s="121"/>
      <c r="R88" s="121"/>
      <c r="S88" s="121"/>
      <c r="T88" s="121"/>
      <c r="U88" s="121"/>
      <c r="V88" s="121"/>
      <c r="W88" s="121"/>
      <c r="X88" s="121"/>
      <c r="Y88" s="121"/>
      <c r="Z88" s="121"/>
      <c r="AA88" s="121"/>
      <c r="AB88" s="121"/>
      <c r="AC88" s="121"/>
      <c r="AD88" s="121"/>
      <c r="AE88" s="121"/>
      <c r="AF88" s="121"/>
      <c r="AG88" s="121"/>
      <c r="AH88" s="121"/>
      <c r="AI88" s="121"/>
      <c r="AJ88" s="121"/>
      <c r="AK88" s="121"/>
      <c r="AL88" s="121"/>
      <c r="AM88" s="121"/>
      <c r="AN88" s="121"/>
      <c r="AO88" s="121"/>
      <c r="AP88" s="121"/>
      <c r="AQ88" s="121"/>
      <c r="AR88" s="121"/>
      <c r="AS88" s="121"/>
      <c r="AT88" s="121"/>
      <c r="AU88" s="121"/>
      <c r="AV88" s="121"/>
      <c r="AW88" s="121"/>
      <c r="AX88" s="121"/>
      <c r="AY88" s="121"/>
      <c r="AZ88" s="121"/>
      <c r="BA88" s="121"/>
      <c r="BB88" s="121"/>
      <c r="BC88" s="121"/>
      <c r="BD88" s="121"/>
      <c r="BE88" s="121"/>
      <c r="BF88" s="121"/>
      <c r="BG88" s="121"/>
      <c r="BH88" s="121"/>
      <c r="BI88" s="121"/>
      <c r="BJ88" s="122"/>
      <c r="BK88" s="93"/>
      <c r="BL88" s="94"/>
      <c r="BM88" s="95"/>
      <c r="BN88" s="179"/>
      <c r="BO88" s="177"/>
      <c r="BP88" s="14"/>
      <c r="BQ88" s="14"/>
      <c r="BR88" s="14"/>
      <c r="BS88" s="14"/>
      <c r="BT88" s="14"/>
      <c r="BU88" s="14"/>
      <c r="BV88" s="16"/>
      <c r="BW88" s="14"/>
      <c r="BX88" s="14"/>
      <c r="BY88" s="14"/>
      <c r="BZ88" s="14"/>
      <c r="CA88" s="14"/>
      <c r="CB88" s="14"/>
      <c r="CC88" s="14"/>
      <c r="CD88" s="14"/>
      <c r="CE88" s="14"/>
      <c r="CF88" s="14"/>
      <c r="CG88" s="14"/>
      <c r="CH88" s="14"/>
      <c r="CI88" s="14"/>
      <c r="CJ88" s="14"/>
      <c r="CK88" s="14"/>
      <c r="CL88" s="14"/>
      <c r="CM88" s="14"/>
      <c r="CN88" s="14"/>
      <c r="CO88" s="14"/>
      <c r="CP88" s="14"/>
      <c r="CQ88" s="14"/>
      <c r="CR88" s="14"/>
      <c r="CS88" s="14"/>
      <c r="CT88" s="14"/>
      <c r="CU88" s="14"/>
      <c r="CV88" s="14"/>
      <c r="CW88" s="14"/>
      <c r="CX88" s="14"/>
      <c r="CY88" s="14"/>
      <c r="CZ88" s="14"/>
      <c r="DA88" s="14"/>
      <c r="DB88" s="14"/>
      <c r="DC88" s="14"/>
      <c r="DD88" s="14"/>
      <c r="DE88" s="14"/>
      <c r="DF88" s="14"/>
      <c r="DG88" s="14"/>
      <c r="DH88" s="14"/>
      <c r="DI88" s="14"/>
      <c r="DJ88" s="14"/>
      <c r="DK88" s="14"/>
      <c r="DL88" s="14"/>
      <c r="DM88" s="14"/>
      <c r="DN88" s="14"/>
      <c r="DO88" s="14"/>
      <c r="DP88" s="26"/>
      <c r="DQ88" s="27"/>
      <c r="DR88" s="129"/>
      <c r="DS88" s="130">
        <f>TCP(BO88:DQ88,$BO$9:$DQ$9,data!$H$8)</f>
        <v>0</v>
      </c>
      <c r="DT88" s="135"/>
      <c r="DU88" s="121"/>
      <c r="DV88" s="121"/>
      <c r="DW88" s="134"/>
      <c r="DX88" s="132"/>
      <c r="DY88" s="136"/>
      <c r="DZ88" s="21"/>
      <c r="EA88" s="18"/>
      <c r="EB88" s="4"/>
      <c r="EI88" s="23"/>
      <c r="EJ88" s="23"/>
    </row>
    <row r="89" spans="1:140" ht="15.75" x14ac:dyDescent="0.25">
      <c r="A89" s="12"/>
      <c r="B89" s="16"/>
      <c r="C89" s="24" t="str">
        <f t="shared" si="2"/>
        <v xml:space="preserve"> </v>
      </c>
      <c r="D89" s="25"/>
      <c r="E89" s="20"/>
      <c r="F89" s="19"/>
      <c r="G89" s="180"/>
      <c r="H89" s="120"/>
      <c r="I89" s="121"/>
      <c r="J89" s="121"/>
      <c r="K89" s="121"/>
      <c r="L89" s="121"/>
      <c r="M89" s="121"/>
      <c r="N89" s="121"/>
      <c r="O89" s="121"/>
      <c r="P89" s="121"/>
      <c r="Q89" s="121"/>
      <c r="R89" s="121"/>
      <c r="S89" s="121"/>
      <c r="T89" s="121"/>
      <c r="U89" s="121"/>
      <c r="V89" s="121"/>
      <c r="W89" s="121"/>
      <c r="X89" s="121"/>
      <c r="Y89" s="121"/>
      <c r="Z89" s="121"/>
      <c r="AA89" s="121"/>
      <c r="AB89" s="121"/>
      <c r="AC89" s="121"/>
      <c r="AD89" s="121"/>
      <c r="AE89" s="121"/>
      <c r="AF89" s="121"/>
      <c r="AG89" s="121"/>
      <c r="AH89" s="121"/>
      <c r="AI89" s="121"/>
      <c r="AJ89" s="121"/>
      <c r="AK89" s="121"/>
      <c r="AL89" s="121"/>
      <c r="AM89" s="121"/>
      <c r="AN89" s="121"/>
      <c r="AO89" s="121"/>
      <c r="AP89" s="121"/>
      <c r="AQ89" s="121"/>
      <c r="AR89" s="121"/>
      <c r="AS89" s="121"/>
      <c r="AT89" s="121"/>
      <c r="AU89" s="121"/>
      <c r="AV89" s="121"/>
      <c r="AW89" s="121"/>
      <c r="AX89" s="121"/>
      <c r="AY89" s="121"/>
      <c r="AZ89" s="121"/>
      <c r="BA89" s="121"/>
      <c r="BB89" s="121"/>
      <c r="BC89" s="121"/>
      <c r="BD89" s="121"/>
      <c r="BE89" s="121"/>
      <c r="BF89" s="121"/>
      <c r="BG89" s="121"/>
      <c r="BH89" s="121"/>
      <c r="BI89" s="121"/>
      <c r="BJ89" s="122"/>
      <c r="BK89" s="93"/>
      <c r="BL89" s="94"/>
      <c r="BM89" s="95"/>
      <c r="BN89" s="179"/>
      <c r="BO89" s="177"/>
      <c r="BP89" s="14"/>
      <c r="BQ89" s="14"/>
      <c r="BR89" s="14"/>
      <c r="BS89" s="14"/>
      <c r="BT89" s="14"/>
      <c r="BU89" s="14"/>
      <c r="BV89" s="16"/>
      <c r="BW89" s="14"/>
      <c r="BX89" s="14"/>
      <c r="BY89" s="14"/>
      <c r="BZ89" s="14"/>
      <c r="CA89" s="14"/>
      <c r="CB89" s="14"/>
      <c r="CC89" s="14"/>
      <c r="CD89" s="14"/>
      <c r="CE89" s="14"/>
      <c r="CF89" s="14"/>
      <c r="CG89" s="14"/>
      <c r="CH89" s="14"/>
      <c r="CI89" s="14"/>
      <c r="CJ89" s="14"/>
      <c r="CK89" s="14"/>
      <c r="CL89" s="14"/>
      <c r="CM89" s="14"/>
      <c r="CN89" s="14"/>
      <c r="CO89" s="14"/>
      <c r="CP89" s="14"/>
      <c r="CQ89" s="14"/>
      <c r="CR89" s="14"/>
      <c r="CS89" s="14"/>
      <c r="CT89" s="14"/>
      <c r="CU89" s="14"/>
      <c r="CV89" s="14"/>
      <c r="CW89" s="14"/>
      <c r="CX89" s="14"/>
      <c r="CY89" s="14"/>
      <c r="CZ89" s="14"/>
      <c r="DA89" s="14"/>
      <c r="DB89" s="14"/>
      <c r="DC89" s="14"/>
      <c r="DD89" s="14"/>
      <c r="DE89" s="14"/>
      <c r="DF89" s="14"/>
      <c r="DG89" s="14"/>
      <c r="DH89" s="14"/>
      <c r="DI89" s="14"/>
      <c r="DJ89" s="14"/>
      <c r="DK89" s="14"/>
      <c r="DL89" s="14"/>
      <c r="DM89" s="14"/>
      <c r="DN89" s="14"/>
      <c r="DO89" s="14"/>
      <c r="DP89" s="26"/>
      <c r="DQ89" s="27"/>
      <c r="DR89" s="129"/>
      <c r="DS89" s="130">
        <f>TCP(BO89:DQ89,$BO$9:$DQ$9,data!$H$8)</f>
        <v>0</v>
      </c>
      <c r="DT89" s="135"/>
      <c r="DU89" s="121"/>
      <c r="DV89" s="121"/>
      <c r="DW89" s="134"/>
      <c r="DX89" s="132"/>
      <c r="DY89" s="136"/>
      <c r="DZ89" s="21"/>
      <c r="EA89" s="18"/>
      <c r="EB89" s="4"/>
      <c r="EI89" s="23"/>
      <c r="EJ89" s="23"/>
    </row>
    <row r="90" spans="1:140" ht="15.75" x14ac:dyDescent="0.25">
      <c r="A90" s="12"/>
      <c r="B90" s="16"/>
      <c r="C90" s="24" t="str">
        <f t="shared" si="2"/>
        <v xml:space="preserve"> </v>
      </c>
      <c r="D90" s="25"/>
      <c r="E90" s="20"/>
      <c r="F90" s="19"/>
      <c r="G90" s="180"/>
      <c r="H90" s="120"/>
      <c r="I90" s="121"/>
      <c r="J90" s="121"/>
      <c r="K90" s="121"/>
      <c r="L90" s="121"/>
      <c r="M90" s="121"/>
      <c r="N90" s="121"/>
      <c r="O90" s="121"/>
      <c r="P90" s="121"/>
      <c r="Q90" s="121"/>
      <c r="R90" s="121"/>
      <c r="S90" s="121"/>
      <c r="T90" s="121"/>
      <c r="U90" s="121"/>
      <c r="V90" s="121"/>
      <c r="W90" s="121"/>
      <c r="X90" s="121"/>
      <c r="Y90" s="121"/>
      <c r="Z90" s="121"/>
      <c r="AA90" s="121"/>
      <c r="AB90" s="121"/>
      <c r="AC90" s="121"/>
      <c r="AD90" s="121"/>
      <c r="AE90" s="121"/>
      <c r="AF90" s="121"/>
      <c r="AG90" s="121"/>
      <c r="AH90" s="121"/>
      <c r="AI90" s="121"/>
      <c r="AJ90" s="121"/>
      <c r="AK90" s="121"/>
      <c r="AL90" s="121"/>
      <c r="AM90" s="121"/>
      <c r="AN90" s="121"/>
      <c r="AO90" s="121"/>
      <c r="AP90" s="121"/>
      <c r="AQ90" s="121"/>
      <c r="AR90" s="121"/>
      <c r="AS90" s="121"/>
      <c r="AT90" s="121"/>
      <c r="AU90" s="121"/>
      <c r="AV90" s="121"/>
      <c r="AW90" s="121"/>
      <c r="AX90" s="121"/>
      <c r="AY90" s="121"/>
      <c r="AZ90" s="121"/>
      <c r="BA90" s="121"/>
      <c r="BB90" s="121"/>
      <c r="BC90" s="121"/>
      <c r="BD90" s="121"/>
      <c r="BE90" s="121"/>
      <c r="BF90" s="121"/>
      <c r="BG90" s="121"/>
      <c r="BH90" s="121"/>
      <c r="BI90" s="121"/>
      <c r="BJ90" s="122"/>
      <c r="BK90" s="93"/>
      <c r="BL90" s="94"/>
      <c r="BM90" s="95"/>
      <c r="BN90" s="179"/>
      <c r="BO90" s="177"/>
      <c r="BP90" s="14"/>
      <c r="BQ90" s="14"/>
      <c r="BR90" s="14"/>
      <c r="BS90" s="14"/>
      <c r="BT90" s="14"/>
      <c r="BU90" s="14"/>
      <c r="BV90" s="16"/>
      <c r="BW90" s="14"/>
      <c r="BX90" s="14"/>
      <c r="BY90" s="14"/>
      <c r="BZ90" s="14"/>
      <c r="CA90" s="14"/>
      <c r="CB90" s="14"/>
      <c r="CC90" s="14"/>
      <c r="CD90" s="14"/>
      <c r="CE90" s="14"/>
      <c r="CF90" s="14"/>
      <c r="CG90" s="14"/>
      <c r="CH90" s="14"/>
      <c r="CI90" s="14"/>
      <c r="CJ90" s="14"/>
      <c r="CK90" s="14"/>
      <c r="CL90" s="14"/>
      <c r="CM90" s="14"/>
      <c r="CN90" s="14"/>
      <c r="CO90" s="14"/>
      <c r="CP90" s="14"/>
      <c r="CQ90" s="14"/>
      <c r="CR90" s="14"/>
      <c r="CS90" s="14"/>
      <c r="CT90" s="14"/>
      <c r="CU90" s="14"/>
      <c r="CV90" s="14"/>
      <c r="CW90" s="14"/>
      <c r="CX90" s="14"/>
      <c r="CY90" s="14"/>
      <c r="CZ90" s="14"/>
      <c r="DA90" s="14"/>
      <c r="DB90" s="14"/>
      <c r="DC90" s="14"/>
      <c r="DD90" s="14"/>
      <c r="DE90" s="14"/>
      <c r="DF90" s="14"/>
      <c r="DG90" s="14"/>
      <c r="DH90" s="14"/>
      <c r="DI90" s="14"/>
      <c r="DJ90" s="14"/>
      <c r="DK90" s="14"/>
      <c r="DL90" s="14"/>
      <c r="DM90" s="14"/>
      <c r="DN90" s="14"/>
      <c r="DO90" s="14"/>
      <c r="DP90" s="26"/>
      <c r="DQ90" s="27"/>
      <c r="DR90" s="129"/>
      <c r="DS90" s="130">
        <f>TCP(BO90:DQ90,$BO$9:$DQ$9,data!$H$8)</f>
        <v>0</v>
      </c>
      <c r="DT90" s="135"/>
      <c r="DU90" s="121"/>
      <c r="DV90" s="121"/>
      <c r="DW90" s="134"/>
      <c r="DX90" s="132"/>
      <c r="DY90" s="136"/>
      <c r="DZ90" s="21"/>
      <c r="EA90" s="18"/>
      <c r="EB90" s="4"/>
      <c r="EI90" s="23"/>
      <c r="EJ90" s="23"/>
    </row>
    <row r="91" spans="1:140" ht="15.75" x14ac:dyDescent="0.25">
      <c r="A91" s="12"/>
      <c r="B91" s="16"/>
      <c r="C91" s="24" t="str">
        <f t="shared" si="2"/>
        <v xml:space="preserve"> </v>
      </c>
      <c r="D91" s="25"/>
      <c r="E91" s="20"/>
      <c r="F91" s="19"/>
      <c r="G91" s="180"/>
      <c r="H91" s="120"/>
      <c r="I91" s="121"/>
      <c r="J91" s="121"/>
      <c r="K91" s="121"/>
      <c r="L91" s="121"/>
      <c r="M91" s="121"/>
      <c r="N91" s="121"/>
      <c r="O91" s="121"/>
      <c r="P91" s="121"/>
      <c r="Q91" s="121"/>
      <c r="R91" s="121"/>
      <c r="S91" s="121"/>
      <c r="T91" s="121"/>
      <c r="U91" s="121"/>
      <c r="V91" s="121"/>
      <c r="W91" s="121"/>
      <c r="X91" s="121"/>
      <c r="Y91" s="121"/>
      <c r="Z91" s="121"/>
      <c r="AA91" s="121"/>
      <c r="AB91" s="121"/>
      <c r="AC91" s="121"/>
      <c r="AD91" s="121"/>
      <c r="AE91" s="121"/>
      <c r="AF91" s="121"/>
      <c r="AG91" s="121"/>
      <c r="AH91" s="121"/>
      <c r="AI91" s="121"/>
      <c r="AJ91" s="121"/>
      <c r="AK91" s="121"/>
      <c r="AL91" s="121"/>
      <c r="AM91" s="121"/>
      <c r="AN91" s="121"/>
      <c r="AO91" s="121"/>
      <c r="AP91" s="121"/>
      <c r="AQ91" s="121"/>
      <c r="AR91" s="121"/>
      <c r="AS91" s="121"/>
      <c r="AT91" s="121"/>
      <c r="AU91" s="121"/>
      <c r="AV91" s="121"/>
      <c r="AW91" s="121"/>
      <c r="AX91" s="121"/>
      <c r="AY91" s="121"/>
      <c r="AZ91" s="121"/>
      <c r="BA91" s="121"/>
      <c r="BB91" s="121"/>
      <c r="BC91" s="121"/>
      <c r="BD91" s="121"/>
      <c r="BE91" s="121"/>
      <c r="BF91" s="121"/>
      <c r="BG91" s="121"/>
      <c r="BH91" s="121"/>
      <c r="BI91" s="121"/>
      <c r="BJ91" s="122"/>
      <c r="BK91" s="93"/>
      <c r="BL91" s="94"/>
      <c r="BM91" s="95"/>
      <c r="BN91" s="179"/>
      <c r="BO91" s="177"/>
      <c r="BP91" s="14"/>
      <c r="BQ91" s="14"/>
      <c r="BR91" s="14"/>
      <c r="BS91" s="14"/>
      <c r="BT91" s="14"/>
      <c r="BU91" s="14"/>
      <c r="BV91" s="16"/>
      <c r="BW91" s="14"/>
      <c r="BX91" s="14"/>
      <c r="BY91" s="14"/>
      <c r="BZ91" s="14"/>
      <c r="CA91" s="14"/>
      <c r="CB91" s="14"/>
      <c r="CC91" s="14"/>
      <c r="CD91" s="14"/>
      <c r="CE91" s="14"/>
      <c r="CF91" s="14"/>
      <c r="CG91" s="14"/>
      <c r="CH91" s="14"/>
      <c r="CI91" s="14"/>
      <c r="CJ91" s="14"/>
      <c r="CK91" s="14"/>
      <c r="CL91" s="14"/>
      <c r="CM91" s="14"/>
      <c r="CN91" s="14"/>
      <c r="CO91" s="14"/>
      <c r="CP91" s="14"/>
      <c r="CQ91" s="14"/>
      <c r="CR91" s="14"/>
      <c r="CS91" s="14"/>
      <c r="CT91" s="14"/>
      <c r="CU91" s="14"/>
      <c r="CV91" s="14"/>
      <c r="CW91" s="14"/>
      <c r="CX91" s="14"/>
      <c r="CY91" s="14"/>
      <c r="CZ91" s="14"/>
      <c r="DA91" s="14"/>
      <c r="DB91" s="14"/>
      <c r="DC91" s="14"/>
      <c r="DD91" s="14"/>
      <c r="DE91" s="14"/>
      <c r="DF91" s="14"/>
      <c r="DG91" s="14"/>
      <c r="DH91" s="14"/>
      <c r="DI91" s="14"/>
      <c r="DJ91" s="14"/>
      <c r="DK91" s="14"/>
      <c r="DL91" s="14"/>
      <c r="DM91" s="14"/>
      <c r="DN91" s="14"/>
      <c r="DO91" s="14"/>
      <c r="DP91" s="26"/>
      <c r="DQ91" s="27"/>
      <c r="DR91" s="129"/>
      <c r="DS91" s="130">
        <f>TCP(BO91:DQ91,$BO$9:$DQ$9,data!$H$8)</f>
        <v>0</v>
      </c>
      <c r="DT91" s="135"/>
      <c r="DU91" s="121"/>
      <c r="DV91" s="121"/>
      <c r="DW91" s="134"/>
      <c r="DX91" s="132"/>
      <c r="DY91" s="136"/>
      <c r="DZ91" s="21"/>
      <c r="EA91" s="18"/>
      <c r="EB91" s="4"/>
      <c r="EI91" s="23"/>
      <c r="EJ91" s="23"/>
    </row>
    <row r="92" spans="1:140" ht="15.75" x14ac:dyDescent="0.25">
      <c r="A92" s="12"/>
      <c r="B92" s="16"/>
      <c r="C92" s="24" t="str">
        <f t="shared" si="2"/>
        <v xml:space="preserve"> </v>
      </c>
      <c r="D92" s="25"/>
      <c r="E92" s="20"/>
      <c r="F92" s="19"/>
      <c r="G92" s="180"/>
      <c r="H92" s="120"/>
      <c r="I92" s="121"/>
      <c r="J92" s="121"/>
      <c r="K92" s="121"/>
      <c r="L92" s="121"/>
      <c r="M92" s="121"/>
      <c r="N92" s="121"/>
      <c r="O92" s="121"/>
      <c r="P92" s="121"/>
      <c r="Q92" s="121"/>
      <c r="R92" s="121"/>
      <c r="S92" s="121"/>
      <c r="T92" s="121"/>
      <c r="U92" s="121"/>
      <c r="V92" s="121"/>
      <c r="W92" s="121"/>
      <c r="X92" s="121"/>
      <c r="Y92" s="121"/>
      <c r="Z92" s="121"/>
      <c r="AA92" s="121"/>
      <c r="AB92" s="121"/>
      <c r="AC92" s="121"/>
      <c r="AD92" s="121"/>
      <c r="AE92" s="121"/>
      <c r="AF92" s="121"/>
      <c r="AG92" s="121"/>
      <c r="AH92" s="121"/>
      <c r="AI92" s="121"/>
      <c r="AJ92" s="121"/>
      <c r="AK92" s="121"/>
      <c r="AL92" s="121"/>
      <c r="AM92" s="121"/>
      <c r="AN92" s="121"/>
      <c r="AO92" s="121"/>
      <c r="AP92" s="121"/>
      <c r="AQ92" s="121"/>
      <c r="AR92" s="121"/>
      <c r="AS92" s="121"/>
      <c r="AT92" s="121"/>
      <c r="AU92" s="121"/>
      <c r="AV92" s="121"/>
      <c r="AW92" s="121"/>
      <c r="AX92" s="121"/>
      <c r="AY92" s="121"/>
      <c r="AZ92" s="121"/>
      <c r="BA92" s="121"/>
      <c r="BB92" s="121"/>
      <c r="BC92" s="121"/>
      <c r="BD92" s="121"/>
      <c r="BE92" s="121"/>
      <c r="BF92" s="121"/>
      <c r="BG92" s="121"/>
      <c r="BH92" s="121"/>
      <c r="BI92" s="121"/>
      <c r="BJ92" s="122"/>
      <c r="BK92" s="93"/>
      <c r="BL92" s="94"/>
      <c r="BM92" s="95"/>
      <c r="BN92" s="179"/>
      <c r="BO92" s="177"/>
      <c r="BP92" s="14"/>
      <c r="BQ92" s="14"/>
      <c r="BR92" s="14"/>
      <c r="BS92" s="14"/>
      <c r="BT92" s="14"/>
      <c r="BU92" s="14"/>
      <c r="BV92" s="16"/>
      <c r="BW92" s="14"/>
      <c r="BX92" s="14"/>
      <c r="BY92" s="14"/>
      <c r="BZ92" s="14"/>
      <c r="CA92" s="14"/>
      <c r="CB92" s="14"/>
      <c r="CC92" s="14"/>
      <c r="CD92" s="14"/>
      <c r="CE92" s="14"/>
      <c r="CF92" s="14"/>
      <c r="CG92" s="14"/>
      <c r="CH92" s="14"/>
      <c r="CI92" s="14"/>
      <c r="CJ92" s="14"/>
      <c r="CK92" s="14"/>
      <c r="CL92" s="14"/>
      <c r="CM92" s="14"/>
      <c r="CN92" s="14"/>
      <c r="CO92" s="14"/>
      <c r="CP92" s="14"/>
      <c r="CQ92" s="14"/>
      <c r="CR92" s="14"/>
      <c r="CS92" s="14"/>
      <c r="CT92" s="14"/>
      <c r="CU92" s="14"/>
      <c r="CV92" s="14"/>
      <c r="CW92" s="14"/>
      <c r="CX92" s="14"/>
      <c r="CY92" s="14"/>
      <c r="CZ92" s="14"/>
      <c r="DA92" s="14"/>
      <c r="DB92" s="14"/>
      <c r="DC92" s="14"/>
      <c r="DD92" s="14"/>
      <c r="DE92" s="14"/>
      <c r="DF92" s="14"/>
      <c r="DG92" s="14"/>
      <c r="DH92" s="14"/>
      <c r="DI92" s="14"/>
      <c r="DJ92" s="14"/>
      <c r="DK92" s="14"/>
      <c r="DL92" s="14"/>
      <c r="DM92" s="14"/>
      <c r="DN92" s="14"/>
      <c r="DO92" s="14"/>
      <c r="DP92" s="26"/>
      <c r="DQ92" s="27"/>
      <c r="DR92" s="129"/>
      <c r="DS92" s="130">
        <f>TCP(BO92:DQ92,$BO$9:$DQ$9,data!$H$8)</f>
        <v>0</v>
      </c>
      <c r="DT92" s="135"/>
      <c r="DU92" s="121"/>
      <c r="DV92" s="121"/>
      <c r="DW92" s="134"/>
      <c r="DX92" s="132"/>
      <c r="DY92" s="136"/>
      <c r="DZ92" s="21"/>
      <c r="EA92" s="18"/>
      <c r="EB92" s="4"/>
      <c r="EI92" s="23"/>
      <c r="EJ92" s="23"/>
    </row>
    <row r="93" spans="1:140" ht="15.75" x14ac:dyDescent="0.25">
      <c r="A93" s="12"/>
      <c r="B93" s="16"/>
      <c r="C93" s="24" t="str">
        <f t="shared" si="2"/>
        <v xml:space="preserve"> </v>
      </c>
      <c r="D93" s="25"/>
      <c r="E93" s="20"/>
      <c r="F93" s="19"/>
      <c r="G93" s="180"/>
      <c r="H93" s="120"/>
      <c r="I93" s="121"/>
      <c r="J93" s="121"/>
      <c r="K93" s="121"/>
      <c r="L93" s="121"/>
      <c r="M93" s="121"/>
      <c r="N93" s="121"/>
      <c r="O93" s="121"/>
      <c r="P93" s="121"/>
      <c r="Q93" s="121"/>
      <c r="R93" s="121"/>
      <c r="S93" s="121"/>
      <c r="T93" s="121"/>
      <c r="U93" s="121"/>
      <c r="V93" s="121"/>
      <c r="W93" s="121"/>
      <c r="X93" s="121"/>
      <c r="Y93" s="121"/>
      <c r="Z93" s="121"/>
      <c r="AA93" s="121"/>
      <c r="AB93" s="121"/>
      <c r="AC93" s="121"/>
      <c r="AD93" s="121"/>
      <c r="AE93" s="121"/>
      <c r="AF93" s="121"/>
      <c r="AG93" s="121"/>
      <c r="AH93" s="121"/>
      <c r="AI93" s="121"/>
      <c r="AJ93" s="121"/>
      <c r="AK93" s="121"/>
      <c r="AL93" s="121"/>
      <c r="AM93" s="121"/>
      <c r="AN93" s="121"/>
      <c r="AO93" s="121"/>
      <c r="AP93" s="121"/>
      <c r="AQ93" s="121"/>
      <c r="AR93" s="121"/>
      <c r="AS93" s="121"/>
      <c r="AT93" s="121"/>
      <c r="AU93" s="121"/>
      <c r="AV93" s="121"/>
      <c r="AW93" s="121"/>
      <c r="AX93" s="121"/>
      <c r="AY93" s="121"/>
      <c r="AZ93" s="121"/>
      <c r="BA93" s="121"/>
      <c r="BB93" s="121"/>
      <c r="BC93" s="121"/>
      <c r="BD93" s="121"/>
      <c r="BE93" s="121"/>
      <c r="BF93" s="121"/>
      <c r="BG93" s="121"/>
      <c r="BH93" s="121"/>
      <c r="BI93" s="121"/>
      <c r="BJ93" s="122"/>
      <c r="BK93" s="93"/>
      <c r="BL93" s="94"/>
      <c r="BM93" s="95"/>
      <c r="BN93" s="179"/>
      <c r="BO93" s="177"/>
      <c r="BP93" s="14"/>
      <c r="BQ93" s="14"/>
      <c r="BR93" s="14"/>
      <c r="BS93" s="14"/>
      <c r="BT93" s="14"/>
      <c r="BU93" s="14"/>
      <c r="BV93" s="16"/>
      <c r="BW93" s="14"/>
      <c r="BX93" s="14"/>
      <c r="BY93" s="14"/>
      <c r="BZ93" s="14"/>
      <c r="CA93" s="14"/>
      <c r="CB93" s="14"/>
      <c r="CC93" s="14"/>
      <c r="CD93" s="14"/>
      <c r="CE93" s="14"/>
      <c r="CF93" s="14"/>
      <c r="CG93" s="14"/>
      <c r="CH93" s="14"/>
      <c r="CI93" s="14"/>
      <c r="CJ93" s="14"/>
      <c r="CK93" s="14"/>
      <c r="CL93" s="14"/>
      <c r="CM93" s="14"/>
      <c r="CN93" s="14"/>
      <c r="CO93" s="14"/>
      <c r="CP93" s="14"/>
      <c r="CQ93" s="14"/>
      <c r="CR93" s="14"/>
      <c r="CS93" s="14"/>
      <c r="CT93" s="14"/>
      <c r="CU93" s="14"/>
      <c r="CV93" s="14"/>
      <c r="CW93" s="14"/>
      <c r="CX93" s="14"/>
      <c r="CY93" s="14"/>
      <c r="CZ93" s="14"/>
      <c r="DA93" s="14"/>
      <c r="DB93" s="14"/>
      <c r="DC93" s="14"/>
      <c r="DD93" s="14"/>
      <c r="DE93" s="14"/>
      <c r="DF93" s="14"/>
      <c r="DG93" s="14"/>
      <c r="DH93" s="14"/>
      <c r="DI93" s="14"/>
      <c r="DJ93" s="14"/>
      <c r="DK93" s="14"/>
      <c r="DL93" s="14"/>
      <c r="DM93" s="14"/>
      <c r="DN93" s="14"/>
      <c r="DO93" s="14"/>
      <c r="DP93" s="26"/>
      <c r="DQ93" s="27"/>
      <c r="DR93" s="129"/>
      <c r="DS93" s="130">
        <f>TCP(BO93:DQ93,$BO$9:$DQ$9,data!$H$8)</f>
        <v>0</v>
      </c>
      <c r="DT93" s="135"/>
      <c r="DU93" s="121"/>
      <c r="DV93" s="121"/>
      <c r="DW93" s="134"/>
      <c r="DX93" s="132"/>
      <c r="DY93" s="136"/>
      <c r="DZ93" s="21"/>
      <c r="EA93" s="18"/>
      <c r="EB93" s="4"/>
      <c r="EI93" s="23"/>
      <c r="EJ93" s="23"/>
    </row>
    <row r="94" spans="1:140" ht="15.75" x14ac:dyDescent="0.25">
      <c r="A94" s="12"/>
      <c r="B94" s="16"/>
      <c r="C94" s="24" t="str">
        <f t="shared" si="2"/>
        <v xml:space="preserve"> </v>
      </c>
      <c r="D94" s="25"/>
      <c r="E94" s="20"/>
      <c r="F94" s="19"/>
      <c r="G94" s="180"/>
      <c r="H94" s="120"/>
      <c r="I94" s="121"/>
      <c r="J94" s="121"/>
      <c r="K94" s="121"/>
      <c r="L94" s="121"/>
      <c r="M94" s="121"/>
      <c r="N94" s="121"/>
      <c r="O94" s="121"/>
      <c r="P94" s="121"/>
      <c r="Q94" s="121"/>
      <c r="R94" s="121"/>
      <c r="S94" s="121"/>
      <c r="T94" s="121"/>
      <c r="U94" s="121"/>
      <c r="V94" s="121"/>
      <c r="W94" s="121"/>
      <c r="X94" s="121"/>
      <c r="Y94" s="121"/>
      <c r="Z94" s="121"/>
      <c r="AA94" s="121"/>
      <c r="AB94" s="121"/>
      <c r="AC94" s="121"/>
      <c r="AD94" s="121"/>
      <c r="AE94" s="121"/>
      <c r="AF94" s="121"/>
      <c r="AG94" s="121"/>
      <c r="AH94" s="121"/>
      <c r="AI94" s="121"/>
      <c r="AJ94" s="121"/>
      <c r="AK94" s="121"/>
      <c r="AL94" s="121"/>
      <c r="AM94" s="121"/>
      <c r="AN94" s="121"/>
      <c r="AO94" s="121"/>
      <c r="AP94" s="121"/>
      <c r="AQ94" s="121"/>
      <c r="AR94" s="121"/>
      <c r="AS94" s="121"/>
      <c r="AT94" s="121"/>
      <c r="AU94" s="121"/>
      <c r="AV94" s="121"/>
      <c r="AW94" s="121"/>
      <c r="AX94" s="121"/>
      <c r="AY94" s="121"/>
      <c r="AZ94" s="121"/>
      <c r="BA94" s="121"/>
      <c r="BB94" s="121"/>
      <c r="BC94" s="121"/>
      <c r="BD94" s="121"/>
      <c r="BE94" s="121"/>
      <c r="BF94" s="121"/>
      <c r="BG94" s="121"/>
      <c r="BH94" s="121"/>
      <c r="BI94" s="121"/>
      <c r="BJ94" s="122"/>
      <c r="BK94" s="93"/>
      <c r="BL94" s="94"/>
      <c r="BM94" s="95"/>
      <c r="BN94" s="179"/>
      <c r="BO94" s="177"/>
      <c r="BP94" s="14"/>
      <c r="BQ94" s="14"/>
      <c r="BR94" s="14"/>
      <c r="BS94" s="14"/>
      <c r="BT94" s="14"/>
      <c r="BU94" s="14"/>
      <c r="BV94" s="16"/>
      <c r="BW94" s="14"/>
      <c r="BX94" s="14"/>
      <c r="BY94" s="14"/>
      <c r="BZ94" s="14"/>
      <c r="CA94" s="14"/>
      <c r="CB94" s="14"/>
      <c r="CC94" s="14"/>
      <c r="CD94" s="14"/>
      <c r="CE94" s="14"/>
      <c r="CF94" s="14"/>
      <c r="CG94" s="14"/>
      <c r="CH94" s="14"/>
      <c r="CI94" s="14"/>
      <c r="CJ94" s="14"/>
      <c r="CK94" s="14"/>
      <c r="CL94" s="14"/>
      <c r="CM94" s="14"/>
      <c r="CN94" s="14"/>
      <c r="CO94" s="14"/>
      <c r="CP94" s="14"/>
      <c r="CQ94" s="14"/>
      <c r="CR94" s="14"/>
      <c r="CS94" s="14"/>
      <c r="CT94" s="14"/>
      <c r="CU94" s="14"/>
      <c r="CV94" s="14"/>
      <c r="CW94" s="14"/>
      <c r="CX94" s="14"/>
      <c r="CY94" s="14"/>
      <c r="CZ94" s="14"/>
      <c r="DA94" s="14"/>
      <c r="DB94" s="14"/>
      <c r="DC94" s="14"/>
      <c r="DD94" s="14"/>
      <c r="DE94" s="14"/>
      <c r="DF94" s="14"/>
      <c r="DG94" s="14"/>
      <c r="DH94" s="14"/>
      <c r="DI94" s="14"/>
      <c r="DJ94" s="14"/>
      <c r="DK94" s="14"/>
      <c r="DL94" s="14"/>
      <c r="DM94" s="14"/>
      <c r="DN94" s="14"/>
      <c r="DO94" s="14"/>
      <c r="DP94" s="26"/>
      <c r="DQ94" s="27"/>
      <c r="DR94" s="129"/>
      <c r="DS94" s="130">
        <f>TCP(BO94:DQ94,$BO$9:$DQ$9,data!$H$8)</f>
        <v>0</v>
      </c>
      <c r="DT94" s="135"/>
      <c r="DU94" s="121"/>
      <c r="DV94" s="121"/>
      <c r="DW94" s="134"/>
      <c r="DX94" s="132"/>
      <c r="DY94" s="136"/>
      <c r="DZ94" s="21"/>
      <c r="EA94" s="18"/>
      <c r="EB94" s="4"/>
      <c r="EI94" s="23"/>
      <c r="EJ94" s="23"/>
    </row>
    <row r="95" spans="1:140" ht="15.75" x14ac:dyDescent="0.25">
      <c r="A95" s="12"/>
      <c r="B95" s="16"/>
      <c r="C95" s="24" t="str">
        <f t="shared" si="2"/>
        <v xml:space="preserve"> </v>
      </c>
      <c r="D95" s="25"/>
      <c r="E95" s="20"/>
      <c r="F95" s="19"/>
      <c r="G95" s="180"/>
      <c r="H95" s="120"/>
      <c r="I95" s="121"/>
      <c r="J95" s="121"/>
      <c r="K95" s="121"/>
      <c r="L95" s="121"/>
      <c r="M95" s="121"/>
      <c r="N95" s="121"/>
      <c r="O95" s="121"/>
      <c r="P95" s="121"/>
      <c r="Q95" s="121"/>
      <c r="R95" s="121"/>
      <c r="S95" s="121"/>
      <c r="T95" s="121"/>
      <c r="U95" s="121"/>
      <c r="V95" s="121"/>
      <c r="W95" s="121"/>
      <c r="X95" s="121"/>
      <c r="Y95" s="121"/>
      <c r="Z95" s="121"/>
      <c r="AA95" s="121"/>
      <c r="AB95" s="121"/>
      <c r="AC95" s="121"/>
      <c r="AD95" s="121"/>
      <c r="AE95" s="121"/>
      <c r="AF95" s="121"/>
      <c r="AG95" s="121"/>
      <c r="AH95" s="121"/>
      <c r="AI95" s="121"/>
      <c r="AJ95" s="121"/>
      <c r="AK95" s="121"/>
      <c r="AL95" s="121"/>
      <c r="AM95" s="121"/>
      <c r="AN95" s="121"/>
      <c r="AO95" s="121"/>
      <c r="AP95" s="121"/>
      <c r="AQ95" s="121"/>
      <c r="AR95" s="121"/>
      <c r="AS95" s="121"/>
      <c r="AT95" s="121"/>
      <c r="AU95" s="121"/>
      <c r="AV95" s="121"/>
      <c r="AW95" s="121"/>
      <c r="AX95" s="121"/>
      <c r="AY95" s="121"/>
      <c r="AZ95" s="121"/>
      <c r="BA95" s="121"/>
      <c r="BB95" s="121"/>
      <c r="BC95" s="121"/>
      <c r="BD95" s="121"/>
      <c r="BE95" s="121"/>
      <c r="BF95" s="121"/>
      <c r="BG95" s="121"/>
      <c r="BH95" s="121"/>
      <c r="BI95" s="121"/>
      <c r="BJ95" s="122"/>
      <c r="BK95" s="93"/>
      <c r="BL95" s="94"/>
      <c r="BM95" s="95"/>
      <c r="BN95" s="179"/>
      <c r="BO95" s="177"/>
      <c r="BP95" s="14"/>
      <c r="BQ95" s="14"/>
      <c r="BR95" s="14"/>
      <c r="BS95" s="14"/>
      <c r="BT95" s="14"/>
      <c r="BU95" s="14"/>
      <c r="BV95" s="16"/>
      <c r="BW95" s="14"/>
      <c r="BX95" s="14"/>
      <c r="BY95" s="14"/>
      <c r="BZ95" s="14"/>
      <c r="CA95" s="14"/>
      <c r="CB95" s="14"/>
      <c r="CC95" s="14"/>
      <c r="CD95" s="14"/>
      <c r="CE95" s="14"/>
      <c r="CF95" s="14"/>
      <c r="CG95" s="14"/>
      <c r="CH95" s="14"/>
      <c r="CI95" s="14"/>
      <c r="CJ95" s="14"/>
      <c r="CK95" s="14"/>
      <c r="CL95" s="14"/>
      <c r="CM95" s="14"/>
      <c r="CN95" s="14"/>
      <c r="CO95" s="14"/>
      <c r="CP95" s="14"/>
      <c r="CQ95" s="14"/>
      <c r="CR95" s="14"/>
      <c r="CS95" s="14"/>
      <c r="CT95" s="14"/>
      <c r="CU95" s="14"/>
      <c r="CV95" s="14"/>
      <c r="CW95" s="14"/>
      <c r="CX95" s="14"/>
      <c r="CY95" s="14"/>
      <c r="CZ95" s="14"/>
      <c r="DA95" s="14"/>
      <c r="DB95" s="14"/>
      <c r="DC95" s="14"/>
      <c r="DD95" s="14"/>
      <c r="DE95" s="14"/>
      <c r="DF95" s="14"/>
      <c r="DG95" s="14"/>
      <c r="DH95" s="14"/>
      <c r="DI95" s="14"/>
      <c r="DJ95" s="14"/>
      <c r="DK95" s="14"/>
      <c r="DL95" s="14"/>
      <c r="DM95" s="14"/>
      <c r="DN95" s="14"/>
      <c r="DO95" s="14"/>
      <c r="DP95" s="26"/>
      <c r="DQ95" s="27"/>
      <c r="DR95" s="129"/>
      <c r="DS95" s="130">
        <f>TCP(BO95:DQ95,$BO$9:$DQ$9,data!$H$8)</f>
        <v>0</v>
      </c>
      <c r="DT95" s="135"/>
      <c r="DU95" s="121"/>
      <c r="DV95" s="121"/>
      <c r="DW95" s="134"/>
      <c r="DX95" s="132"/>
      <c r="DY95" s="136"/>
      <c r="DZ95" s="21"/>
      <c r="EA95" s="18"/>
      <c r="EB95" s="4"/>
      <c r="EI95" s="23"/>
      <c r="EJ95" s="23"/>
    </row>
    <row r="96" spans="1:140" ht="15.75" x14ac:dyDescent="0.25">
      <c r="A96" s="12"/>
      <c r="B96" s="16"/>
      <c r="C96" s="24" t="str">
        <f t="shared" si="2"/>
        <v xml:space="preserve"> </v>
      </c>
      <c r="D96" s="25"/>
      <c r="E96" s="20"/>
      <c r="F96" s="19"/>
      <c r="G96" s="180"/>
      <c r="H96" s="120"/>
      <c r="I96" s="121"/>
      <c r="J96" s="121"/>
      <c r="K96" s="121"/>
      <c r="L96" s="121"/>
      <c r="M96" s="121"/>
      <c r="N96" s="121"/>
      <c r="O96" s="121"/>
      <c r="P96" s="121"/>
      <c r="Q96" s="121"/>
      <c r="R96" s="121"/>
      <c r="S96" s="121"/>
      <c r="T96" s="121"/>
      <c r="U96" s="121"/>
      <c r="V96" s="121"/>
      <c r="W96" s="121"/>
      <c r="X96" s="121"/>
      <c r="Y96" s="121"/>
      <c r="Z96" s="121"/>
      <c r="AA96" s="121"/>
      <c r="AB96" s="121"/>
      <c r="AC96" s="121"/>
      <c r="AD96" s="121"/>
      <c r="AE96" s="121"/>
      <c r="AF96" s="121"/>
      <c r="AG96" s="121"/>
      <c r="AH96" s="121"/>
      <c r="AI96" s="121"/>
      <c r="AJ96" s="121"/>
      <c r="AK96" s="121"/>
      <c r="AL96" s="121"/>
      <c r="AM96" s="121"/>
      <c r="AN96" s="121"/>
      <c r="AO96" s="121"/>
      <c r="AP96" s="121"/>
      <c r="AQ96" s="121"/>
      <c r="AR96" s="121"/>
      <c r="AS96" s="121"/>
      <c r="AT96" s="121"/>
      <c r="AU96" s="121"/>
      <c r="AV96" s="121"/>
      <c r="AW96" s="121"/>
      <c r="AX96" s="121"/>
      <c r="AY96" s="121"/>
      <c r="AZ96" s="121"/>
      <c r="BA96" s="121"/>
      <c r="BB96" s="121"/>
      <c r="BC96" s="121"/>
      <c r="BD96" s="121"/>
      <c r="BE96" s="121"/>
      <c r="BF96" s="121"/>
      <c r="BG96" s="121"/>
      <c r="BH96" s="121"/>
      <c r="BI96" s="121"/>
      <c r="BJ96" s="122"/>
      <c r="BK96" s="93"/>
      <c r="BL96" s="94"/>
      <c r="BM96" s="95"/>
      <c r="BN96" s="179"/>
      <c r="BO96" s="177"/>
      <c r="BP96" s="14"/>
      <c r="BQ96" s="14"/>
      <c r="BR96" s="14"/>
      <c r="BS96" s="14"/>
      <c r="BT96" s="14"/>
      <c r="BU96" s="14"/>
      <c r="BV96" s="16"/>
      <c r="BW96" s="14"/>
      <c r="BX96" s="14"/>
      <c r="BY96" s="14"/>
      <c r="BZ96" s="14"/>
      <c r="CA96" s="14"/>
      <c r="CB96" s="14"/>
      <c r="CC96" s="14"/>
      <c r="CD96" s="14"/>
      <c r="CE96" s="14"/>
      <c r="CF96" s="14"/>
      <c r="CG96" s="14"/>
      <c r="CH96" s="14"/>
      <c r="CI96" s="14"/>
      <c r="CJ96" s="14"/>
      <c r="CK96" s="14"/>
      <c r="CL96" s="14"/>
      <c r="CM96" s="14"/>
      <c r="CN96" s="14"/>
      <c r="CO96" s="14"/>
      <c r="CP96" s="14"/>
      <c r="CQ96" s="14"/>
      <c r="CR96" s="14"/>
      <c r="CS96" s="14"/>
      <c r="CT96" s="14"/>
      <c r="CU96" s="14"/>
      <c r="CV96" s="14"/>
      <c r="CW96" s="14"/>
      <c r="CX96" s="14"/>
      <c r="CY96" s="14"/>
      <c r="CZ96" s="14"/>
      <c r="DA96" s="14"/>
      <c r="DB96" s="14"/>
      <c r="DC96" s="14"/>
      <c r="DD96" s="14"/>
      <c r="DE96" s="14"/>
      <c r="DF96" s="14"/>
      <c r="DG96" s="14"/>
      <c r="DH96" s="14"/>
      <c r="DI96" s="14"/>
      <c r="DJ96" s="14"/>
      <c r="DK96" s="14"/>
      <c r="DL96" s="14"/>
      <c r="DM96" s="14"/>
      <c r="DN96" s="14"/>
      <c r="DO96" s="14"/>
      <c r="DP96" s="26"/>
      <c r="DQ96" s="27"/>
      <c r="DR96" s="129"/>
      <c r="DS96" s="130">
        <f>TCP(BO96:DQ96,$BO$9:$DQ$9,data!$H$8)</f>
        <v>0</v>
      </c>
      <c r="DT96" s="135"/>
      <c r="DU96" s="121"/>
      <c r="DV96" s="121"/>
      <c r="DW96" s="134"/>
      <c r="DX96" s="132"/>
      <c r="DY96" s="136"/>
      <c r="DZ96" s="21"/>
      <c r="EA96" s="18"/>
      <c r="EB96" s="4"/>
      <c r="EI96" s="23"/>
      <c r="EJ96" s="23"/>
    </row>
    <row r="97" spans="1:140" ht="15.75" x14ac:dyDescent="0.25">
      <c r="A97" s="12"/>
      <c r="B97" s="16"/>
      <c r="C97" s="24" t="str">
        <f t="shared" si="2"/>
        <v xml:space="preserve"> </v>
      </c>
      <c r="D97" s="25"/>
      <c r="E97" s="20"/>
      <c r="F97" s="19"/>
      <c r="G97" s="180"/>
      <c r="H97" s="120"/>
      <c r="I97" s="121"/>
      <c r="J97" s="121"/>
      <c r="K97" s="121"/>
      <c r="L97" s="121"/>
      <c r="M97" s="121"/>
      <c r="N97" s="121"/>
      <c r="O97" s="121"/>
      <c r="P97" s="121"/>
      <c r="Q97" s="121"/>
      <c r="R97" s="121"/>
      <c r="S97" s="121"/>
      <c r="T97" s="121"/>
      <c r="U97" s="121"/>
      <c r="V97" s="121"/>
      <c r="W97" s="121"/>
      <c r="X97" s="121"/>
      <c r="Y97" s="121"/>
      <c r="Z97" s="121"/>
      <c r="AA97" s="121"/>
      <c r="AB97" s="121"/>
      <c r="AC97" s="121"/>
      <c r="AD97" s="121"/>
      <c r="AE97" s="121"/>
      <c r="AF97" s="121"/>
      <c r="AG97" s="121"/>
      <c r="AH97" s="121"/>
      <c r="AI97" s="121"/>
      <c r="AJ97" s="121"/>
      <c r="AK97" s="121"/>
      <c r="AL97" s="121"/>
      <c r="AM97" s="121"/>
      <c r="AN97" s="121"/>
      <c r="AO97" s="121"/>
      <c r="AP97" s="121"/>
      <c r="AQ97" s="121"/>
      <c r="AR97" s="121"/>
      <c r="AS97" s="121"/>
      <c r="AT97" s="121"/>
      <c r="AU97" s="121"/>
      <c r="AV97" s="121"/>
      <c r="AW97" s="121"/>
      <c r="AX97" s="121"/>
      <c r="AY97" s="121"/>
      <c r="AZ97" s="121"/>
      <c r="BA97" s="121"/>
      <c r="BB97" s="121"/>
      <c r="BC97" s="121"/>
      <c r="BD97" s="121"/>
      <c r="BE97" s="121"/>
      <c r="BF97" s="121"/>
      <c r="BG97" s="121"/>
      <c r="BH97" s="121"/>
      <c r="BI97" s="121"/>
      <c r="BJ97" s="122"/>
      <c r="BK97" s="93"/>
      <c r="BL97" s="94"/>
      <c r="BM97" s="95"/>
      <c r="BN97" s="179"/>
      <c r="BO97" s="177"/>
      <c r="BP97" s="14"/>
      <c r="BQ97" s="14"/>
      <c r="BR97" s="14"/>
      <c r="BS97" s="14"/>
      <c r="BT97" s="14"/>
      <c r="BU97" s="14"/>
      <c r="BV97" s="16"/>
      <c r="BW97" s="14"/>
      <c r="BX97" s="14"/>
      <c r="BY97" s="14"/>
      <c r="BZ97" s="14"/>
      <c r="CA97" s="14"/>
      <c r="CB97" s="14"/>
      <c r="CC97" s="14"/>
      <c r="CD97" s="14"/>
      <c r="CE97" s="14"/>
      <c r="CF97" s="14"/>
      <c r="CG97" s="14"/>
      <c r="CH97" s="14"/>
      <c r="CI97" s="14"/>
      <c r="CJ97" s="14"/>
      <c r="CK97" s="14"/>
      <c r="CL97" s="14"/>
      <c r="CM97" s="14"/>
      <c r="CN97" s="14"/>
      <c r="CO97" s="14"/>
      <c r="CP97" s="14"/>
      <c r="CQ97" s="14"/>
      <c r="CR97" s="14"/>
      <c r="CS97" s="14"/>
      <c r="CT97" s="14"/>
      <c r="CU97" s="14"/>
      <c r="CV97" s="14"/>
      <c r="CW97" s="14"/>
      <c r="CX97" s="14"/>
      <c r="CY97" s="14"/>
      <c r="CZ97" s="14"/>
      <c r="DA97" s="14"/>
      <c r="DB97" s="14"/>
      <c r="DC97" s="14"/>
      <c r="DD97" s="14"/>
      <c r="DE97" s="14"/>
      <c r="DF97" s="14"/>
      <c r="DG97" s="14"/>
      <c r="DH97" s="14"/>
      <c r="DI97" s="14"/>
      <c r="DJ97" s="14"/>
      <c r="DK97" s="14"/>
      <c r="DL97" s="14"/>
      <c r="DM97" s="14"/>
      <c r="DN97" s="14"/>
      <c r="DO97" s="14"/>
      <c r="DP97" s="26"/>
      <c r="DQ97" s="27"/>
      <c r="DR97" s="129"/>
      <c r="DS97" s="130">
        <f>TCP(BO97:DQ97,$BO$9:$DQ$9,data!$H$8)</f>
        <v>0</v>
      </c>
      <c r="DT97" s="135"/>
      <c r="DU97" s="121"/>
      <c r="DV97" s="121"/>
      <c r="DW97" s="134"/>
      <c r="DX97" s="132"/>
      <c r="DY97" s="136"/>
      <c r="DZ97" s="21"/>
      <c r="EA97" s="18"/>
      <c r="EB97" s="4"/>
      <c r="EI97" s="23"/>
      <c r="EJ97" s="23"/>
    </row>
    <row r="98" spans="1:140" ht="15.75" x14ac:dyDescent="0.25">
      <c r="A98" s="12"/>
      <c r="B98" s="16"/>
      <c r="C98" s="24" t="str">
        <f t="shared" si="2"/>
        <v xml:space="preserve"> </v>
      </c>
      <c r="D98" s="25"/>
      <c r="E98" s="20"/>
      <c r="F98" s="19"/>
      <c r="G98" s="180"/>
      <c r="H98" s="120"/>
      <c r="I98" s="121"/>
      <c r="J98" s="121"/>
      <c r="K98" s="121"/>
      <c r="L98" s="121"/>
      <c r="M98" s="121"/>
      <c r="N98" s="121"/>
      <c r="O98" s="121"/>
      <c r="P98" s="121"/>
      <c r="Q98" s="121"/>
      <c r="R98" s="121"/>
      <c r="S98" s="121"/>
      <c r="T98" s="121"/>
      <c r="U98" s="121"/>
      <c r="V98" s="121"/>
      <c r="W98" s="121"/>
      <c r="X98" s="121"/>
      <c r="Y98" s="121"/>
      <c r="Z98" s="121"/>
      <c r="AA98" s="121"/>
      <c r="AB98" s="121"/>
      <c r="AC98" s="121"/>
      <c r="AD98" s="121"/>
      <c r="AE98" s="121"/>
      <c r="AF98" s="121"/>
      <c r="AG98" s="121"/>
      <c r="AH98" s="121"/>
      <c r="AI98" s="121"/>
      <c r="AJ98" s="121"/>
      <c r="AK98" s="121"/>
      <c r="AL98" s="121"/>
      <c r="AM98" s="121"/>
      <c r="AN98" s="121"/>
      <c r="AO98" s="121"/>
      <c r="AP98" s="121"/>
      <c r="AQ98" s="121"/>
      <c r="AR98" s="121"/>
      <c r="AS98" s="121"/>
      <c r="AT98" s="121"/>
      <c r="AU98" s="121"/>
      <c r="AV98" s="121"/>
      <c r="AW98" s="121"/>
      <c r="AX98" s="121"/>
      <c r="AY98" s="121"/>
      <c r="AZ98" s="121"/>
      <c r="BA98" s="121"/>
      <c r="BB98" s="121"/>
      <c r="BC98" s="121"/>
      <c r="BD98" s="121"/>
      <c r="BE98" s="121"/>
      <c r="BF98" s="121"/>
      <c r="BG98" s="121"/>
      <c r="BH98" s="121"/>
      <c r="BI98" s="121"/>
      <c r="BJ98" s="122"/>
      <c r="BK98" s="93"/>
      <c r="BL98" s="94"/>
      <c r="BM98" s="95"/>
      <c r="BN98" s="179"/>
      <c r="BO98" s="177"/>
      <c r="BP98" s="14"/>
      <c r="BQ98" s="14"/>
      <c r="BR98" s="14"/>
      <c r="BS98" s="14"/>
      <c r="BT98" s="14"/>
      <c r="BU98" s="14"/>
      <c r="BV98" s="16"/>
      <c r="BW98" s="14"/>
      <c r="BX98" s="14"/>
      <c r="BY98" s="14"/>
      <c r="BZ98" s="14"/>
      <c r="CA98" s="14"/>
      <c r="CB98" s="14"/>
      <c r="CC98" s="14"/>
      <c r="CD98" s="14"/>
      <c r="CE98" s="14"/>
      <c r="CF98" s="14"/>
      <c r="CG98" s="14"/>
      <c r="CH98" s="14"/>
      <c r="CI98" s="14"/>
      <c r="CJ98" s="14"/>
      <c r="CK98" s="14"/>
      <c r="CL98" s="14"/>
      <c r="CM98" s="14"/>
      <c r="CN98" s="14"/>
      <c r="CO98" s="14"/>
      <c r="CP98" s="14"/>
      <c r="CQ98" s="14"/>
      <c r="CR98" s="14"/>
      <c r="CS98" s="14"/>
      <c r="CT98" s="14"/>
      <c r="CU98" s="14"/>
      <c r="CV98" s="14"/>
      <c r="CW98" s="14"/>
      <c r="CX98" s="14"/>
      <c r="CY98" s="14"/>
      <c r="CZ98" s="14"/>
      <c r="DA98" s="14"/>
      <c r="DB98" s="14"/>
      <c r="DC98" s="14"/>
      <c r="DD98" s="14"/>
      <c r="DE98" s="14"/>
      <c r="DF98" s="14"/>
      <c r="DG98" s="14"/>
      <c r="DH98" s="14"/>
      <c r="DI98" s="14"/>
      <c r="DJ98" s="14"/>
      <c r="DK98" s="14"/>
      <c r="DL98" s="14"/>
      <c r="DM98" s="14"/>
      <c r="DN98" s="14"/>
      <c r="DO98" s="14"/>
      <c r="DP98" s="26"/>
      <c r="DQ98" s="27"/>
      <c r="DR98" s="129"/>
      <c r="DS98" s="130">
        <f>TCP(BO98:DQ98,$BO$9:$DQ$9,data!$H$8)</f>
        <v>0</v>
      </c>
      <c r="DT98" s="135"/>
      <c r="DU98" s="121"/>
      <c r="DV98" s="121"/>
      <c r="DW98" s="134"/>
      <c r="DX98" s="132"/>
      <c r="DY98" s="136"/>
      <c r="DZ98" s="21"/>
      <c r="EA98" s="18"/>
      <c r="EB98" s="4"/>
      <c r="EI98" s="23"/>
      <c r="EJ98" s="23"/>
    </row>
    <row r="99" spans="1:140" ht="15.75" x14ac:dyDescent="0.25">
      <c r="A99" s="12"/>
      <c r="B99" s="16"/>
      <c r="C99" s="24" t="str">
        <f t="shared" si="2"/>
        <v xml:space="preserve"> </v>
      </c>
      <c r="D99" s="25"/>
      <c r="E99" s="20"/>
      <c r="F99" s="19"/>
      <c r="G99" s="180"/>
      <c r="H99" s="120"/>
      <c r="I99" s="121"/>
      <c r="J99" s="121"/>
      <c r="K99" s="121"/>
      <c r="L99" s="121"/>
      <c r="M99" s="121"/>
      <c r="N99" s="121"/>
      <c r="O99" s="121"/>
      <c r="P99" s="121"/>
      <c r="Q99" s="121"/>
      <c r="R99" s="121"/>
      <c r="S99" s="121"/>
      <c r="T99" s="121"/>
      <c r="U99" s="121"/>
      <c r="V99" s="121"/>
      <c r="W99" s="121"/>
      <c r="X99" s="121"/>
      <c r="Y99" s="121"/>
      <c r="Z99" s="121"/>
      <c r="AA99" s="121"/>
      <c r="AB99" s="121"/>
      <c r="AC99" s="121"/>
      <c r="AD99" s="121"/>
      <c r="AE99" s="121"/>
      <c r="AF99" s="121"/>
      <c r="AG99" s="121"/>
      <c r="AH99" s="121"/>
      <c r="AI99" s="121"/>
      <c r="AJ99" s="121"/>
      <c r="AK99" s="121"/>
      <c r="AL99" s="121"/>
      <c r="AM99" s="121"/>
      <c r="AN99" s="121"/>
      <c r="AO99" s="121"/>
      <c r="AP99" s="121"/>
      <c r="AQ99" s="121"/>
      <c r="AR99" s="121"/>
      <c r="AS99" s="121"/>
      <c r="AT99" s="121"/>
      <c r="AU99" s="121"/>
      <c r="AV99" s="121"/>
      <c r="AW99" s="121"/>
      <c r="AX99" s="121"/>
      <c r="AY99" s="121"/>
      <c r="AZ99" s="121"/>
      <c r="BA99" s="121"/>
      <c r="BB99" s="121"/>
      <c r="BC99" s="121"/>
      <c r="BD99" s="121"/>
      <c r="BE99" s="121"/>
      <c r="BF99" s="121"/>
      <c r="BG99" s="121"/>
      <c r="BH99" s="121"/>
      <c r="BI99" s="121"/>
      <c r="BJ99" s="122"/>
      <c r="BK99" s="93"/>
      <c r="BL99" s="94"/>
      <c r="BM99" s="95"/>
      <c r="BN99" s="179"/>
      <c r="BO99" s="177"/>
      <c r="BP99" s="14"/>
      <c r="BQ99" s="14"/>
      <c r="BR99" s="14"/>
      <c r="BS99" s="14"/>
      <c r="BT99" s="14"/>
      <c r="BU99" s="14"/>
      <c r="BV99" s="16"/>
      <c r="BW99" s="14"/>
      <c r="BX99" s="14"/>
      <c r="BY99" s="14"/>
      <c r="BZ99" s="14"/>
      <c r="CA99" s="14"/>
      <c r="CB99" s="14"/>
      <c r="CC99" s="14"/>
      <c r="CD99" s="14"/>
      <c r="CE99" s="14"/>
      <c r="CF99" s="14"/>
      <c r="CG99" s="14"/>
      <c r="CH99" s="14"/>
      <c r="CI99" s="14"/>
      <c r="CJ99" s="14"/>
      <c r="CK99" s="14"/>
      <c r="CL99" s="14"/>
      <c r="CM99" s="14"/>
      <c r="CN99" s="14"/>
      <c r="CO99" s="14"/>
      <c r="CP99" s="14"/>
      <c r="CQ99" s="14"/>
      <c r="CR99" s="14"/>
      <c r="CS99" s="14"/>
      <c r="CT99" s="14"/>
      <c r="CU99" s="14"/>
      <c r="CV99" s="14"/>
      <c r="CW99" s="14"/>
      <c r="CX99" s="14"/>
      <c r="CY99" s="14"/>
      <c r="CZ99" s="14"/>
      <c r="DA99" s="14"/>
      <c r="DB99" s="14"/>
      <c r="DC99" s="14"/>
      <c r="DD99" s="14"/>
      <c r="DE99" s="14"/>
      <c r="DF99" s="14"/>
      <c r="DG99" s="14"/>
      <c r="DH99" s="14"/>
      <c r="DI99" s="14"/>
      <c r="DJ99" s="14"/>
      <c r="DK99" s="14"/>
      <c r="DL99" s="14"/>
      <c r="DM99" s="14"/>
      <c r="DN99" s="14"/>
      <c r="DO99" s="14"/>
      <c r="DP99" s="26"/>
      <c r="DQ99" s="27"/>
      <c r="DR99" s="129"/>
      <c r="DS99" s="130">
        <f>TCP(BO99:DQ99,$BO$9:$DQ$9,data!$H$8)</f>
        <v>0</v>
      </c>
      <c r="DT99" s="135"/>
      <c r="DU99" s="121"/>
      <c r="DV99" s="121"/>
      <c r="DW99" s="134"/>
      <c r="DX99" s="132"/>
      <c r="DY99" s="136"/>
      <c r="DZ99" s="21"/>
      <c r="EA99" s="18"/>
      <c r="EB99" s="4"/>
      <c r="EI99" s="23"/>
      <c r="EJ99" s="23"/>
    </row>
    <row r="100" spans="1:140" ht="15.75" x14ac:dyDescent="0.25">
      <c r="A100" s="12"/>
      <c r="B100" s="16"/>
      <c r="C100" s="24" t="str">
        <f t="shared" si="2"/>
        <v xml:space="preserve"> </v>
      </c>
      <c r="D100" s="25"/>
      <c r="E100" s="20"/>
      <c r="F100" s="19"/>
      <c r="G100" s="180"/>
      <c r="H100" s="120"/>
      <c r="I100" s="121"/>
      <c r="J100" s="121"/>
      <c r="K100" s="121"/>
      <c r="L100" s="121"/>
      <c r="M100" s="121"/>
      <c r="N100" s="121"/>
      <c r="O100" s="121"/>
      <c r="P100" s="121"/>
      <c r="Q100" s="121"/>
      <c r="R100" s="121"/>
      <c r="S100" s="121"/>
      <c r="T100" s="121"/>
      <c r="U100" s="121"/>
      <c r="V100" s="121"/>
      <c r="W100" s="121"/>
      <c r="X100" s="121"/>
      <c r="Y100" s="121"/>
      <c r="Z100" s="121"/>
      <c r="AA100" s="121"/>
      <c r="AB100" s="121"/>
      <c r="AC100" s="121"/>
      <c r="AD100" s="121"/>
      <c r="AE100" s="121"/>
      <c r="AF100" s="121"/>
      <c r="AG100" s="121"/>
      <c r="AH100" s="121"/>
      <c r="AI100" s="121"/>
      <c r="AJ100" s="121"/>
      <c r="AK100" s="121"/>
      <c r="AL100" s="121"/>
      <c r="AM100" s="121"/>
      <c r="AN100" s="121"/>
      <c r="AO100" s="121"/>
      <c r="AP100" s="121"/>
      <c r="AQ100" s="121"/>
      <c r="AR100" s="121"/>
      <c r="AS100" s="121"/>
      <c r="AT100" s="121"/>
      <c r="AU100" s="121"/>
      <c r="AV100" s="121"/>
      <c r="AW100" s="121"/>
      <c r="AX100" s="121"/>
      <c r="AY100" s="121"/>
      <c r="AZ100" s="121"/>
      <c r="BA100" s="121"/>
      <c r="BB100" s="121"/>
      <c r="BC100" s="121"/>
      <c r="BD100" s="121"/>
      <c r="BE100" s="121"/>
      <c r="BF100" s="121"/>
      <c r="BG100" s="121"/>
      <c r="BH100" s="121"/>
      <c r="BI100" s="121"/>
      <c r="BJ100" s="122"/>
      <c r="BK100" s="93"/>
      <c r="BL100" s="94"/>
      <c r="BM100" s="95"/>
      <c r="BN100" s="179"/>
      <c r="BO100" s="177"/>
      <c r="BP100" s="14"/>
      <c r="BQ100" s="14"/>
      <c r="BR100" s="14"/>
      <c r="BS100" s="14"/>
      <c r="BT100" s="14"/>
      <c r="BU100" s="14"/>
      <c r="BV100" s="16"/>
      <c r="BW100" s="14"/>
      <c r="BX100" s="14"/>
      <c r="BY100" s="14"/>
      <c r="BZ100" s="14"/>
      <c r="CA100" s="14"/>
      <c r="CB100" s="14"/>
      <c r="CC100" s="14"/>
      <c r="CD100" s="14"/>
      <c r="CE100" s="14"/>
      <c r="CF100" s="14"/>
      <c r="CG100" s="14"/>
      <c r="CH100" s="14"/>
      <c r="CI100" s="14"/>
      <c r="CJ100" s="14"/>
      <c r="CK100" s="14"/>
      <c r="CL100" s="14"/>
      <c r="CM100" s="14"/>
      <c r="CN100" s="14"/>
      <c r="CO100" s="14"/>
      <c r="CP100" s="14"/>
      <c r="CQ100" s="14"/>
      <c r="CR100" s="14"/>
      <c r="CS100" s="14"/>
      <c r="CT100" s="14"/>
      <c r="CU100" s="14"/>
      <c r="CV100" s="14"/>
      <c r="CW100" s="14"/>
      <c r="CX100" s="14"/>
      <c r="CY100" s="14"/>
      <c r="CZ100" s="14"/>
      <c r="DA100" s="14"/>
      <c r="DB100" s="14"/>
      <c r="DC100" s="14"/>
      <c r="DD100" s="14"/>
      <c r="DE100" s="14"/>
      <c r="DF100" s="14"/>
      <c r="DG100" s="14"/>
      <c r="DH100" s="14"/>
      <c r="DI100" s="14"/>
      <c r="DJ100" s="14"/>
      <c r="DK100" s="14"/>
      <c r="DL100" s="14"/>
      <c r="DM100" s="14"/>
      <c r="DN100" s="14"/>
      <c r="DO100" s="14"/>
      <c r="DP100" s="26"/>
      <c r="DQ100" s="27"/>
      <c r="DR100" s="129"/>
      <c r="DS100" s="130">
        <f>TCP(BO100:DQ100,$BO$9:$DQ$9,data!$H$8)</f>
        <v>0</v>
      </c>
      <c r="DT100" s="135"/>
      <c r="DU100" s="121"/>
      <c r="DV100" s="121"/>
      <c r="DW100" s="134"/>
      <c r="DX100" s="132"/>
      <c r="DY100" s="136"/>
      <c r="DZ100" s="21"/>
      <c r="EA100" s="18"/>
      <c r="EB100" s="4"/>
      <c r="EI100" s="23"/>
      <c r="EJ100" s="23"/>
    </row>
    <row r="101" spans="1:140" ht="15.75" x14ac:dyDescent="0.25">
      <c r="A101" s="12"/>
      <c r="B101" s="16"/>
      <c r="C101" s="24" t="str">
        <f t="shared" si="2"/>
        <v xml:space="preserve"> </v>
      </c>
      <c r="D101" s="25"/>
      <c r="E101" s="20"/>
      <c r="F101" s="19"/>
      <c r="G101" s="180"/>
      <c r="H101" s="120"/>
      <c r="I101" s="121"/>
      <c r="J101" s="121"/>
      <c r="K101" s="121"/>
      <c r="L101" s="121"/>
      <c r="M101" s="121"/>
      <c r="N101" s="121"/>
      <c r="O101" s="121"/>
      <c r="P101" s="121"/>
      <c r="Q101" s="121"/>
      <c r="R101" s="121"/>
      <c r="S101" s="121"/>
      <c r="T101" s="121"/>
      <c r="U101" s="121"/>
      <c r="V101" s="121"/>
      <c r="W101" s="121"/>
      <c r="X101" s="121"/>
      <c r="Y101" s="121"/>
      <c r="Z101" s="121"/>
      <c r="AA101" s="121"/>
      <c r="AB101" s="121"/>
      <c r="AC101" s="121"/>
      <c r="AD101" s="121"/>
      <c r="AE101" s="121"/>
      <c r="AF101" s="121"/>
      <c r="AG101" s="121"/>
      <c r="AH101" s="121"/>
      <c r="AI101" s="121"/>
      <c r="AJ101" s="121"/>
      <c r="AK101" s="121"/>
      <c r="AL101" s="121"/>
      <c r="AM101" s="121"/>
      <c r="AN101" s="121"/>
      <c r="AO101" s="121"/>
      <c r="AP101" s="121"/>
      <c r="AQ101" s="121"/>
      <c r="AR101" s="121"/>
      <c r="AS101" s="121"/>
      <c r="AT101" s="121"/>
      <c r="AU101" s="121"/>
      <c r="AV101" s="121"/>
      <c r="AW101" s="121"/>
      <c r="AX101" s="121"/>
      <c r="AY101" s="121"/>
      <c r="AZ101" s="121"/>
      <c r="BA101" s="121"/>
      <c r="BB101" s="121"/>
      <c r="BC101" s="121"/>
      <c r="BD101" s="121"/>
      <c r="BE101" s="121"/>
      <c r="BF101" s="121"/>
      <c r="BG101" s="121"/>
      <c r="BH101" s="121"/>
      <c r="BI101" s="121"/>
      <c r="BJ101" s="122"/>
      <c r="BK101" s="93"/>
      <c r="BL101" s="94"/>
      <c r="BM101" s="95"/>
      <c r="BN101" s="179"/>
      <c r="BO101" s="177"/>
      <c r="BP101" s="14"/>
      <c r="BQ101" s="14"/>
      <c r="BR101" s="14"/>
      <c r="BS101" s="14"/>
      <c r="BT101" s="14"/>
      <c r="BU101" s="14"/>
      <c r="BV101" s="16"/>
      <c r="BW101" s="14"/>
      <c r="BX101" s="14"/>
      <c r="BY101" s="14"/>
      <c r="BZ101" s="14"/>
      <c r="CA101" s="14"/>
      <c r="CB101" s="14"/>
      <c r="CC101" s="14"/>
      <c r="CD101" s="14"/>
      <c r="CE101" s="14"/>
      <c r="CF101" s="14"/>
      <c r="CG101" s="14"/>
      <c r="CH101" s="14"/>
      <c r="CI101" s="14"/>
      <c r="CJ101" s="14"/>
      <c r="CK101" s="14"/>
      <c r="CL101" s="14"/>
      <c r="CM101" s="14"/>
      <c r="CN101" s="14"/>
      <c r="CO101" s="14"/>
      <c r="CP101" s="14"/>
      <c r="CQ101" s="14"/>
      <c r="CR101" s="14"/>
      <c r="CS101" s="14"/>
      <c r="CT101" s="14"/>
      <c r="CU101" s="14"/>
      <c r="CV101" s="14"/>
      <c r="CW101" s="14"/>
      <c r="CX101" s="14"/>
      <c r="CY101" s="14"/>
      <c r="CZ101" s="14"/>
      <c r="DA101" s="14"/>
      <c r="DB101" s="14"/>
      <c r="DC101" s="14"/>
      <c r="DD101" s="14"/>
      <c r="DE101" s="14"/>
      <c r="DF101" s="14"/>
      <c r="DG101" s="14"/>
      <c r="DH101" s="14"/>
      <c r="DI101" s="14"/>
      <c r="DJ101" s="14"/>
      <c r="DK101" s="14"/>
      <c r="DL101" s="14"/>
      <c r="DM101" s="14"/>
      <c r="DN101" s="14"/>
      <c r="DO101" s="14"/>
      <c r="DP101" s="26"/>
      <c r="DQ101" s="27"/>
      <c r="DR101" s="129"/>
      <c r="DS101" s="130">
        <f>TCP(BO101:DQ101,$BO$9:$DQ$9,data!$H$8)</f>
        <v>0</v>
      </c>
      <c r="DT101" s="135"/>
      <c r="DU101" s="121"/>
      <c r="DV101" s="121"/>
      <c r="DW101" s="134"/>
      <c r="DX101" s="132"/>
      <c r="DY101" s="136"/>
      <c r="DZ101" s="21"/>
      <c r="EA101" s="18"/>
      <c r="EB101" s="4"/>
      <c r="EI101" s="23"/>
      <c r="EJ101" s="23"/>
    </row>
    <row r="102" spans="1:140" ht="15.75" x14ac:dyDescent="0.25">
      <c r="A102" s="12"/>
      <c r="B102" s="16"/>
      <c r="C102" s="24" t="str">
        <f t="shared" si="2"/>
        <v xml:space="preserve"> </v>
      </c>
      <c r="D102" s="25"/>
      <c r="E102" s="20"/>
      <c r="F102" s="19"/>
      <c r="G102" s="180"/>
      <c r="H102" s="120"/>
      <c r="I102" s="121"/>
      <c r="J102" s="121"/>
      <c r="K102" s="121"/>
      <c r="L102" s="121"/>
      <c r="M102" s="121"/>
      <c r="N102" s="121"/>
      <c r="O102" s="121"/>
      <c r="P102" s="121"/>
      <c r="Q102" s="121"/>
      <c r="R102" s="121"/>
      <c r="S102" s="121"/>
      <c r="T102" s="121"/>
      <c r="U102" s="121"/>
      <c r="V102" s="121"/>
      <c r="W102" s="121"/>
      <c r="X102" s="121"/>
      <c r="Y102" s="121"/>
      <c r="Z102" s="121"/>
      <c r="AA102" s="121"/>
      <c r="AB102" s="121"/>
      <c r="AC102" s="121"/>
      <c r="AD102" s="121"/>
      <c r="AE102" s="121"/>
      <c r="AF102" s="121"/>
      <c r="AG102" s="121"/>
      <c r="AH102" s="121"/>
      <c r="AI102" s="121"/>
      <c r="AJ102" s="121"/>
      <c r="AK102" s="121"/>
      <c r="AL102" s="121"/>
      <c r="AM102" s="121"/>
      <c r="AN102" s="121"/>
      <c r="AO102" s="121"/>
      <c r="AP102" s="121"/>
      <c r="AQ102" s="121"/>
      <c r="AR102" s="121"/>
      <c r="AS102" s="121"/>
      <c r="AT102" s="121"/>
      <c r="AU102" s="121"/>
      <c r="AV102" s="121"/>
      <c r="AW102" s="121"/>
      <c r="AX102" s="121"/>
      <c r="AY102" s="121"/>
      <c r="AZ102" s="121"/>
      <c r="BA102" s="121"/>
      <c r="BB102" s="121"/>
      <c r="BC102" s="121"/>
      <c r="BD102" s="121"/>
      <c r="BE102" s="121"/>
      <c r="BF102" s="121"/>
      <c r="BG102" s="121"/>
      <c r="BH102" s="121"/>
      <c r="BI102" s="121"/>
      <c r="BJ102" s="122"/>
      <c r="BK102" s="93"/>
      <c r="BL102" s="94"/>
      <c r="BM102" s="95"/>
      <c r="BN102" s="179"/>
      <c r="BO102" s="177"/>
      <c r="BP102" s="14"/>
      <c r="BQ102" s="14"/>
      <c r="BR102" s="14"/>
      <c r="BS102" s="14"/>
      <c r="BT102" s="14"/>
      <c r="BU102" s="14"/>
      <c r="BV102" s="16"/>
      <c r="BW102" s="14"/>
      <c r="BX102" s="14"/>
      <c r="BY102" s="14"/>
      <c r="BZ102" s="14"/>
      <c r="CA102" s="14"/>
      <c r="CB102" s="14"/>
      <c r="CC102" s="14"/>
      <c r="CD102" s="14"/>
      <c r="CE102" s="14"/>
      <c r="CF102" s="14"/>
      <c r="CG102" s="14"/>
      <c r="CH102" s="14"/>
      <c r="CI102" s="14"/>
      <c r="CJ102" s="14"/>
      <c r="CK102" s="14"/>
      <c r="CL102" s="14"/>
      <c r="CM102" s="14"/>
      <c r="CN102" s="14"/>
      <c r="CO102" s="14"/>
      <c r="CP102" s="14"/>
      <c r="CQ102" s="14"/>
      <c r="CR102" s="14"/>
      <c r="CS102" s="14"/>
      <c r="CT102" s="14"/>
      <c r="CU102" s="14"/>
      <c r="CV102" s="14"/>
      <c r="CW102" s="14"/>
      <c r="CX102" s="14"/>
      <c r="CY102" s="14"/>
      <c r="CZ102" s="14"/>
      <c r="DA102" s="14"/>
      <c r="DB102" s="14"/>
      <c r="DC102" s="14"/>
      <c r="DD102" s="14"/>
      <c r="DE102" s="14"/>
      <c r="DF102" s="14"/>
      <c r="DG102" s="14"/>
      <c r="DH102" s="14"/>
      <c r="DI102" s="14"/>
      <c r="DJ102" s="14"/>
      <c r="DK102" s="14"/>
      <c r="DL102" s="14"/>
      <c r="DM102" s="14"/>
      <c r="DN102" s="14"/>
      <c r="DO102" s="14"/>
      <c r="DP102" s="26"/>
      <c r="DQ102" s="27"/>
      <c r="DR102" s="129"/>
      <c r="DS102" s="130">
        <f>TCP(BO102:DQ102,$BO$9:$DQ$9,data!$H$8)</f>
        <v>0</v>
      </c>
      <c r="DT102" s="135"/>
      <c r="DU102" s="121"/>
      <c r="DV102" s="121"/>
      <c r="DW102" s="134"/>
      <c r="DX102" s="132"/>
      <c r="DY102" s="136"/>
      <c r="DZ102" s="21"/>
      <c r="EA102" s="18"/>
      <c r="EB102" s="4"/>
      <c r="EI102" s="23"/>
      <c r="EJ102" s="23"/>
    </row>
    <row r="103" spans="1:140" ht="15.75" x14ac:dyDescent="0.25">
      <c r="A103" s="12"/>
      <c r="B103" s="16"/>
      <c r="C103" s="24" t="str">
        <f t="shared" si="2"/>
        <v xml:space="preserve"> </v>
      </c>
      <c r="D103" s="25"/>
      <c r="E103" s="20"/>
      <c r="F103" s="19"/>
      <c r="G103" s="180"/>
      <c r="H103" s="120"/>
      <c r="I103" s="121"/>
      <c r="J103" s="121"/>
      <c r="K103" s="121"/>
      <c r="L103" s="121"/>
      <c r="M103" s="121"/>
      <c r="N103" s="121"/>
      <c r="O103" s="121"/>
      <c r="P103" s="121"/>
      <c r="Q103" s="121"/>
      <c r="R103" s="121"/>
      <c r="S103" s="121"/>
      <c r="T103" s="121"/>
      <c r="U103" s="121"/>
      <c r="V103" s="121"/>
      <c r="W103" s="121"/>
      <c r="X103" s="121"/>
      <c r="Y103" s="121"/>
      <c r="Z103" s="121"/>
      <c r="AA103" s="121"/>
      <c r="AB103" s="121"/>
      <c r="AC103" s="121"/>
      <c r="AD103" s="121"/>
      <c r="AE103" s="121"/>
      <c r="AF103" s="121"/>
      <c r="AG103" s="121"/>
      <c r="AH103" s="121"/>
      <c r="AI103" s="121"/>
      <c r="AJ103" s="121"/>
      <c r="AK103" s="121"/>
      <c r="AL103" s="121"/>
      <c r="AM103" s="121"/>
      <c r="AN103" s="121"/>
      <c r="AO103" s="121"/>
      <c r="AP103" s="121"/>
      <c r="AQ103" s="121"/>
      <c r="AR103" s="121"/>
      <c r="AS103" s="121"/>
      <c r="AT103" s="121"/>
      <c r="AU103" s="121"/>
      <c r="AV103" s="121"/>
      <c r="AW103" s="121"/>
      <c r="AX103" s="121"/>
      <c r="AY103" s="121"/>
      <c r="AZ103" s="121"/>
      <c r="BA103" s="121"/>
      <c r="BB103" s="121"/>
      <c r="BC103" s="121"/>
      <c r="BD103" s="121"/>
      <c r="BE103" s="121"/>
      <c r="BF103" s="121"/>
      <c r="BG103" s="121"/>
      <c r="BH103" s="121"/>
      <c r="BI103" s="121"/>
      <c r="BJ103" s="122"/>
      <c r="BK103" s="93"/>
      <c r="BL103" s="94"/>
      <c r="BM103" s="95"/>
      <c r="BN103" s="179"/>
      <c r="BO103" s="177"/>
      <c r="BP103" s="14"/>
      <c r="BQ103" s="14"/>
      <c r="BR103" s="14"/>
      <c r="BS103" s="14"/>
      <c r="BT103" s="14"/>
      <c r="BU103" s="14"/>
      <c r="BV103" s="16"/>
      <c r="BW103" s="14"/>
      <c r="BX103" s="14"/>
      <c r="BY103" s="14"/>
      <c r="BZ103" s="14"/>
      <c r="CA103" s="14"/>
      <c r="CB103" s="14"/>
      <c r="CC103" s="14"/>
      <c r="CD103" s="14"/>
      <c r="CE103" s="14"/>
      <c r="CF103" s="14"/>
      <c r="CG103" s="14"/>
      <c r="CH103" s="14"/>
      <c r="CI103" s="14"/>
      <c r="CJ103" s="14"/>
      <c r="CK103" s="14"/>
      <c r="CL103" s="14"/>
      <c r="CM103" s="14"/>
      <c r="CN103" s="14"/>
      <c r="CO103" s="14"/>
      <c r="CP103" s="14"/>
      <c r="CQ103" s="14"/>
      <c r="CR103" s="14"/>
      <c r="CS103" s="14"/>
      <c r="CT103" s="14"/>
      <c r="CU103" s="14"/>
      <c r="CV103" s="14"/>
      <c r="CW103" s="14"/>
      <c r="CX103" s="14"/>
      <c r="CY103" s="14"/>
      <c r="CZ103" s="14"/>
      <c r="DA103" s="14"/>
      <c r="DB103" s="14"/>
      <c r="DC103" s="14"/>
      <c r="DD103" s="14"/>
      <c r="DE103" s="14"/>
      <c r="DF103" s="14"/>
      <c r="DG103" s="14"/>
      <c r="DH103" s="14"/>
      <c r="DI103" s="14"/>
      <c r="DJ103" s="14"/>
      <c r="DK103" s="14"/>
      <c r="DL103" s="14"/>
      <c r="DM103" s="14"/>
      <c r="DN103" s="14"/>
      <c r="DO103" s="14"/>
      <c r="DP103" s="26"/>
      <c r="DQ103" s="27"/>
      <c r="DR103" s="129"/>
      <c r="DS103" s="130">
        <f>TCP(BO103:DQ103,$BO$9:$DQ$9,data!$H$8)</f>
        <v>0</v>
      </c>
      <c r="DT103" s="135"/>
      <c r="DU103" s="121"/>
      <c r="DV103" s="121"/>
      <c r="DW103" s="134"/>
      <c r="DX103" s="132"/>
      <c r="DY103" s="136"/>
      <c r="DZ103" s="21"/>
      <c r="EA103" s="18"/>
      <c r="EB103" s="4"/>
      <c r="EI103" s="23"/>
      <c r="EJ103" s="23"/>
    </row>
    <row r="104" spans="1:140" ht="15.75" x14ac:dyDescent="0.25">
      <c r="A104" s="12"/>
      <c r="B104" s="16"/>
      <c r="C104" s="24" t="str">
        <f t="shared" si="2"/>
        <v xml:space="preserve"> </v>
      </c>
      <c r="D104" s="25"/>
      <c r="E104" s="20"/>
      <c r="F104" s="19"/>
      <c r="G104" s="180"/>
      <c r="H104" s="120"/>
      <c r="I104" s="121"/>
      <c r="J104" s="121"/>
      <c r="K104" s="121"/>
      <c r="L104" s="121"/>
      <c r="M104" s="121"/>
      <c r="N104" s="121"/>
      <c r="O104" s="121"/>
      <c r="P104" s="121"/>
      <c r="Q104" s="121"/>
      <c r="R104" s="121"/>
      <c r="S104" s="121"/>
      <c r="T104" s="121"/>
      <c r="U104" s="121"/>
      <c r="V104" s="121"/>
      <c r="W104" s="121"/>
      <c r="X104" s="121"/>
      <c r="Y104" s="121"/>
      <c r="Z104" s="121"/>
      <c r="AA104" s="121"/>
      <c r="AB104" s="121"/>
      <c r="AC104" s="121"/>
      <c r="AD104" s="121"/>
      <c r="AE104" s="121"/>
      <c r="AF104" s="121"/>
      <c r="AG104" s="121"/>
      <c r="AH104" s="121"/>
      <c r="AI104" s="121"/>
      <c r="AJ104" s="121"/>
      <c r="AK104" s="121"/>
      <c r="AL104" s="121"/>
      <c r="AM104" s="121"/>
      <c r="AN104" s="121"/>
      <c r="AO104" s="121"/>
      <c r="AP104" s="121"/>
      <c r="AQ104" s="121"/>
      <c r="AR104" s="121"/>
      <c r="AS104" s="121"/>
      <c r="AT104" s="121"/>
      <c r="AU104" s="121"/>
      <c r="AV104" s="121"/>
      <c r="AW104" s="121"/>
      <c r="AX104" s="121"/>
      <c r="AY104" s="121"/>
      <c r="AZ104" s="121"/>
      <c r="BA104" s="121"/>
      <c r="BB104" s="121"/>
      <c r="BC104" s="121"/>
      <c r="BD104" s="121"/>
      <c r="BE104" s="121"/>
      <c r="BF104" s="121"/>
      <c r="BG104" s="121"/>
      <c r="BH104" s="121"/>
      <c r="BI104" s="121"/>
      <c r="BJ104" s="122"/>
      <c r="BK104" s="93"/>
      <c r="BL104" s="94"/>
      <c r="BM104" s="95"/>
      <c r="BN104" s="179"/>
      <c r="BO104" s="177"/>
      <c r="BP104" s="14"/>
      <c r="BQ104" s="14"/>
      <c r="BR104" s="14"/>
      <c r="BS104" s="14"/>
      <c r="BT104" s="14"/>
      <c r="BU104" s="14"/>
      <c r="BV104" s="16"/>
      <c r="BW104" s="14"/>
      <c r="BX104" s="14"/>
      <c r="BY104" s="14"/>
      <c r="BZ104" s="14"/>
      <c r="CA104" s="14"/>
      <c r="CB104" s="14"/>
      <c r="CC104" s="14"/>
      <c r="CD104" s="14"/>
      <c r="CE104" s="14"/>
      <c r="CF104" s="14"/>
      <c r="CG104" s="14"/>
      <c r="CH104" s="14"/>
      <c r="CI104" s="14"/>
      <c r="CJ104" s="14"/>
      <c r="CK104" s="14"/>
      <c r="CL104" s="14"/>
      <c r="CM104" s="14"/>
      <c r="CN104" s="14"/>
      <c r="CO104" s="14"/>
      <c r="CP104" s="14"/>
      <c r="CQ104" s="14"/>
      <c r="CR104" s="14"/>
      <c r="CS104" s="14"/>
      <c r="CT104" s="14"/>
      <c r="CU104" s="14"/>
      <c r="CV104" s="14"/>
      <c r="CW104" s="14"/>
      <c r="CX104" s="14"/>
      <c r="CY104" s="14"/>
      <c r="CZ104" s="14"/>
      <c r="DA104" s="14"/>
      <c r="DB104" s="14"/>
      <c r="DC104" s="14"/>
      <c r="DD104" s="14"/>
      <c r="DE104" s="14"/>
      <c r="DF104" s="14"/>
      <c r="DG104" s="14"/>
      <c r="DH104" s="14"/>
      <c r="DI104" s="14"/>
      <c r="DJ104" s="14"/>
      <c r="DK104" s="14"/>
      <c r="DL104" s="14"/>
      <c r="DM104" s="14"/>
      <c r="DN104" s="14"/>
      <c r="DO104" s="14"/>
      <c r="DP104" s="26"/>
      <c r="DQ104" s="27"/>
      <c r="DR104" s="129"/>
      <c r="DS104" s="130">
        <f>TCP(BO104:DQ104,$BO$9:$DQ$9,data!$H$8)</f>
        <v>0</v>
      </c>
      <c r="DT104" s="135"/>
      <c r="DU104" s="121"/>
      <c r="DV104" s="121"/>
      <c r="DW104" s="134"/>
      <c r="DX104" s="132"/>
      <c r="DY104" s="136"/>
      <c r="DZ104" s="21"/>
      <c r="EA104" s="18"/>
      <c r="EB104" s="4"/>
      <c r="EI104" s="23"/>
      <c r="EJ104" s="23"/>
    </row>
    <row r="105" spans="1:140" ht="15.75" x14ac:dyDescent="0.25">
      <c r="A105" s="12"/>
      <c r="B105" s="16"/>
      <c r="C105" s="24" t="str">
        <f t="shared" si="2"/>
        <v xml:space="preserve"> </v>
      </c>
      <c r="D105" s="25"/>
      <c r="E105" s="20"/>
      <c r="F105" s="19"/>
      <c r="G105" s="180"/>
      <c r="H105" s="120"/>
      <c r="I105" s="121"/>
      <c r="J105" s="121"/>
      <c r="K105" s="121"/>
      <c r="L105" s="121"/>
      <c r="M105" s="121"/>
      <c r="N105" s="121"/>
      <c r="O105" s="121"/>
      <c r="P105" s="121"/>
      <c r="Q105" s="121"/>
      <c r="R105" s="121"/>
      <c r="S105" s="121"/>
      <c r="T105" s="121"/>
      <c r="U105" s="121"/>
      <c r="V105" s="121"/>
      <c r="W105" s="121"/>
      <c r="X105" s="121"/>
      <c r="Y105" s="121"/>
      <c r="Z105" s="121"/>
      <c r="AA105" s="121"/>
      <c r="AB105" s="121"/>
      <c r="AC105" s="121"/>
      <c r="AD105" s="121"/>
      <c r="AE105" s="121"/>
      <c r="AF105" s="121"/>
      <c r="AG105" s="121"/>
      <c r="AH105" s="121"/>
      <c r="AI105" s="121"/>
      <c r="AJ105" s="121"/>
      <c r="AK105" s="121"/>
      <c r="AL105" s="121"/>
      <c r="AM105" s="121"/>
      <c r="AN105" s="121"/>
      <c r="AO105" s="121"/>
      <c r="AP105" s="121"/>
      <c r="AQ105" s="121"/>
      <c r="AR105" s="121"/>
      <c r="AS105" s="121"/>
      <c r="AT105" s="121"/>
      <c r="AU105" s="121"/>
      <c r="AV105" s="121"/>
      <c r="AW105" s="121"/>
      <c r="AX105" s="121"/>
      <c r="AY105" s="121"/>
      <c r="AZ105" s="121"/>
      <c r="BA105" s="121"/>
      <c r="BB105" s="121"/>
      <c r="BC105" s="121"/>
      <c r="BD105" s="121"/>
      <c r="BE105" s="121"/>
      <c r="BF105" s="121"/>
      <c r="BG105" s="121"/>
      <c r="BH105" s="121"/>
      <c r="BI105" s="121"/>
      <c r="BJ105" s="122"/>
      <c r="BK105" s="93"/>
      <c r="BL105" s="94"/>
      <c r="BM105" s="95"/>
      <c r="BN105" s="179"/>
      <c r="BO105" s="177"/>
      <c r="BP105" s="14"/>
      <c r="BQ105" s="14"/>
      <c r="BR105" s="14"/>
      <c r="BS105" s="14"/>
      <c r="BT105" s="14"/>
      <c r="BU105" s="14"/>
      <c r="BV105" s="16"/>
      <c r="BW105" s="14"/>
      <c r="BX105" s="14"/>
      <c r="BY105" s="14"/>
      <c r="BZ105" s="14"/>
      <c r="CA105" s="14"/>
      <c r="CB105" s="14"/>
      <c r="CC105" s="14"/>
      <c r="CD105" s="14"/>
      <c r="CE105" s="14"/>
      <c r="CF105" s="14"/>
      <c r="CG105" s="14"/>
      <c r="CH105" s="14"/>
      <c r="CI105" s="14"/>
      <c r="CJ105" s="14"/>
      <c r="CK105" s="14"/>
      <c r="CL105" s="14"/>
      <c r="CM105" s="14"/>
      <c r="CN105" s="14"/>
      <c r="CO105" s="14"/>
      <c r="CP105" s="14"/>
      <c r="CQ105" s="14"/>
      <c r="CR105" s="14"/>
      <c r="CS105" s="14"/>
      <c r="CT105" s="14"/>
      <c r="CU105" s="14"/>
      <c r="CV105" s="14"/>
      <c r="CW105" s="14"/>
      <c r="CX105" s="14"/>
      <c r="CY105" s="14"/>
      <c r="CZ105" s="14"/>
      <c r="DA105" s="14"/>
      <c r="DB105" s="14"/>
      <c r="DC105" s="14"/>
      <c r="DD105" s="14"/>
      <c r="DE105" s="14"/>
      <c r="DF105" s="14"/>
      <c r="DG105" s="14"/>
      <c r="DH105" s="14"/>
      <c r="DI105" s="14"/>
      <c r="DJ105" s="14"/>
      <c r="DK105" s="14"/>
      <c r="DL105" s="14"/>
      <c r="DM105" s="14"/>
      <c r="DN105" s="14"/>
      <c r="DO105" s="14"/>
      <c r="DP105" s="26"/>
      <c r="DQ105" s="27"/>
      <c r="DR105" s="129"/>
      <c r="DS105" s="130">
        <f>TCP(BO105:DQ105,$BO$9:$DQ$9,data!$H$8)</f>
        <v>0</v>
      </c>
      <c r="DT105" s="135"/>
      <c r="DU105" s="121"/>
      <c r="DV105" s="121"/>
      <c r="DW105" s="134"/>
      <c r="DX105" s="132"/>
      <c r="DY105" s="136"/>
      <c r="DZ105" s="21"/>
      <c r="EA105" s="18"/>
      <c r="EB105" s="4"/>
      <c r="EI105" s="23"/>
      <c r="EJ105" s="23"/>
    </row>
    <row r="106" spans="1:140" ht="15.75" x14ac:dyDescent="0.25">
      <c r="A106" s="12"/>
      <c r="B106" s="16"/>
      <c r="C106" s="24" t="str">
        <f t="shared" si="2"/>
        <v xml:space="preserve"> </v>
      </c>
      <c r="D106" s="25"/>
      <c r="E106" s="20"/>
      <c r="F106" s="19"/>
      <c r="G106" s="180"/>
      <c r="H106" s="120"/>
      <c r="I106" s="121"/>
      <c r="J106" s="121"/>
      <c r="K106" s="121"/>
      <c r="L106" s="121"/>
      <c r="M106" s="121"/>
      <c r="N106" s="121"/>
      <c r="O106" s="121"/>
      <c r="P106" s="121"/>
      <c r="Q106" s="121"/>
      <c r="R106" s="121"/>
      <c r="S106" s="121"/>
      <c r="T106" s="121"/>
      <c r="U106" s="121"/>
      <c r="V106" s="121"/>
      <c r="W106" s="121"/>
      <c r="X106" s="121"/>
      <c r="Y106" s="121"/>
      <c r="Z106" s="121"/>
      <c r="AA106" s="121"/>
      <c r="AB106" s="121"/>
      <c r="AC106" s="121"/>
      <c r="AD106" s="121"/>
      <c r="AE106" s="121"/>
      <c r="AF106" s="121"/>
      <c r="AG106" s="121"/>
      <c r="AH106" s="121"/>
      <c r="AI106" s="121"/>
      <c r="AJ106" s="121"/>
      <c r="AK106" s="121"/>
      <c r="AL106" s="121"/>
      <c r="AM106" s="121"/>
      <c r="AN106" s="121"/>
      <c r="AO106" s="121"/>
      <c r="AP106" s="121"/>
      <c r="AQ106" s="121"/>
      <c r="AR106" s="121"/>
      <c r="AS106" s="121"/>
      <c r="AT106" s="121"/>
      <c r="AU106" s="121"/>
      <c r="AV106" s="121"/>
      <c r="AW106" s="121"/>
      <c r="AX106" s="121"/>
      <c r="AY106" s="121"/>
      <c r="AZ106" s="121"/>
      <c r="BA106" s="121"/>
      <c r="BB106" s="121"/>
      <c r="BC106" s="121"/>
      <c r="BD106" s="121"/>
      <c r="BE106" s="121"/>
      <c r="BF106" s="121"/>
      <c r="BG106" s="121"/>
      <c r="BH106" s="121"/>
      <c r="BI106" s="121"/>
      <c r="BJ106" s="122"/>
      <c r="BK106" s="93"/>
      <c r="BL106" s="94"/>
      <c r="BM106" s="95"/>
      <c r="BN106" s="179"/>
      <c r="BO106" s="177"/>
      <c r="BP106" s="14"/>
      <c r="BQ106" s="14"/>
      <c r="BR106" s="14"/>
      <c r="BS106" s="14"/>
      <c r="BT106" s="14"/>
      <c r="BU106" s="14"/>
      <c r="BV106" s="16"/>
      <c r="BW106" s="14"/>
      <c r="BX106" s="14"/>
      <c r="BY106" s="14"/>
      <c r="BZ106" s="14"/>
      <c r="CA106" s="14"/>
      <c r="CB106" s="14"/>
      <c r="CC106" s="14"/>
      <c r="CD106" s="14"/>
      <c r="CE106" s="14"/>
      <c r="CF106" s="14"/>
      <c r="CG106" s="14"/>
      <c r="CH106" s="14"/>
      <c r="CI106" s="14"/>
      <c r="CJ106" s="14"/>
      <c r="CK106" s="14"/>
      <c r="CL106" s="14"/>
      <c r="CM106" s="14"/>
      <c r="CN106" s="14"/>
      <c r="CO106" s="14"/>
      <c r="CP106" s="14"/>
      <c r="CQ106" s="14"/>
      <c r="CR106" s="14"/>
      <c r="CS106" s="14"/>
      <c r="CT106" s="14"/>
      <c r="CU106" s="14"/>
      <c r="CV106" s="14"/>
      <c r="CW106" s="14"/>
      <c r="CX106" s="14"/>
      <c r="CY106" s="14"/>
      <c r="CZ106" s="14"/>
      <c r="DA106" s="14"/>
      <c r="DB106" s="14"/>
      <c r="DC106" s="14"/>
      <c r="DD106" s="14"/>
      <c r="DE106" s="14"/>
      <c r="DF106" s="14"/>
      <c r="DG106" s="14"/>
      <c r="DH106" s="14"/>
      <c r="DI106" s="14"/>
      <c r="DJ106" s="14"/>
      <c r="DK106" s="14"/>
      <c r="DL106" s="14"/>
      <c r="DM106" s="14"/>
      <c r="DN106" s="14"/>
      <c r="DO106" s="14"/>
      <c r="DP106" s="26"/>
      <c r="DQ106" s="27"/>
      <c r="DR106" s="129"/>
      <c r="DS106" s="130">
        <f>TCP(BO106:DQ106,$BO$9:$DQ$9,data!$H$8)</f>
        <v>0</v>
      </c>
      <c r="DT106" s="135"/>
      <c r="DU106" s="121"/>
      <c r="DV106" s="121"/>
      <c r="DW106" s="134"/>
      <c r="DX106" s="132"/>
      <c r="DY106" s="136"/>
      <c r="DZ106" s="21"/>
      <c r="EA106" s="18"/>
      <c r="EB106" s="4"/>
      <c r="EI106" s="23"/>
      <c r="EJ106" s="23"/>
    </row>
    <row r="107" spans="1:140" ht="15.75" x14ac:dyDescent="0.25">
      <c r="A107" s="12"/>
      <c r="B107" s="16"/>
      <c r="C107" s="24" t="str">
        <f t="shared" si="2"/>
        <v xml:space="preserve"> </v>
      </c>
      <c r="D107" s="25"/>
      <c r="E107" s="20"/>
      <c r="F107" s="19"/>
      <c r="G107" s="180"/>
      <c r="H107" s="120"/>
      <c r="I107" s="121"/>
      <c r="J107" s="121"/>
      <c r="K107" s="121"/>
      <c r="L107" s="121"/>
      <c r="M107" s="121"/>
      <c r="N107" s="121"/>
      <c r="O107" s="121"/>
      <c r="P107" s="121"/>
      <c r="Q107" s="121"/>
      <c r="R107" s="121"/>
      <c r="S107" s="121"/>
      <c r="T107" s="121"/>
      <c r="U107" s="121"/>
      <c r="V107" s="121"/>
      <c r="W107" s="121"/>
      <c r="X107" s="121"/>
      <c r="Y107" s="121"/>
      <c r="Z107" s="121"/>
      <c r="AA107" s="121"/>
      <c r="AB107" s="121"/>
      <c r="AC107" s="121"/>
      <c r="AD107" s="121"/>
      <c r="AE107" s="121"/>
      <c r="AF107" s="121"/>
      <c r="AG107" s="121"/>
      <c r="AH107" s="121"/>
      <c r="AI107" s="121"/>
      <c r="AJ107" s="121"/>
      <c r="AK107" s="121"/>
      <c r="AL107" s="121"/>
      <c r="AM107" s="121"/>
      <c r="AN107" s="121"/>
      <c r="AO107" s="121"/>
      <c r="AP107" s="121"/>
      <c r="AQ107" s="121"/>
      <c r="AR107" s="121"/>
      <c r="AS107" s="121"/>
      <c r="AT107" s="121"/>
      <c r="AU107" s="121"/>
      <c r="AV107" s="121"/>
      <c r="AW107" s="121"/>
      <c r="AX107" s="121"/>
      <c r="AY107" s="121"/>
      <c r="AZ107" s="121"/>
      <c r="BA107" s="121"/>
      <c r="BB107" s="121"/>
      <c r="BC107" s="121"/>
      <c r="BD107" s="121"/>
      <c r="BE107" s="121"/>
      <c r="BF107" s="121"/>
      <c r="BG107" s="121"/>
      <c r="BH107" s="121"/>
      <c r="BI107" s="121"/>
      <c r="BJ107" s="122"/>
      <c r="BK107" s="93"/>
      <c r="BL107" s="94"/>
      <c r="BM107" s="95"/>
      <c r="BN107" s="179"/>
      <c r="BO107" s="177"/>
      <c r="BP107" s="14"/>
      <c r="BQ107" s="14"/>
      <c r="BR107" s="14"/>
      <c r="BS107" s="14"/>
      <c r="BT107" s="14"/>
      <c r="BU107" s="14"/>
      <c r="BV107" s="16"/>
      <c r="BW107" s="14"/>
      <c r="BX107" s="14"/>
      <c r="BY107" s="14"/>
      <c r="BZ107" s="14"/>
      <c r="CA107" s="14"/>
      <c r="CB107" s="14"/>
      <c r="CC107" s="14"/>
      <c r="CD107" s="14"/>
      <c r="CE107" s="14"/>
      <c r="CF107" s="14"/>
      <c r="CG107" s="14"/>
      <c r="CH107" s="14"/>
      <c r="CI107" s="14"/>
      <c r="CJ107" s="14"/>
      <c r="CK107" s="14"/>
      <c r="CL107" s="14"/>
      <c r="CM107" s="14"/>
      <c r="CN107" s="14"/>
      <c r="CO107" s="14"/>
      <c r="CP107" s="14"/>
      <c r="CQ107" s="14"/>
      <c r="CR107" s="14"/>
      <c r="CS107" s="14"/>
      <c r="CT107" s="14"/>
      <c r="CU107" s="14"/>
      <c r="CV107" s="14"/>
      <c r="CW107" s="14"/>
      <c r="CX107" s="14"/>
      <c r="CY107" s="14"/>
      <c r="CZ107" s="14"/>
      <c r="DA107" s="14"/>
      <c r="DB107" s="14"/>
      <c r="DC107" s="14"/>
      <c r="DD107" s="14"/>
      <c r="DE107" s="14"/>
      <c r="DF107" s="14"/>
      <c r="DG107" s="14"/>
      <c r="DH107" s="14"/>
      <c r="DI107" s="14"/>
      <c r="DJ107" s="14"/>
      <c r="DK107" s="14"/>
      <c r="DL107" s="14"/>
      <c r="DM107" s="14"/>
      <c r="DN107" s="14"/>
      <c r="DO107" s="14"/>
      <c r="DP107" s="26"/>
      <c r="DQ107" s="27"/>
      <c r="DR107" s="129"/>
      <c r="DS107" s="130">
        <f>TCP(BO107:DQ107,$BO$9:$DQ$9,data!$H$8)</f>
        <v>0</v>
      </c>
      <c r="DT107" s="135"/>
      <c r="DU107" s="121"/>
      <c r="DV107" s="121"/>
      <c r="DW107" s="134"/>
      <c r="DX107" s="132"/>
      <c r="DY107" s="136"/>
      <c r="DZ107" s="21"/>
      <c r="EA107" s="18"/>
      <c r="EB107" s="4"/>
      <c r="EI107" s="23"/>
      <c r="EJ107" s="23"/>
    </row>
    <row r="108" spans="1:140" ht="15.75" x14ac:dyDescent="0.25">
      <c r="A108" s="12"/>
      <c r="B108" s="16"/>
      <c r="C108" s="24" t="str">
        <f t="shared" si="2"/>
        <v xml:space="preserve"> </v>
      </c>
      <c r="D108" s="25"/>
      <c r="E108" s="20"/>
      <c r="F108" s="19"/>
      <c r="G108" s="180"/>
      <c r="H108" s="120"/>
      <c r="I108" s="121"/>
      <c r="J108" s="121"/>
      <c r="K108" s="121"/>
      <c r="L108" s="121"/>
      <c r="M108" s="121"/>
      <c r="N108" s="121"/>
      <c r="O108" s="121"/>
      <c r="P108" s="121"/>
      <c r="Q108" s="121"/>
      <c r="R108" s="121"/>
      <c r="S108" s="121"/>
      <c r="T108" s="121"/>
      <c r="U108" s="121"/>
      <c r="V108" s="121"/>
      <c r="W108" s="121"/>
      <c r="X108" s="121"/>
      <c r="Y108" s="121"/>
      <c r="Z108" s="121"/>
      <c r="AA108" s="121"/>
      <c r="AB108" s="121"/>
      <c r="AC108" s="121"/>
      <c r="AD108" s="121"/>
      <c r="AE108" s="121"/>
      <c r="AF108" s="121"/>
      <c r="AG108" s="121"/>
      <c r="AH108" s="121"/>
      <c r="AI108" s="121"/>
      <c r="AJ108" s="121"/>
      <c r="AK108" s="121"/>
      <c r="AL108" s="121"/>
      <c r="AM108" s="121"/>
      <c r="AN108" s="121"/>
      <c r="AO108" s="121"/>
      <c r="AP108" s="121"/>
      <c r="AQ108" s="121"/>
      <c r="AR108" s="121"/>
      <c r="AS108" s="121"/>
      <c r="AT108" s="121"/>
      <c r="AU108" s="121"/>
      <c r="AV108" s="121"/>
      <c r="AW108" s="121"/>
      <c r="AX108" s="121"/>
      <c r="AY108" s="121"/>
      <c r="AZ108" s="121"/>
      <c r="BA108" s="121"/>
      <c r="BB108" s="121"/>
      <c r="BC108" s="121"/>
      <c r="BD108" s="121"/>
      <c r="BE108" s="121"/>
      <c r="BF108" s="121"/>
      <c r="BG108" s="121"/>
      <c r="BH108" s="121"/>
      <c r="BI108" s="121"/>
      <c r="BJ108" s="122"/>
      <c r="BK108" s="93"/>
      <c r="BL108" s="94"/>
      <c r="BM108" s="95"/>
      <c r="BN108" s="179"/>
      <c r="BO108" s="177"/>
      <c r="BP108" s="14"/>
      <c r="BQ108" s="14"/>
      <c r="BR108" s="14"/>
      <c r="BS108" s="14"/>
      <c r="BT108" s="14"/>
      <c r="BU108" s="14"/>
      <c r="BV108" s="16"/>
      <c r="BW108" s="14"/>
      <c r="BX108" s="14"/>
      <c r="BY108" s="14"/>
      <c r="BZ108" s="14"/>
      <c r="CA108" s="14"/>
      <c r="CB108" s="14"/>
      <c r="CC108" s="14"/>
      <c r="CD108" s="14"/>
      <c r="CE108" s="14"/>
      <c r="CF108" s="14"/>
      <c r="CG108" s="14"/>
      <c r="CH108" s="14"/>
      <c r="CI108" s="14"/>
      <c r="CJ108" s="14"/>
      <c r="CK108" s="14"/>
      <c r="CL108" s="14"/>
      <c r="CM108" s="14"/>
      <c r="CN108" s="14"/>
      <c r="CO108" s="14"/>
      <c r="CP108" s="14"/>
      <c r="CQ108" s="14"/>
      <c r="CR108" s="14"/>
      <c r="CS108" s="14"/>
      <c r="CT108" s="14"/>
      <c r="CU108" s="14"/>
      <c r="CV108" s="14"/>
      <c r="CW108" s="14"/>
      <c r="CX108" s="14"/>
      <c r="CY108" s="14"/>
      <c r="CZ108" s="14"/>
      <c r="DA108" s="14"/>
      <c r="DB108" s="14"/>
      <c r="DC108" s="14"/>
      <c r="DD108" s="14"/>
      <c r="DE108" s="14"/>
      <c r="DF108" s="14"/>
      <c r="DG108" s="14"/>
      <c r="DH108" s="14"/>
      <c r="DI108" s="14"/>
      <c r="DJ108" s="14"/>
      <c r="DK108" s="14"/>
      <c r="DL108" s="14"/>
      <c r="DM108" s="14"/>
      <c r="DN108" s="14"/>
      <c r="DO108" s="14"/>
      <c r="DP108" s="26"/>
      <c r="DQ108" s="27"/>
      <c r="DR108" s="129"/>
      <c r="DS108" s="130">
        <f>TCP(BO108:DQ108,$BO$9:$DQ$9,data!$H$8)</f>
        <v>0</v>
      </c>
      <c r="DT108" s="135"/>
      <c r="DU108" s="121"/>
      <c r="DV108" s="121"/>
      <c r="DW108" s="134"/>
      <c r="DX108" s="132"/>
      <c r="DY108" s="136"/>
      <c r="DZ108" s="21"/>
      <c r="EA108" s="18"/>
      <c r="EB108" s="4"/>
      <c r="EI108" s="23"/>
      <c r="EJ108" s="23"/>
    </row>
    <row r="109" spans="1:140" ht="15.75" x14ac:dyDescent="0.25">
      <c r="A109" s="12"/>
      <c r="B109" s="16"/>
      <c r="C109" s="24" t="str">
        <f t="shared" si="2"/>
        <v xml:space="preserve"> </v>
      </c>
      <c r="D109" s="25"/>
      <c r="E109" s="20"/>
      <c r="F109" s="19"/>
      <c r="G109" s="180"/>
      <c r="H109" s="120"/>
      <c r="I109" s="121"/>
      <c r="J109" s="121"/>
      <c r="K109" s="121"/>
      <c r="L109" s="121"/>
      <c r="M109" s="121"/>
      <c r="N109" s="121"/>
      <c r="O109" s="121"/>
      <c r="P109" s="121"/>
      <c r="Q109" s="121"/>
      <c r="R109" s="121"/>
      <c r="S109" s="121"/>
      <c r="T109" s="121"/>
      <c r="U109" s="121"/>
      <c r="V109" s="121"/>
      <c r="W109" s="121"/>
      <c r="X109" s="121"/>
      <c r="Y109" s="121"/>
      <c r="Z109" s="121"/>
      <c r="AA109" s="121"/>
      <c r="AB109" s="121"/>
      <c r="AC109" s="121"/>
      <c r="AD109" s="121"/>
      <c r="AE109" s="121"/>
      <c r="AF109" s="121"/>
      <c r="AG109" s="121"/>
      <c r="AH109" s="121"/>
      <c r="AI109" s="121"/>
      <c r="AJ109" s="121"/>
      <c r="AK109" s="121"/>
      <c r="AL109" s="121"/>
      <c r="AM109" s="121"/>
      <c r="AN109" s="121"/>
      <c r="AO109" s="121"/>
      <c r="AP109" s="121"/>
      <c r="AQ109" s="121"/>
      <c r="AR109" s="121"/>
      <c r="AS109" s="121"/>
      <c r="AT109" s="121"/>
      <c r="AU109" s="121"/>
      <c r="AV109" s="121"/>
      <c r="AW109" s="121"/>
      <c r="AX109" s="121"/>
      <c r="AY109" s="121"/>
      <c r="AZ109" s="121"/>
      <c r="BA109" s="121"/>
      <c r="BB109" s="121"/>
      <c r="BC109" s="121"/>
      <c r="BD109" s="121"/>
      <c r="BE109" s="121"/>
      <c r="BF109" s="121"/>
      <c r="BG109" s="121"/>
      <c r="BH109" s="121"/>
      <c r="BI109" s="121"/>
      <c r="BJ109" s="122"/>
      <c r="BK109" s="93"/>
      <c r="BL109" s="94"/>
      <c r="BM109" s="95"/>
      <c r="BN109" s="179"/>
      <c r="BO109" s="177"/>
      <c r="BP109" s="14"/>
      <c r="BQ109" s="14"/>
      <c r="BR109" s="14"/>
      <c r="BS109" s="14"/>
      <c r="BT109" s="14"/>
      <c r="BU109" s="14"/>
      <c r="BV109" s="16"/>
      <c r="BW109" s="14"/>
      <c r="BX109" s="14"/>
      <c r="BY109" s="14"/>
      <c r="BZ109" s="14"/>
      <c r="CA109" s="14"/>
      <c r="CB109" s="14"/>
      <c r="CC109" s="14"/>
      <c r="CD109" s="14"/>
      <c r="CE109" s="14"/>
      <c r="CF109" s="14"/>
      <c r="CG109" s="14"/>
      <c r="CH109" s="14"/>
      <c r="CI109" s="14"/>
      <c r="CJ109" s="14"/>
      <c r="CK109" s="14"/>
      <c r="CL109" s="14"/>
      <c r="CM109" s="14"/>
      <c r="CN109" s="14"/>
      <c r="CO109" s="14"/>
      <c r="CP109" s="14"/>
      <c r="CQ109" s="14"/>
      <c r="CR109" s="14"/>
      <c r="CS109" s="14"/>
      <c r="CT109" s="14"/>
      <c r="CU109" s="14"/>
      <c r="CV109" s="14"/>
      <c r="CW109" s="14"/>
      <c r="CX109" s="14"/>
      <c r="CY109" s="14"/>
      <c r="CZ109" s="14"/>
      <c r="DA109" s="14"/>
      <c r="DB109" s="14"/>
      <c r="DC109" s="14"/>
      <c r="DD109" s="14"/>
      <c r="DE109" s="14"/>
      <c r="DF109" s="14"/>
      <c r="DG109" s="14"/>
      <c r="DH109" s="14"/>
      <c r="DI109" s="14"/>
      <c r="DJ109" s="14"/>
      <c r="DK109" s="14"/>
      <c r="DL109" s="14"/>
      <c r="DM109" s="14"/>
      <c r="DN109" s="14"/>
      <c r="DO109" s="14"/>
      <c r="DP109" s="26"/>
      <c r="DQ109" s="27"/>
      <c r="DR109" s="129"/>
      <c r="DS109" s="130">
        <f>TCP(BO109:DQ109,$BO$9:$DQ$9,data!$H$8)</f>
        <v>0</v>
      </c>
      <c r="DT109" s="135"/>
      <c r="DU109" s="121"/>
      <c r="DV109" s="121"/>
      <c r="DW109" s="134"/>
      <c r="DX109" s="132"/>
      <c r="DY109" s="136"/>
      <c r="DZ109" s="21"/>
      <c r="EA109" s="18"/>
      <c r="EB109" s="4"/>
      <c r="EI109" s="23"/>
      <c r="EJ109" s="23"/>
    </row>
    <row r="110" spans="1:140" ht="15.75" x14ac:dyDescent="0.25">
      <c r="A110" s="12"/>
      <c r="B110" s="16"/>
      <c r="C110" s="24" t="str">
        <f t="shared" si="2"/>
        <v xml:space="preserve"> </v>
      </c>
      <c r="D110" s="25"/>
      <c r="E110" s="20"/>
      <c r="F110" s="19"/>
      <c r="G110" s="180"/>
      <c r="H110" s="120"/>
      <c r="I110" s="121"/>
      <c r="J110" s="121"/>
      <c r="K110" s="121"/>
      <c r="L110" s="121"/>
      <c r="M110" s="121"/>
      <c r="N110" s="121"/>
      <c r="O110" s="121"/>
      <c r="P110" s="121"/>
      <c r="Q110" s="121"/>
      <c r="R110" s="121"/>
      <c r="S110" s="121"/>
      <c r="T110" s="121"/>
      <c r="U110" s="121"/>
      <c r="V110" s="121"/>
      <c r="W110" s="121"/>
      <c r="X110" s="121"/>
      <c r="Y110" s="121"/>
      <c r="Z110" s="121"/>
      <c r="AA110" s="121"/>
      <c r="AB110" s="121"/>
      <c r="AC110" s="121"/>
      <c r="AD110" s="121"/>
      <c r="AE110" s="121"/>
      <c r="AF110" s="121"/>
      <c r="AG110" s="121"/>
      <c r="AH110" s="121"/>
      <c r="AI110" s="121"/>
      <c r="AJ110" s="121"/>
      <c r="AK110" s="121"/>
      <c r="AL110" s="121"/>
      <c r="AM110" s="121"/>
      <c r="AN110" s="121"/>
      <c r="AO110" s="121"/>
      <c r="AP110" s="121"/>
      <c r="AQ110" s="121"/>
      <c r="AR110" s="121"/>
      <c r="AS110" s="121"/>
      <c r="AT110" s="121"/>
      <c r="AU110" s="121"/>
      <c r="AV110" s="121"/>
      <c r="AW110" s="121"/>
      <c r="AX110" s="121"/>
      <c r="AY110" s="121"/>
      <c r="AZ110" s="121"/>
      <c r="BA110" s="121"/>
      <c r="BB110" s="121"/>
      <c r="BC110" s="121"/>
      <c r="BD110" s="121"/>
      <c r="BE110" s="121"/>
      <c r="BF110" s="121"/>
      <c r="BG110" s="121"/>
      <c r="BH110" s="121"/>
      <c r="BI110" s="121"/>
      <c r="BJ110" s="122"/>
      <c r="BK110" s="93"/>
      <c r="BL110" s="94"/>
      <c r="BM110" s="95"/>
      <c r="BN110" s="179"/>
      <c r="BO110" s="177"/>
      <c r="BP110" s="14"/>
      <c r="BQ110" s="14"/>
      <c r="BR110" s="14"/>
      <c r="BS110" s="14"/>
      <c r="BT110" s="14"/>
      <c r="BU110" s="14"/>
      <c r="BV110" s="16"/>
      <c r="BW110" s="14"/>
      <c r="BX110" s="14"/>
      <c r="BY110" s="14"/>
      <c r="BZ110" s="14"/>
      <c r="CA110" s="14"/>
      <c r="CB110" s="14"/>
      <c r="CC110" s="14"/>
      <c r="CD110" s="14"/>
      <c r="CE110" s="14"/>
      <c r="CF110" s="14"/>
      <c r="CG110" s="14"/>
      <c r="CH110" s="14"/>
      <c r="CI110" s="14"/>
      <c r="CJ110" s="14"/>
      <c r="CK110" s="14"/>
      <c r="CL110" s="14"/>
      <c r="CM110" s="14"/>
      <c r="CN110" s="14"/>
      <c r="CO110" s="14"/>
      <c r="CP110" s="14"/>
      <c r="CQ110" s="14"/>
      <c r="CR110" s="14"/>
      <c r="CS110" s="14"/>
      <c r="CT110" s="14"/>
      <c r="CU110" s="14"/>
      <c r="CV110" s="14"/>
      <c r="CW110" s="14"/>
      <c r="CX110" s="14"/>
      <c r="CY110" s="14"/>
      <c r="CZ110" s="14"/>
      <c r="DA110" s="14"/>
      <c r="DB110" s="14"/>
      <c r="DC110" s="14"/>
      <c r="DD110" s="14"/>
      <c r="DE110" s="14"/>
      <c r="DF110" s="14"/>
      <c r="DG110" s="14"/>
      <c r="DH110" s="14"/>
      <c r="DI110" s="14"/>
      <c r="DJ110" s="14"/>
      <c r="DK110" s="14"/>
      <c r="DL110" s="14"/>
      <c r="DM110" s="14"/>
      <c r="DN110" s="14"/>
      <c r="DO110" s="14"/>
      <c r="DP110" s="26"/>
      <c r="DQ110" s="27"/>
      <c r="DR110" s="129"/>
      <c r="DS110" s="130">
        <f>TCP(BO110:DQ110,$BO$9:$DQ$9,data!$H$8)</f>
        <v>0</v>
      </c>
      <c r="DT110" s="135"/>
      <c r="DU110" s="121"/>
      <c r="DV110" s="121"/>
      <c r="DW110" s="134"/>
      <c r="DX110" s="132"/>
      <c r="DY110" s="136"/>
      <c r="DZ110" s="21"/>
      <c r="EA110" s="18"/>
      <c r="EB110" s="4"/>
      <c r="EI110" s="23"/>
      <c r="EJ110" s="23"/>
    </row>
    <row r="111" spans="1:140" ht="15.75" x14ac:dyDescent="0.25">
      <c r="A111" s="12"/>
      <c r="B111" s="16"/>
      <c r="C111" s="24" t="str">
        <f t="shared" si="2"/>
        <v xml:space="preserve"> </v>
      </c>
      <c r="D111" s="25"/>
      <c r="E111" s="20"/>
      <c r="F111" s="19"/>
      <c r="G111" s="180"/>
      <c r="H111" s="120"/>
      <c r="I111" s="121"/>
      <c r="J111" s="121"/>
      <c r="K111" s="121"/>
      <c r="L111" s="121"/>
      <c r="M111" s="121"/>
      <c r="N111" s="121"/>
      <c r="O111" s="121"/>
      <c r="P111" s="121"/>
      <c r="Q111" s="121"/>
      <c r="R111" s="121"/>
      <c r="S111" s="121"/>
      <c r="T111" s="121"/>
      <c r="U111" s="121"/>
      <c r="V111" s="121"/>
      <c r="W111" s="121"/>
      <c r="X111" s="121"/>
      <c r="Y111" s="121"/>
      <c r="Z111" s="121"/>
      <c r="AA111" s="121"/>
      <c r="AB111" s="121"/>
      <c r="AC111" s="121"/>
      <c r="AD111" s="121"/>
      <c r="AE111" s="121"/>
      <c r="AF111" s="121"/>
      <c r="AG111" s="121"/>
      <c r="AH111" s="121"/>
      <c r="AI111" s="121"/>
      <c r="AJ111" s="121"/>
      <c r="AK111" s="121"/>
      <c r="AL111" s="121"/>
      <c r="AM111" s="121"/>
      <c r="AN111" s="121"/>
      <c r="AO111" s="121"/>
      <c r="AP111" s="121"/>
      <c r="AQ111" s="121"/>
      <c r="AR111" s="121"/>
      <c r="AS111" s="121"/>
      <c r="AT111" s="121"/>
      <c r="AU111" s="121"/>
      <c r="AV111" s="121"/>
      <c r="AW111" s="121"/>
      <c r="AX111" s="121"/>
      <c r="AY111" s="121"/>
      <c r="AZ111" s="121"/>
      <c r="BA111" s="121"/>
      <c r="BB111" s="121"/>
      <c r="BC111" s="121"/>
      <c r="BD111" s="121"/>
      <c r="BE111" s="121"/>
      <c r="BF111" s="121"/>
      <c r="BG111" s="121"/>
      <c r="BH111" s="121"/>
      <c r="BI111" s="121"/>
      <c r="BJ111" s="122"/>
      <c r="BK111" s="93"/>
      <c r="BL111" s="94"/>
      <c r="BM111" s="95"/>
      <c r="BN111" s="179"/>
      <c r="BO111" s="177"/>
      <c r="BP111" s="14"/>
      <c r="BQ111" s="14"/>
      <c r="BR111" s="14"/>
      <c r="BS111" s="14"/>
      <c r="BT111" s="14"/>
      <c r="BU111" s="14"/>
      <c r="BV111" s="16"/>
      <c r="BW111" s="14"/>
      <c r="BX111" s="14"/>
      <c r="BY111" s="14"/>
      <c r="BZ111" s="14"/>
      <c r="CA111" s="14"/>
      <c r="CB111" s="14"/>
      <c r="CC111" s="14"/>
      <c r="CD111" s="14"/>
      <c r="CE111" s="14"/>
      <c r="CF111" s="14"/>
      <c r="CG111" s="14"/>
      <c r="CH111" s="14"/>
      <c r="CI111" s="14"/>
      <c r="CJ111" s="14"/>
      <c r="CK111" s="14"/>
      <c r="CL111" s="14"/>
      <c r="CM111" s="14"/>
      <c r="CN111" s="14"/>
      <c r="CO111" s="14"/>
      <c r="CP111" s="14"/>
      <c r="CQ111" s="14"/>
      <c r="CR111" s="14"/>
      <c r="CS111" s="14"/>
      <c r="CT111" s="14"/>
      <c r="CU111" s="14"/>
      <c r="CV111" s="14"/>
      <c r="CW111" s="14"/>
      <c r="CX111" s="14"/>
      <c r="CY111" s="14"/>
      <c r="CZ111" s="14"/>
      <c r="DA111" s="14"/>
      <c r="DB111" s="14"/>
      <c r="DC111" s="14"/>
      <c r="DD111" s="14"/>
      <c r="DE111" s="14"/>
      <c r="DF111" s="14"/>
      <c r="DG111" s="14"/>
      <c r="DH111" s="14"/>
      <c r="DI111" s="14"/>
      <c r="DJ111" s="14"/>
      <c r="DK111" s="14"/>
      <c r="DL111" s="14"/>
      <c r="DM111" s="14"/>
      <c r="DN111" s="14"/>
      <c r="DO111" s="14"/>
      <c r="DP111" s="26"/>
      <c r="DQ111" s="27"/>
      <c r="DR111" s="129"/>
      <c r="DS111" s="130">
        <f>TCP(BO111:DQ111,$BO$9:$DQ$9,data!$H$8)</f>
        <v>0</v>
      </c>
      <c r="DT111" s="135"/>
      <c r="DU111" s="121"/>
      <c r="DV111" s="121"/>
      <c r="DW111" s="134"/>
      <c r="DX111" s="132"/>
      <c r="DY111" s="136"/>
      <c r="DZ111" s="21"/>
      <c r="EA111" s="18"/>
      <c r="EB111" s="4"/>
      <c r="EI111" s="23"/>
      <c r="EJ111" s="23"/>
    </row>
    <row r="112" spans="1:140" ht="15.75" x14ac:dyDescent="0.25">
      <c r="A112" s="12"/>
      <c r="B112" s="16"/>
      <c r="C112" s="24" t="str">
        <f t="shared" si="2"/>
        <v xml:space="preserve"> </v>
      </c>
      <c r="D112" s="25"/>
      <c r="E112" s="20"/>
      <c r="F112" s="19"/>
      <c r="G112" s="180"/>
      <c r="H112" s="120"/>
      <c r="I112" s="121"/>
      <c r="J112" s="121"/>
      <c r="K112" s="121"/>
      <c r="L112" s="121"/>
      <c r="M112" s="121"/>
      <c r="N112" s="121"/>
      <c r="O112" s="121"/>
      <c r="P112" s="121"/>
      <c r="Q112" s="121"/>
      <c r="R112" s="121"/>
      <c r="S112" s="121"/>
      <c r="T112" s="121"/>
      <c r="U112" s="121"/>
      <c r="V112" s="121"/>
      <c r="W112" s="121"/>
      <c r="X112" s="121"/>
      <c r="Y112" s="121"/>
      <c r="Z112" s="121"/>
      <c r="AA112" s="121"/>
      <c r="AB112" s="121"/>
      <c r="AC112" s="121"/>
      <c r="AD112" s="121"/>
      <c r="AE112" s="121"/>
      <c r="AF112" s="121"/>
      <c r="AG112" s="121"/>
      <c r="AH112" s="121"/>
      <c r="AI112" s="121"/>
      <c r="AJ112" s="121"/>
      <c r="AK112" s="121"/>
      <c r="AL112" s="121"/>
      <c r="AM112" s="121"/>
      <c r="AN112" s="121"/>
      <c r="AO112" s="121"/>
      <c r="AP112" s="121"/>
      <c r="AQ112" s="121"/>
      <c r="AR112" s="121"/>
      <c r="AS112" s="121"/>
      <c r="AT112" s="121"/>
      <c r="AU112" s="121"/>
      <c r="AV112" s="121"/>
      <c r="AW112" s="121"/>
      <c r="AX112" s="121"/>
      <c r="AY112" s="121"/>
      <c r="AZ112" s="121"/>
      <c r="BA112" s="121"/>
      <c r="BB112" s="121"/>
      <c r="BC112" s="121"/>
      <c r="BD112" s="121"/>
      <c r="BE112" s="121"/>
      <c r="BF112" s="121"/>
      <c r="BG112" s="121"/>
      <c r="BH112" s="121"/>
      <c r="BI112" s="121"/>
      <c r="BJ112" s="122"/>
      <c r="BK112" s="93"/>
      <c r="BL112" s="94"/>
      <c r="BM112" s="95"/>
      <c r="BN112" s="179"/>
      <c r="BO112" s="177"/>
      <c r="BP112" s="14"/>
      <c r="BQ112" s="14"/>
      <c r="BR112" s="14"/>
      <c r="BS112" s="14"/>
      <c r="BT112" s="14"/>
      <c r="BU112" s="14"/>
      <c r="BV112" s="16"/>
      <c r="BW112" s="14"/>
      <c r="BX112" s="14"/>
      <c r="BY112" s="14"/>
      <c r="BZ112" s="14"/>
      <c r="CA112" s="14"/>
      <c r="CB112" s="14"/>
      <c r="CC112" s="14"/>
      <c r="CD112" s="14"/>
      <c r="CE112" s="14"/>
      <c r="CF112" s="14"/>
      <c r="CG112" s="14"/>
      <c r="CH112" s="14"/>
      <c r="CI112" s="14"/>
      <c r="CJ112" s="14"/>
      <c r="CK112" s="14"/>
      <c r="CL112" s="14"/>
      <c r="CM112" s="14"/>
      <c r="CN112" s="14"/>
      <c r="CO112" s="14"/>
      <c r="CP112" s="14"/>
      <c r="CQ112" s="14"/>
      <c r="CR112" s="14"/>
      <c r="CS112" s="14"/>
      <c r="CT112" s="14"/>
      <c r="CU112" s="14"/>
      <c r="CV112" s="14"/>
      <c r="CW112" s="14"/>
      <c r="CX112" s="14"/>
      <c r="CY112" s="14"/>
      <c r="CZ112" s="14"/>
      <c r="DA112" s="14"/>
      <c r="DB112" s="14"/>
      <c r="DC112" s="14"/>
      <c r="DD112" s="14"/>
      <c r="DE112" s="14"/>
      <c r="DF112" s="14"/>
      <c r="DG112" s="14"/>
      <c r="DH112" s="14"/>
      <c r="DI112" s="14"/>
      <c r="DJ112" s="14"/>
      <c r="DK112" s="14"/>
      <c r="DL112" s="14"/>
      <c r="DM112" s="14"/>
      <c r="DN112" s="14"/>
      <c r="DO112" s="14"/>
      <c r="DP112" s="26"/>
      <c r="DQ112" s="27"/>
      <c r="DR112" s="129"/>
      <c r="DS112" s="130">
        <f>TCP(BO112:DQ112,$BO$9:$DQ$9,data!$H$8)</f>
        <v>0</v>
      </c>
      <c r="DT112" s="135"/>
      <c r="DU112" s="121"/>
      <c r="DV112" s="121"/>
      <c r="DW112" s="134"/>
      <c r="DX112" s="132"/>
      <c r="DY112" s="136"/>
      <c r="DZ112" s="21"/>
      <c r="EA112" s="18"/>
      <c r="EB112" s="4"/>
      <c r="EI112" s="23"/>
      <c r="EJ112" s="23"/>
    </row>
    <row r="113" spans="1:140" ht="15.75" x14ac:dyDescent="0.25">
      <c r="A113" s="12"/>
      <c r="B113" s="16"/>
      <c r="C113" s="24" t="str">
        <f t="shared" si="2"/>
        <v xml:space="preserve"> </v>
      </c>
      <c r="D113" s="25"/>
      <c r="E113" s="20"/>
      <c r="F113" s="19"/>
      <c r="G113" s="180"/>
      <c r="H113" s="120"/>
      <c r="I113" s="121"/>
      <c r="J113" s="121"/>
      <c r="K113" s="121"/>
      <c r="L113" s="121"/>
      <c r="M113" s="121"/>
      <c r="N113" s="121"/>
      <c r="O113" s="121"/>
      <c r="P113" s="121"/>
      <c r="Q113" s="121"/>
      <c r="R113" s="121"/>
      <c r="S113" s="121"/>
      <c r="T113" s="121"/>
      <c r="U113" s="121"/>
      <c r="V113" s="121"/>
      <c r="W113" s="121"/>
      <c r="X113" s="121"/>
      <c r="Y113" s="121"/>
      <c r="Z113" s="121"/>
      <c r="AA113" s="121"/>
      <c r="AB113" s="121"/>
      <c r="AC113" s="121"/>
      <c r="AD113" s="121"/>
      <c r="AE113" s="121"/>
      <c r="AF113" s="121"/>
      <c r="AG113" s="121"/>
      <c r="AH113" s="121"/>
      <c r="AI113" s="121"/>
      <c r="AJ113" s="121"/>
      <c r="AK113" s="121"/>
      <c r="AL113" s="121"/>
      <c r="AM113" s="121"/>
      <c r="AN113" s="121"/>
      <c r="AO113" s="121"/>
      <c r="AP113" s="121"/>
      <c r="AQ113" s="121"/>
      <c r="AR113" s="121"/>
      <c r="AS113" s="121"/>
      <c r="AT113" s="121"/>
      <c r="AU113" s="121"/>
      <c r="AV113" s="121"/>
      <c r="AW113" s="121"/>
      <c r="AX113" s="121"/>
      <c r="AY113" s="121"/>
      <c r="AZ113" s="121"/>
      <c r="BA113" s="121"/>
      <c r="BB113" s="121"/>
      <c r="BC113" s="121"/>
      <c r="BD113" s="121"/>
      <c r="BE113" s="121"/>
      <c r="BF113" s="121"/>
      <c r="BG113" s="121"/>
      <c r="BH113" s="121"/>
      <c r="BI113" s="121"/>
      <c r="BJ113" s="122"/>
      <c r="BK113" s="93"/>
      <c r="BL113" s="94"/>
      <c r="BM113" s="95"/>
      <c r="BN113" s="179"/>
      <c r="BO113" s="177"/>
      <c r="BP113" s="14"/>
      <c r="BQ113" s="14"/>
      <c r="BR113" s="14"/>
      <c r="BS113" s="14"/>
      <c r="BT113" s="14"/>
      <c r="BU113" s="14"/>
      <c r="BV113" s="16"/>
      <c r="BW113" s="14"/>
      <c r="BX113" s="14"/>
      <c r="BY113" s="14"/>
      <c r="BZ113" s="14"/>
      <c r="CA113" s="14"/>
      <c r="CB113" s="14"/>
      <c r="CC113" s="14"/>
      <c r="CD113" s="14"/>
      <c r="CE113" s="14"/>
      <c r="CF113" s="14"/>
      <c r="CG113" s="14"/>
      <c r="CH113" s="14"/>
      <c r="CI113" s="14"/>
      <c r="CJ113" s="14"/>
      <c r="CK113" s="14"/>
      <c r="CL113" s="14"/>
      <c r="CM113" s="14"/>
      <c r="CN113" s="14"/>
      <c r="CO113" s="14"/>
      <c r="CP113" s="14"/>
      <c r="CQ113" s="14"/>
      <c r="CR113" s="14"/>
      <c r="CS113" s="14"/>
      <c r="CT113" s="14"/>
      <c r="CU113" s="14"/>
      <c r="CV113" s="14"/>
      <c r="CW113" s="14"/>
      <c r="CX113" s="14"/>
      <c r="CY113" s="14"/>
      <c r="CZ113" s="14"/>
      <c r="DA113" s="14"/>
      <c r="DB113" s="14"/>
      <c r="DC113" s="14"/>
      <c r="DD113" s="14"/>
      <c r="DE113" s="14"/>
      <c r="DF113" s="14"/>
      <c r="DG113" s="14"/>
      <c r="DH113" s="14"/>
      <c r="DI113" s="14"/>
      <c r="DJ113" s="14"/>
      <c r="DK113" s="14"/>
      <c r="DL113" s="14"/>
      <c r="DM113" s="14"/>
      <c r="DN113" s="14"/>
      <c r="DO113" s="14"/>
      <c r="DP113" s="26"/>
      <c r="DQ113" s="27"/>
      <c r="DR113" s="129"/>
      <c r="DS113" s="130">
        <f>TCP(BO113:DQ113,$BO$9:$DQ$9,data!$H$8)</f>
        <v>0</v>
      </c>
      <c r="DT113" s="135"/>
      <c r="DU113" s="121"/>
      <c r="DV113" s="121"/>
      <c r="DW113" s="134"/>
      <c r="DX113" s="132"/>
      <c r="DY113" s="136"/>
      <c r="DZ113" s="21"/>
      <c r="EA113" s="18"/>
      <c r="EB113" s="4"/>
      <c r="EI113" s="23"/>
      <c r="EJ113" s="23"/>
    </row>
    <row r="114" spans="1:140" ht="15.75" x14ac:dyDescent="0.25">
      <c r="A114" s="12"/>
      <c r="B114" s="16"/>
      <c r="C114" s="24" t="str">
        <f t="shared" si="2"/>
        <v xml:space="preserve"> </v>
      </c>
      <c r="D114" s="25"/>
      <c r="E114" s="20"/>
      <c r="F114" s="19"/>
      <c r="G114" s="180"/>
      <c r="H114" s="120"/>
      <c r="I114" s="121"/>
      <c r="J114" s="121"/>
      <c r="K114" s="121"/>
      <c r="L114" s="121"/>
      <c r="M114" s="121"/>
      <c r="N114" s="121"/>
      <c r="O114" s="121"/>
      <c r="P114" s="121"/>
      <c r="Q114" s="121"/>
      <c r="R114" s="121"/>
      <c r="S114" s="121"/>
      <c r="T114" s="121"/>
      <c r="U114" s="121"/>
      <c r="V114" s="121"/>
      <c r="W114" s="121"/>
      <c r="X114" s="121"/>
      <c r="Y114" s="121"/>
      <c r="Z114" s="121"/>
      <c r="AA114" s="121"/>
      <c r="AB114" s="121"/>
      <c r="AC114" s="121"/>
      <c r="AD114" s="121"/>
      <c r="AE114" s="121"/>
      <c r="AF114" s="121"/>
      <c r="AG114" s="121"/>
      <c r="AH114" s="121"/>
      <c r="AI114" s="121"/>
      <c r="AJ114" s="121"/>
      <c r="AK114" s="121"/>
      <c r="AL114" s="121"/>
      <c r="AM114" s="121"/>
      <c r="AN114" s="121"/>
      <c r="AO114" s="121"/>
      <c r="AP114" s="121"/>
      <c r="AQ114" s="121"/>
      <c r="AR114" s="121"/>
      <c r="AS114" s="121"/>
      <c r="AT114" s="121"/>
      <c r="AU114" s="121"/>
      <c r="AV114" s="121"/>
      <c r="AW114" s="121"/>
      <c r="AX114" s="121"/>
      <c r="AY114" s="121"/>
      <c r="AZ114" s="121"/>
      <c r="BA114" s="121"/>
      <c r="BB114" s="121"/>
      <c r="BC114" s="121"/>
      <c r="BD114" s="121"/>
      <c r="BE114" s="121"/>
      <c r="BF114" s="121"/>
      <c r="BG114" s="121"/>
      <c r="BH114" s="121"/>
      <c r="BI114" s="121"/>
      <c r="BJ114" s="122"/>
      <c r="BK114" s="93"/>
      <c r="BL114" s="94"/>
      <c r="BM114" s="95"/>
      <c r="BN114" s="179"/>
      <c r="BO114" s="177"/>
      <c r="BP114" s="14"/>
      <c r="BQ114" s="14"/>
      <c r="BR114" s="14"/>
      <c r="BS114" s="14"/>
      <c r="BT114" s="14"/>
      <c r="BU114" s="14"/>
      <c r="BV114" s="16"/>
      <c r="BW114" s="14"/>
      <c r="BX114" s="14"/>
      <c r="BY114" s="14"/>
      <c r="BZ114" s="14"/>
      <c r="CA114" s="14"/>
      <c r="CB114" s="14"/>
      <c r="CC114" s="14"/>
      <c r="CD114" s="14"/>
      <c r="CE114" s="14"/>
      <c r="CF114" s="14"/>
      <c r="CG114" s="14"/>
      <c r="CH114" s="14"/>
      <c r="CI114" s="14"/>
      <c r="CJ114" s="14"/>
      <c r="CK114" s="14"/>
      <c r="CL114" s="14"/>
      <c r="CM114" s="14"/>
      <c r="CN114" s="14"/>
      <c r="CO114" s="14"/>
      <c r="CP114" s="14"/>
      <c r="CQ114" s="14"/>
      <c r="CR114" s="14"/>
      <c r="CS114" s="14"/>
      <c r="CT114" s="14"/>
      <c r="CU114" s="14"/>
      <c r="CV114" s="14"/>
      <c r="CW114" s="14"/>
      <c r="CX114" s="14"/>
      <c r="CY114" s="14"/>
      <c r="CZ114" s="14"/>
      <c r="DA114" s="14"/>
      <c r="DB114" s="14"/>
      <c r="DC114" s="14"/>
      <c r="DD114" s="14"/>
      <c r="DE114" s="14"/>
      <c r="DF114" s="14"/>
      <c r="DG114" s="14"/>
      <c r="DH114" s="14"/>
      <c r="DI114" s="14"/>
      <c r="DJ114" s="14"/>
      <c r="DK114" s="14"/>
      <c r="DL114" s="14"/>
      <c r="DM114" s="14"/>
      <c r="DN114" s="14"/>
      <c r="DO114" s="14"/>
      <c r="DP114" s="26"/>
      <c r="DQ114" s="27"/>
      <c r="DR114" s="129"/>
      <c r="DS114" s="130">
        <f>TCP(BO114:DQ114,$BO$9:$DQ$9,data!$H$8)</f>
        <v>0</v>
      </c>
      <c r="DT114" s="135"/>
      <c r="DU114" s="121"/>
      <c r="DV114" s="121"/>
      <c r="DW114" s="134"/>
      <c r="DX114" s="132"/>
      <c r="DY114" s="136"/>
      <c r="DZ114" s="21"/>
      <c r="EA114" s="18"/>
      <c r="EB114" s="4"/>
      <c r="EI114" s="23"/>
      <c r="EJ114" s="23"/>
    </row>
    <row r="115" spans="1:140" ht="15.75" x14ac:dyDescent="0.25">
      <c r="A115" s="12"/>
      <c r="B115" s="16"/>
      <c r="C115" s="24" t="str">
        <f t="shared" si="2"/>
        <v xml:space="preserve"> </v>
      </c>
      <c r="D115" s="25"/>
      <c r="E115" s="20"/>
      <c r="F115" s="19"/>
      <c r="G115" s="180"/>
      <c r="H115" s="120"/>
      <c r="I115" s="121"/>
      <c r="J115" s="121"/>
      <c r="K115" s="121"/>
      <c r="L115" s="121"/>
      <c r="M115" s="121"/>
      <c r="N115" s="121"/>
      <c r="O115" s="121"/>
      <c r="P115" s="121"/>
      <c r="Q115" s="121"/>
      <c r="R115" s="121"/>
      <c r="S115" s="121"/>
      <c r="T115" s="121"/>
      <c r="U115" s="121"/>
      <c r="V115" s="121"/>
      <c r="W115" s="121"/>
      <c r="X115" s="121"/>
      <c r="Y115" s="121"/>
      <c r="Z115" s="121"/>
      <c r="AA115" s="121"/>
      <c r="AB115" s="121"/>
      <c r="AC115" s="121"/>
      <c r="AD115" s="121"/>
      <c r="AE115" s="121"/>
      <c r="AF115" s="121"/>
      <c r="AG115" s="121"/>
      <c r="AH115" s="121"/>
      <c r="AI115" s="121"/>
      <c r="AJ115" s="121"/>
      <c r="AK115" s="121"/>
      <c r="AL115" s="121"/>
      <c r="AM115" s="121"/>
      <c r="AN115" s="121"/>
      <c r="AO115" s="121"/>
      <c r="AP115" s="121"/>
      <c r="AQ115" s="121"/>
      <c r="AR115" s="121"/>
      <c r="AS115" s="121"/>
      <c r="AT115" s="121"/>
      <c r="AU115" s="121"/>
      <c r="AV115" s="121"/>
      <c r="AW115" s="121"/>
      <c r="AX115" s="121"/>
      <c r="AY115" s="121"/>
      <c r="AZ115" s="121"/>
      <c r="BA115" s="121"/>
      <c r="BB115" s="121"/>
      <c r="BC115" s="121"/>
      <c r="BD115" s="121"/>
      <c r="BE115" s="121"/>
      <c r="BF115" s="121"/>
      <c r="BG115" s="121"/>
      <c r="BH115" s="121"/>
      <c r="BI115" s="121"/>
      <c r="BJ115" s="122"/>
      <c r="BK115" s="93"/>
      <c r="BL115" s="94"/>
      <c r="BM115" s="95"/>
      <c r="BN115" s="179"/>
      <c r="BO115" s="177"/>
      <c r="BP115" s="14"/>
      <c r="BQ115" s="14"/>
      <c r="BR115" s="14"/>
      <c r="BS115" s="14"/>
      <c r="BT115" s="14"/>
      <c r="BU115" s="14"/>
      <c r="BV115" s="16"/>
      <c r="BW115" s="14"/>
      <c r="BX115" s="14"/>
      <c r="BY115" s="14"/>
      <c r="BZ115" s="14"/>
      <c r="CA115" s="14"/>
      <c r="CB115" s="14"/>
      <c r="CC115" s="14"/>
      <c r="CD115" s="14"/>
      <c r="CE115" s="14"/>
      <c r="CF115" s="14"/>
      <c r="CG115" s="14"/>
      <c r="CH115" s="14"/>
      <c r="CI115" s="14"/>
      <c r="CJ115" s="14"/>
      <c r="CK115" s="14"/>
      <c r="CL115" s="14"/>
      <c r="CM115" s="14"/>
      <c r="CN115" s="14"/>
      <c r="CO115" s="14"/>
      <c r="CP115" s="14"/>
      <c r="CQ115" s="14"/>
      <c r="CR115" s="14"/>
      <c r="CS115" s="14"/>
      <c r="CT115" s="14"/>
      <c r="CU115" s="14"/>
      <c r="CV115" s="14"/>
      <c r="CW115" s="14"/>
      <c r="CX115" s="14"/>
      <c r="CY115" s="14"/>
      <c r="CZ115" s="14"/>
      <c r="DA115" s="14"/>
      <c r="DB115" s="14"/>
      <c r="DC115" s="14"/>
      <c r="DD115" s="14"/>
      <c r="DE115" s="14"/>
      <c r="DF115" s="14"/>
      <c r="DG115" s="14"/>
      <c r="DH115" s="14"/>
      <c r="DI115" s="14"/>
      <c r="DJ115" s="14"/>
      <c r="DK115" s="14"/>
      <c r="DL115" s="14"/>
      <c r="DM115" s="14"/>
      <c r="DN115" s="14"/>
      <c r="DO115" s="14"/>
      <c r="DP115" s="26"/>
      <c r="DQ115" s="27"/>
      <c r="DR115" s="129"/>
      <c r="DS115" s="130">
        <f>TCP(BO115:DQ115,$BO$9:$DQ$9,data!$H$8)</f>
        <v>0</v>
      </c>
      <c r="DT115" s="135"/>
      <c r="DU115" s="121"/>
      <c r="DV115" s="121"/>
      <c r="DW115" s="134"/>
      <c r="DX115" s="132"/>
      <c r="DY115" s="136"/>
      <c r="DZ115" s="21"/>
      <c r="EA115" s="18"/>
      <c r="EB115" s="4"/>
      <c r="EI115" s="23"/>
      <c r="EJ115" s="23"/>
    </row>
    <row r="116" spans="1:140" ht="15.75" x14ac:dyDescent="0.25">
      <c r="A116" s="12"/>
      <c r="B116" s="16"/>
      <c r="C116" s="24" t="str">
        <f t="shared" si="2"/>
        <v xml:space="preserve"> </v>
      </c>
      <c r="D116" s="25"/>
      <c r="E116" s="20"/>
      <c r="F116" s="19"/>
      <c r="G116" s="180"/>
      <c r="H116" s="120"/>
      <c r="I116" s="121"/>
      <c r="J116" s="121"/>
      <c r="K116" s="121"/>
      <c r="L116" s="121"/>
      <c r="M116" s="121"/>
      <c r="N116" s="121"/>
      <c r="O116" s="121"/>
      <c r="P116" s="121"/>
      <c r="Q116" s="121"/>
      <c r="R116" s="121"/>
      <c r="S116" s="121"/>
      <c r="T116" s="121"/>
      <c r="U116" s="121"/>
      <c r="V116" s="121"/>
      <c r="W116" s="121"/>
      <c r="X116" s="121"/>
      <c r="Y116" s="121"/>
      <c r="Z116" s="121"/>
      <c r="AA116" s="121"/>
      <c r="AB116" s="121"/>
      <c r="AC116" s="121"/>
      <c r="AD116" s="121"/>
      <c r="AE116" s="121"/>
      <c r="AF116" s="121"/>
      <c r="AG116" s="121"/>
      <c r="AH116" s="121"/>
      <c r="AI116" s="121"/>
      <c r="AJ116" s="121"/>
      <c r="AK116" s="121"/>
      <c r="AL116" s="121"/>
      <c r="AM116" s="121"/>
      <c r="AN116" s="121"/>
      <c r="AO116" s="121"/>
      <c r="AP116" s="121"/>
      <c r="AQ116" s="121"/>
      <c r="AR116" s="121"/>
      <c r="AS116" s="121"/>
      <c r="AT116" s="121"/>
      <c r="AU116" s="121"/>
      <c r="AV116" s="121"/>
      <c r="AW116" s="121"/>
      <c r="AX116" s="121"/>
      <c r="AY116" s="121"/>
      <c r="AZ116" s="121"/>
      <c r="BA116" s="121"/>
      <c r="BB116" s="121"/>
      <c r="BC116" s="121"/>
      <c r="BD116" s="121"/>
      <c r="BE116" s="121"/>
      <c r="BF116" s="121"/>
      <c r="BG116" s="121"/>
      <c r="BH116" s="121"/>
      <c r="BI116" s="121"/>
      <c r="BJ116" s="122"/>
      <c r="BK116" s="93"/>
      <c r="BL116" s="94"/>
      <c r="BM116" s="95"/>
      <c r="BN116" s="179"/>
      <c r="BO116" s="177"/>
      <c r="BP116" s="14"/>
      <c r="BQ116" s="14"/>
      <c r="BR116" s="14"/>
      <c r="BS116" s="14"/>
      <c r="BT116" s="14"/>
      <c r="BU116" s="14"/>
      <c r="BV116" s="16"/>
      <c r="BW116" s="14"/>
      <c r="BX116" s="14"/>
      <c r="BY116" s="14"/>
      <c r="BZ116" s="14"/>
      <c r="CA116" s="14"/>
      <c r="CB116" s="14"/>
      <c r="CC116" s="14"/>
      <c r="CD116" s="14"/>
      <c r="CE116" s="14"/>
      <c r="CF116" s="14"/>
      <c r="CG116" s="14"/>
      <c r="CH116" s="14"/>
      <c r="CI116" s="14"/>
      <c r="CJ116" s="14"/>
      <c r="CK116" s="14"/>
      <c r="CL116" s="14"/>
      <c r="CM116" s="14"/>
      <c r="CN116" s="14"/>
      <c r="CO116" s="14"/>
      <c r="CP116" s="14"/>
      <c r="CQ116" s="14"/>
      <c r="CR116" s="14"/>
      <c r="CS116" s="14"/>
      <c r="CT116" s="14"/>
      <c r="CU116" s="14"/>
      <c r="CV116" s="14"/>
      <c r="CW116" s="14"/>
      <c r="CX116" s="14"/>
      <c r="CY116" s="14"/>
      <c r="CZ116" s="14"/>
      <c r="DA116" s="14"/>
      <c r="DB116" s="14"/>
      <c r="DC116" s="14"/>
      <c r="DD116" s="14"/>
      <c r="DE116" s="14"/>
      <c r="DF116" s="14"/>
      <c r="DG116" s="14"/>
      <c r="DH116" s="14"/>
      <c r="DI116" s="14"/>
      <c r="DJ116" s="14"/>
      <c r="DK116" s="14"/>
      <c r="DL116" s="14"/>
      <c r="DM116" s="14"/>
      <c r="DN116" s="14"/>
      <c r="DO116" s="14"/>
      <c r="DP116" s="26"/>
      <c r="DQ116" s="27"/>
      <c r="DR116" s="129"/>
      <c r="DS116" s="130">
        <f>TCP(BO116:DQ116,$BO$9:$DQ$9,data!$H$8)</f>
        <v>0</v>
      </c>
      <c r="DT116" s="135"/>
      <c r="DU116" s="121"/>
      <c r="DV116" s="121"/>
      <c r="DW116" s="134"/>
      <c r="DX116" s="132"/>
      <c r="DY116" s="136"/>
      <c r="DZ116" s="21"/>
      <c r="EA116" s="18"/>
      <c r="EB116" s="4"/>
      <c r="EI116" s="23"/>
      <c r="EJ116" s="23"/>
    </row>
    <row r="117" spans="1:140" ht="15.75" x14ac:dyDescent="0.25">
      <c r="A117" s="12"/>
      <c r="B117" s="16"/>
      <c r="C117" s="24" t="str">
        <f t="shared" si="2"/>
        <v xml:space="preserve"> </v>
      </c>
      <c r="D117" s="25"/>
      <c r="E117" s="20"/>
      <c r="F117" s="19"/>
      <c r="G117" s="180"/>
      <c r="H117" s="120"/>
      <c r="I117" s="121"/>
      <c r="J117" s="121"/>
      <c r="K117" s="121"/>
      <c r="L117" s="121"/>
      <c r="M117" s="121"/>
      <c r="N117" s="121"/>
      <c r="O117" s="121"/>
      <c r="P117" s="121"/>
      <c r="Q117" s="121"/>
      <c r="R117" s="121"/>
      <c r="S117" s="121"/>
      <c r="T117" s="121"/>
      <c r="U117" s="121"/>
      <c r="V117" s="121"/>
      <c r="W117" s="121"/>
      <c r="X117" s="121"/>
      <c r="Y117" s="121"/>
      <c r="Z117" s="121"/>
      <c r="AA117" s="121"/>
      <c r="AB117" s="121"/>
      <c r="AC117" s="121"/>
      <c r="AD117" s="121"/>
      <c r="AE117" s="121"/>
      <c r="AF117" s="121"/>
      <c r="AG117" s="121"/>
      <c r="AH117" s="121"/>
      <c r="AI117" s="121"/>
      <c r="AJ117" s="121"/>
      <c r="AK117" s="121"/>
      <c r="AL117" s="121"/>
      <c r="AM117" s="121"/>
      <c r="AN117" s="121"/>
      <c r="AO117" s="121"/>
      <c r="AP117" s="121"/>
      <c r="AQ117" s="121"/>
      <c r="AR117" s="121"/>
      <c r="AS117" s="121"/>
      <c r="AT117" s="121"/>
      <c r="AU117" s="121"/>
      <c r="AV117" s="121"/>
      <c r="AW117" s="121"/>
      <c r="AX117" s="121"/>
      <c r="AY117" s="121"/>
      <c r="AZ117" s="121"/>
      <c r="BA117" s="121"/>
      <c r="BB117" s="121"/>
      <c r="BC117" s="121"/>
      <c r="BD117" s="121"/>
      <c r="BE117" s="121"/>
      <c r="BF117" s="121"/>
      <c r="BG117" s="121"/>
      <c r="BH117" s="121"/>
      <c r="BI117" s="121"/>
      <c r="BJ117" s="122"/>
      <c r="BK117" s="93"/>
      <c r="BL117" s="94"/>
      <c r="BM117" s="95"/>
      <c r="BN117" s="179"/>
      <c r="BO117" s="177"/>
      <c r="BP117" s="14"/>
      <c r="BQ117" s="14"/>
      <c r="BR117" s="14"/>
      <c r="BS117" s="14"/>
      <c r="BT117" s="14"/>
      <c r="BU117" s="14"/>
      <c r="BV117" s="16"/>
      <c r="BW117" s="14"/>
      <c r="BX117" s="14"/>
      <c r="BY117" s="14"/>
      <c r="BZ117" s="14"/>
      <c r="CA117" s="14"/>
      <c r="CB117" s="14"/>
      <c r="CC117" s="14"/>
      <c r="CD117" s="14"/>
      <c r="CE117" s="14"/>
      <c r="CF117" s="14"/>
      <c r="CG117" s="14"/>
      <c r="CH117" s="14"/>
      <c r="CI117" s="14"/>
      <c r="CJ117" s="14"/>
      <c r="CK117" s="14"/>
      <c r="CL117" s="14"/>
      <c r="CM117" s="14"/>
      <c r="CN117" s="14"/>
      <c r="CO117" s="14"/>
      <c r="CP117" s="14"/>
      <c r="CQ117" s="14"/>
      <c r="CR117" s="14"/>
      <c r="CS117" s="14"/>
      <c r="CT117" s="14"/>
      <c r="CU117" s="14"/>
      <c r="CV117" s="14"/>
      <c r="CW117" s="14"/>
      <c r="CX117" s="14"/>
      <c r="CY117" s="14"/>
      <c r="CZ117" s="14"/>
      <c r="DA117" s="14"/>
      <c r="DB117" s="14"/>
      <c r="DC117" s="14"/>
      <c r="DD117" s="14"/>
      <c r="DE117" s="14"/>
      <c r="DF117" s="14"/>
      <c r="DG117" s="14"/>
      <c r="DH117" s="14"/>
      <c r="DI117" s="14"/>
      <c r="DJ117" s="14"/>
      <c r="DK117" s="14"/>
      <c r="DL117" s="14"/>
      <c r="DM117" s="14"/>
      <c r="DN117" s="14"/>
      <c r="DO117" s="14"/>
      <c r="DP117" s="26"/>
      <c r="DQ117" s="27"/>
      <c r="DR117" s="129"/>
      <c r="DS117" s="130">
        <f>TCP(BO117:DQ117,$BO$9:$DQ$9,data!$H$8)</f>
        <v>0</v>
      </c>
      <c r="DT117" s="135"/>
      <c r="DU117" s="121"/>
      <c r="DV117" s="121"/>
      <c r="DW117" s="134"/>
      <c r="DX117" s="132"/>
      <c r="DY117" s="136"/>
      <c r="DZ117" s="21"/>
      <c r="EA117" s="18"/>
      <c r="EB117" s="4"/>
      <c r="EI117" s="23"/>
      <c r="EJ117" s="23"/>
    </row>
    <row r="118" spans="1:140" ht="15.75" x14ac:dyDescent="0.25">
      <c r="A118" s="12"/>
      <c r="B118" s="16"/>
      <c r="C118" s="24" t="str">
        <f t="shared" si="2"/>
        <v xml:space="preserve"> </v>
      </c>
      <c r="D118" s="25"/>
      <c r="E118" s="20"/>
      <c r="F118" s="19"/>
      <c r="G118" s="180"/>
      <c r="H118" s="120"/>
      <c r="I118" s="121"/>
      <c r="J118" s="121"/>
      <c r="K118" s="121"/>
      <c r="L118" s="121"/>
      <c r="M118" s="121"/>
      <c r="N118" s="121"/>
      <c r="O118" s="121"/>
      <c r="P118" s="121"/>
      <c r="Q118" s="121"/>
      <c r="R118" s="121"/>
      <c r="S118" s="121"/>
      <c r="T118" s="121"/>
      <c r="U118" s="121"/>
      <c r="V118" s="121"/>
      <c r="W118" s="121"/>
      <c r="X118" s="121"/>
      <c r="Y118" s="121"/>
      <c r="Z118" s="121"/>
      <c r="AA118" s="121"/>
      <c r="AB118" s="121"/>
      <c r="AC118" s="121"/>
      <c r="AD118" s="121"/>
      <c r="AE118" s="121"/>
      <c r="AF118" s="121"/>
      <c r="AG118" s="121"/>
      <c r="AH118" s="121"/>
      <c r="AI118" s="121"/>
      <c r="AJ118" s="121"/>
      <c r="AK118" s="121"/>
      <c r="AL118" s="121"/>
      <c r="AM118" s="121"/>
      <c r="AN118" s="121"/>
      <c r="AO118" s="121"/>
      <c r="AP118" s="121"/>
      <c r="AQ118" s="121"/>
      <c r="AR118" s="121"/>
      <c r="AS118" s="121"/>
      <c r="AT118" s="121"/>
      <c r="AU118" s="121"/>
      <c r="AV118" s="121"/>
      <c r="AW118" s="121"/>
      <c r="AX118" s="121"/>
      <c r="AY118" s="121"/>
      <c r="AZ118" s="121"/>
      <c r="BA118" s="121"/>
      <c r="BB118" s="121"/>
      <c r="BC118" s="121"/>
      <c r="BD118" s="121"/>
      <c r="BE118" s="121"/>
      <c r="BF118" s="121"/>
      <c r="BG118" s="121"/>
      <c r="BH118" s="121"/>
      <c r="BI118" s="121"/>
      <c r="BJ118" s="122"/>
      <c r="BK118" s="93"/>
      <c r="BL118" s="94"/>
      <c r="BM118" s="95"/>
      <c r="BN118" s="179"/>
      <c r="BO118" s="177"/>
      <c r="BP118" s="14"/>
      <c r="BQ118" s="14"/>
      <c r="BR118" s="14"/>
      <c r="BS118" s="14"/>
      <c r="BT118" s="14"/>
      <c r="BU118" s="14"/>
      <c r="BV118" s="16"/>
      <c r="BW118" s="14"/>
      <c r="BX118" s="14"/>
      <c r="BY118" s="14"/>
      <c r="BZ118" s="14"/>
      <c r="CA118" s="14"/>
      <c r="CB118" s="14"/>
      <c r="CC118" s="14"/>
      <c r="CD118" s="14"/>
      <c r="CE118" s="14"/>
      <c r="CF118" s="14"/>
      <c r="CG118" s="14"/>
      <c r="CH118" s="14"/>
      <c r="CI118" s="14"/>
      <c r="CJ118" s="14"/>
      <c r="CK118" s="14"/>
      <c r="CL118" s="14"/>
      <c r="CM118" s="14"/>
      <c r="CN118" s="14"/>
      <c r="CO118" s="14"/>
      <c r="CP118" s="14"/>
      <c r="CQ118" s="14"/>
      <c r="CR118" s="14"/>
      <c r="CS118" s="14"/>
      <c r="CT118" s="14"/>
      <c r="CU118" s="14"/>
      <c r="CV118" s="14"/>
      <c r="CW118" s="14"/>
      <c r="CX118" s="14"/>
      <c r="CY118" s="14"/>
      <c r="CZ118" s="14"/>
      <c r="DA118" s="14"/>
      <c r="DB118" s="14"/>
      <c r="DC118" s="14"/>
      <c r="DD118" s="14"/>
      <c r="DE118" s="14"/>
      <c r="DF118" s="14"/>
      <c r="DG118" s="14"/>
      <c r="DH118" s="14"/>
      <c r="DI118" s="14"/>
      <c r="DJ118" s="14"/>
      <c r="DK118" s="14"/>
      <c r="DL118" s="14"/>
      <c r="DM118" s="14"/>
      <c r="DN118" s="14"/>
      <c r="DO118" s="14"/>
      <c r="DP118" s="26"/>
      <c r="DQ118" s="27"/>
      <c r="DR118" s="129"/>
      <c r="DS118" s="130">
        <f>TCP(BO118:DQ118,$BO$9:$DQ$9,data!$H$8)</f>
        <v>0</v>
      </c>
      <c r="DT118" s="135"/>
      <c r="DU118" s="121"/>
      <c r="DV118" s="121"/>
      <c r="DW118" s="134"/>
      <c r="DX118" s="132"/>
      <c r="DY118" s="136"/>
      <c r="DZ118" s="21"/>
      <c r="EA118" s="18"/>
      <c r="EB118" s="4"/>
      <c r="EI118" s="23"/>
      <c r="EJ118" s="23"/>
    </row>
    <row r="119" spans="1:140" ht="15.75" x14ac:dyDescent="0.25">
      <c r="A119" s="12"/>
      <c r="B119" s="16"/>
      <c r="C119" s="24" t="str">
        <f t="shared" si="2"/>
        <v xml:space="preserve"> </v>
      </c>
      <c r="D119" s="25"/>
      <c r="E119" s="20"/>
      <c r="F119" s="19"/>
      <c r="G119" s="180"/>
      <c r="H119" s="120"/>
      <c r="I119" s="121"/>
      <c r="J119" s="121"/>
      <c r="K119" s="121"/>
      <c r="L119" s="121"/>
      <c r="M119" s="121"/>
      <c r="N119" s="121"/>
      <c r="O119" s="121"/>
      <c r="P119" s="121"/>
      <c r="Q119" s="121"/>
      <c r="R119" s="121"/>
      <c r="S119" s="121"/>
      <c r="T119" s="121"/>
      <c r="U119" s="121"/>
      <c r="V119" s="121"/>
      <c r="W119" s="121"/>
      <c r="X119" s="121"/>
      <c r="Y119" s="121"/>
      <c r="Z119" s="121"/>
      <c r="AA119" s="121"/>
      <c r="AB119" s="121"/>
      <c r="AC119" s="121"/>
      <c r="AD119" s="121"/>
      <c r="AE119" s="121"/>
      <c r="AF119" s="121"/>
      <c r="AG119" s="121"/>
      <c r="AH119" s="121"/>
      <c r="AI119" s="121"/>
      <c r="AJ119" s="121"/>
      <c r="AK119" s="121"/>
      <c r="AL119" s="121"/>
      <c r="AM119" s="121"/>
      <c r="AN119" s="121"/>
      <c r="AO119" s="121"/>
      <c r="AP119" s="121"/>
      <c r="AQ119" s="121"/>
      <c r="AR119" s="121"/>
      <c r="AS119" s="121"/>
      <c r="AT119" s="121"/>
      <c r="AU119" s="121"/>
      <c r="AV119" s="121"/>
      <c r="AW119" s="121"/>
      <c r="AX119" s="121"/>
      <c r="AY119" s="121"/>
      <c r="AZ119" s="121"/>
      <c r="BA119" s="121"/>
      <c r="BB119" s="121"/>
      <c r="BC119" s="121"/>
      <c r="BD119" s="121"/>
      <c r="BE119" s="121"/>
      <c r="BF119" s="121"/>
      <c r="BG119" s="121"/>
      <c r="BH119" s="121"/>
      <c r="BI119" s="121"/>
      <c r="BJ119" s="122"/>
      <c r="BK119" s="93"/>
      <c r="BL119" s="94"/>
      <c r="BM119" s="95"/>
      <c r="BN119" s="179"/>
      <c r="BO119" s="177"/>
      <c r="BP119" s="14"/>
      <c r="BQ119" s="14"/>
      <c r="BR119" s="14"/>
      <c r="BS119" s="14"/>
      <c r="BT119" s="14"/>
      <c r="BU119" s="14"/>
      <c r="BV119" s="16"/>
      <c r="BW119" s="14"/>
      <c r="BX119" s="14"/>
      <c r="BY119" s="14"/>
      <c r="BZ119" s="14"/>
      <c r="CA119" s="14"/>
      <c r="CB119" s="14"/>
      <c r="CC119" s="14"/>
      <c r="CD119" s="14"/>
      <c r="CE119" s="14"/>
      <c r="CF119" s="14"/>
      <c r="CG119" s="14"/>
      <c r="CH119" s="14"/>
      <c r="CI119" s="14"/>
      <c r="CJ119" s="14"/>
      <c r="CK119" s="14"/>
      <c r="CL119" s="14"/>
      <c r="CM119" s="14"/>
      <c r="CN119" s="14"/>
      <c r="CO119" s="14"/>
      <c r="CP119" s="14"/>
      <c r="CQ119" s="14"/>
      <c r="CR119" s="14"/>
      <c r="CS119" s="14"/>
      <c r="CT119" s="14"/>
      <c r="CU119" s="14"/>
      <c r="CV119" s="14"/>
      <c r="CW119" s="14"/>
      <c r="CX119" s="14"/>
      <c r="CY119" s="14"/>
      <c r="CZ119" s="14"/>
      <c r="DA119" s="14"/>
      <c r="DB119" s="14"/>
      <c r="DC119" s="14"/>
      <c r="DD119" s="14"/>
      <c r="DE119" s="14"/>
      <c r="DF119" s="14"/>
      <c r="DG119" s="14"/>
      <c r="DH119" s="14"/>
      <c r="DI119" s="14"/>
      <c r="DJ119" s="14"/>
      <c r="DK119" s="14"/>
      <c r="DL119" s="14"/>
      <c r="DM119" s="14"/>
      <c r="DN119" s="14"/>
      <c r="DO119" s="14"/>
      <c r="DP119" s="26"/>
      <c r="DQ119" s="27"/>
      <c r="DR119" s="129"/>
      <c r="DS119" s="130">
        <f>TCP(BO119:DQ119,$BO$9:$DQ$9,data!$H$8)</f>
        <v>0</v>
      </c>
      <c r="DT119" s="135"/>
      <c r="DU119" s="121"/>
      <c r="DV119" s="121"/>
      <c r="DW119" s="134"/>
      <c r="DX119" s="132"/>
      <c r="DY119" s="136"/>
      <c r="DZ119" s="21"/>
      <c r="EA119" s="18"/>
      <c r="EB119" s="4"/>
      <c r="EI119" s="23"/>
      <c r="EJ119" s="23"/>
    </row>
    <row r="120" spans="1:140" ht="15.75" x14ac:dyDescent="0.25">
      <c r="A120" s="12"/>
      <c r="B120" s="16"/>
      <c r="C120" s="24" t="str">
        <f t="shared" si="2"/>
        <v xml:space="preserve"> </v>
      </c>
      <c r="D120" s="25"/>
      <c r="E120" s="20"/>
      <c r="F120" s="19"/>
      <c r="G120" s="180"/>
      <c r="H120" s="120"/>
      <c r="I120" s="121"/>
      <c r="J120" s="121"/>
      <c r="K120" s="121"/>
      <c r="L120" s="121"/>
      <c r="M120" s="121"/>
      <c r="N120" s="121"/>
      <c r="O120" s="121"/>
      <c r="P120" s="121"/>
      <c r="Q120" s="121"/>
      <c r="R120" s="121"/>
      <c r="S120" s="121"/>
      <c r="T120" s="121"/>
      <c r="U120" s="121"/>
      <c r="V120" s="121"/>
      <c r="W120" s="121"/>
      <c r="X120" s="121"/>
      <c r="Y120" s="121"/>
      <c r="Z120" s="121"/>
      <c r="AA120" s="121"/>
      <c r="AB120" s="121"/>
      <c r="AC120" s="121"/>
      <c r="AD120" s="121"/>
      <c r="AE120" s="121"/>
      <c r="AF120" s="121"/>
      <c r="AG120" s="121"/>
      <c r="AH120" s="121"/>
      <c r="AI120" s="121"/>
      <c r="AJ120" s="121"/>
      <c r="AK120" s="121"/>
      <c r="AL120" s="121"/>
      <c r="AM120" s="121"/>
      <c r="AN120" s="121"/>
      <c r="AO120" s="121"/>
      <c r="AP120" s="121"/>
      <c r="AQ120" s="121"/>
      <c r="AR120" s="121"/>
      <c r="AS120" s="121"/>
      <c r="AT120" s="121"/>
      <c r="AU120" s="121"/>
      <c r="AV120" s="121"/>
      <c r="AW120" s="121"/>
      <c r="AX120" s="121"/>
      <c r="AY120" s="121"/>
      <c r="AZ120" s="121"/>
      <c r="BA120" s="121"/>
      <c r="BB120" s="121"/>
      <c r="BC120" s="121"/>
      <c r="BD120" s="121"/>
      <c r="BE120" s="121"/>
      <c r="BF120" s="121"/>
      <c r="BG120" s="121"/>
      <c r="BH120" s="121"/>
      <c r="BI120" s="121"/>
      <c r="BJ120" s="122"/>
      <c r="BK120" s="93"/>
      <c r="BL120" s="94"/>
      <c r="BM120" s="95"/>
      <c r="BN120" s="179"/>
      <c r="BO120" s="177"/>
      <c r="BP120" s="14"/>
      <c r="BQ120" s="14"/>
      <c r="BR120" s="14"/>
      <c r="BS120" s="14"/>
      <c r="BT120" s="14"/>
      <c r="BU120" s="14"/>
      <c r="BV120" s="16"/>
      <c r="BW120" s="14"/>
      <c r="BX120" s="14"/>
      <c r="BY120" s="14"/>
      <c r="BZ120" s="14"/>
      <c r="CA120" s="14"/>
      <c r="CB120" s="14"/>
      <c r="CC120" s="14"/>
      <c r="CD120" s="14"/>
      <c r="CE120" s="14"/>
      <c r="CF120" s="14"/>
      <c r="CG120" s="14"/>
      <c r="CH120" s="14"/>
      <c r="CI120" s="14"/>
      <c r="CJ120" s="14"/>
      <c r="CK120" s="14"/>
      <c r="CL120" s="14"/>
      <c r="CM120" s="14"/>
      <c r="CN120" s="14"/>
      <c r="CO120" s="14"/>
      <c r="CP120" s="14"/>
      <c r="CQ120" s="14"/>
      <c r="CR120" s="14"/>
      <c r="CS120" s="14"/>
      <c r="CT120" s="14"/>
      <c r="CU120" s="14"/>
      <c r="CV120" s="14"/>
      <c r="CW120" s="14"/>
      <c r="CX120" s="14"/>
      <c r="CY120" s="14"/>
      <c r="CZ120" s="14"/>
      <c r="DA120" s="14"/>
      <c r="DB120" s="14"/>
      <c r="DC120" s="14"/>
      <c r="DD120" s="14"/>
      <c r="DE120" s="14"/>
      <c r="DF120" s="14"/>
      <c r="DG120" s="14"/>
      <c r="DH120" s="14"/>
      <c r="DI120" s="14"/>
      <c r="DJ120" s="14"/>
      <c r="DK120" s="14"/>
      <c r="DL120" s="14"/>
      <c r="DM120" s="14"/>
      <c r="DN120" s="14"/>
      <c r="DO120" s="14"/>
      <c r="DP120" s="26"/>
      <c r="DQ120" s="27"/>
      <c r="DR120" s="129"/>
      <c r="DS120" s="130">
        <f>TCP(BO120:DQ120,$BO$9:$DQ$9,data!$H$8)</f>
        <v>0</v>
      </c>
      <c r="DT120" s="135"/>
      <c r="DU120" s="121"/>
      <c r="DV120" s="121"/>
      <c r="DW120" s="134"/>
      <c r="DX120" s="132"/>
      <c r="DY120" s="136"/>
      <c r="DZ120" s="21"/>
      <c r="EA120" s="18"/>
      <c r="EB120" s="4"/>
      <c r="EI120" s="23"/>
      <c r="EJ120" s="23"/>
    </row>
    <row r="121" spans="1:140" ht="15.75" x14ac:dyDescent="0.25">
      <c r="A121" s="12"/>
      <c r="B121" s="16"/>
      <c r="C121" s="24" t="str">
        <f t="shared" si="2"/>
        <v xml:space="preserve"> </v>
      </c>
      <c r="D121" s="25"/>
      <c r="E121" s="20"/>
      <c r="F121" s="19"/>
      <c r="G121" s="180"/>
      <c r="H121" s="120"/>
      <c r="I121" s="121"/>
      <c r="J121" s="121"/>
      <c r="K121" s="121"/>
      <c r="L121" s="121"/>
      <c r="M121" s="121"/>
      <c r="N121" s="121"/>
      <c r="O121" s="121"/>
      <c r="P121" s="121"/>
      <c r="Q121" s="121"/>
      <c r="R121" s="121"/>
      <c r="S121" s="121"/>
      <c r="T121" s="121"/>
      <c r="U121" s="121"/>
      <c r="V121" s="121"/>
      <c r="W121" s="121"/>
      <c r="X121" s="121"/>
      <c r="Y121" s="121"/>
      <c r="Z121" s="121"/>
      <c r="AA121" s="121"/>
      <c r="AB121" s="121"/>
      <c r="AC121" s="121"/>
      <c r="AD121" s="121"/>
      <c r="AE121" s="121"/>
      <c r="AF121" s="121"/>
      <c r="AG121" s="121"/>
      <c r="AH121" s="121"/>
      <c r="AI121" s="121"/>
      <c r="AJ121" s="121"/>
      <c r="AK121" s="121"/>
      <c r="AL121" s="121"/>
      <c r="AM121" s="121"/>
      <c r="AN121" s="121"/>
      <c r="AO121" s="121"/>
      <c r="AP121" s="121"/>
      <c r="AQ121" s="121"/>
      <c r="AR121" s="121"/>
      <c r="AS121" s="121"/>
      <c r="AT121" s="121"/>
      <c r="AU121" s="121"/>
      <c r="AV121" s="121"/>
      <c r="AW121" s="121"/>
      <c r="AX121" s="121"/>
      <c r="AY121" s="121"/>
      <c r="AZ121" s="121"/>
      <c r="BA121" s="121"/>
      <c r="BB121" s="121"/>
      <c r="BC121" s="121"/>
      <c r="BD121" s="121"/>
      <c r="BE121" s="121"/>
      <c r="BF121" s="121"/>
      <c r="BG121" s="121"/>
      <c r="BH121" s="121"/>
      <c r="BI121" s="121"/>
      <c r="BJ121" s="122"/>
      <c r="BK121" s="93"/>
      <c r="BL121" s="94"/>
      <c r="BM121" s="95"/>
      <c r="BN121" s="179"/>
      <c r="BO121" s="177"/>
      <c r="BP121" s="14"/>
      <c r="BQ121" s="14"/>
      <c r="BR121" s="14"/>
      <c r="BS121" s="14"/>
      <c r="BT121" s="14"/>
      <c r="BU121" s="14"/>
      <c r="BV121" s="16"/>
      <c r="BW121" s="14"/>
      <c r="BX121" s="14"/>
      <c r="BY121" s="14"/>
      <c r="BZ121" s="14"/>
      <c r="CA121" s="14"/>
      <c r="CB121" s="14"/>
      <c r="CC121" s="14"/>
      <c r="CD121" s="14"/>
      <c r="CE121" s="14"/>
      <c r="CF121" s="14"/>
      <c r="CG121" s="14"/>
      <c r="CH121" s="14"/>
      <c r="CI121" s="14"/>
      <c r="CJ121" s="14"/>
      <c r="CK121" s="14"/>
      <c r="CL121" s="14"/>
      <c r="CM121" s="14"/>
      <c r="CN121" s="14"/>
      <c r="CO121" s="14"/>
      <c r="CP121" s="14"/>
      <c r="CQ121" s="14"/>
      <c r="CR121" s="14"/>
      <c r="CS121" s="14"/>
      <c r="CT121" s="14"/>
      <c r="CU121" s="14"/>
      <c r="CV121" s="14"/>
      <c r="CW121" s="14"/>
      <c r="CX121" s="14"/>
      <c r="CY121" s="14"/>
      <c r="CZ121" s="14"/>
      <c r="DA121" s="14"/>
      <c r="DB121" s="14"/>
      <c r="DC121" s="14"/>
      <c r="DD121" s="14"/>
      <c r="DE121" s="14"/>
      <c r="DF121" s="14"/>
      <c r="DG121" s="14"/>
      <c r="DH121" s="14"/>
      <c r="DI121" s="14"/>
      <c r="DJ121" s="14"/>
      <c r="DK121" s="14"/>
      <c r="DL121" s="14"/>
      <c r="DM121" s="14"/>
      <c r="DN121" s="14"/>
      <c r="DO121" s="14"/>
      <c r="DP121" s="26"/>
      <c r="DQ121" s="27"/>
      <c r="DR121" s="129"/>
      <c r="DS121" s="130">
        <f>TCP(BO121:DQ121,$BO$9:$DQ$9,data!$H$8)</f>
        <v>0</v>
      </c>
      <c r="DT121" s="135"/>
      <c r="DU121" s="121"/>
      <c r="DV121" s="121"/>
      <c r="DW121" s="134"/>
      <c r="DX121" s="132"/>
      <c r="DY121" s="136"/>
      <c r="DZ121" s="21"/>
      <c r="EA121" s="18"/>
      <c r="EB121" s="4"/>
      <c r="EI121" s="23"/>
      <c r="EJ121" s="23"/>
    </row>
    <row r="122" spans="1:140" ht="15.75" x14ac:dyDescent="0.25">
      <c r="A122" s="12"/>
      <c r="B122" s="16"/>
      <c r="C122" s="24" t="str">
        <f t="shared" si="2"/>
        <v xml:space="preserve"> </v>
      </c>
      <c r="D122" s="25"/>
      <c r="E122" s="20"/>
      <c r="F122" s="19"/>
      <c r="G122" s="180"/>
      <c r="H122" s="120"/>
      <c r="I122" s="121"/>
      <c r="J122" s="121"/>
      <c r="K122" s="121"/>
      <c r="L122" s="121"/>
      <c r="M122" s="121"/>
      <c r="N122" s="121"/>
      <c r="O122" s="121"/>
      <c r="P122" s="121"/>
      <c r="Q122" s="121"/>
      <c r="R122" s="121"/>
      <c r="S122" s="121"/>
      <c r="T122" s="121"/>
      <c r="U122" s="121"/>
      <c r="V122" s="121"/>
      <c r="W122" s="121"/>
      <c r="X122" s="121"/>
      <c r="Y122" s="121"/>
      <c r="Z122" s="121"/>
      <c r="AA122" s="121"/>
      <c r="AB122" s="121"/>
      <c r="AC122" s="121"/>
      <c r="AD122" s="121"/>
      <c r="AE122" s="121"/>
      <c r="AF122" s="121"/>
      <c r="AG122" s="121"/>
      <c r="AH122" s="121"/>
      <c r="AI122" s="121"/>
      <c r="AJ122" s="121"/>
      <c r="AK122" s="121"/>
      <c r="AL122" s="121"/>
      <c r="AM122" s="121"/>
      <c r="AN122" s="121"/>
      <c r="AO122" s="121"/>
      <c r="AP122" s="121"/>
      <c r="AQ122" s="121"/>
      <c r="AR122" s="121"/>
      <c r="AS122" s="121"/>
      <c r="AT122" s="121"/>
      <c r="AU122" s="121"/>
      <c r="AV122" s="121"/>
      <c r="AW122" s="121"/>
      <c r="AX122" s="121"/>
      <c r="AY122" s="121"/>
      <c r="AZ122" s="121"/>
      <c r="BA122" s="121"/>
      <c r="BB122" s="121"/>
      <c r="BC122" s="121"/>
      <c r="BD122" s="121"/>
      <c r="BE122" s="121"/>
      <c r="BF122" s="121"/>
      <c r="BG122" s="121"/>
      <c r="BH122" s="121"/>
      <c r="BI122" s="121"/>
      <c r="BJ122" s="122"/>
      <c r="BK122" s="93"/>
      <c r="BL122" s="94"/>
      <c r="BM122" s="95"/>
      <c r="BN122" s="179"/>
      <c r="BO122" s="177"/>
      <c r="BP122" s="14"/>
      <c r="BQ122" s="14"/>
      <c r="BR122" s="14"/>
      <c r="BS122" s="14"/>
      <c r="BT122" s="14"/>
      <c r="BU122" s="14"/>
      <c r="BV122" s="16"/>
      <c r="BW122" s="14"/>
      <c r="BX122" s="14"/>
      <c r="BY122" s="14"/>
      <c r="BZ122" s="14"/>
      <c r="CA122" s="14"/>
      <c r="CB122" s="14"/>
      <c r="CC122" s="14"/>
      <c r="CD122" s="14"/>
      <c r="CE122" s="14"/>
      <c r="CF122" s="14"/>
      <c r="CG122" s="14"/>
      <c r="CH122" s="14"/>
      <c r="CI122" s="14"/>
      <c r="CJ122" s="14"/>
      <c r="CK122" s="14"/>
      <c r="CL122" s="14"/>
      <c r="CM122" s="14"/>
      <c r="CN122" s="14"/>
      <c r="CO122" s="14"/>
      <c r="CP122" s="14"/>
      <c r="CQ122" s="14"/>
      <c r="CR122" s="14"/>
      <c r="CS122" s="14"/>
      <c r="CT122" s="14"/>
      <c r="CU122" s="14"/>
      <c r="CV122" s="14"/>
      <c r="CW122" s="14"/>
      <c r="CX122" s="14"/>
      <c r="CY122" s="14"/>
      <c r="CZ122" s="14"/>
      <c r="DA122" s="14"/>
      <c r="DB122" s="14"/>
      <c r="DC122" s="14"/>
      <c r="DD122" s="14"/>
      <c r="DE122" s="14"/>
      <c r="DF122" s="14"/>
      <c r="DG122" s="14"/>
      <c r="DH122" s="14"/>
      <c r="DI122" s="14"/>
      <c r="DJ122" s="14"/>
      <c r="DK122" s="14"/>
      <c r="DL122" s="14"/>
      <c r="DM122" s="14"/>
      <c r="DN122" s="14"/>
      <c r="DO122" s="14"/>
      <c r="DP122" s="26"/>
      <c r="DQ122" s="27"/>
      <c r="DR122" s="129"/>
      <c r="DS122" s="130">
        <f>TCP(BO122:DQ122,$BO$9:$DQ$9,data!$H$8)</f>
        <v>0</v>
      </c>
      <c r="DT122" s="135"/>
      <c r="DU122" s="121"/>
      <c r="DV122" s="121"/>
      <c r="DW122" s="134"/>
      <c r="DX122" s="132"/>
      <c r="DY122" s="136"/>
      <c r="DZ122" s="21"/>
      <c r="EA122" s="18"/>
      <c r="EB122" s="4"/>
      <c r="EI122" s="23"/>
      <c r="EJ122" s="23"/>
    </row>
    <row r="123" spans="1:140" ht="15.75" x14ac:dyDescent="0.25">
      <c r="A123" s="12"/>
      <c r="B123" s="16"/>
      <c r="C123" s="24" t="str">
        <f t="shared" si="2"/>
        <v xml:space="preserve"> </v>
      </c>
      <c r="D123" s="25"/>
      <c r="E123" s="20"/>
      <c r="F123" s="19"/>
      <c r="G123" s="180"/>
      <c r="H123" s="120"/>
      <c r="I123" s="121"/>
      <c r="J123" s="121"/>
      <c r="K123" s="121"/>
      <c r="L123" s="121"/>
      <c r="M123" s="121"/>
      <c r="N123" s="121"/>
      <c r="O123" s="121"/>
      <c r="P123" s="121"/>
      <c r="Q123" s="121"/>
      <c r="R123" s="121"/>
      <c r="S123" s="121"/>
      <c r="T123" s="121"/>
      <c r="U123" s="121"/>
      <c r="V123" s="121"/>
      <c r="W123" s="121"/>
      <c r="X123" s="121"/>
      <c r="Y123" s="121"/>
      <c r="Z123" s="121"/>
      <c r="AA123" s="121"/>
      <c r="AB123" s="121"/>
      <c r="AC123" s="121"/>
      <c r="AD123" s="121"/>
      <c r="AE123" s="121"/>
      <c r="AF123" s="121"/>
      <c r="AG123" s="121"/>
      <c r="AH123" s="121"/>
      <c r="AI123" s="121"/>
      <c r="AJ123" s="121"/>
      <c r="AK123" s="121"/>
      <c r="AL123" s="121"/>
      <c r="AM123" s="121"/>
      <c r="AN123" s="121"/>
      <c r="AO123" s="121"/>
      <c r="AP123" s="121"/>
      <c r="AQ123" s="121"/>
      <c r="AR123" s="121"/>
      <c r="AS123" s="121"/>
      <c r="AT123" s="121"/>
      <c r="AU123" s="121"/>
      <c r="AV123" s="121"/>
      <c r="AW123" s="121"/>
      <c r="AX123" s="121"/>
      <c r="AY123" s="121"/>
      <c r="AZ123" s="121"/>
      <c r="BA123" s="121"/>
      <c r="BB123" s="121"/>
      <c r="BC123" s="121"/>
      <c r="BD123" s="121"/>
      <c r="BE123" s="121"/>
      <c r="BF123" s="121"/>
      <c r="BG123" s="121"/>
      <c r="BH123" s="121"/>
      <c r="BI123" s="121"/>
      <c r="BJ123" s="122"/>
      <c r="BK123" s="93"/>
      <c r="BL123" s="94"/>
      <c r="BM123" s="95"/>
      <c r="BN123" s="179"/>
      <c r="BO123" s="177"/>
      <c r="BP123" s="14"/>
      <c r="BQ123" s="14"/>
      <c r="BR123" s="14"/>
      <c r="BS123" s="14"/>
      <c r="BT123" s="14"/>
      <c r="BU123" s="14"/>
      <c r="BV123" s="16"/>
      <c r="BW123" s="14"/>
      <c r="BX123" s="14"/>
      <c r="BY123" s="14"/>
      <c r="BZ123" s="14"/>
      <c r="CA123" s="14"/>
      <c r="CB123" s="14"/>
      <c r="CC123" s="14"/>
      <c r="CD123" s="14"/>
      <c r="CE123" s="14"/>
      <c r="CF123" s="14"/>
      <c r="CG123" s="14"/>
      <c r="CH123" s="14"/>
      <c r="CI123" s="14"/>
      <c r="CJ123" s="14"/>
      <c r="CK123" s="14"/>
      <c r="CL123" s="14"/>
      <c r="CM123" s="14"/>
      <c r="CN123" s="14"/>
      <c r="CO123" s="14"/>
      <c r="CP123" s="14"/>
      <c r="CQ123" s="14"/>
      <c r="CR123" s="14"/>
      <c r="CS123" s="14"/>
      <c r="CT123" s="14"/>
      <c r="CU123" s="14"/>
      <c r="CV123" s="14"/>
      <c r="CW123" s="14"/>
      <c r="CX123" s="14"/>
      <c r="CY123" s="14"/>
      <c r="CZ123" s="14"/>
      <c r="DA123" s="14"/>
      <c r="DB123" s="14"/>
      <c r="DC123" s="14"/>
      <c r="DD123" s="14"/>
      <c r="DE123" s="14"/>
      <c r="DF123" s="14"/>
      <c r="DG123" s="14"/>
      <c r="DH123" s="14"/>
      <c r="DI123" s="14"/>
      <c r="DJ123" s="14"/>
      <c r="DK123" s="14"/>
      <c r="DL123" s="14"/>
      <c r="DM123" s="14"/>
      <c r="DN123" s="14"/>
      <c r="DO123" s="14"/>
      <c r="DP123" s="26"/>
      <c r="DQ123" s="27"/>
      <c r="DR123" s="129"/>
      <c r="DS123" s="130">
        <f>TCP(BO123:DQ123,$BO$9:$DQ$9,data!$H$8)</f>
        <v>0</v>
      </c>
      <c r="DT123" s="135"/>
      <c r="DU123" s="121"/>
      <c r="DV123" s="121"/>
      <c r="DW123" s="134"/>
      <c r="DX123" s="132"/>
      <c r="DY123" s="136"/>
      <c r="DZ123" s="21"/>
      <c r="EA123" s="18"/>
      <c r="EB123" s="4"/>
      <c r="EI123" s="23"/>
      <c r="EJ123" s="23"/>
    </row>
    <row r="124" spans="1:140" ht="15.75" x14ac:dyDescent="0.25">
      <c r="A124" s="12"/>
      <c r="B124" s="16"/>
      <c r="C124" s="24" t="str">
        <f t="shared" si="2"/>
        <v xml:space="preserve"> </v>
      </c>
      <c r="D124" s="25"/>
      <c r="E124" s="20"/>
      <c r="F124" s="19"/>
      <c r="G124" s="180"/>
      <c r="H124" s="120"/>
      <c r="I124" s="121"/>
      <c r="J124" s="121"/>
      <c r="K124" s="121"/>
      <c r="L124" s="121"/>
      <c r="M124" s="121"/>
      <c r="N124" s="121"/>
      <c r="O124" s="121"/>
      <c r="P124" s="121"/>
      <c r="Q124" s="121"/>
      <c r="R124" s="121"/>
      <c r="S124" s="121"/>
      <c r="T124" s="121"/>
      <c r="U124" s="121"/>
      <c r="V124" s="121"/>
      <c r="W124" s="121"/>
      <c r="X124" s="121"/>
      <c r="Y124" s="121"/>
      <c r="Z124" s="121"/>
      <c r="AA124" s="121"/>
      <c r="AB124" s="121"/>
      <c r="AC124" s="121"/>
      <c r="AD124" s="121"/>
      <c r="AE124" s="121"/>
      <c r="AF124" s="121"/>
      <c r="AG124" s="121"/>
      <c r="AH124" s="121"/>
      <c r="AI124" s="121"/>
      <c r="AJ124" s="121"/>
      <c r="AK124" s="121"/>
      <c r="AL124" s="121"/>
      <c r="AM124" s="121"/>
      <c r="AN124" s="121"/>
      <c r="AO124" s="121"/>
      <c r="AP124" s="121"/>
      <c r="AQ124" s="121"/>
      <c r="AR124" s="121"/>
      <c r="AS124" s="121"/>
      <c r="AT124" s="121"/>
      <c r="AU124" s="121"/>
      <c r="AV124" s="121"/>
      <c r="AW124" s="121"/>
      <c r="AX124" s="121"/>
      <c r="AY124" s="121"/>
      <c r="AZ124" s="121"/>
      <c r="BA124" s="121"/>
      <c r="BB124" s="121"/>
      <c r="BC124" s="121"/>
      <c r="BD124" s="121"/>
      <c r="BE124" s="121"/>
      <c r="BF124" s="121"/>
      <c r="BG124" s="121"/>
      <c r="BH124" s="121"/>
      <c r="BI124" s="121"/>
      <c r="BJ124" s="122"/>
      <c r="BK124" s="93"/>
      <c r="BL124" s="94"/>
      <c r="BM124" s="95"/>
      <c r="BN124" s="179"/>
      <c r="BO124" s="177"/>
      <c r="BP124" s="14"/>
      <c r="BQ124" s="14"/>
      <c r="BR124" s="14"/>
      <c r="BS124" s="14"/>
      <c r="BT124" s="14"/>
      <c r="BU124" s="14"/>
      <c r="BV124" s="16"/>
      <c r="BW124" s="14"/>
      <c r="BX124" s="14"/>
      <c r="BY124" s="14"/>
      <c r="BZ124" s="14"/>
      <c r="CA124" s="14"/>
      <c r="CB124" s="14"/>
      <c r="CC124" s="14"/>
      <c r="CD124" s="14"/>
      <c r="CE124" s="14"/>
      <c r="CF124" s="14"/>
      <c r="CG124" s="14"/>
      <c r="CH124" s="14"/>
      <c r="CI124" s="14"/>
      <c r="CJ124" s="14"/>
      <c r="CK124" s="14"/>
      <c r="CL124" s="14"/>
      <c r="CM124" s="14"/>
      <c r="CN124" s="14"/>
      <c r="CO124" s="14"/>
      <c r="CP124" s="14"/>
      <c r="CQ124" s="14"/>
      <c r="CR124" s="14"/>
      <c r="CS124" s="14"/>
      <c r="CT124" s="14"/>
      <c r="CU124" s="14"/>
      <c r="CV124" s="14"/>
      <c r="CW124" s="14"/>
      <c r="CX124" s="14"/>
      <c r="CY124" s="14"/>
      <c r="CZ124" s="14"/>
      <c r="DA124" s="14"/>
      <c r="DB124" s="14"/>
      <c r="DC124" s="14"/>
      <c r="DD124" s="14"/>
      <c r="DE124" s="14"/>
      <c r="DF124" s="14"/>
      <c r="DG124" s="14"/>
      <c r="DH124" s="14"/>
      <c r="DI124" s="14"/>
      <c r="DJ124" s="14"/>
      <c r="DK124" s="14"/>
      <c r="DL124" s="14"/>
      <c r="DM124" s="14"/>
      <c r="DN124" s="14"/>
      <c r="DO124" s="14"/>
      <c r="DP124" s="26"/>
      <c r="DQ124" s="27"/>
      <c r="DR124" s="129"/>
      <c r="DS124" s="130">
        <f>TCP(BO124:DQ124,$BO$9:$DQ$9,data!$H$8)</f>
        <v>0</v>
      </c>
      <c r="DT124" s="135"/>
      <c r="DU124" s="121"/>
      <c r="DV124" s="121"/>
      <c r="DW124" s="134"/>
      <c r="DX124" s="132"/>
      <c r="DY124" s="136"/>
      <c r="DZ124" s="21"/>
      <c r="EA124" s="18"/>
      <c r="EB124" s="4"/>
      <c r="EI124" s="23"/>
      <c r="EJ124" s="23"/>
    </row>
    <row r="125" spans="1:140" ht="15.75" x14ac:dyDescent="0.25">
      <c r="A125" s="12"/>
      <c r="B125" s="16"/>
      <c r="C125" s="24" t="str">
        <f t="shared" si="2"/>
        <v xml:space="preserve"> </v>
      </c>
      <c r="D125" s="25"/>
      <c r="E125" s="20"/>
      <c r="F125" s="19"/>
      <c r="G125" s="180"/>
      <c r="H125" s="120"/>
      <c r="I125" s="121"/>
      <c r="J125" s="121"/>
      <c r="K125" s="121"/>
      <c r="L125" s="121"/>
      <c r="M125" s="121"/>
      <c r="N125" s="121"/>
      <c r="O125" s="121"/>
      <c r="P125" s="121"/>
      <c r="Q125" s="121"/>
      <c r="R125" s="121"/>
      <c r="S125" s="121"/>
      <c r="T125" s="121"/>
      <c r="U125" s="121"/>
      <c r="V125" s="121"/>
      <c r="W125" s="121"/>
      <c r="X125" s="121"/>
      <c r="Y125" s="121"/>
      <c r="Z125" s="121"/>
      <c r="AA125" s="121"/>
      <c r="AB125" s="121"/>
      <c r="AC125" s="121"/>
      <c r="AD125" s="121"/>
      <c r="AE125" s="121"/>
      <c r="AF125" s="121"/>
      <c r="AG125" s="121"/>
      <c r="AH125" s="121"/>
      <c r="AI125" s="121"/>
      <c r="AJ125" s="121"/>
      <c r="AK125" s="121"/>
      <c r="AL125" s="121"/>
      <c r="AM125" s="121"/>
      <c r="AN125" s="121"/>
      <c r="AO125" s="121"/>
      <c r="AP125" s="121"/>
      <c r="AQ125" s="121"/>
      <c r="AR125" s="121"/>
      <c r="AS125" s="121"/>
      <c r="AT125" s="121"/>
      <c r="AU125" s="121"/>
      <c r="AV125" s="121"/>
      <c r="AW125" s="121"/>
      <c r="AX125" s="121"/>
      <c r="AY125" s="121"/>
      <c r="AZ125" s="121"/>
      <c r="BA125" s="121"/>
      <c r="BB125" s="121"/>
      <c r="BC125" s="121"/>
      <c r="BD125" s="121"/>
      <c r="BE125" s="121"/>
      <c r="BF125" s="121"/>
      <c r="BG125" s="121"/>
      <c r="BH125" s="121"/>
      <c r="BI125" s="121"/>
      <c r="BJ125" s="122"/>
      <c r="BK125" s="93"/>
      <c r="BL125" s="94"/>
      <c r="BM125" s="95"/>
      <c r="BN125" s="179"/>
      <c r="BO125" s="177"/>
      <c r="BP125" s="14"/>
      <c r="BQ125" s="14"/>
      <c r="BR125" s="14"/>
      <c r="BS125" s="14"/>
      <c r="BT125" s="14"/>
      <c r="BU125" s="14"/>
      <c r="BV125" s="16"/>
      <c r="BW125" s="14"/>
      <c r="BX125" s="14"/>
      <c r="BY125" s="14"/>
      <c r="BZ125" s="14"/>
      <c r="CA125" s="14"/>
      <c r="CB125" s="14"/>
      <c r="CC125" s="14"/>
      <c r="CD125" s="14"/>
      <c r="CE125" s="14"/>
      <c r="CF125" s="14"/>
      <c r="CG125" s="14"/>
      <c r="CH125" s="14"/>
      <c r="CI125" s="14"/>
      <c r="CJ125" s="14"/>
      <c r="CK125" s="14"/>
      <c r="CL125" s="14"/>
      <c r="CM125" s="14"/>
      <c r="CN125" s="14"/>
      <c r="CO125" s="14"/>
      <c r="CP125" s="14"/>
      <c r="CQ125" s="14"/>
      <c r="CR125" s="14"/>
      <c r="CS125" s="14"/>
      <c r="CT125" s="14"/>
      <c r="CU125" s="14"/>
      <c r="CV125" s="14"/>
      <c r="CW125" s="14"/>
      <c r="CX125" s="14"/>
      <c r="CY125" s="14"/>
      <c r="CZ125" s="14"/>
      <c r="DA125" s="14"/>
      <c r="DB125" s="14"/>
      <c r="DC125" s="14"/>
      <c r="DD125" s="14"/>
      <c r="DE125" s="14"/>
      <c r="DF125" s="14"/>
      <c r="DG125" s="14"/>
      <c r="DH125" s="14"/>
      <c r="DI125" s="14"/>
      <c r="DJ125" s="14"/>
      <c r="DK125" s="14"/>
      <c r="DL125" s="14"/>
      <c r="DM125" s="14"/>
      <c r="DN125" s="14"/>
      <c r="DO125" s="14"/>
      <c r="DP125" s="26"/>
      <c r="DQ125" s="27"/>
      <c r="DR125" s="129"/>
      <c r="DS125" s="130">
        <f>TCP(BO125:DQ125,$BO$9:$DQ$9,data!$H$8)</f>
        <v>0</v>
      </c>
      <c r="DT125" s="135"/>
      <c r="DU125" s="121"/>
      <c r="DV125" s="121"/>
      <c r="DW125" s="134"/>
      <c r="DX125" s="132"/>
      <c r="DY125" s="136"/>
      <c r="DZ125" s="21"/>
      <c r="EA125" s="18"/>
      <c r="EB125" s="4"/>
      <c r="EI125" s="23"/>
      <c r="EJ125" s="23"/>
    </row>
    <row r="126" spans="1:140" ht="15.75" x14ac:dyDescent="0.25">
      <c r="A126" s="12"/>
      <c r="B126" s="16"/>
      <c r="C126" s="24" t="str">
        <f t="shared" si="2"/>
        <v xml:space="preserve"> </v>
      </c>
      <c r="D126" s="25"/>
      <c r="E126" s="20"/>
      <c r="F126" s="19"/>
      <c r="G126" s="180"/>
      <c r="H126" s="120"/>
      <c r="I126" s="121"/>
      <c r="J126" s="121"/>
      <c r="K126" s="121"/>
      <c r="L126" s="121"/>
      <c r="M126" s="121"/>
      <c r="N126" s="121"/>
      <c r="O126" s="121"/>
      <c r="P126" s="121"/>
      <c r="Q126" s="121"/>
      <c r="R126" s="121"/>
      <c r="S126" s="121"/>
      <c r="T126" s="121"/>
      <c r="U126" s="121"/>
      <c r="V126" s="121"/>
      <c r="W126" s="121"/>
      <c r="X126" s="121"/>
      <c r="Y126" s="121"/>
      <c r="Z126" s="121"/>
      <c r="AA126" s="121"/>
      <c r="AB126" s="121"/>
      <c r="AC126" s="121"/>
      <c r="AD126" s="121"/>
      <c r="AE126" s="121"/>
      <c r="AF126" s="121"/>
      <c r="AG126" s="121"/>
      <c r="AH126" s="121"/>
      <c r="AI126" s="121"/>
      <c r="AJ126" s="121"/>
      <c r="AK126" s="121"/>
      <c r="AL126" s="121"/>
      <c r="AM126" s="121"/>
      <c r="AN126" s="121"/>
      <c r="AO126" s="121"/>
      <c r="AP126" s="121"/>
      <c r="AQ126" s="121"/>
      <c r="AR126" s="121"/>
      <c r="AS126" s="121"/>
      <c r="AT126" s="121"/>
      <c r="AU126" s="121"/>
      <c r="AV126" s="121"/>
      <c r="AW126" s="121"/>
      <c r="AX126" s="121"/>
      <c r="AY126" s="121"/>
      <c r="AZ126" s="121"/>
      <c r="BA126" s="121"/>
      <c r="BB126" s="121"/>
      <c r="BC126" s="121"/>
      <c r="BD126" s="121"/>
      <c r="BE126" s="121"/>
      <c r="BF126" s="121"/>
      <c r="BG126" s="121"/>
      <c r="BH126" s="121"/>
      <c r="BI126" s="121"/>
      <c r="BJ126" s="122"/>
      <c r="BK126" s="93"/>
      <c r="BL126" s="94"/>
      <c r="BM126" s="95"/>
      <c r="BN126" s="179"/>
      <c r="BO126" s="177"/>
      <c r="BP126" s="14"/>
      <c r="BQ126" s="14"/>
      <c r="BR126" s="14"/>
      <c r="BS126" s="14"/>
      <c r="BT126" s="14"/>
      <c r="BU126" s="14"/>
      <c r="BV126" s="16"/>
      <c r="BW126" s="14"/>
      <c r="BX126" s="14"/>
      <c r="BY126" s="14"/>
      <c r="BZ126" s="14"/>
      <c r="CA126" s="14"/>
      <c r="CB126" s="14"/>
      <c r="CC126" s="14"/>
      <c r="CD126" s="14"/>
      <c r="CE126" s="14"/>
      <c r="CF126" s="14"/>
      <c r="CG126" s="14"/>
      <c r="CH126" s="14"/>
      <c r="CI126" s="14"/>
      <c r="CJ126" s="14"/>
      <c r="CK126" s="14"/>
      <c r="CL126" s="14"/>
      <c r="CM126" s="14"/>
      <c r="CN126" s="14"/>
      <c r="CO126" s="14"/>
      <c r="CP126" s="14"/>
      <c r="CQ126" s="14"/>
      <c r="CR126" s="14"/>
      <c r="CS126" s="14"/>
      <c r="CT126" s="14"/>
      <c r="CU126" s="14"/>
      <c r="CV126" s="14"/>
      <c r="CW126" s="14"/>
      <c r="CX126" s="14"/>
      <c r="CY126" s="14"/>
      <c r="CZ126" s="14"/>
      <c r="DA126" s="14"/>
      <c r="DB126" s="14"/>
      <c r="DC126" s="14"/>
      <c r="DD126" s="14"/>
      <c r="DE126" s="14"/>
      <c r="DF126" s="14"/>
      <c r="DG126" s="14"/>
      <c r="DH126" s="14"/>
      <c r="DI126" s="14"/>
      <c r="DJ126" s="14"/>
      <c r="DK126" s="14"/>
      <c r="DL126" s="14"/>
      <c r="DM126" s="14"/>
      <c r="DN126" s="14"/>
      <c r="DO126" s="14"/>
      <c r="DP126" s="26"/>
      <c r="DQ126" s="27"/>
      <c r="DR126" s="129"/>
      <c r="DS126" s="130">
        <f>TCP(BO126:DQ126,$BO$9:$DQ$9,data!$H$8)</f>
        <v>0</v>
      </c>
      <c r="DT126" s="135"/>
      <c r="DU126" s="121"/>
      <c r="DV126" s="121"/>
      <c r="DW126" s="134"/>
      <c r="DX126" s="132"/>
      <c r="DY126" s="136"/>
      <c r="DZ126" s="21"/>
      <c r="EA126" s="18"/>
      <c r="EB126" s="4"/>
      <c r="EI126" s="23"/>
      <c r="EJ126" s="23"/>
    </row>
    <row r="127" spans="1:140" ht="15.75" x14ac:dyDescent="0.25">
      <c r="A127" s="12"/>
      <c r="B127" s="16"/>
      <c r="C127" s="24" t="str">
        <f t="shared" si="2"/>
        <v xml:space="preserve"> </v>
      </c>
      <c r="D127" s="25"/>
      <c r="E127" s="20"/>
      <c r="F127" s="19"/>
      <c r="G127" s="180"/>
      <c r="H127" s="120"/>
      <c r="I127" s="121"/>
      <c r="J127" s="121"/>
      <c r="K127" s="121"/>
      <c r="L127" s="121"/>
      <c r="M127" s="121"/>
      <c r="N127" s="121"/>
      <c r="O127" s="121"/>
      <c r="P127" s="121"/>
      <c r="Q127" s="121"/>
      <c r="R127" s="121"/>
      <c r="S127" s="121"/>
      <c r="T127" s="121"/>
      <c r="U127" s="121"/>
      <c r="V127" s="121"/>
      <c r="W127" s="121"/>
      <c r="X127" s="121"/>
      <c r="Y127" s="121"/>
      <c r="Z127" s="121"/>
      <c r="AA127" s="121"/>
      <c r="AB127" s="121"/>
      <c r="AC127" s="121"/>
      <c r="AD127" s="121"/>
      <c r="AE127" s="121"/>
      <c r="AF127" s="121"/>
      <c r="AG127" s="121"/>
      <c r="AH127" s="121"/>
      <c r="AI127" s="121"/>
      <c r="AJ127" s="121"/>
      <c r="AK127" s="121"/>
      <c r="AL127" s="121"/>
      <c r="AM127" s="121"/>
      <c r="AN127" s="121"/>
      <c r="AO127" s="121"/>
      <c r="AP127" s="121"/>
      <c r="AQ127" s="121"/>
      <c r="AR127" s="121"/>
      <c r="AS127" s="121"/>
      <c r="AT127" s="121"/>
      <c r="AU127" s="121"/>
      <c r="AV127" s="121"/>
      <c r="AW127" s="121"/>
      <c r="AX127" s="121"/>
      <c r="AY127" s="121"/>
      <c r="AZ127" s="121"/>
      <c r="BA127" s="121"/>
      <c r="BB127" s="121"/>
      <c r="BC127" s="121"/>
      <c r="BD127" s="121"/>
      <c r="BE127" s="121"/>
      <c r="BF127" s="121"/>
      <c r="BG127" s="121"/>
      <c r="BH127" s="121"/>
      <c r="BI127" s="121"/>
      <c r="BJ127" s="122"/>
      <c r="BK127" s="93"/>
      <c r="BL127" s="94"/>
      <c r="BM127" s="95"/>
      <c r="BN127" s="179"/>
      <c r="BO127" s="177"/>
      <c r="BP127" s="14"/>
      <c r="BQ127" s="14"/>
      <c r="BR127" s="14"/>
      <c r="BS127" s="14"/>
      <c r="BT127" s="14"/>
      <c r="BU127" s="14"/>
      <c r="BV127" s="16"/>
      <c r="BW127" s="14"/>
      <c r="BX127" s="14"/>
      <c r="BY127" s="14"/>
      <c r="BZ127" s="14"/>
      <c r="CA127" s="14"/>
      <c r="CB127" s="14"/>
      <c r="CC127" s="14"/>
      <c r="CD127" s="14"/>
      <c r="CE127" s="14"/>
      <c r="CF127" s="14"/>
      <c r="CG127" s="14"/>
      <c r="CH127" s="14"/>
      <c r="CI127" s="14"/>
      <c r="CJ127" s="14"/>
      <c r="CK127" s="14"/>
      <c r="CL127" s="14"/>
      <c r="CM127" s="14"/>
      <c r="CN127" s="14"/>
      <c r="CO127" s="14"/>
      <c r="CP127" s="14"/>
      <c r="CQ127" s="14"/>
      <c r="CR127" s="14"/>
      <c r="CS127" s="14"/>
      <c r="CT127" s="14"/>
      <c r="CU127" s="14"/>
      <c r="CV127" s="14"/>
      <c r="CW127" s="14"/>
      <c r="CX127" s="14"/>
      <c r="CY127" s="14"/>
      <c r="CZ127" s="14"/>
      <c r="DA127" s="14"/>
      <c r="DB127" s="14"/>
      <c r="DC127" s="14"/>
      <c r="DD127" s="14"/>
      <c r="DE127" s="14"/>
      <c r="DF127" s="14"/>
      <c r="DG127" s="14"/>
      <c r="DH127" s="14"/>
      <c r="DI127" s="14"/>
      <c r="DJ127" s="14"/>
      <c r="DK127" s="14"/>
      <c r="DL127" s="14"/>
      <c r="DM127" s="14"/>
      <c r="DN127" s="14"/>
      <c r="DO127" s="14"/>
      <c r="DP127" s="26"/>
      <c r="DQ127" s="27"/>
      <c r="DR127" s="129"/>
      <c r="DS127" s="130">
        <f>TCP(BO127:DQ127,$BO$9:$DQ$9,data!$H$8)</f>
        <v>0</v>
      </c>
      <c r="DT127" s="135"/>
      <c r="DU127" s="121"/>
      <c r="DV127" s="121"/>
      <c r="DW127" s="134"/>
      <c r="DX127" s="132"/>
      <c r="DY127" s="136"/>
      <c r="DZ127" s="21"/>
      <c r="EA127" s="18"/>
      <c r="EB127" s="4"/>
      <c r="EI127" s="23"/>
      <c r="EJ127" s="23"/>
    </row>
    <row r="128" spans="1:140" ht="15.75" x14ac:dyDescent="0.25">
      <c r="A128" s="12"/>
      <c r="B128" s="16"/>
      <c r="C128" s="24" t="str">
        <f t="shared" si="2"/>
        <v xml:space="preserve"> </v>
      </c>
      <c r="D128" s="25"/>
      <c r="E128" s="20"/>
      <c r="F128" s="19"/>
      <c r="G128" s="180"/>
      <c r="H128" s="120"/>
      <c r="I128" s="121"/>
      <c r="J128" s="121"/>
      <c r="K128" s="121"/>
      <c r="L128" s="121"/>
      <c r="M128" s="121"/>
      <c r="N128" s="121"/>
      <c r="O128" s="121"/>
      <c r="P128" s="121"/>
      <c r="Q128" s="121"/>
      <c r="R128" s="121"/>
      <c r="S128" s="121"/>
      <c r="T128" s="121"/>
      <c r="U128" s="121"/>
      <c r="V128" s="121"/>
      <c r="W128" s="121"/>
      <c r="X128" s="121"/>
      <c r="Y128" s="121"/>
      <c r="Z128" s="121"/>
      <c r="AA128" s="121"/>
      <c r="AB128" s="121"/>
      <c r="AC128" s="121"/>
      <c r="AD128" s="121"/>
      <c r="AE128" s="121"/>
      <c r="AF128" s="121"/>
      <c r="AG128" s="121"/>
      <c r="AH128" s="121"/>
      <c r="AI128" s="121"/>
      <c r="AJ128" s="121"/>
      <c r="AK128" s="121"/>
      <c r="AL128" s="121"/>
      <c r="AM128" s="121"/>
      <c r="AN128" s="121"/>
      <c r="AO128" s="121"/>
      <c r="AP128" s="121"/>
      <c r="AQ128" s="121"/>
      <c r="AR128" s="121"/>
      <c r="AS128" s="121"/>
      <c r="AT128" s="121"/>
      <c r="AU128" s="121"/>
      <c r="AV128" s="121"/>
      <c r="AW128" s="121"/>
      <c r="AX128" s="121"/>
      <c r="AY128" s="121"/>
      <c r="AZ128" s="121"/>
      <c r="BA128" s="121"/>
      <c r="BB128" s="121"/>
      <c r="BC128" s="121"/>
      <c r="BD128" s="121"/>
      <c r="BE128" s="121"/>
      <c r="BF128" s="121"/>
      <c r="BG128" s="121"/>
      <c r="BH128" s="121"/>
      <c r="BI128" s="121"/>
      <c r="BJ128" s="122"/>
      <c r="BK128" s="93"/>
      <c r="BL128" s="94"/>
      <c r="BM128" s="95"/>
      <c r="BN128" s="179"/>
      <c r="BO128" s="177"/>
      <c r="BP128" s="14"/>
      <c r="BQ128" s="14"/>
      <c r="BR128" s="14"/>
      <c r="BS128" s="14"/>
      <c r="BT128" s="14"/>
      <c r="BU128" s="14"/>
      <c r="BV128" s="16"/>
      <c r="BW128" s="14"/>
      <c r="BX128" s="14"/>
      <c r="BY128" s="14"/>
      <c r="BZ128" s="14"/>
      <c r="CA128" s="14"/>
      <c r="CB128" s="14"/>
      <c r="CC128" s="14"/>
      <c r="CD128" s="14"/>
      <c r="CE128" s="14"/>
      <c r="CF128" s="14"/>
      <c r="CG128" s="14"/>
      <c r="CH128" s="14"/>
      <c r="CI128" s="14"/>
      <c r="CJ128" s="14"/>
      <c r="CK128" s="14"/>
      <c r="CL128" s="14"/>
      <c r="CM128" s="14"/>
      <c r="CN128" s="14"/>
      <c r="CO128" s="14"/>
      <c r="CP128" s="14"/>
      <c r="CQ128" s="14"/>
      <c r="CR128" s="14"/>
      <c r="CS128" s="14"/>
      <c r="CT128" s="14"/>
      <c r="CU128" s="14"/>
      <c r="CV128" s="14"/>
      <c r="CW128" s="14"/>
      <c r="CX128" s="14"/>
      <c r="CY128" s="14"/>
      <c r="CZ128" s="14"/>
      <c r="DA128" s="14"/>
      <c r="DB128" s="14"/>
      <c r="DC128" s="14"/>
      <c r="DD128" s="14"/>
      <c r="DE128" s="14"/>
      <c r="DF128" s="14"/>
      <c r="DG128" s="14"/>
      <c r="DH128" s="14"/>
      <c r="DI128" s="14"/>
      <c r="DJ128" s="14"/>
      <c r="DK128" s="14"/>
      <c r="DL128" s="14"/>
      <c r="DM128" s="14"/>
      <c r="DN128" s="14"/>
      <c r="DO128" s="14"/>
      <c r="DP128" s="26"/>
      <c r="DQ128" s="27"/>
      <c r="DR128" s="129"/>
      <c r="DS128" s="130">
        <f>TCP(BO128:DQ128,$BO$9:$DQ$9,data!$H$8)</f>
        <v>0</v>
      </c>
      <c r="DT128" s="135"/>
      <c r="DU128" s="121"/>
      <c r="DV128" s="121"/>
      <c r="DW128" s="134"/>
      <c r="DX128" s="132"/>
      <c r="DY128" s="136"/>
      <c r="DZ128" s="21"/>
      <c r="EA128" s="18"/>
      <c r="EB128" s="4"/>
      <c r="EI128" s="23"/>
      <c r="EJ128" s="23"/>
    </row>
    <row r="129" spans="1:140" ht="15.75" x14ac:dyDescent="0.25">
      <c r="A129" s="12"/>
      <c r="B129" s="16"/>
      <c r="C129" s="24" t="str">
        <f t="shared" si="2"/>
        <v xml:space="preserve"> </v>
      </c>
      <c r="D129" s="25"/>
      <c r="E129" s="20"/>
      <c r="F129" s="19"/>
      <c r="G129" s="180"/>
      <c r="H129" s="120"/>
      <c r="I129" s="121"/>
      <c r="J129" s="121"/>
      <c r="K129" s="121"/>
      <c r="L129" s="121"/>
      <c r="M129" s="121"/>
      <c r="N129" s="121"/>
      <c r="O129" s="121"/>
      <c r="P129" s="121"/>
      <c r="Q129" s="121"/>
      <c r="R129" s="121"/>
      <c r="S129" s="121"/>
      <c r="T129" s="121"/>
      <c r="U129" s="121"/>
      <c r="V129" s="121"/>
      <c r="W129" s="121"/>
      <c r="X129" s="121"/>
      <c r="Y129" s="121"/>
      <c r="Z129" s="121"/>
      <c r="AA129" s="121"/>
      <c r="AB129" s="121"/>
      <c r="AC129" s="121"/>
      <c r="AD129" s="121"/>
      <c r="AE129" s="121"/>
      <c r="AF129" s="121"/>
      <c r="AG129" s="121"/>
      <c r="AH129" s="121"/>
      <c r="AI129" s="121"/>
      <c r="AJ129" s="121"/>
      <c r="AK129" s="121"/>
      <c r="AL129" s="121"/>
      <c r="AM129" s="121"/>
      <c r="AN129" s="121"/>
      <c r="AO129" s="121"/>
      <c r="AP129" s="121"/>
      <c r="AQ129" s="121"/>
      <c r="AR129" s="121"/>
      <c r="AS129" s="121"/>
      <c r="AT129" s="121"/>
      <c r="AU129" s="121"/>
      <c r="AV129" s="121"/>
      <c r="AW129" s="121"/>
      <c r="AX129" s="121"/>
      <c r="AY129" s="121"/>
      <c r="AZ129" s="121"/>
      <c r="BA129" s="121"/>
      <c r="BB129" s="121"/>
      <c r="BC129" s="121"/>
      <c r="BD129" s="121"/>
      <c r="BE129" s="121"/>
      <c r="BF129" s="121"/>
      <c r="BG129" s="121"/>
      <c r="BH129" s="121"/>
      <c r="BI129" s="121"/>
      <c r="BJ129" s="122"/>
      <c r="BK129" s="93"/>
      <c r="BL129" s="94"/>
      <c r="BM129" s="95"/>
      <c r="BN129" s="179"/>
      <c r="BO129" s="177"/>
      <c r="BP129" s="14"/>
      <c r="BQ129" s="14"/>
      <c r="BR129" s="14"/>
      <c r="BS129" s="14"/>
      <c r="BT129" s="14"/>
      <c r="BU129" s="14"/>
      <c r="BV129" s="16"/>
      <c r="BW129" s="14"/>
      <c r="BX129" s="14"/>
      <c r="BY129" s="14"/>
      <c r="BZ129" s="14"/>
      <c r="CA129" s="14"/>
      <c r="CB129" s="14"/>
      <c r="CC129" s="14"/>
      <c r="CD129" s="14"/>
      <c r="CE129" s="14"/>
      <c r="CF129" s="14"/>
      <c r="CG129" s="14"/>
      <c r="CH129" s="14"/>
      <c r="CI129" s="14"/>
      <c r="CJ129" s="14"/>
      <c r="CK129" s="14"/>
      <c r="CL129" s="14"/>
      <c r="CM129" s="14"/>
      <c r="CN129" s="14"/>
      <c r="CO129" s="14"/>
      <c r="CP129" s="14"/>
      <c r="CQ129" s="14"/>
      <c r="CR129" s="14"/>
      <c r="CS129" s="14"/>
      <c r="CT129" s="14"/>
      <c r="CU129" s="14"/>
      <c r="CV129" s="14"/>
      <c r="CW129" s="14"/>
      <c r="CX129" s="14"/>
      <c r="CY129" s="14"/>
      <c r="CZ129" s="14"/>
      <c r="DA129" s="14"/>
      <c r="DB129" s="14"/>
      <c r="DC129" s="14"/>
      <c r="DD129" s="14"/>
      <c r="DE129" s="14"/>
      <c r="DF129" s="14"/>
      <c r="DG129" s="14"/>
      <c r="DH129" s="14"/>
      <c r="DI129" s="14"/>
      <c r="DJ129" s="14"/>
      <c r="DK129" s="14"/>
      <c r="DL129" s="14"/>
      <c r="DM129" s="14"/>
      <c r="DN129" s="14"/>
      <c r="DO129" s="14"/>
      <c r="DP129" s="26"/>
      <c r="DQ129" s="27"/>
      <c r="DR129" s="129"/>
      <c r="DS129" s="130">
        <f>TCP(BO129:DQ129,$BO$9:$DQ$9,data!$H$8)</f>
        <v>0</v>
      </c>
      <c r="DT129" s="135"/>
      <c r="DU129" s="121"/>
      <c r="DV129" s="121"/>
      <c r="DW129" s="134"/>
      <c r="DX129" s="132"/>
      <c r="DY129" s="136"/>
      <c r="DZ129" s="21"/>
      <c r="EA129" s="18"/>
      <c r="EB129" s="4"/>
      <c r="EI129" s="23"/>
      <c r="EJ129" s="23"/>
    </row>
    <row r="130" spans="1:140" ht="15.75" x14ac:dyDescent="0.25">
      <c r="A130" s="12"/>
      <c r="B130" s="16"/>
      <c r="C130" s="24" t="str">
        <f t="shared" si="2"/>
        <v xml:space="preserve"> </v>
      </c>
      <c r="D130" s="25"/>
      <c r="E130" s="20"/>
      <c r="F130" s="19"/>
      <c r="G130" s="180"/>
      <c r="H130" s="120"/>
      <c r="I130" s="121"/>
      <c r="J130" s="121"/>
      <c r="K130" s="121"/>
      <c r="L130" s="121"/>
      <c r="M130" s="121"/>
      <c r="N130" s="121"/>
      <c r="O130" s="121"/>
      <c r="P130" s="121"/>
      <c r="Q130" s="121"/>
      <c r="R130" s="121"/>
      <c r="S130" s="121"/>
      <c r="T130" s="121"/>
      <c r="U130" s="121"/>
      <c r="V130" s="121"/>
      <c r="W130" s="121"/>
      <c r="X130" s="121"/>
      <c r="Y130" s="121"/>
      <c r="Z130" s="121"/>
      <c r="AA130" s="121"/>
      <c r="AB130" s="121"/>
      <c r="AC130" s="121"/>
      <c r="AD130" s="121"/>
      <c r="AE130" s="121"/>
      <c r="AF130" s="121"/>
      <c r="AG130" s="121"/>
      <c r="AH130" s="121"/>
      <c r="AI130" s="121"/>
      <c r="AJ130" s="121"/>
      <c r="AK130" s="121"/>
      <c r="AL130" s="121"/>
      <c r="AM130" s="121"/>
      <c r="AN130" s="121"/>
      <c r="AO130" s="121"/>
      <c r="AP130" s="121"/>
      <c r="AQ130" s="121"/>
      <c r="AR130" s="121"/>
      <c r="AS130" s="121"/>
      <c r="AT130" s="121"/>
      <c r="AU130" s="121"/>
      <c r="AV130" s="121"/>
      <c r="AW130" s="121"/>
      <c r="AX130" s="121"/>
      <c r="AY130" s="121"/>
      <c r="AZ130" s="121"/>
      <c r="BA130" s="121"/>
      <c r="BB130" s="121"/>
      <c r="BC130" s="121"/>
      <c r="BD130" s="121"/>
      <c r="BE130" s="121"/>
      <c r="BF130" s="121"/>
      <c r="BG130" s="121"/>
      <c r="BH130" s="121"/>
      <c r="BI130" s="121"/>
      <c r="BJ130" s="122"/>
      <c r="BK130" s="93"/>
      <c r="BL130" s="94"/>
      <c r="BM130" s="95"/>
      <c r="BN130" s="179"/>
      <c r="BO130" s="177"/>
      <c r="BP130" s="14"/>
      <c r="BQ130" s="14"/>
      <c r="BR130" s="14"/>
      <c r="BS130" s="14"/>
      <c r="BT130" s="14"/>
      <c r="BU130" s="14"/>
      <c r="BV130" s="16"/>
      <c r="BW130" s="14"/>
      <c r="BX130" s="14"/>
      <c r="BY130" s="14"/>
      <c r="BZ130" s="14"/>
      <c r="CA130" s="14"/>
      <c r="CB130" s="14"/>
      <c r="CC130" s="14"/>
      <c r="CD130" s="14"/>
      <c r="CE130" s="14"/>
      <c r="CF130" s="14"/>
      <c r="CG130" s="14"/>
      <c r="CH130" s="14"/>
      <c r="CI130" s="14"/>
      <c r="CJ130" s="14"/>
      <c r="CK130" s="14"/>
      <c r="CL130" s="14"/>
      <c r="CM130" s="14"/>
      <c r="CN130" s="14"/>
      <c r="CO130" s="14"/>
      <c r="CP130" s="14"/>
      <c r="CQ130" s="14"/>
      <c r="CR130" s="14"/>
      <c r="CS130" s="14"/>
      <c r="CT130" s="14"/>
      <c r="CU130" s="14"/>
      <c r="CV130" s="14"/>
      <c r="CW130" s="14"/>
      <c r="CX130" s="14"/>
      <c r="CY130" s="14"/>
      <c r="CZ130" s="14"/>
      <c r="DA130" s="14"/>
      <c r="DB130" s="14"/>
      <c r="DC130" s="14"/>
      <c r="DD130" s="14"/>
      <c r="DE130" s="14"/>
      <c r="DF130" s="14"/>
      <c r="DG130" s="14"/>
      <c r="DH130" s="14"/>
      <c r="DI130" s="14"/>
      <c r="DJ130" s="14"/>
      <c r="DK130" s="14"/>
      <c r="DL130" s="14"/>
      <c r="DM130" s="14"/>
      <c r="DN130" s="14"/>
      <c r="DO130" s="14"/>
      <c r="DP130" s="26"/>
      <c r="DQ130" s="27"/>
      <c r="DR130" s="129"/>
      <c r="DS130" s="130">
        <f>TCP(BO130:DQ130,$BO$9:$DQ$9,data!$H$8)</f>
        <v>0</v>
      </c>
      <c r="DT130" s="135"/>
      <c r="DU130" s="121"/>
      <c r="DV130" s="121"/>
      <c r="DW130" s="134"/>
      <c r="DX130" s="132"/>
      <c r="DY130" s="136"/>
      <c r="DZ130" s="21"/>
      <c r="EA130" s="18"/>
      <c r="EB130" s="4"/>
      <c r="EI130" s="23"/>
      <c r="EJ130" s="23"/>
    </row>
    <row r="131" spans="1:140" ht="15.75" x14ac:dyDescent="0.25">
      <c r="A131" s="12"/>
      <c r="B131" s="16"/>
      <c r="C131" s="24" t="str">
        <f t="shared" si="2"/>
        <v xml:space="preserve"> </v>
      </c>
      <c r="D131" s="25"/>
      <c r="E131" s="20"/>
      <c r="F131" s="19"/>
      <c r="G131" s="180"/>
      <c r="H131" s="120"/>
      <c r="I131" s="121"/>
      <c r="J131" s="121"/>
      <c r="K131" s="121"/>
      <c r="L131" s="121"/>
      <c r="M131" s="121"/>
      <c r="N131" s="121"/>
      <c r="O131" s="121"/>
      <c r="P131" s="121"/>
      <c r="Q131" s="121"/>
      <c r="R131" s="121"/>
      <c r="S131" s="121"/>
      <c r="T131" s="121"/>
      <c r="U131" s="121"/>
      <c r="V131" s="121"/>
      <c r="W131" s="121"/>
      <c r="X131" s="121"/>
      <c r="Y131" s="121"/>
      <c r="Z131" s="121"/>
      <c r="AA131" s="121"/>
      <c r="AB131" s="121"/>
      <c r="AC131" s="121"/>
      <c r="AD131" s="121"/>
      <c r="AE131" s="121"/>
      <c r="AF131" s="121"/>
      <c r="AG131" s="121"/>
      <c r="AH131" s="121"/>
      <c r="AI131" s="121"/>
      <c r="AJ131" s="121"/>
      <c r="AK131" s="121"/>
      <c r="AL131" s="121"/>
      <c r="AM131" s="121"/>
      <c r="AN131" s="121"/>
      <c r="AO131" s="121"/>
      <c r="AP131" s="121"/>
      <c r="AQ131" s="121"/>
      <c r="AR131" s="121"/>
      <c r="AS131" s="121"/>
      <c r="AT131" s="121"/>
      <c r="AU131" s="121"/>
      <c r="AV131" s="121"/>
      <c r="AW131" s="121"/>
      <c r="AX131" s="121"/>
      <c r="AY131" s="121"/>
      <c r="AZ131" s="121"/>
      <c r="BA131" s="121"/>
      <c r="BB131" s="121"/>
      <c r="BC131" s="121"/>
      <c r="BD131" s="121"/>
      <c r="BE131" s="121"/>
      <c r="BF131" s="121"/>
      <c r="BG131" s="121"/>
      <c r="BH131" s="121"/>
      <c r="BI131" s="121"/>
      <c r="BJ131" s="122"/>
      <c r="BK131" s="93"/>
      <c r="BL131" s="94"/>
      <c r="BM131" s="95"/>
      <c r="BN131" s="179"/>
      <c r="BO131" s="177"/>
      <c r="BP131" s="14"/>
      <c r="BQ131" s="14"/>
      <c r="BR131" s="14"/>
      <c r="BS131" s="14"/>
      <c r="BT131" s="14"/>
      <c r="BU131" s="14"/>
      <c r="BV131" s="16"/>
      <c r="BW131" s="14"/>
      <c r="BX131" s="14"/>
      <c r="BY131" s="14"/>
      <c r="BZ131" s="14"/>
      <c r="CA131" s="14"/>
      <c r="CB131" s="14"/>
      <c r="CC131" s="14"/>
      <c r="CD131" s="14"/>
      <c r="CE131" s="14"/>
      <c r="CF131" s="14"/>
      <c r="CG131" s="14"/>
      <c r="CH131" s="14"/>
      <c r="CI131" s="14"/>
      <c r="CJ131" s="14"/>
      <c r="CK131" s="14"/>
      <c r="CL131" s="14"/>
      <c r="CM131" s="14"/>
      <c r="CN131" s="14"/>
      <c r="CO131" s="14"/>
      <c r="CP131" s="14"/>
      <c r="CQ131" s="14"/>
      <c r="CR131" s="14"/>
      <c r="CS131" s="14"/>
      <c r="CT131" s="14"/>
      <c r="CU131" s="14"/>
      <c r="CV131" s="14"/>
      <c r="CW131" s="14"/>
      <c r="CX131" s="14"/>
      <c r="CY131" s="14"/>
      <c r="CZ131" s="14"/>
      <c r="DA131" s="14"/>
      <c r="DB131" s="14"/>
      <c r="DC131" s="14"/>
      <c r="DD131" s="14"/>
      <c r="DE131" s="14"/>
      <c r="DF131" s="14"/>
      <c r="DG131" s="14"/>
      <c r="DH131" s="14"/>
      <c r="DI131" s="14"/>
      <c r="DJ131" s="14"/>
      <c r="DK131" s="14"/>
      <c r="DL131" s="14"/>
      <c r="DM131" s="14"/>
      <c r="DN131" s="14"/>
      <c r="DO131" s="14"/>
      <c r="DP131" s="26"/>
      <c r="DQ131" s="27"/>
      <c r="DR131" s="129"/>
      <c r="DS131" s="130">
        <f>TCP(BO131:DQ131,$BO$9:$DQ$9,data!$H$8)</f>
        <v>0</v>
      </c>
      <c r="DT131" s="135"/>
      <c r="DU131" s="121"/>
      <c r="DV131" s="121"/>
      <c r="DW131" s="134"/>
      <c r="DX131" s="132"/>
      <c r="DY131" s="136"/>
      <c r="DZ131" s="21"/>
      <c r="EA131" s="18"/>
      <c r="EB131" s="4"/>
      <c r="EI131" s="23"/>
      <c r="EJ131" s="23"/>
    </row>
    <row r="132" spans="1:140" ht="15.75" x14ac:dyDescent="0.25">
      <c r="A132" s="12"/>
      <c r="B132" s="16"/>
      <c r="C132" s="24" t="str">
        <f t="shared" si="2"/>
        <v xml:space="preserve"> </v>
      </c>
      <c r="D132" s="25"/>
      <c r="E132" s="20"/>
      <c r="F132" s="19"/>
      <c r="G132" s="180"/>
      <c r="H132" s="120"/>
      <c r="I132" s="121"/>
      <c r="J132" s="121"/>
      <c r="K132" s="121"/>
      <c r="L132" s="121"/>
      <c r="M132" s="121"/>
      <c r="N132" s="121"/>
      <c r="O132" s="121"/>
      <c r="P132" s="121"/>
      <c r="Q132" s="121"/>
      <c r="R132" s="121"/>
      <c r="S132" s="121"/>
      <c r="T132" s="121"/>
      <c r="U132" s="121"/>
      <c r="V132" s="121"/>
      <c r="W132" s="121"/>
      <c r="X132" s="121"/>
      <c r="Y132" s="121"/>
      <c r="Z132" s="121"/>
      <c r="AA132" s="121"/>
      <c r="AB132" s="121"/>
      <c r="AC132" s="121"/>
      <c r="AD132" s="121"/>
      <c r="AE132" s="121"/>
      <c r="AF132" s="121"/>
      <c r="AG132" s="121"/>
      <c r="AH132" s="121"/>
      <c r="AI132" s="121"/>
      <c r="AJ132" s="121"/>
      <c r="AK132" s="121"/>
      <c r="AL132" s="121"/>
      <c r="AM132" s="121"/>
      <c r="AN132" s="121"/>
      <c r="AO132" s="121"/>
      <c r="AP132" s="121"/>
      <c r="AQ132" s="121"/>
      <c r="AR132" s="121"/>
      <c r="AS132" s="121"/>
      <c r="AT132" s="121"/>
      <c r="AU132" s="121"/>
      <c r="AV132" s="121"/>
      <c r="AW132" s="121"/>
      <c r="AX132" s="121"/>
      <c r="AY132" s="121"/>
      <c r="AZ132" s="121"/>
      <c r="BA132" s="121"/>
      <c r="BB132" s="121"/>
      <c r="BC132" s="121"/>
      <c r="BD132" s="121"/>
      <c r="BE132" s="121"/>
      <c r="BF132" s="121"/>
      <c r="BG132" s="121"/>
      <c r="BH132" s="121"/>
      <c r="BI132" s="121"/>
      <c r="BJ132" s="122"/>
      <c r="BK132" s="93"/>
      <c r="BL132" s="94"/>
      <c r="BM132" s="95"/>
      <c r="BN132" s="179"/>
      <c r="BO132" s="177"/>
      <c r="BP132" s="14"/>
      <c r="BQ132" s="14"/>
      <c r="BR132" s="14"/>
      <c r="BS132" s="14"/>
      <c r="BT132" s="14"/>
      <c r="BU132" s="14"/>
      <c r="BV132" s="16"/>
      <c r="BW132" s="14"/>
      <c r="BX132" s="14"/>
      <c r="BY132" s="14"/>
      <c r="BZ132" s="14"/>
      <c r="CA132" s="14"/>
      <c r="CB132" s="14"/>
      <c r="CC132" s="14"/>
      <c r="CD132" s="14"/>
      <c r="CE132" s="14"/>
      <c r="CF132" s="14"/>
      <c r="CG132" s="14"/>
      <c r="CH132" s="14"/>
      <c r="CI132" s="14"/>
      <c r="CJ132" s="14"/>
      <c r="CK132" s="14"/>
      <c r="CL132" s="14"/>
      <c r="CM132" s="14"/>
      <c r="CN132" s="14"/>
      <c r="CO132" s="14"/>
      <c r="CP132" s="14"/>
      <c r="CQ132" s="14"/>
      <c r="CR132" s="14"/>
      <c r="CS132" s="14"/>
      <c r="CT132" s="14"/>
      <c r="CU132" s="14"/>
      <c r="CV132" s="14"/>
      <c r="CW132" s="14"/>
      <c r="CX132" s="14"/>
      <c r="CY132" s="14"/>
      <c r="CZ132" s="14"/>
      <c r="DA132" s="14"/>
      <c r="DB132" s="14"/>
      <c r="DC132" s="14"/>
      <c r="DD132" s="14"/>
      <c r="DE132" s="14"/>
      <c r="DF132" s="14"/>
      <c r="DG132" s="14"/>
      <c r="DH132" s="14"/>
      <c r="DI132" s="14"/>
      <c r="DJ132" s="14"/>
      <c r="DK132" s="14"/>
      <c r="DL132" s="14"/>
      <c r="DM132" s="14"/>
      <c r="DN132" s="14"/>
      <c r="DO132" s="14"/>
      <c r="DP132" s="26"/>
      <c r="DQ132" s="27"/>
      <c r="DR132" s="129"/>
      <c r="DS132" s="130">
        <f>TCP(BO132:DQ132,$BO$9:$DQ$9,data!$H$8)</f>
        <v>0</v>
      </c>
      <c r="DT132" s="135"/>
      <c r="DU132" s="121"/>
      <c r="DV132" s="121"/>
      <c r="DW132" s="134"/>
      <c r="DX132" s="132"/>
      <c r="DY132" s="136"/>
      <c r="DZ132" s="21"/>
      <c r="EA132" s="18"/>
      <c r="EB132" s="4"/>
      <c r="EI132" s="23"/>
      <c r="EJ132" s="23"/>
    </row>
    <row r="133" spans="1:140" ht="15.75" x14ac:dyDescent="0.25">
      <c r="A133" s="12"/>
      <c r="B133" s="16"/>
      <c r="C133" s="24" t="str">
        <f t="shared" si="2"/>
        <v xml:space="preserve"> </v>
      </c>
      <c r="D133" s="25"/>
      <c r="E133" s="20"/>
      <c r="F133" s="19"/>
      <c r="G133" s="180"/>
      <c r="H133" s="120"/>
      <c r="I133" s="121"/>
      <c r="J133" s="121"/>
      <c r="K133" s="121"/>
      <c r="L133" s="121"/>
      <c r="M133" s="121"/>
      <c r="N133" s="121"/>
      <c r="O133" s="121"/>
      <c r="P133" s="121"/>
      <c r="Q133" s="121"/>
      <c r="R133" s="121"/>
      <c r="S133" s="121"/>
      <c r="T133" s="121"/>
      <c r="U133" s="121"/>
      <c r="V133" s="121"/>
      <c r="W133" s="121"/>
      <c r="X133" s="121"/>
      <c r="Y133" s="121"/>
      <c r="Z133" s="121"/>
      <c r="AA133" s="121"/>
      <c r="AB133" s="121"/>
      <c r="AC133" s="121"/>
      <c r="AD133" s="121"/>
      <c r="AE133" s="121"/>
      <c r="AF133" s="121"/>
      <c r="AG133" s="121"/>
      <c r="AH133" s="121"/>
      <c r="AI133" s="121"/>
      <c r="AJ133" s="121"/>
      <c r="AK133" s="121"/>
      <c r="AL133" s="121"/>
      <c r="AM133" s="121"/>
      <c r="AN133" s="121"/>
      <c r="AO133" s="121"/>
      <c r="AP133" s="121"/>
      <c r="AQ133" s="121"/>
      <c r="AR133" s="121"/>
      <c r="AS133" s="121"/>
      <c r="AT133" s="121"/>
      <c r="AU133" s="121"/>
      <c r="AV133" s="121"/>
      <c r="AW133" s="121"/>
      <c r="AX133" s="121"/>
      <c r="AY133" s="121"/>
      <c r="AZ133" s="121"/>
      <c r="BA133" s="121"/>
      <c r="BB133" s="121"/>
      <c r="BC133" s="121"/>
      <c r="BD133" s="121"/>
      <c r="BE133" s="121"/>
      <c r="BF133" s="121"/>
      <c r="BG133" s="121"/>
      <c r="BH133" s="121"/>
      <c r="BI133" s="121"/>
      <c r="BJ133" s="122"/>
      <c r="BK133" s="93"/>
      <c r="BL133" s="94"/>
      <c r="BM133" s="95"/>
      <c r="BN133" s="179"/>
      <c r="BO133" s="177"/>
      <c r="BP133" s="14"/>
      <c r="BQ133" s="14"/>
      <c r="BR133" s="14"/>
      <c r="BS133" s="14"/>
      <c r="BT133" s="14"/>
      <c r="BU133" s="14"/>
      <c r="BV133" s="16"/>
      <c r="BW133" s="14"/>
      <c r="BX133" s="14"/>
      <c r="BY133" s="14"/>
      <c r="BZ133" s="14"/>
      <c r="CA133" s="14"/>
      <c r="CB133" s="14"/>
      <c r="CC133" s="14"/>
      <c r="CD133" s="14"/>
      <c r="CE133" s="14"/>
      <c r="CF133" s="14"/>
      <c r="CG133" s="14"/>
      <c r="CH133" s="14"/>
      <c r="CI133" s="14"/>
      <c r="CJ133" s="14"/>
      <c r="CK133" s="14"/>
      <c r="CL133" s="14"/>
      <c r="CM133" s="14"/>
      <c r="CN133" s="14"/>
      <c r="CO133" s="14"/>
      <c r="CP133" s="14"/>
      <c r="CQ133" s="14"/>
      <c r="CR133" s="14"/>
      <c r="CS133" s="14"/>
      <c r="CT133" s="14"/>
      <c r="CU133" s="14"/>
      <c r="CV133" s="14"/>
      <c r="CW133" s="14"/>
      <c r="CX133" s="14"/>
      <c r="CY133" s="14"/>
      <c r="CZ133" s="14"/>
      <c r="DA133" s="14"/>
      <c r="DB133" s="14"/>
      <c r="DC133" s="14"/>
      <c r="DD133" s="14"/>
      <c r="DE133" s="14"/>
      <c r="DF133" s="14"/>
      <c r="DG133" s="14"/>
      <c r="DH133" s="14"/>
      <c r="DI133" s="14"/>
      <c r="DJ133" s="14"/>
      <c r="DK133" s="14"/>
      <c r="DL133" s="14"/>
      <c r="DM133" s="14"/>
      <c r="DN133" s="14"/>
      <c r="DO133" s="14"/>
      <c r="DP133" s="26"/>
      <c r="DQ133" s="27"/>
      <c r="DR133" s="129"/>
      <c r="DS133" s="130">
        <f>TCP(BO133:DQ133,$BO$9:$DQ$9,data!$H$8)</f>
        <v>0</v>
      </c>
      <c r="DT133" s="135"/>
      <c r="DU133" s="121"/>
      <c r="DV133" s="121"/>
      <c r="DW133" s="134"/>
      <c r="DX133" s="132"/>
      <c r="DY133" s="136"/>
      <c r="DZ133" s="21"/>
      <c r="EA133" s="18"/>
      <c r="EB133" s="4"/>
      <c r="EI133" s="23"/>
      <c r="EJ133" s="23"/>
    </row>
    <row r="134" spans="1:140" ht="15.75" x14ac:dyDescent="0.25">
      <c r="A134" s="12"/>
      <c r="B134" s="16"/>
      <c r="C134" s="24" t="str">
        <f t="shared" si="2"/>
        <v xml:space="preserve"> </v>
      </c>
      <c r="D134" s="25"/>
      <c r="E134" s="20"/>
      <c r="F134" s="19"/>
      <c r="G134" s="180"/>
      <c r="H134" s="120"/>
      <c r="I134" s="121"/>
      <c r="J134" s="121"/>
      <c r="K134" s="121"/>
      <c r="L134" s="121"/>
      <c r="M134" s="121"/>
      <c r="N134" s="121"/>
      <c r="O134" s="121"/>
      <c r="P134" s="121"/>
      <c r="Q134" s="121"/>
      <c r="R134" s="121"/>
      <c r="S134" s="121"/>
      <c r="T134" s="121"/>
      <c r="U134" s="121"/>
      <c r="V134" s="121"/>
      <c r="W134" s="121"/>
      <c r="X134" s="121"/>
      <c r="Y134" s="121"/>
      <c r="Z134" s="121"/>
      <c r="AA134" s="121"/>
      <c r="AB134" s="121"/>
      <c r="AC134" s="121"/>
      <c r="AD134" s="121"/>
      <c r="AE134" s="121"/>
      <c r="AF134" s="121"/>
      <c r="AG134" s="121"/>
      <c r="AH134" s="121"/>
      <c r="AI134" s="121"/>
      <c r="AJ134" s="121"/>
      <c r="AK134" s="121"/>
      <c r="AL134" s="121"/>
      <c r="AM134" s="121"/>
      <c r="AN134" s="121"/>
      <c r="AO134" s="121"/>
      <c r="AP134" s="121"/>
      <c r="AQ134" s="121"/>
      <c r="AR134" s="121"/>
      <c r="AS134" s="121"/>
      <c r="AT134" s="121"/>
      <c r="AU134" s="121"/>
      <c r="AV134" s="121"/>
      <c r="AW134" s="121"/>
      <c r="AX134" s="121"/>
      <c r="AY134" s="121"/>
      <c r="AZ134" s="121"/>
      <c r="BA134" s="121"/>
      <c r="BB134" s="121"/>
      <c r="BC134" s="121"/>
      <c r="BD134" s="121"/>
      <c r="BE134" s="121"/>
      <c r="BF134" s="121"/>
      <c r="BG134" s="121"/>
      <c r="BH134" s="121"/>
      <c r="BI134" s="121"/>
      <c r="BJ134" s="122"/>
      <c r="BK134" s="93"/>
      <c r="BL134" s="94"/>
      <c r="BM134" s="95"/>
      <c r="BN134" s="179"/>
      <c r="BO134" s="177"/>
      <c r="BP134" s="14"/>
      <c r="BQ134" s="14"/>
      <c r="BR134" s="14"/>
      <c r="BS134" s="14"/>
      <c r="BT134" s="14"/>
      <c r="BU134" s="14"/>
      <c r="BV134" s="16"/>
      <c r="BW134" s="14"/>
      <c r="BX134" s="14"/>
      <c r="BY134" s="14"/>
      <c r="BZ134" s="14"/>
      <c r="CA134" s="14"/>
      <c r="CB134" s="14"/>
      <c r="CC134" s="14"/>
      <c r="CD134" s="14"/>
      <c r="CE134" s="14"/>
      <c r="CF134" s="14"/>
      <c r="CG134" s="14"/>
      <c r="CH134" s="14"/>
      <c r="CI134" s="14"/>
      <c r="CJ134" s="14"/>
      <c r="CK134" s="14"/>
      <c r="CL134" s="14"/>
      <c r="CM134" s="14"/>
      <c r="CN134" s="14"/>
      <c r="CO134" s="14"/>
      <c r="CP134" s="14"/>
      <c r="CQ134" s="14"/>
      <c r="CR134" s="14"/>
      <c r="CS134" s="14"/>
      <c r="CT134" s="14"/>
      <c r="CU134" s="14"/>
      <c r="CV134" s="14"/>
      <c r="CW134" s="14"/>
      <c r="CX134" s="14"/>
      <c r="CY134" s="14"/>
      <c r="CZ134" s="14"/>
      <c r="DA134" s="14"/>
      <c r="DB134" s="14"/>
      <c r="DC134" s="14"/>
      <c r="DD134" s="14"/>
      <c r="DE134" s="14"/>
      <c r="DF134" s="14"/>
      <c r="DG134" s="14"/>
      <c r="DH134" s="14"/>
      <c r="DI134" s="14"/>
      <c r="DJ134" s="14"/>
      <c r="DK134" s="14"/>
      <c r="DL134" s="14"/>
      <c r="DM134" s="14"/>
      <c r="DN134" s="14"/>
      <c r="DO134" s="14"/>
      <c r="DP134" s="26"/>
      <c r="DQ134" s="27"/>
      <c r="DR134" s="129"/>
      <c r="DS134" s="130">
        <f>TCP(BO134:DQ134,$BO$9:$DQ$9,data!$H$8)</f>
        <v>0</v>
      </c>
      <c r="DT134" s="135"/>
      <c r="DU134" s="121"/>
      <c r="DV134" s="121"/>
      <c r="DW134" s="134"/>
      <c r="DX134" s="132"/>
      <c r="DY134" s="136"/>
      <c r="DZ134" s="21"/>
      <c r="EA134" s="18"/>
      <c r="EB134" s="4"/>
      <c r="EI134" s="23"/>
      <c r="EJ134" s="23"/>
    </row>
    <row r="135" spans="1:140" ht="15.75" x14ac:dyDescent="0.25">
      <c r="A135" s="12"/>
      <c r="B135" s="16"/>
      <c r="C135" s="24" t="str">
        <f t="shared" si="2"/>
        <v xml:space="preserve"> </v>
      </c>
      <c r="D135" s="25"/>
      <c r="E135" s="20"/>
      <c r="F135" s="19"/>
      <c r="G135" s="180"/>
      <c r="H135" s="120"/>
      <c r="I135" s="121"/>
      <c r="J135" s="121"/>
      <c r="K135" s="121"/>
      <c r="L135" s="121"/>
      <c r="M135" s="121"/>
      <c r="N135" s="121"/>
      <c r="O135" s="121"/>
      <c r="P135" s="121"/>
      <c r="Q135" s="121"/>
      <c r="R135" s="121"/>
      <c r="S135" s="121"/>
      <c r="T135" s="121"/>
      <c r="U135" s="121"/>
      <c r="V135" s="121"/>
      <c r="W135" s="121"/>
      <c r="X135" s="121"/>
      <c r="Y135" s="121"/>
      <c r="Z135" s="121"/>
      <c r="AA135" s="121"/>
      <c r="AB135" s="121"/>
      <c r="AC135" s="121"/>
      <c r="AD135" s="121"/>
      <c r="AE135" s="121"/>
      <c r="AF135" s="121"/>
      <c r="AG135" s="121"/>
      <c r="AH135" s="121"/>
      <c r="AI135" s="121"/>
      <c r="AJ135" s="121"/>
      <c r="AK135" s="121"/>
      <c r="AL135" s="121"/>
      <c r="AM135" s="121"/>
      <c r="AN135" s="121"/>
      <c r="AO135" s="121"/>
      <c r="AP135" s="121"/>
      <c r="AQ135" s="121"/>
      <c r="AR135" s="121"/>
      <c r="AS135" s="121"/>
      <c r="AT135" s="121"/>
      <c r="AU135" s="121"/>
      <c r="AV135" s="121"/>
      <c r="AW135" s="121"/>
      <c r="AX135" s="121"/>
      <c r="AY135" s="121"/>
      <c r="AZ135" s="121"/>
      <c r="BA135" s="121"/>
      <c r="BB135" s="121"/>
      <c r="BC135" s="121"/>
      <c r="BD135" s="121"/>
      <c r="BE135" s="121"/>
      <c r="BF135" s="121"/>
      <c r="BG135" s="121"/>
      <c r="BH135" s="121"/>
      <c r="BI135" s="121"/>
      <c r="BJ135" s="122"/>
      <c r="BK135" s="93"/>
      <c r="BL135" s="94"/>
      <c r="BM135" s="95"/>
      <c r="BN135" s="179"/>
      <c r="BO135" s="177"/>
      <c r="BP135" s="14"/>
      <c r="BQ135" s="14"/>
      <c r="BR135" s="14"/>
      <c r="BS135" s="14"/>
      <c r="BT135" s="14"/>
      <c r="BU135" s="14"/>
      <c r="BV135" s="16"/>
      <c r="BW135" s="14"/>
      <c r="BX135" s="14"/>
      <c r="BY135" s="14"/>
      <c r="BZ135" s="14"/>
      <c r="CA135" s="14"/>
      <c r="CB135" s="14"/>
      <c r="CC135" s="14"/>
      <c r="CD135" s="14"/>
      <c r="CE135" s="14"/>
      <c r="CF135" s="14"/>
      <c r="CG135" s="14"/>
      <c r="CH135" s="14"/>
      <c r="CI135" s="14"/>
      <c r="CJ135" s="14"/>
      <c r="CK135" s="14"/>
      <c r="CL135" s="14"/>
      <c r="CM135" s="14"/>
      <c r="CN135" s="14"/>
      <c r="CO135" s="14"/>
      <c r="CP135" s="14"/>
      <c r="CQ135" s="14"/>
      <c r="CR135" s="14"/>
      <c r="CS135" s="14"/>
      <c r="CT135" s="14"/>
      <c r="CU135" s="14"/>
      <c r="CV135" s="14"/>
      <c r="CW135" s="14"/>
      <c r="CX135" s="14"/>
      <c r="CY135" s="14"/>
      <c r="CZ135" s="14"/>
      <c r="DA135" s="14"/>
      <c r="DB135" s="14"/>
      <c r="DC135" s="14"/>
      <c r="DD135" s="14"/>
      <c r="DE135" s="14"/>
      <c r="DF135" s="14"/>
      <c r="DG135" s="14"/>
      <c r="DH135" s="14"/>
      <c r="DI135" s="14"/>
      <c r="DJ135" s="14"/>
      <c r="DK135" s="14"/>
      <c r="DL135" s="14"/>
      <c r="DM135" s="14"/>
      <c r="DN135" s="14"/>
      <c r="DO135" s="14"/>
      <c r="DP135" s="26"/>
      <c r="DQ135" s="27"/>
      <c r="DR135" s="129"/>
      <c r="DS135" s="130">
        <f>TCP(BO135:DQ135,$BO$9:$DQ$9,data!$H$8)</f>
        <v>0</v>
      </c>
      <c r="DT135" s="135"/>
      <c r="DU135" s="121"/>
      <c r="DV135" s="121"/>
      <c r="DW135" s="134"/>
      <c r="DX135" s="132"/>
      <c r="DY135" s="136"/>
      <c r="DZ135" s="21"/>
      <c r="EA135" s="18"/>
      <c r="EB135" s="4"/>
      <c r="EI135" s="23"/>
      <c r="EJ135" s="23"/>
    </row>
    <row r="136" spans="1:140" ht="15.75" x14ac:dyDescent="0.25">
      <c r="A136" s="12"/>
      <c r="B136" s="16"/>
      <c r="C136" s="24" t="str">
        <f t="shared" si="2"/>
        <v xml:space="preserve"> </v>
      </c>
      <c r="D136" s="25"/>
      <c r="E136" s="20"/>
      <c r="F136" s="19"/>
      <c r="G136" s="180"/>
      <c r="H136" s="120"/>
      <c r="I136" s="121"/>
      <c r="J136" s="121"/>
      <c r="K136" s="121"/>
      <c r="L136" s="121"/>
      <c r="M136" s="121"/>
      <c r="N136" s="121"/>
      <c r="O136" s="121"/>
      <c r="P136" s="121"/>
      <c r="Q136" s="121"/>
      <c r="R136" s="121"/>
      <c r="S136" s="121"/>
      <c r="T136" s="121"/>
      <c r="U136" s="121"/>
      <c r="V136" s="121"/>
      <c r="W136" s="121"/>
      <c r="X136" s="121"/>
      <c r="Y136" s="121"/>
      <c r="Z136" s="121"/>
      <c r="AA136" s="121"/>
      <c r="AB136" s="121"/>
      <c r="AC136" s="121"/>
      <c r="AD136" s="121"/>
      <c r="AE136" s="121"/>
      <c r="AF136" s="121"/>
      <c r="AG136" s="121"/>
      <c r="AH136" s="121"/>
      <c r="AI136" s="121"/>
      <c r="AJ136" s="121"/>
      <c r="AK136" s="121"/>
      <c r="AL136" s="121"/>
      <c r="AM136" s="121"/>
      <c r="AN136" s="121"/>
      <c r="AO136" s="121"/>
      <c r="AP136" s="121"/>
      <c r="AQ136" s="121"/>
      <c r="AR136" s="121"/>
      <c r="AS136" s="121"/>
      <c r="AT136" s="121"/>
      <c r="AU136" s="121"/>
      <c r="AV136" s="121"/>
      <c r="AW136" s="121"/>
      <c r="AX136" s="121"/>
      <c r="AY136" s="121"/>
      <c r="AZ136" s="121"/>
      <c r="BA136" s="121"/>
      <c r="BB136" s="121"/>
      <c r="BC136" s="121"/>
      <c r="BD136" s="121"/>
      <c r="BE136" s="121"/>
      <c r="BF136" s="121"/>
      <c r="BG136" s="121"/>
      <c r="BH136" s="121"/>
      <c r="BI136" s="121"/>
      <c r="BJ136" s="122"/>
      <c r="BK136" s="93"/>
      <c r="BL136" s="94"/>
      <c r="BM136" s="95"/>
      <c r="BN136" s="179"/>
      <c r="BO136" s="177"/>
      <c r="BP136" s="14"/>
      <c r="BQ136" s="14"/>
      <c r="BR136" s="14"/>
      <c r="BS136" s="14"/>
      <c r="BT136" s="14"/>
      <c r="BU136" s="14"/>
      <c r="BV136" s="16"/>
      <c r="BW136" s="14"/>
      <c r="BX136" s="14"/>
      <c r="BY136" s="14"/>
      <c r="BZ136" s="14"/>
      <c r="CA136" s="14"/>
      <c r="CB136" s="14"/>
      <c r="CC136" s="14"/>
      <c r="CD136" s="14"/>
      <c r="CE136" s="14"/>
      <c r="CF136" s="14"/>
      <c r="CG136" s="14"/>
      <c r="CH136" s="14"/>
      <c r="CI136" s="14"/>
      <c r="CJ136" s="14"/>
      <c r="CK136" s="14"/>
      <c r="CL136" s="14"/>
      <c r="CM136" s="14"/>
      <c r="CN136" s="14"/>
      <c r="CO136" s="14"/>
      <c r="CP136" s="14"/>
      <c r="CQ136" s="14"/>
      <c r="CR136" s="14"/>
      <c r="CS136" s="14"/>
      <c r="CT136" s="14"/>
      <c r="CU136" s="14"/>
      <c r="CV136" s="14"/>
      <c r="CW136" s="14"/>
      <c r="CX136" s="14"/>
      <c r="CY136" s="14"/>
      <c r="CZ136" s="14"/>
      <c r="DA136" s="14"/>
      <c r="DB136" s="14"/>
      <c r="DC136" s="14"/>
      <c r="DD136" s="14"/>
      <c r="DE136" s="14"/>
      <c r="DF136" s="14"/>
      <c r="DG136" s="14"/>
      <c r="DH136" s="14"/>
      <c r="DI136" s="14"/>
      <c r="DJ136" s="14"/>
      <c r="DK136" s="14"/>
      <c r="DL136" s="14"/>
      <c r="DM136" s="14"/>
      <c r="DN136" s="14"/>
      <c r="DO136" s="14"/>
      <c r="DP136" s="26"/>
      <c r="DQ136" s="27"/>
      <c r="DR136" s="129"/>
      <c r="DS136" s="130">
        <f>TCP(BO136:DQ136,$BO$9:$DQ$9,data!$H$8)</f>
        <v>0</v>
      </c>
      <c r="DT136" s="135"/>
      <c r="DU136" s="121"/>
      <c r="DV136" s="121"/>
      <c r="DW136" s="134"/>
      <c r="DX136" s="132"/>
      <c r="DY136" s="136"/>
      <c r="DZ136" s="21"/>
      <c r="EA136" s="18"/>
      <c r="EB136" s="4"/>
      <c r="EI136" s="23"/>
      <c r="EJ136" s="23"/>
    </row>
    <row r="137" spans="1:140" ht="15.75" x14ac:dyDescent="0.25">
      <c r="A137" s="12"/>
      <c r="B137" s="16"/>
      <c r="C137" s="24" t="str">
        <f t="shared" si="2"/>
        <v xml:space="preserve"> </v>
      </c>
      <c r="D137" s="25"/>
      <c r="E137" s="20"/>
      <c r="F137" s="19"/>
      <c r="G137" s="180"/>
      <c r="H137" s="120"/>
      <c r="I137" s="121"/>
      <c r="J137" s="121"/>
      <c r="K137" s="121"/>
      <c r="L137" s="121"/>
      <c r="M137" s="121"/>
      <c r="N137" s="121"/>
      <c r="O137" s="121"/>
      <c r="P137" s="121"/>
      <c r="Q137" s="121"/>
      <c r="R137" s="121"/>
      <c r="S137" s="121"/>
      <c r="T137" s="121"/>
      <c r="U137" s="121"/>
      <c r="V137" s="121"/>
      <c r="W137" s="121"/>
      <c r="X137" s="121"/>
      <c r="Y137" s="121"/>
      <c r="Z137" s="121"/>
      <c r="AA137" s="121"/>
      <c r="AB137" s="121"/>
      <c r="AC137" s="121"/>
      <c r="AD137" s="121"/>
      <c r="AE137" s="121"/>
      <c r="AF137" s="121"/>
      <c r="AG137" s="121"/>
      <c r="AH137" s="121"/>
      <c r="AI137" s="121"/>
      <c r="AJ137" s="121"/>
      <c r="AK137" s="121"/>
      <c r="AL137" s="121"/>
      <c r="AM137" s="121"/>
      <c r="AN137" s="121"/>
      <c r="AO137" s="121"/>
      <c r="AP137" s="121"/>
      <c r="AQ137" s="121"/>
      <c r="AR137" s="121"/>
      <c r="AS137" s="121"/>
      <c r="AT137" s="121"/>
      <c r="AU137" s="121"/>
      <c r="AV137" s="121"/>
      <c r="AW137" s="121"/>
      <c r="AX137" s="121"/>
      <c r="AY137" s="121"/>
      <c r="AZ137" s="121"/>
      <c r="BA137" s="121"/>
      <c r="BB137" s="121"/>
      <c r="BC137" s="121"/>
      <c r="BD137" s="121"/>
      <c r="BE137" s="121"/>
      <c r="BF137" s="121"/>
      <c r="BG137" s="121"/>
      <c r="BH137" s="121"/>
      <c r="BI137" s="121"/>
      <c r="BJ137" s="122"/>
      <c r="BK137" s="93"/>
      <c r="BL137" s="94"/>
      <c r="BM137" s="95"/>
      <c r="BN137" s="179"/>
      <c r="BO137" s="177"/>
      <c r="BP137" s="14"/>
      <c r="BQ137" s="14"/>
      <c r="BR137" s="14"/>
      <c r="BS137" s="14"/>
      <c r="BT137" s="14"/>
      <c r="BU137" s="14"/>
      <c r="BV137" s="16"/>
      <c r="BW137" s="14"/>
      <c r="BX137" s="14"/>
      <c r="BY137" s="14"/>
      <c r="BZ137" s="14"/>
      <c r="CA137" s="14"/>
      <c r="CB137" s="14"/>
      <c r="CC137" s="14"/>
      <c r="CD137" s="14"/>
      <c r="CE137" s="14"/>
      <c r="CF137" s="14"/>
      <c r="CG137" s="14"/>
      <c r="CH137" s="14"/>
      <c r="CI137" s="14"/>
      <c r="CJ137" s="14"/>
      <c r="CK137" s="14"/>
      <c r="CL137" s="14"/>
      <c r="CM137" s="14"/>
      <c r="CN137" s="14"/>
      <c r="CO137" s="14"/>
      <c r="CP137" s="14"/>
      <c r="CQ137" s="14"/>
      <c r="CR137" s="14"/>
      <c r="CS137" s="14"/>
      <c r="CT137" s="14"/>
      <c r="CU137" s="14"/>
      <c r="CV137" s="14"/>
      <c r="CW137" s="14"/>
      <c r="CX137" s="14"/>
      <c r="CY137" s="14"/>
      <c r="CZ137" s="14"/>
      <c r="DA137" s="14"/>
      <c r="DB137" s="14"/>
      <c r="DC137" s="14"/>
      <c r="DD137" s="14"/>
      <c r="DE137" s="14"/>
      <c r="DF137" s="14"/>
      <c r="DG137" s="14"/>
      <c r="DH137" s="14"/>
      <c r="DI137" s="14"/>
      <c r="DJ137" s="14"/>
      <c r="DK137" s="14"/>
      <c r="DL137" s="14"/>
      <c r="DM137" s="14"/>
      <c r="DN137" s="14"/>
      <c r="DO137" s="14"/>
      <c r="DP137" s="26"/>
      <c r="DQ137" s="27"/>
      <c r="DR137" s="129"/>
      <c r="DS137" s="130">
        <f>TCP(BO137:DQ137,$BO$9:$DQ$9,data!$H$8)</f>
        <v>0</v>
      </c>
      <c r="DT137" s="135"/>
      <c r="DU137" s="121"/>
      <c r="DV137" s="121"/>
      <c r="DW137" s="134"/>
      <c r="DX137" s="132"/>
      <c r="DY137" s="136"/>
      <c r="DZ137" s="21"/>
      <c r="EA137" s="18"/>
      <c r="EB137" s="4"/>
      <c r="EI137" s="23"/>
      <c r="EJ137" s="23"/>
    </row>
    <row r="138" spans="1:140" ht="15.75" x14ac:dyDescent="0.25">
      <c r="A138" s="12"/>
      <c r="B138" s="16"/>
      <c r="C138" s="24" t="str">
        <f t="shared" si="2"/>
        <v xml:space="preserve"> </v>
      </c>
      <c r="D138" s="25"/>
      <c r="E138" s="20"/>
      <c r="F138" s="19"/>
      <c r="G138" s="180"/>
      <c r="H138" s="120"/>
      <c r="I138" s="121"/>
      <c r="J138" s="121"/>
      <c r="K138" s="121"/>
      <c r="L138" s="121"/>
      <c r="M138" s="121"/>
      <c r="N138" s="121"/>
      <c r="O138" s="121"/>
      <c r="P138" s="121"/>
      <c r="Q138" s="121"/>
      <c r="R138" s="121"/>
      <c r="S138" s="121"/>
      <c r="T138" s="121"/>
      <c r="U138" s="121"/>
      <c r="V138" s="121"/>
      <c r="W138" s="121"/>
      <c r="X138" s="121"/>
      <c r="Y138" s="121"/>
      <c r="Z138" s="121"/>
      <c r="AA138" s="121"/>
      <c r="AB138" s="121"/>
      <c r="AC138" s="121"/>
      <c r="AD138" s="121"/>
      <c r="AE138" s="121"/>
      <c r="AF138" s="121"/>
      <c r="AG138" s="121"/>
      <c r="AH138" s="121"/>
      <c r="AI138" s="121"/>
      <c r="AJ138" s="121"/>
      <c r="AK138" s="121"/>
      <c r="AL138" s="121"/>
      <c r="AM138" s="121"/>
      <c r="AN138" s="121"/>
      <c r="AO138" s="121"/>
      <c r="AP138" s="121"/>
      <c r="AQ138" s="121"/>
      <c r="AR138" s="121"/>
      <c r="AS138" s="121"/>
      <c r="AT138" s="121"/>
      <c r="AU138" s="121"/>
      <c r="AV138" s="121"/>
      <c r="AW138" s="121"/>
      <c r="AX138" s="121"/>
      <c r="AY138" s="121"/>
      <c r="AZ138" s="121"/>
      <c r="BA138" s="121"/>
      <c r="BB138" s="121"/>
      <c r="BC138" s="121"/>
      <c r="BD138" s="121"/>
      <c r="BE138" s="121"/>
      <c r="BF138" s="121"/>
      <c r="BG138" s="121"/>
      <c r="BH138" s="121"/>
      <c r="BI138" s="121"/>
      <c r="BJ138" s="122"/>
      <c r="BK138" s="93"/>
      <c r="BL138" s="94"/>
      <c r="BM138" s="95"/>
      <c r="BN138" s="179"/>
      <c r="BO138" s="177"/>
      <c r="BP138" s="14"/>
      <c r="BQ138" s="14"/>
      <c r="BR138" s="14"/>
      <c r="BS138" s="14"/>
      <c r="BT138" s="14"/>
      <c r="BU138" s="14"/>
      <c r="BV138" s="16"/>
      <c r="BW138" s="14"/>
      <c r="BX138" s="14"/>
      <c r="BY138" s="14"/>
      <c r="BZ138" s="14"/>
      <c r="CA138" s="14"/>
      <c r="CB138" s="14"/>
      <c r="CC138" s="14"/>
      <c r="CD138" s="14"/>
      <c r="CE138" s="14"/>
      <c r="CF138" s="14"/>
      <c r="CG138" s="14"/>
      <c r="CH138" s="14"/>
      <c r="CI138" s="14"/>
      <c r="CJ138" s="14"/>
      <c r="CK138" s="14"/>
      <c r="CL138" s="14"/>
      <c r="CM138" s="14"/>
      <c r="CN138" s="14"/>
      <c r="CO138" s="14"/>
      <c r="CP138" s="14"/>
      <c r="CQ138" s="14"/>
      <c r="CR138" s="14"/>
      <c r="CS138" s="14"/>
      <c r="CT138" s="14"/>
      <c r="CU138" s="14"/>
      <c r="CV138" s="14"/>
      <c r="CW138" s="14"/>
      <c r="CX138" s="14"/>
      <c r="CY138" s="14"/>
      <c r="CZ138" s="14"/>
      <c r="DA138" s="14"/>
      <c r="DB138" s="14"/>
      <c r="DC138" s="14"/>
      <c r="DD138" s="14"/>
      <c r="DE138" s="14"/>
      <c r="DF138" s="14"/>
      <c r="DG138" s="14"/>
      <c r="DH138" s="14"/>
      <c r="DI138" s="14"/>
      <c r="DJ138" s="14"/>
      <c r="DK138" s="14"/>
      <c r="DL138" s="14"/>
      <c r="DM138" s="14"/>
      <c r="DN138" s="14"/>
      <c r="DO138" s="14"/>
      <c r="DP138" s="26"/>
      <c r="DQ138" s="27"/>
      <c r="DR138" s="129"/>
      <c r="DS138" s="130">
        <f>TCP(BO138:DQ138,$BO$9:$DQ$9,data!$H$8)</f>
        <v>0</v>
      </c>
      <c r="DT138" s="135"/>
      <c r="DU138" s="121"/>
      <c r="DV138" s="121"/>
      <c r="DW138" s="134"/>
      <c r="DX138" s="132"/>
      <c r="DY138" s="136"/>
      <c r="DZ138" s="21"/>
      <c r="EA138" s="18"/>
      <c r="EB138" s="4"/>
      <c r="EI138" s="23"/>
      <c r="EJ138" s="23"/>
    </row>
    <row r="139" spans="1:140" ht="15.75" x14ac:dyDescent="0.25">
      <c r="A139" s="12"/>
      <c r="B139" s="16"/>
      <c r="C139" s="24" t="str">
        <f t="shared" si="2"/>
        <v xml:space="preserve"> </v>
      </c>
      <c r="D139" s="25"/>
      <c r="E139" s="20"/>
      <c r="F139" s="19"/>
      <c r="G139" s="180"/>
      <c r="H139" s="120"/>
      <c r="I139" s="121"/>
      <c r="J139" s="121"/>
      <c r="K139" s="121"/>
      <c r="L139" s="121"/>
      <c r="M139" s="121"/>
      <c r="N139" s="121"/>
      <c r="O139" s="121"/>
      <c r="P139" s="121"/>
      <c r="Q139" s="121"/>
      <c r="R139" s="121"/>
      <c r="S139" s="121"/>
      <c r="T139" s="121"/>
      <c r="U139" s="121"/>
      <c r="V139" s="121"/>
      <c r="W139" s="121"/>
      <c r="X139" s="121"/>
      <c r="Y139" s="121"/>
      <c r="Z139" s="121"/>
      <c r="AA139" s="121"/>
      <c r="AB139" s="121"/>
      <c r="AC139" s="121"/>
      <c r="AD139" s="121"/>
      <c r="AE139" s="121"/>
      <c r="AF139" s="121"/>
      <c r="AG139" s="121"/>
      <c r="AH139" s="121"/>
      <c r="AI139" s="121"/>
      <c r="AJ139" s="121"/>
      <c r="AK139" s="121"/>
      <c r="AL139" s="121"/>
      <c r="AM139" s="121"/>
      <c r="AN139" s="121"/>
      <c r="AO139" s="121"/>
      <c r="AP139" s="121"/>
      <c r="AQ139" s="121"/>
      <c r="AR139" s="121"/>
      <c r="AS139" s="121"/>
      <c r="AT139" s="121"/>
      <c r="AU139" s="121"/>
      <c r="AV139" s="121"/>
      <c r="AW139" s="121"/>
      <c r="AX139" s="121"/>
      <c r="AY139" s="121"/>
      <c r="AZ139" s="121"/>
      <c r="BA139" s="121"/>
      <c r="BB139" s="121"/>
      <c r="BC139" s="121"/>
      <c r="BD139" s="121"/>
      <c r="BE139" s="121"/>
      <c r="BF139" s="121"/>
      <c r="BG139" s="121"/>
      <c r="BH139" s="121"/>
      <c r="BI139" s="121"/>
      <c r="BJ139" s="122"/>
      <c r="BK139" s="93"/>
      <c r="BL139" s="94"/>
      <c r="BM139" s="95"/>
      <c r="BN139" s="179"/>
      <c r="BO139" s="177"/>
      <c r="BP139" s="14"/>
      <c r="BQ139" s="14"/>
      <c r="BR139" s="14"/>
      <c r="BS139" s="14"/>
      <c r="BT139" s="14"/>
      <c r="BU139" s="14"/>
      <c r="BV139" s="16"/>
      <c r="BW139" s="14"/>
      <c r="BX139" s="14"/>
      <c r="BY139" s="14"/>
      <c r="BZ139" s="14"/>
      <c r="CA139" s="14"/>
      <c r="CB139" s="14"/>
      <c r="CC139" s="14"/>
      <c r="CD139" s="14"/>
      <c r="CE139" s="14"/>
      <c r="CF139" s="14"/>
      <c r="CG139" s="14"/>
      <c r="CH139" s="14"/>
      <c r="CI139" s="14"/>
      <c r="CJ139" s="14"/>
      <c r="CK139" s="14"/>
      <c r="CL139" s="14"/>
      <c r="CM139" s="14"/>
      <c r="CN139" s="14"/>
      <c r="CO139" s="14"/>
      <c r="CP139" s="14"/>
      <c r="CQ139" s="14"/>
      <c r="CR139" s="14"/>
      <c r="CS139" s="14"/>
      <c r="CT139" s="14"/>
      <c r="CU139" s="14"/>
      <c r="CV139" s="14"/>
      <c r="CW139" s="14"/>
      <c r="CX139" s="14"/>
      <c r="CY139" s="14"/>
      <c r="CZ139" s="14"/>
      <c r="DA139" s="14"/>
      <c r="DB139" s="14"/>
      <c r="DC139" s="14"/>
      <c r="DD139" s="14"/>
      <c r="DE139" s="14"/>
      <c r="DF139" s="14"/>
      <c r="DG139" s="14"/>
      <c r="DH139" s="14"/>
      <c r="DI139" s="14"/>
      <c r="DJ139" s="14"/>
      <c r="DK139" s="14"/>
      <c r="DL139" s="14"/>
      <c r="DM139" s="14"/>
      <c r="DN139" s="14"/>
      <c r="DO139" s="14"/>
      <c r="DP139" s="26"/>
      <c r="DQ139" s="27"/>
      <c r="DR139" s="129"/>
      <c r="DS139" s="130">
        <f>TCP(BO139:DQ139,$BO$9:$DQ$9,data!$H$8)</f>
        <v>0</v>
      </c>
      <c r="DT139" s="135"/>
      <c r="DU139" s="121"/>
      <c r="DV139" s="121"/>
      <c r="DW139" s="134"/>
      <c r="DX139" s="132"/>
      <c r="DY139" s="136"/>
      <c r="DZ139" s="21"/>
      <c r="EA139" s="18"/>
      <c r="EB139" s="4"/>
      <c r="EI139" s="23"/>
      <c r="EJ139" s="23"/>
    </row>
    <row r="140" spans="1:140" ht="15.75" x14ac:dyDescent="0.25">
      <c r="A140" s="12"/>
      <c r="B140" s="16"/>
      <c r="C140" s="24" t="str">
        <f t="shared" ref="C140:C175" si="3">D140 &amp; " " &amp; E140</f>
        <v xml:space="preserve"> </v>
      </c>
      <c r="D140" s="25"/>
      <c r="E140" s="20"/>
      <c r="F140" s="19"/>
      <c r="G140" s="180"/>
      <c r="H140" s="120"/>
      <c r="I140" s="121"/>
      <c r="J140" s="121"/>
      <c r="K140" s="121"/>
      <c r="L140" s="121"/>
      <c r="M140" s="121"/>
      <c r="N140" s="121"/>
      <c r="O140" s="121"/>
      <c r="P140" s="121"/>
      <c r="Q140" s="121"/>
      <c r="R140" s="121"/>
      <c r="S140" s="121"/>
      <c r="T140" s="121"/>
      <c r="U140" s="121"/>
      <c r="V140" s="121"/>
      <c r="W140" s="121"/>
      <c r="X140" s="121"/>
      <c r="Y140" s="121"/>
      <c r="Z140" s="121"/>
      <c r="AA140" s="121"/>
      <c r="AB140" s="121"/>
      <c r="AC140" s="121"/>
      <c r="AD140" s="121"/>
      <c r="AE140" s="121"/>
      <c r="AF140" s="121"/>
      <c r="AG140" s="121"/>
      <c r="AH140" s="121"/>
      <c r="AI140" s="121"/>
      <c r="AJ140" s="121"/>
      <c r="AK140" s="121"/>
      <c r="AL140" s="121"/>
      <c r="AM140" s="121"/>
      <c r="AN140" s="121"/>
      <c r="AO140" s="121"/>
      <c r="AP140" s="121"/>
      <c r="AQ140" s="121"/>
      <c r="AR140" s="121"/>
      <c r="AS140" s="121"/>
      <c r="AT140" s="121"/>
      <c r="AU140" s="121"/>
      <c r="AV140" s="121"/>
      <c r="AW140" s="121"/>
      <c r="AX140" s="121"/>
      <c r="AY140" s="121"/>
      <c r="AZ140" s="121"/>
      <c r="BA140" s="121"/>
      <c r="BB140" s="121"/>
      <c r="BC140" s="121"/>
      <c r="BD140" s="121"/>
      <c r="BE140" s="121"/>
      <c r="BF140" s="121"/>
      <c r="BG140" s="121"/>
      <c r="BH140" s="121"/>
      <c r="BI140" s="121"/>
      <c r="BJ140" s="122"/>
      <c r="BK140" s="93"/>
      <c r="BL140" s="94"/>
      <c r="BM140" s="95"/>
      <c r="BN140" s="179"/>
      <c r="BO140" s="177"/>
      <c r="BP140" s="14"/>
      <c r="BQ140" s="14"/>
      <c r="BR140" s="14"/>
      <c r="BS140" s="14"/>
      <c r="BT140" s="14"/>
      <c r="BU140" s="14"/>
      <c r="BV140" s="16"/>
      <c r="BW140" s="14"/>
      <c r="BX140" s="14"/>
      <c r="BY140" s="14"/>
      <c r="BZ140" s="14"/>
      <c r="CA140" s="14"/>
      <c r="CB140" s="14"/>
      <c r="CC140" s="14"/>
      <c r="CD140" s="14"/>
      <c r="CE140" s="14"/>
      <c r="CF140" s="14"/>
      <c r="CG140" s="14"/>
      <c r="CH140" s="14"/>
      <c r="CI140" s="14"/>
      <c r="CJ140" s="14"/>
      <c r="CK140" s="14"/>
      <c r="CL140" s="14"/>
      <c r="CM140" s="14"/>
      <c r="CN140" s="14"/>
      <c r="CO140" s="14"/>
      <c r="CP140" s="14"/>
      <c r="CQ140" s="14"/>
      <c r="CR140" s="14"/>
      <c r="CS140" s="14"/>
      <c r="CT140" s="14"/>
      <c r="CU140" s="14"/>
      <c r="CV140" s="14"/>
      <c r="CW140" s="14"/>
      <c r="CX140" s="14"/>
      <c r="CY140" s="14"/>
      <c r="CZ140" s="14"/>
      <c r="DA140" s="14"/>
      <c r="DB140" s="14"/>
      <c r="DC140" s="14"/>
      <c r="DD140" s="14"/>
      <c r="DE140" s="14"/>
      <c r="DF140" s="14"/>
      <c r="DG140" s="14"/>
      <c r="DH140" s="14"/>
      <c r="DI140" s="14"/>
      <c r="DJ140" s="14"/>
      <c r="DK140" s="14"/>
      <c r="DL140" s="14"/>
      <c r="DM140" s="14"/>
      <c r="DN140" s="14"/>
      <c r="DO140" s="14"/>
      <c r="DP140" s="26"/>
      <c r="DQ140" s="27"/>
      <c r="DR140" s="129"/>
      <c r="DS140" s="130">
        <f>TCP(BO140:DQ140,$BO$9:$DQ$9,data!$H$8)</f>
        <v>0</v>
      </c>
      <c r="DT140" s="135"/>
      <c r="DU140" s="121"/>
      <c r="DV140" s="121"/>
      <c r="DW140" s="134"/>
      <c r="DX140" s="132"/>
      <c r="DY140" s="136"/>
      <c r="DZ140" s="21"/>
      <c r="EA140" s="18"/>
      <c r="EB140" s="4"/>
      <c r="EI140" s="23"/>
      <c r="EJ140" s="23"/>
    </row>
    <row r="141" spans="1:140" ht="15.75" x14ac:dyDescent="0.25">
      <c r="A141" s="12"/>
      <c r="B141" s="16"/>
      <c r="C141" s="24" t="str">
        <f t="shared" si="3"/>
        <v xml:space="preserve"> </v>
      </c>
      <c r="D141" s="25"/>
      <c r="E141" s="20"/>
      <c r="F141" s="19"/>
      <c r="G141" s="180"/>
      <c r="H141" s="120"/>
      <c r="I141" s="121"/>
      <c r="J141" s="121"/>
      <c r="K141" s="121"/>
      <c r="L141" s="121"/>
      <c r="M141" s="121"/>
      <c r="N141" s="121"/>
      <c r="O141" s="121"/>
      <c r="P141" s="121"/>
      <c r="Q141" s="121"/>
      <c r="R141" s="121"/>
      <c r="S141" s="121"/>
      <c r="T141" s="121"/>
      <c r="U141" s="121"/>
      <c r="V141" s="121"/>
      <c r="W141" s="121"/>
      <c r="X141" s="121"/>
      <c r="Y141" s="121"/>
      <c r="Z141" s="121"/>
      <c r="AA141" s="121"/>
      <c r="AB141" s="121"/>
      <c r="AC141" s="121"/>
      <c r="AD141" s="121"/>
      <c r="AE141" s="121"/>
      <c r="AF141" s="121"/>
      <c r="AG141" s="121"/>
      <c r="AH141" s="121"/>
      <c r="AI141" s="121"/>
      <c r="AJ141" s="121"/>
      <c r="AK141" s="121"/>
      <c r="AL141" s="121"/>
      <c r="AM141" s="121"/>
      <c r="AN141" s="121"/>
      <c r="AO141" s="121"/>
      <c r="AP141" s="121"/>
      <c r="AQ141" s="121"/>
      <c r="AR141" s="121"/>
      <c r="AS141" s="121"/>
      <c r="AT141" s="121"/>
      <c r="AU141" s="121"/>
      <c r="AV141" s="121"/>
      <c r="AW141" s="121"/>
      <c r="AX141" s="121"/>
      <c r="AY141" s="121"/>
      <c r="AZ141" s="121"/>
      <c r="BA141" s="121"/>
      <c r="BB141" s="121"/>
      <c r="BC141" s="121"/>
      <c r="BD141" s="121"/>
      <c r="BE141" s="121"/>
      <c r="BF141" s="121"/>
      <c r="BG141" s="121"/>
      <c r="BH141" s="121"/>
      <c r="BI141" s="121"/>
      <c r="BJ141" s="122"/>
      <c r="BK141" s="93"/>
      <c r="BL141" s="94"/>
      <c r="BM141" s="95"/>
      <c r="BN141" s="179"/>
      <c r="BO141" s="177"/>
      <c r="BP141" s="14"/>
      <c r="BQ141" s="14"/>
      <c r="BR141" s="14"/>
      <c r="BS141" s="14"/>
      <c r="BT141" s="14"/>
      <c r="BU141" s="14"/>
      <c r="BV141" s="16"/>
      <c r="BW141" s="14"/>
      <c r="BX141" s="14"/>
      <c r="BY141" s="14"/>
      <c r="BZ141" s="14"/>
      <c r="CA141" s="14"/>
      <c r="CB141" s="14"/>
      <c r="CC141" s="14"/>
      <c r="CD141" s="14"/>
      <c r="CE141" s="14"/>
      <c r="CF141" s="14"/>
      <c r="CG141" s="14"/>
      <c r="CH141" s="14"/>
      <c r="CI141" s="14"/>
      <c r="CJ141" s="14"/>
      <c r="CK141" s="14"/>
      <c r="CL141" s="14"/>
      <c r="CM141" s="14"/>
      <c r="CN141" s="14"/>
      <c r="CO141" s="14"/>
      <c r="CP141" s="14"/>
      <c r="CQ141" s="14"/>
      <c r="CR141" s="14"/>
      <c r="CS141" s="14"/>
      <c r="CT141" s="14"/>
      <c r="CU141" s="14"/>
      <c r="CV141" s="14"/>
      <c r="CW141" s="14"/>
      <c r="CX141" s="14"/>
      <c r="CY141" s="14"/>
      <c r="CZ141" s="14"/>
      <c r="DA141" s="14"/>
      <c r="DB141" s="14"/>
      <c r="DC141" s="14"/>
      <c r="DD141" s="14"/>
      <c r="DE141" s="14"/>
      <c r="DF141" s="14"/>
      <c r="DG141" s="14"/>
      <c r="DH141" s="14"/>
      <c r="DI141" s="14"/>
      <c r="DJ141" s="14"/>
      <c r="DK141" s="14"/>
      <c r="DL141" s="14"/>
      <c r="DM141" s="14"/>
      <c r="DN141" s="14"/>
      <c r="DO141" s="14"/>
      <c r="DP141" s="26"/>
      <c r="DQ141" s="27"/>
      <c r="DR141" s="129"/>
      <c r="DS141" s="130">
        <f>TCP(BO141:DQ141,$BO$9:$DQ$9,data!$H$8)</f>
        <v>0</v>
      </c>
      <c r="DT141" s="135"/>
      <c r="DU141" s="121"/>
      <c r="DV141" s="121"/>
      <c r="DW141" s="134"/>
      <c r="DX141" s="132"/>
      <c r="DY141" s="136"/>
      <c r="DZ141" s="21"/>
      <c r="EA141" s="18"/>
      <c r="EB141" s="4"/>
      <c r="EI141" s="23"/>
      <c r="EJ141" s="23"/>
    </row>
    <row r="142" spans="1:140" ht="15.75" x14ac:dyDescent="0.25">
      <c r="A142" s="12"/>
      <c r="B142" s="16"/>
      <c r="C142" s="24" t="str">
        <f t="shared" si="3"/>
        <v xml:space="preserve"> </v>
      </c>
      <c r="D142" s="25"/>
      <c r="E142" s="20"/>
      <c r="F142" s="19"/>
      <c r="G142" s="180"/>
      <c r="H142" s="120"/>
      <c r="I142" s="121"/>
      <c r="J142" s="121"/>
      <c r="K142" s="121"/>
      <c r="L142" s="121"/>
      <c r="M142" s="121"/>
      <c r="N142" s="121"/>
      <c r="O142" s="121"/>
      <c r="P142" s="121"/>
      <c r="Q142" s="121"/>
      <c r="R142" s="121"/>
      <c r="S142" s="121"/>
      <c r="T142" s="121"/>
      <c r="U142" s="121"/>
      <c r="V142" s="121"/>
      <c r="W142" s="121"/>
      <c r="X142" s="121"/>
      <c r="Y142" s="121"/>
      <c r="Z142" s="121"/>
      <c r="AA142" s="121"/>
      <c r="AB142" s="121"/>
      <c r="AC142" s="121"/>
      <c r="AD142" s="121"/>
      <c r="AE142" s="121"/>
      <c r="AF142" s="121"/>
      <c r="AG142" s="121"/>
      <c r="AH142" s="121"/>
      <c r="AI142" s="121"/>
      <c r="AJ142" s="121"/>
      <c r="AK142" s="121"/>
      <c r="AL142" s="121"/>
      <c r="AM142" s="121"/>
      <c r="AN142" s="121"/>
      <c r="AO142" s="121"/>
      <c r="AP142" s="121"/>
      <c r="AQ142" s="121"/>
      <c r="AR142" s="121"/>
      <c r="AS142" s="121"/>
      <c r="AT142" s="121"/>
      <c r="AU142" s="121"/>
      <c r="AV142" s="121"/>
      <c r="AW142" s="121"/>
      <c r="AX142" s="121"/>
      <c r="AY142" s="121"/>
      <c r="AZ142" s="121"/>
      <c r="BA142" s="121"/>
      <c r="BB142" s="121"/>
      <c r="BC142" s="121"/>
      <c r="BD142" s="121"/>
      <c r="BE142" s="121"/>
      <c r="BF142" s="121"/>
      <c r="BG142" s="121"/>
      <c r="BH142" s="121"/>
      <c r="BI142" s="121"/>
      <c r="BJ142" s="122"/>
      <c r="BK142" s="93"/>
      <c r="BL142" s="94"/>
      <c r="BM142" s="95"/>
      <c r="BN142" s="179"/>
      <c r="BO142" s="177"/>
      <c r="BP142" s="14"/>
      <c r="BQ142" s="14"/>
      <c r="BR142" s="14"/>
      <c r="BS142" s="14"/>
      <c r="BT142" s="14"/>
      <c r="BU142" s="14"/>
      <c r="BV142" s="16"/>
      <c r="BW142" s="14"/>
      <c r="BX142" s="14"/>
      <c r="BY142" s="14"/>
      <c r="BZ142" s="14"/>
      <c r="CA142" s="14"/>
      <c r="CB142" s="14"/>
      <c r="CC142" s="14"/>
      <c r="CD142" s="14"/>
      <c r="CE142" s="14"/>
      <c r="CF142" s="14"/>
      <c r="CG142" s="14"/>
      <c r="CH142" s="14"/>
      <c r="CI142" s="14"/>
      <c r="CJ142" s="14"/>
      <c r="CK142" s="14"/>
      <c r="CL142" s="14"/>
      <c r="CM142" s="14"/>
      <c r="CN142" s="14"/>
      <c r="CO142" s="14"/>
      <c r="CP142" s="14"/>
      <c r="CQ142" s="14"/>
      <c r="CR142" s="14"/>
      <c r="CS142" s="14"/>
      <c r="CT142" s="14"/>
      <c r="CU142" s="14"/>
      <c r="CV142" s="14"/>
      <c r="CW142" s="14"/>
      <c r="CX142" s="14"/>
      <c r="CY142" s="14"/>
      <c r="CZ142" s="14"/>
      <c r="DA142" s="14"/>
      <c r="DB142" s="14"/>
      <c r="DC142" s="14"/>
      <c r="DD142" s="14"/>
      <c r="DE142" s="14"/>
      <c r="DF142" s="14"/>
      <c r="DG142" s="14"/>
      <c r="DH142" s="14"/>
      <c r="DI142" s="14"/>
      <c r="DJ142" s="14"/>
      <c r="DK142" s="14"/>
      <c r="DL142" s="14"/>
      <c r="DM142" s="14"/>
      <c r="DN142" s="14"/>
      <c r="DO142" s="14"/>
      <c r="DP142" s="26"/>
      <c r="DQ142" s="27"/>
      <c r="DR142" s="129"/>
      <c r="DS142" s="130">
        <f>TCP(BO142:DQ142,$BO$9:$DQ$9,data!$H$8)</f>
        <v>0</v>
      </c>
      <c r="DT142" s="135"/>
      <c r="DU142" s="121"/>
      <c r="DV142" s="121"/>
      <c r="DW142" s="134"/>
      <c r="DX142" s="132"/>
      <c r="DY142" s="136"/>
      <c r="DZ142" s="21"/>
      <c r="EA142" s="18"/>
      <c r="EB142" s="4"/>
      <c r="EI142" s="23"/>
      <c r="EJ142" s="23"/>
    </row>
    <row r="143" spans="1:140" ht="15.75" x14ac:dyDescent="0.25">
      <c r="A143" s="12"/>
      <c r="B143" s="16"/>
      <c r="C143" s="24" t="str">
        <f t="shared" si="3"/>
        <v xml:space="preserve"> </v>
      </c>
      <c r="D143" s="25"/>
      <c r="E143" s="20"/>
      <c r="F143" s="19"/>
      <c r="G143" s="180"/>
      <c r="H143" s="120"/>
      <c r="I143" s="121"/>
      <c r="J143" s="121"/>
      <c r="K143" s="121"/>
      <c r="L143" s="121"/>
      <c r="M143" s="121"/>
      <c r="N143" s="121"/>
      <c r="O143" s="121"/>
      <c r="P143" s="121"/>
      <c r="Q143" s="121"/>
      <c r="R143" s="121"/>
      <c r="S143" s="121"/>
      <c r="T143" s="121"/>
      <c r="U143" s="121"/>
      <c r="V143" s="121"/>
      <c r="W143" s="121"/>
      <c r="X143" s="121"/>
      <c r="Y143" s="121"/>
      <c r="Z143" s="121"/>
      <c r="AA143" s="121"/>
      <c r="AB143" s="121"/>
      <c r="AC143" s="121"/>
      <c r="AD143" s="121"/>
      <c r="AE143" s="121"/>
      <c r="AF143" s="121"/>
      <c r="AG143" s="121"/>
      <c r="AH143" s="121"/>
      <c r="AI143" s="121"/>
      <c r="AJ143" s="121"/>
      <c r="AK143" s="121"/>
      <c r="AL143" s="121"/>
      <c r="AM143" s="121"/>
      <c r="AN143" s="121"/>
      <c r="AO143" s="121"/>
      <c r="AP143" s="121"/>
      <c r="AQ143" s="121"/>
      <c r="AR143" s="121"/>
      <c r="AS143" s="121"/>
      <c r="AT143" s="121"/>
      <c r="AU143" s="121"/>
      <c r="AV143" s="121"/>
      <c r="AW143" s="121"/>
      <c r="AX143" s="121"/>
      <c r="AY143" s="121"/>
      <c r="AZ143" s="121"/>
      <c r="BA143" s="121"/>
      <c r="BB143" s="121"/>
      <c r="BC143" s="121"/>
      <c r="BD143" s="121"/>
      <c r="BE143" s="121"/>
      <c r="BF143" s="121"/>
      <c r="BG143" s="121"/>
      <c r="BH143" s="121"/>
      <c r="BI143" s="121"/>
      <c r="BJ143" s="122"/>
      <c r="BK143" s="93"/>
      <c r="BL143" s="94"/>
      <c r="BM143" s="95"/>
      <c r="BN143" s="179"/>
      <c r="BO143" s="177"/>
      <c r="BP143" s="14"/>
      <c r="BQ143" s="14"/>
      <c r="BR143" s="14"/>
      <c r="BS143" s="14"/>
      <c r="BT143" s="14"/>
      <c r="BU143" s="14"/>
      <c r="BV143" s="16"/>
      <c r="BW143" s="14"/>
      <c r="BX143" s="14"/>
      <c r="BY143" s="14"/>
      <c r="BZ143" s="14"/>
      <c r="CA143" s="14"/>
      <c r="CB143" s="14"/>
      <c r="CC143" s="14"/>
      <c r="CD143" s="14"/>
      <c r="CE143" s="14"/>
      <c r="CF143" s="14"/>
      <c r="CG143" s="14"/>
      <c r="CH143" s="14"/>
      <c r="CI143" s="14"/>
      <c r="CJ143" s="14"/>
      <c r="CK143" s="14"/>
      <c r="CL143" s="14"/>
      <c r="CM143" s="14"/>
      <c r="CN143" s="14"/>
      <c r="CO143" s="14"/>
      <c r="CP143" s="14"/>
      <c r="CQ143" s="14"/>
      <c r="CR143" s="14"/>
      <c r="CS143" s="14"/>
      <c r="CT143" s="14"/>
      <c r="CU143" s="14"/>
      <c r="CV143" s="14"/>
      <c r="CW143" s="14"/>
      <c r="CX143" s="14"/>
      <c r="CY143" s="14"/>
      <c r="CZ143" s="14"/>
      <c r="DA143" s="14"/>
      <c r="DB143" s="14"/>
      <c r="DC143" s="14"/>
      <c r="DD143" s="14"/>
      <c r="DE143" s="14"/>
      <c r="DF143" s="14"/>
      <c r="DG143" s="14"/>
      <c r="DH143" s="14"/>
      <c r="DI143" s="14"/>
      <c r="DJ143" s="14"/>
      <c r="DK143" s="14"/>
      <c r="DL143" s="14"/>
      <c r="DM143" s="14"/>
      <c r="DN143" s="14"/>
      <c r="DO143" s="14"/>
      <c r="DP143" s="26"/>
      <c r="DQ143" s="27"/>
      <c r="DR143" s="129"/>
      <c r="DS143" s="130">
        <f>TCP(BO143:DQ143,$BO$9:$DQ$9,data!$H$8)</f>
        <v>0</v>
      </c>
      <c r="DT143" s="135"/>
      <c r="DU143" s="121"/>
      <c r="DV143" s="121"/>
      <c r="DW143" s="134"/>
      <c r="DX143" s="132"/>
      <c r="DY143" s="136"/>
      <c r="DZ143" s="21"/>
      <c r="EA143" s="18"/>
      <c r="EB143" s="4"/>
      <c r="EI143" s="23"/>
      <c r="EJ143" s="23"/>
    </row>
    <row r="144" spans="1:140" ht="15.75" x14ac:dyDescent="0.25">
      <c r="A144" s="12"/>
      <c r="B144" s="16"/>
      <c r="C144" s="24" t="str">
        <f t="shared" si="3"/>
        <v xml:space="preserve"> </v>
      </c>
      <c r="D144" s="25"/>
      <c r="E144" s="20"/>
      <c r="F144" s="19"/>
      <c r="G144" s="180"/>
      <c r="H144" s="120"/>
      <c r="I144" s="121"/>
      <c r="J144" s="121"/>
      <c r="K144" s="121"/>
      <c r="L144" s="121"/>
      <c r="M144" s="121"/>
      <c r="N144" s="121"/>
      <c r="O144" s="121"/>
      <c r="P144" s="121"/>
      <c r="Q144" s="121"/>
      <c r="R144" s="121"/>
      <c r="S144" s="121"/>
      <c r="T144" s="121"/>
      <c r="U144" s="121"/>
      <c r="V144" s="121"/>
      <c r="W144" s="121"/>
      <c r="X144" s="121"/>
      <c r="Y144" s="121"/>
      <c r="Z144" s="121"/>
      <c r="AA144" s="121"/>
      <c r="AB144" s="121"/>
      <c r="AC144" s="121"/>
      <c r="AD144" s="121"/>
      <c r="AE144" s="121"/>
      <c r="AF144" s="121"/>
      <c r="AG144" s="121"/>
      <c r="AH144" s="121"/>
      <c r="AI144" s="121"/>
      <c r="AJ144" s="121"/>
      <c r="AK144" s="121"/>
      <c r="AL144" s="121"/>
      <c r="AM144" s="121"/>
      <c r="AN144" s="121"/>
      <c r="AO144" s="121"/>
      <c r="AP144" s="121"/>
      <c r="AQ144" s="121"/>
      <c r="AR144" s="121"/>
      <c r="AS144" s="121"/>
      <c r="AT144" s="121"/>
      <c r="AU144" s="121"/>
      <c r="AV144" s="121"/>
      <c r="AW144" s="121"/>
      <c r="AX144" s="121"/>
      <c r="AY144" s="121"/>
      <c r="AZ144" s="121"/>
      <c r="BA144" s="121"/>
      <c r="BB144" s="121"/>
      <c r="BC144" s="121"/>
      <c r="BD144" s="121"/>
      <c r="BE144" s="121"/>
      <c r="BF144" s="121"/>
      <c r="BG144" s="121"/>
      <c r="BH144" s="121"/>
      <c r="BI144" s="121"/>
      <c r="BJ144" s="122"/>
      <c r="BK144" s="93"/>
      <c r="BL144" s="94"/>
      <c r="BM144" s="95"/>
      <c r="BN144" s="179"/>
      <c r="BO144" s="177"/>
      <c r="BP144" s="14"/>
      <c r="BQ144" s="14"/>
      <c r="BR144" s="14"/>
      <c r="BS144" s="14"/>
      <c r="BT144" s="14"/>
      <c r="BU144" s="14"/>
      <c r="BV144" s="16"/>
      <c r="BW144" s="14"/>
      <c r="BX144" s="14"/>
      <c r="BY144" s="14"/>
      <c r="BZ144" s="14"/>
      <c r="CA144" s="14"/>
      <c r="CB144" s="14"/>
      <c r="CC144" s="14"/>
      <c r="CD144" s="14"/>
      <c r="CE144" s="14"/>
      <c r="CF144" s="14"/>
      <c r="CG144" s="14"/>
      <c r="CH144" s="14"/>
      <c r="CI144" s="14"/>
      <c r="CJ144" s="14"/>
      <c r="CK144" s="14"/>
      <c r="CL144" s="14"/>
      <c r="CM144" s="14"/>
      <c r="CN144" s="14"/>
      <c r="CO144" s="14"/>
      <c r="CP144" s="14"/>
      <c r="CQ144" s="14"/>
      <c r="CR144" s="14"/>
      <c r="CS144" s="14"/>
      <c r="CT144" s="14"/>
      <c r="CU144" s="14"/>
      <c r="CV144" s="14"/>
      <c r="CW144" s="14"/>
      <c r="CX144" s="14"/>
      <c r="CY144" s="14"/>
      <c r="CZ144" s="14"/>
      <c r="DA144" s="14"/>
      <c r="DB144" s="14"/>
      <c r="DC144" s="14"/>
      <c r="DD144" s="14"/>
      <c r="DE144" s="14"/>
      <c r="DF144" s="14"/>
      <c r="DG144" s="14"/>
      <c r="DH144" s="14"/>
      <c r="DI144" s="14"/>
      <c r="DJ144" s="14"/>
      <c r="DK144" s="14"/>
      <c r="DL144" s="14"/>
      <c r="DM144" s="14"/>
      <c r="DN144" s="14"/>
      <c r="DO144" s="14"/>
      <c r="DP144" s="26"/>
      <c r="DQ144" s="27"/>
      <c r="DR144" s="129"/>
      <c r="DS144" s="130">
        <f>TCP(BO144:DQ144,$BO$9:$DQ$9,data!$H$8)</f>
        <v>0</v>
      </c>
      <c r="DT144" s="135"/>
      <c r="DU144" s="121"/>
      <c r="DV144" s="121"/>
      <c r="DW144" s="134"/>
      <c r="DX144" s="132"/>
      <c r="DY144" s="136"/>
      <c r="DZ144" s="21"/>
      <c r="EA144" s="18"/>
      <c r="EB144" s="4"/>
      <c r="EI144" s="23"/>
      <c r="EJ144" s="23"/>
    </row>
    <row r="145" spans="1:140" ht="15.75" x14ac:dyDescent="0.25">
      <c r="A145" s="12"/>
      <c r="B145" s="16"/>
      <c r="C145" s="24" t="str">
        <f t="shared" si="3"/>
        <v xml:space="preserve"> </v>
      </c>
      <c r="D145" s="25"/>
      <c r="E145" s="20"/>
      <c r="F145" s="19"/>
      <c r="G145" s="180"/>
      <c r="H145" s="120"/>
      <c r="I145" s="121"/>
      <c r="J145" s="121"/>
      <c r="K145" s="121"/>
      <c r="L145" s="121"/>
      <c r="M145" s="121"/>
      <c r="N145" s="121"/>
      <c r="O145" s="121"/>
      <c r="P145" s="121"/>
      <c r="Q145" s="121"/>
      <c r="R145" s="121"/>
      <c r="S145" s="121"/>
      <c r="T145" s="121"/>
      <c r="U145" s="121"/>
      <c r="V145" s="121"/>
      <c r="W145" s="121"/>
      <c r="X145" s="121"/>
      <c r="Y145" s="121"/>
      <c r="Z145" s="121"/>
      <c r="AA145" s="121"/>
      <c r="AB145" s="121"/>
      <c r="AC145" s="121"/>
      <c r="AD145" s="121"/>
      <c r="AE145" s="121"/>
      <c r="AF145" s="121"/>
      <c r="AG145" s="121"/>
      <c r="AH145" s="121"/>
      <c r="AI145" s="121"/>
      <c r="AJ145" s="121"/>
      <c r="AK145" s="121"/>
      <c r="AL145" s="121"/>
      <c r="AM145" s="121"/>
      <c r="AN145" s="121"/>
      <c r="AO145" s="121"/>
      <c r="AP145" s="121"/>
      <c r="AQ145" s="121"/>
      <c r="AR145" s="121"/>
      <c r="AS145" s="121"/>
      <c r="AT145" s="121"/>
      <c r="AU145" s="121"/>
      <c r="AV145" s="121"/>
      <c r="AW145" s="121"/>
      <c r="AX145" s="121"/>
      <c r="AY145" s="121"/>
      <c r="AZ145" s="121"/>
      <c r="BA145" s="121"/>
      <c r="BB145" s="121"/>
      <c r="BC145" s="121"/>
      <c r="BD145" s="121"/>
      <c r="BE145" s="121"/>
      <c r="BF145" s="121"/>
      <c r="BG145" s="121"/>
      <c r="BH145" s="121"/>
      <c r="BI145" s="121"/>
      <c r="BJ145" s="122"/>
      <c r="BK145" s="93"/>
      <c r="BL145" s="94"/>
      <c r="BM145" s="95"/>
      <c r="BN145" s="179"/>
      <c r="BO145" s="177"/>
      <c r="BP145" s="14"/>
      <c r="BQ145" s="14"/>
      <c r="BR145" s="14"/>
      <c r="BS145" s="14"/>
      <c r="BT145" s="14"/>
      <c r="BU145" s="14"/>
      <c r="BV145" s="16"/>
      <c r="BW145" s="14"/>
      <c r="BX145" s="14"/>
      <c r="BY145" s="14"/>
      <c r="BZ145" s="14"/>
      <c r="CA145" s="14"/>
      <c r="CB145" s="14"/>
      <c r="CC145" s="14"/>
      <c r="CD145" s="14"/>
      <c r="CE145" s="14"/>
      <c r="CF145" s="14"/>
      <c r="CG145" s="14"/>
      <c r="CH145" s="14"/>
      <c r="CI145" s="14"/>
      <c r="CJ145" s="14"/>
      <c r="CK145" s="14"/>
      <c r="CL145" s="14"/>
      <c r="CM145" s="14"/>
      <c r="CN145" s="14"/>
      <c r="CO145" s="14"/>
      <c r="CP145" s="14"/>
      <c r="CQ145" s="14"/>
      <c r="CR145" s="14"/>
      <c r="CS145" s="14"/>
      <c r="CT145" s="14"/>
      <c r="CU145" s="14"/>
      <c r="CV145" s="14"/>
      <c r="CW145" s="14"/>
      <c r="CX145" s="14"/>
      <c r="CY145" s="14"/>
      <c r="CZ145" s="14"/>
      <c r="DA145" s="14"/>
      <c r="DB145" s="14"/>
      <c r="DC145" s="14"/>
      <c r="DD145" s="14"/>
      <c r="DE145" s="14"/>
      <c r="DF145" s="14"/>
      <c r="DG145" s="14"/>
      <c r="DH145" s="14"/>
      <c r="DI145" s="14"/>
      <c r="DJ145" s="14"/>
      <c r="DK145" s="14"/>
      <c r="DL145" s="14"/>
      <c r="DM145" s="14"/>
      <c r="DN145" s="14"/>
      <c r="DO145" s="14"/>
      <c r="DP145" s="26"/>
      <c r="DQ145" s="27"/>
      <c r="DR145" s="129"/>
      <c r="DS145" s="130">
        <f>TCP(BO145:DQ145,$BO$9:$DQ$9,data!$H$8)</f>
        <v>0</v>
      </c>
      <c r="DT145" s="135"/>
      <c r="DU145" s="121"/>
      <c r="DV145" s="121"/>
      <c r="DW145" s="134"/>
      <c r="DX145" s="132"/>
      <c r="DY145" s="136"/>
      <c r="DZ145" s="21"/>
      <c r="EA145" s="18"/>
      <c r="EB145" s="4"/>
      <c r="EI145" s="23"/>
      <c r="EJ145" s="23"/>
    </row>
    <row r="146" spans="1:140" ht="15.75" x14ac:dyDescent="0.25">
      <c r="A146" s="12"/>
      <c r="B146" s="16"/>
      <c r="C146" s="24" t="str">
        <f t="shared" si="3"/>
        <v xml:space="preserve"> </v>
      </c>
      <c r="D146" s="25"/>
      <c r="E146" s="20"/>
      <c r="F146" s="19"/>
      <c r="G146" s="180"/>
      <c r="H146" s="120"/>
      <c r="I146" s="121"/>
      <c r="J146" s="121"/>
      <c r="K146" s="121"/>
      <c r="L146" s="121"/>
      <c r="M146" s="121"/>
      <c r="N146" s="121"/>
      <c r="O146" s="121"/>
      <c r="P146" s="121"/>
      <c r="Q146" s="121"/>
      <c r="R146" s="121"/>
      <c r="S146" s="121"/>
      <c r="T146" s="121"/>
      <c r="U146" s="121"/>
      <c r="V146" s="121"/>
      <c r="W146" s="121"/>
      <c r="X146" s="121"/>
      <c r="Y146" s="121"/>
      <c r="Z146" s="121"/>
      <c r="AA146" s="121"/>
      <c r="AB146" s="121"/>
      <c r="AC146" s="121"/>
      <c r="AD146" s="121"/>
      <c r="AE146" s="121"/>
      <c r="AF146" s="121"/>
      <c r="AG146" s="121"/>
      <c r="AH146" s="121"/>
      <c r="AI146" s="121"/>
      <c r="AJ146" s="121"/>
      <c r="AK146" s="121"/>
      <c r="AL146" s="121"/>
      <c r="AM146" s="121"/>
      <c r="AN146" s="121"/>
      <c r="AO146" s="121"/>
      <c r="AP146" s="121"/>
      <c r="AQ146" s="121"/>
      <c r="AR146" s="121"/>
      <c r="AS146" s="121"/>
      <c r="AT146" s="121"/>
      <c r="AU146" s="121"/>
      <c r="AV146" s="121"/>
      <c r="AW146" s="121"/>
      <c r="AX146" s="121"/>
      <c r="AY146" s="121"/>
      <c r="AZ146" s="121"/>
      <c r="BA146" s="121"/>
      <c r="BB146" s="121"/>
      <c r="BC146" s="121"/>
      <c r="BD146" s="121"/>
      <c r="BE146" s="121"/>
      <c r="BF146" s="121"/>
      <c r="BG146" s="121"/>
      <c r="BH146" s="121"/>
      <c r="BI146" s="121"/>
      <c r="BJ146" s="122"/>
      <c r="BK146" s="93"/>
      <c r="BL146" s="94"/>
      <c r="BM146" s="95"/>
      <c r="BN146" s="179"/>
      <c r="BO146" s="177"/>
      <c r="BP146" s="14"/>
      <c r="BQ146" s="14"/>
      <c r="BR146" s="14"/>
      <c r="BS146" s="14"/>
      <c r="BT146" s="14"/>
      <c r="BU146" s="14"/>
      <c r="BV146" s="16"/>
      <c r="BW146" s="14"/>
      <c r="BX146" s="14"/>
      <c r="BY146" s="14"/>
      <c r="BZ146" s="14"/>
      <c r="CA146" s="14"/>
      <c r="CB146" s="14"/>
      <c r="CC146" s="14"/>
      <c r="CD146" s="14"/>
      <c r="CE146" s="14"/>
      <c r="CF146" s="14"/>
      <c r="CG146" s="14"/>
      <c r="CH146" s="14"/>
      <c r="CI146" s="14"/>
      <c r="CJ146" s="14"/>
      <c r="CK146" s="14"/>
      <c r="CL146" s="14"/>
      <c r="CM146" s="14"/>
      <c r="CN146" s="14"/>
      <c r="CO146" s="14"/>
      <c r="CP146" s="14"/>
      <c r="CQ146" s="14"/>
      <c r="CR146" s="14"/>
      <c r="CS146" s="14"/>
      <c r="CT146" s="14"/>
      <c r="CU146" s="14"/>
      <c r="CV146" s="14"/>
      <c r="CW146" s="14"/>
      <c r="CX146" s="14"/>
      <c r="CY146" s="14"/>
      <c r="CZ146" s="14"/>
      <c r="DA146" s="14"/>
      <c r="DB146" s="14"/>
      <c r="DC146" s="14"/>
      <c r="DD146" s="14"/>
      <c r="DE146" s="14"/>
      <c r="DF146" s="14"/>
      <c r="DG146" s="14"/>
      <c r="DH146" s="14"/>
      <c r="DI146" s="14"/>
      <c r="DJ146" s="14"/>
      <c r="DK146" s="14"/>
      <c r="DL146" s="14"/>
      <c r="DM146" s="14"/>
      <c r="DN146" s="14"/>
      <c r="DO146" s="14"/>
      <c r="DP146" s="26"/>
      <c r="DQ146" s="27"/>
      <c r="DR146" s="129"/>
      <c r="DS146" s="130">
        <f>TCP(BO146:DQ146,$BO$9:$DQ$9,data!$H$8)</f>
        <v>0</v>
      </c>
      <c r="DT146" s="135"/>
      <c r="DU146" s="121"/>
      <c r="DV146" s="121"/>
      <c r="DW146" s="134"/>
      <c r="DX146" s="132"/>
      <c r="DY146" s="136"/>
      <c r="DZ146" s="21"/>
      <c r="EA146" s="18"/>
      <c r="EB146" s="4"/>
      <c r="EI146" s="23"/>
      <c r="EJ146" s="23"/>
    </row>
    <row r="147" spans="1:140" ht="15.75" x14ac:dyDescent="0.25">
      <c r="A147" s="12"/>
      <c r="B147" s="16"/>
      <c r="C147" s="24" t="str">
        <f t="shared" si="3"/>
        <v xml:space="preserve"> </v>
      </c>
      <c r="D147" s="25"/>
      <c r="E147" s="20"/>
      <c r="F147" s="19"/>
      <c r="G147" s="180"/>
      <c r="H147" s="120"/>
      <c r="I147" s="121"/>
      <c r="J147" s="121"/>
      <c r="K147" s="121"/>
      <c r="L147" s="121"/>
      <c r="M147" s="121"/>
      <c r="N147" s="121"/>
      <c r="O147" s="121"/>
      <c r="P147" s="121"/>
      <c r="Q147" s="121"/>
      <c r="R147" s="121"/>
      <c r="S147" s="121"/>
      <c r="T147" s="121"/>
      <c r="U147" s="121"/>
      <c r="V147" s="121"/>
      <c r="W147" s="121"/>
      <c r="X147" s="121"/>
      <c r="Y147" s="121"/>
      <c r="Z147" s="121"/>
      <c r="AA147" s="121"/>
      <c r="AB147" s="121"/>
      <c r="AC147" s="121"/>
      <c r="AD147" s="121"/>
      <c r="AE147" s="121"/>
      <c r="AF147" s="121"/>
      <c r="AG147" s="121"/>
      <c r="AH147" s="121"/>
      <c r="AI147" s="121"/>
      <c r="AJ147" s="121"/>
      <c r="AK147" s="121"/>
      <c r="AL147" s="121"/>
      <c r="AM147" s="121"/>
      <c r="AN147" s="121"/>
      <c r="AO147" s="121"/>
      <c r="AP147" s="121"/>
      <c r="AQ147" s="121"/>
      <c r="AR147" s="121"/>
      <c r="AS147" s="121"/>
      <c r="AT147" s="121"/>
      <c r="AU147" s="121"/>
      <c r="AV147" s="121"/>
      <c r="AW147" s="121"/>
      <c r="AX147" s="121"/>
      <c r="AY147" s="121"/>
      <c r="AZ147" s="121"/>
      <c r="BA147" s="121"/>
      <c r="BB147" s="121"/>
      <c r="BC147" s="121"/>
      <c r="BD147" s="121"/>
      <c r="BE147" s="121"/>
      <c r="BF147" s="121"/>
      <c r="BG147" s="121"/>
      <c r="BH147" s="121"/>
      <c r="BI147" s="121"/>
      <c r="BJ147" s="122"/>
      <c r="BK147" s="93"/>
      <c r="BL147" s="94"/>
      <c r="BM147" s="95"/>
      <c r="BN147" s="179"/>
      <c r="BO147" s="177"/>
      <c r="BP147" s="14"/>
      <c r="BQ147" s="14"/>
      <c r="BR147" s="14"/>
      <c r="BS147" s="14"/>
      <c r="BT147" s="14"/>
      <c r="BU147" s="14"/>
      <c r="BV147" s="16"/>
      <c r="BW147" s="14"/>
      <c r="BX147" s="14"/>
      <c r="BY147" s="14"/>
      <c r="BZ147" s="14"/>
      <c r="CA147" s="14"/>
      <c r="CB147" s="14"/>
      <c r="CC147" s="14"/>
      <c r="CD147" s="14"/>
      <c r="CE147" s="14"/>
      <c r="CF147" s="14"/>
      <c r="CG147" s="14"/>
      <c r="CH147" s="14"/>
      <c r="CI147" s="14"/>
      <c r="CJ147" s="14"/>
      <c r="CK147" s="14"/>
      <c r="CL147" s="14"/>
      <c r="CM147" s="14"/>
      <c r="CN147" s="14"/>
      <c r="CO147" s="14"/>
      <c r="CP147" s="14"/>
      <c r="CQ147" s="14"/>
      <c r="CR147" s="14"/>
      <c r="CS147" s="14"/>
      <c r="CT147" s="14"/>
      <c r="CU147" s="14"/>
      <c r="CV147" s="14"/>
      <c r="CW147" s="14"/>
      <c r="CX147" s="14"/>
      <c r="CY147" s="14"/>
      <c r="CZ147" s="14"/>
      <c r="DA147" s="14"/>
      <c r="DB147" s="14"/>
      <c r="DC147" s="14"/>
      <c r="DD147" s="14"/>
      <c r="DE147" s="14"/>
      <c r="DF147" s="14"/>
      <c r="DG147" s="14"/>
      <c r="DH147" s="14"/>
      <c r="DI147" s="14"/>
      <c r="DJ147" s="14"/>
      <c r="DK147" s="14"/>
      <c r="DL147" s="14"/>
      <c r="DM147" s="14"/>
      <c r="DN147" s="14"/>
      <c r="DO147" s="14"/>
      <c r="DP147" s="26"/>
      <c r="DQ147" s="27"/>
      <c r="DR147" s="129"/>
      <c r="DS147" s="130">
        <f>TCP(BO147:DQ147,$BO$9:$DQ$9,data!$H$8)</f>
        <v>0</v>
      </c>
      <c r="DT147" s="135"/>
      <c r="DU147" s="121"/>
      <c r="DV147" s="121"/>
      <c r="DW147" s="134"/>
      <c r="DX147" s="132"/>
      <c r="DY147" s="136"/>
      <c r="DZ147" s="21"/>
      <c r="EA147" s="18"/>
      <c r="EB147" s="4"/>
      <c r="EI147" s="23"/>
      <c r="EJ147" s="23"/>
    </row>
    <row r="148" spans="1:140" ht="15.75" x14ac:dyDescent="0.25">
      <c r="A148" s="12"/>
      <c r="B148" s="16"/>
      <c r="C148" s="24" t="str">
        <f t="shared" si="3"/>
        <v xml:space="preserve"> </v>
      </c>
      <c r="D148" s="25"/>
      <c r="E148" s="20"/>
      <c r="F148" s="19"/>
      <c r="G148" s="180"/>
      <c r="H148" s="120"/>
      <c r="I148" s="121"/>
      <c r="J148" s="121"/>
      <c r="K148" s="121"/>
      <c r="L148" s="121"/>
      <c r="M148" s="121"/>
      <c r="N148" s="121"/>
      <c r="O148" s="121"/>
      <c r="P148" s="121"/>
      <c r="Q148" s="121"/>
      <c r="R148" s="121"/>
      <c r="S148" s="121"/>
      <c r="T148" s="121"/>
      <c r="U148" s="121"/>
      <c r="V148" s="121"/>
      <c r="W148" s="121"/>
      <c r="X148" s="121"/>
      <c r="Y148" s="121"/>
      <c r="Z148" s="121"/>
      <c r="AA148" s="121"/>
      <c r="AB148" s="121"/>
      <c r="AC148" s="121"/>
      <c r="AD148" s="121"/>
      <c r="AE148" s="121"/>
      <c r="AF148" s="121"/>
      <c r="AG148" s="121"/>
      <c r="AH148" s="121"/>
      <c r="AI148" s="121"/>
      <c r="AJ148" s="121"/>
      <c r="AK148" s="121"/>
      <c r="AL148" s="121"/>
      <c r="AM148" s="121"/>
      <c r="AN148" s="121"/>
      <c r="AO148" s="121"/>
      <c r="AP148" s="121"/>
      <c r="AQ148" s="121"/>
      <c r="AR148" s="121"/>
      <c r="AS148" s="121"/>
      <c r="AT148" s="121"/>
      <c r="AU148" s="121"/>
      <c r="AV148" s="121"/>
      <c r="AW148" s="121"/>
      <c r="AX148" s="121"/>
      <c r="AY148" s="121"/>
      <c r="AZ148" s="121"/>
      <c r="BA148" s="121"/>
      <c r="BB148" s="121"/>
      <c r="BC148" s="121"/>
      <c r="BD148" s="121"/>
      <c r="BE148" s="121"/>
      <c r="BF148" s="121"/>
      <c r="BG148" s="121"/>
      <c r="BH148" s="121"/>
      <c r="BI148" s="121"/>
      <c r="BJ148" s="122"/>
      <c r="BK148" s="93"/>
      <c r="BL148" s="94"/>
      <c r="BM148" s="95"/>
      <c r="BN148" s="179"/>
      <c r="BO148" s="177"/>
      <c r="BP148" s="14"/>
      <c r="BQ148" s="14"/>
      <c r="BR148" s="14"/>
      <c r="BS148" s="14"/>
      <c r="BT148" s="14"/>
      <c r="BU148" s="14"/>
      <c r="BV148" s="16"/>
      <c r="BW148" s="14"/>
      <c r="BX148" s="14"/>
      <c r="BY148" s="14"/>
      <c r="BZ148" s="14"/>
      <c r="CA148" s="14"/>
      <c r="CB148" s="14"/>
      <c r="CC148" s="14"/>
      <c r="CD148" s="14"/>
      <c r="CE148" s="14"/>
      <c r="CF148" s="14"/>
      <c r="CG148" s="14"/>
      <c r="CH148" s="14"/>
      <c r="CI148" s="14"/>
      <c r="CJ148" s="14"/>
      <c r="CK148" s="14"/>
      <c r="CL148" s="14"/>
      <c r="CM148" s="14"/>
      <c r="CN148" s="14"/>
      <c r="CO148" s="14"/>
      <c r="CP148" s="14"/>
      <c r="CQ148" s="14"/>
      <c r="CR148" s="14"/>
      <c r="CS148" s="14"/>
      <c r="CT148" s="14"/>
      <c r="CU148" s="14"/>
      <c r="CV148" s="14"/>
      <c r="CW148" s="14"/>
      <c r="CX148" s="14"/>
      <c r="CY148" s="14"/>
      <c r="CZ148" s="14"/>
      <c r="DA148" s="14"/>
      <c r="DB148" s="14"/>
      <c r="DC148" s="14"/>
      <c r="DD148" s="14"/>
      <c r="DE148" s="14"/>
      <c r="DF148" s="14"/>
      <c r="DG148" s="14"/>
      <c r="DH148" s="14"/>
      <c r="DI148" s="14"/>
      <c r="DJ148" s="14"/>
      <c r="DK148" s="14"/>
      <c r="DL148" s="14"/>
      <c r="DM148" s="14"/>
      <c r="DN148" s="14"/>
      <c r="DO148" s="14"/>
      <c r="DP148" s="26"/>
      <c r="DQ148" s="27"/>
      <c r="DR148" s="129"/>
      <c r="DS148" s="130">
        <f>TCP(BO148:DQ148,$BO$9:$DQ$9,data!$H$8)</f>
        <v>0</v>
      </c>
      <c r="DT148" s="135"/>
      <c r="DU148" s="121"/>
      <c r="DV148" s="121"/>
      <c r="DW148" s="134"/>
      <c r="DX148" s="132"/>
      <c r="DY148" s="136"/>
      <c r="DZ148" s="21"/>
      <c r="EA148" s="18"/>
      <c r="EB148" s="4"/>
      <c r="EI148" s="23"/>
      <c r="EJ148" s="23"/>
    </row>
    <row r="149" spans="1:140" ht="15.75" x14ac:dyDescent="0.25">
      <c r="A149" s="12"/>
      <c r="B149" s="16"/>
      <c r="C149" s="24" t="str">
        <f t="shared" si="3"/>
        <v xml:space="preserve"> </v>
      </c>
      <c r="D149" s="25"/>
      <c r="E149" s="20"/>
      <c r="F149" s="19"/>
      <c r="G149" s="180"/>
      <c r="H149" s="120"/>
      <c r="I149" s="121"/>
      <c r="J149" s="121"/>
      <c r="K149" s="121"/>
      <c r="L149" s="121"/>
      <c r="M149" s="121"/>
      <c r="N149" s="121"/>
      <c r="O149" s="121"/>
      <c r="P149" s="121"/>
      <c r="Q149" s="121"/>
      <c r="R149" s="121"/>
      <c r="S149" s="121"/>
      <c r="T149" s="121"/>
      <c r="U149" s="121"/>
      <c r="V149" s="121"/>
      <c r="W149" s="121"/>
      <c r="X149" s="121"/>
      <c r="Y149" s="121"/>
      <c r="Z149" s="121"/>
      <c r="AA149" s="121"/>
      <c r="AB149" s="121"/>
      <c r="AC149" s="121"/>
      <c r="AD149" s="121"/>
      <c r="AE149" s="121"/>
      <c r="AF149" s="121"/>
      <c r="AG149" s="121"/>
      <c r="AH149" s="121"/>
      <c r="AI149" s="121"/>
      <c r="AJ149" s="121"/>
      <c r="AK149" s="121"/>
      <c r="AL149" s="121"/>
      <c r="AM149" s="121"/>
      <c r="AN149" s="121"/>
      <c r="AO149" s="121"/>
      <c r="AP149" s="121"/>
      <c r="AQ149" s="121"/>
      <c r="AR149" s="121"/>
      <c r="AS149" s="121"/>
      <c r="AT149" s="121"/>
      <c r="AU149" s="121"/>
      <c r="AV149" s="121"/>
      <c r="AW149" s="121"/>
      <c r="AX149" s="121"/>
      <c r="AY149" s="121"/>
      <c r="AZ149" s="121"/>
      <c r="BA149" s="121"/>
      <c r="BB149" s="121"/>
      <c r="BC149" s="121"/>
      <c r="BD149" s="121"/>
      <c r="BE149" s="121"/>
      <c r="BF149" s="121"/>
      <c r="BG149" s="121"/>
      <c r="BH149" s="121"/>
      <c r="BI149" s="121"/>
      <c r="BJ149" s="122"/>
      <c r="BK149" s="93"/>
      <c r="BL149" s="94"/>
      <c r="BM149" s="95"/>
      <c r="BN149" s="179"/>
      <c r="BO149" s="177"/>
      <c r="BP149" s="14"/>
      <c r="BQ149" s="14"/>
      <c r="BR149" s="14"/>
      <c r="BS149" s="14"/>
      <c r="BT149" s="14"/>
      <c r="BU149" s="14"/>
      <c r="BV149" s="16"/>
      <c r="BW149" s="14"/>
      <c r="BX149" s="14"/>
      <c r="BY149" s="14"/>
      <c r="BZ149" s="14"/>
      <c r="CA149" s="14"/>
      <c r="CB149" s="14"/>
      <c r="CC149" s="14"/>
      <c r="CD149" s="14"/>
      <c r="CE149" s="14"/>
      <c r="CF149" s="14"/>
      <c r="CG149" s="14"/>
      <c r="CH149" s="14"/>
      <c r="CI149" s="14"/>
      <c r="CJ149" s="14"/>
      <c r="CK149" s="14"/>
      <c r="CL149" s="14"/>
      <c r="CM149" s="14"/>
      <c r="CN149" s="14"/>
      <c r="CO149" s="14"/>
      <c r="CP149" s="14"/>
      <c r="CQ149" s="14"/>
      <c r="CR149" s="14"/>
      <c r="CS149" s="14"/>
      <c r="CT149" s="14"/>
      <c r="CU149" s="14"/>
      <c r="CV149" s="14"/>
      <c r="CW149" s="14"/>
      <c r="CX149" s="14"/>
      <c r="CY149" s="14"/>
      <c r="CZ149" s="14"/>
      <c r="DA149" s="14"/>
      <c r="DB149" s="14"/>
      <c r="DC149" s="14"/>
      <c r="DD149" s="14"/>
      <c r="DE149" s="14"/>
      <c r="DF149" s="14"/>
      <c r="DG149" s="14"/>
      <c r="DH149" s="14"/>
      <c r="DI149" s="14"/>
      <c r="DJ149" s="14"/>
      <c r="DK149" s="14"/>
      <c r="DL149" s="14"/>
      <c r="DM149" s="14"/>
      <c r="DN149" s="14"/>
      <c r="DO149" s="14"/>
      <c r="DP149" s="26"/>
      <c r="DQ149" s="27"/>
      <c r="DR149" s="129"/>
      <c r="DS149" s="130">
        <f>TCP(BO149:DQ149,$BO$9:$DQ$9,data!$H$8)</f>
        <v>0</v>
      </c>
      <c r="DT149" s="135"/>
      <c r="DU149" s="121"/>
      <c r="DV149" s="121"/>
      <c r="DW149" s="134"/>
      <c r="DX149" s="132"/>
      <c r="DY149" s="136"/>
      <c r="DZ149" s="21"/>
      <c r="EA149" s="18"/>
      <c r="EB149" s="4"/>
      <c r="EI149" s="23"/>
      <c r="EJ149" s="23"/>
    </row>
    <row r="150" spans="1:140" ht="15.75" x14ac:dyDescent="0.25">
      <c r="A150" s="12"/>
      <c r="B150" s="16"/>
      <c r="C150" s="24" t="str">
        <f t="shared" si="3"/>
        <v xml:space="preserve"> </v>
      </c>
      <c r="D150" s="25"/>
      <c r="E150" s="20"/>
      <c r="F150" s="19"/>
      <c r="G150" s="180"/>
      <c r="H150" s="120"/>
      <c r="I150" s="121"/>
      <c r="J150" s="121"/>
      <c r="K150" s="121"/>
      <c r="L150" s="121"/>
      <c r="M150" s="121"/>
      <c r="N150" s="121"/>
      <c r="O150" s="121"/>
      <c r="P150" s="121"/>
      <c r="Q150" s="121"/>
      <c r="R150" s="121"/>
      <c r="S150" s="121"/>
      <c r="T150" s="121"/>
      <c r="U150" s="121"/>
      <c r="V150" s="121"/>
      <c r="W150" s="121"/>
      <c r="X150" s="121"/>
      <c r="Y150" s="121"/>
      <c r="Z150" s="121"/>
      <c r="AA150" s="121"/>
      <c r="AB150" s="121"/>
      <c r="AC150" s="121"/>
      <c r="AD150" s="121"/>
      <c r="AE150" s="121"/>
      <c r="AF150" s="121"/>
      <c r="AG150" s="121"/>
      <c r="AH150" s="121"/>
      <c r="AI150" s="121"/>
      <c r="AJ150" s="121"/>
      <c r="AK150" s="121"/>
      <c r="AL150" s="121"/>
      <c r="AM150" s="121"/>
      <c r="AN150" s="121"/>
      <c r="AO150" s="121"/>
      <c r="AP150" s="121"/>
      <c r="AQ150" s="121"/>
      <c r="AR150" s="121"/>
      <c r="AS150" s="121"/>
      <c r="AT150" s="121"/>
      <c r="AU150" s="121"/>
      <c r="AV150" s="121"/>
      <c r="AW150" s="121"/>
      <c r="AX150" s="121"/>
      <c r="AY150" s="121"/>
      <c r="AZ150" s="121"/>
      <c r="BA150" s="121"/>
      <c r="BB150" s="121"/>
      <c r="BC150" s="121"/>
      <c r="BD150" s="121"/>
      <c r="BE150" s="121"/>
      <c r="BF150" s="121"/>
      <c r="BG150" s="121"/>
      <c r="BH150" s="121"/>
      <c r="BI150" s="121"/>
      <c r="BJ150" s="122"/>
      <c r="BK150" s="93"/>
      <c r="BL150" s="94"/>
      <c r="BM150" s="95"/>
      <c r="BN150" s="179"/>
      <c r="BO150" s="177"/>
      <c r="BP150" s="14"/>
      <c r="BQ150" s="14"/>
      <c r="BR150" s="14"/>
      <c r="BS150" s="14"/>
      <c r="BT150" s="14"/>
      <c r="BU150" s="14"/>
      <c r="BV150" s="16"/>
      <c r="BW150" s="14"/>
      <c r="BX150" s="14"/>
      <c r="BY150" s="14"/>
      <c r="BZ150" s="14"/>
      <c r="CA150" s="14"/>
      <c r="CB150" s="14"/>
      <c r="CC150" s="14"/>
      <c r="CD150" s="14"/>
      <c r="CE150" s="14"/>
      <c r="CF150" s="14"/>
      <c r="CG150" s="14"/>
      <c r="CH150" s="14"/>
      <c r="CI150" s="14"/>
      <c r="CJ150" s="14"/>
      <c r="CK150" s="14"/>
      <c r="CL150" s="14"/>
      <c r="CM150" s="14"/>
      <c r="CN150" s="14"/>
      <c r="CO150" s="14"/>
      <c r="CP150" s="14"/>
      <c r="CQ150" s="14"/>
      <c r="CR150" s="14"/>
      <c r="CS150" s="14"/>
      <c r="CT150" s="14"/>
      <c r="CU150" s="14"/>
      <c r="CV150" s="14"/>
      <c r="CW150" s="14"/>
      <c r="CX150" s="14"/>
      <c r="CY150" s="14"/>
      <c r="CZ150" s="14"/>
      <c r="DA150" s="14"/>
      <c r="DB150" s="14"/>
      <c r="DC150" s="14"/>
      <c r="DD150" s="14"/>
      <c r="DE150" s="14"/>
      <c r="DF150" s="14"/>
      <c r="DG150" s="14"/>
      <c r="DH150" s="14"/>
      <c r="DI150" s="14"/>
      <c r="DJ150" s="14"/>
      <c r="DK150" s="14"/>
      <c r="DL150" s="14"/>
      <c r="DM150" s="14"/>
      <c r="DN150" s="14"/>
      <c r="DO150" s="14"/>
      <c r="DP150" s="26"/>
      <c r="DQ150" s="27"/>
      <c r="DR150" s="129"/>
      <c r="DS150" s="130">
        <f>TCP(BO150:DQ150,$BO$9:$DQ$9,data!$H$8)</f>
        <v>0</v>
      </c>
      <c r="DT150" s="135"/>
      <c r="DU150" s="121"/>
      <c r="DV150" s="121"/>
      <c r="DW150" s="134"/>
      <c r="DX150" s="132"/>
      <c r="DY150" s="136"/>
      <c r="DZ150" s="21"/>
      <c r="EA150" s="18"/>
      <c r="EB150" s="4"/>
      <c r="EI150" s="23"/>
      <c r="EJ150" s="23"/>
    </row>
    <row r="151" spans="1:140" ht="15.75" x14ac:dyDescent="0.25">
      <c r="A151" s="12"/>
      <c r="B151" s="16"/>
      <c r="C151" s="24" t="str">
        <f t="shared" si="3"/>
        <v xml:space="preserve"> </v>
      </c>
      <c r="D151" s="25"/>
      <c r="E151" s="20"/>
      <c r="F151" s="19"/>
      <c r="G151" s="180"/>
      <c r="H151" s="120"/>
      <c r="I151" s="121"/>
      <c r="J151" s="121"/>
      <c r="K151" s="121"/>
      <c r="L151" s="121"/>
      <c r="M151" s="121"/>
      <c r="N151" s="121"/>
      <c r="O151" s="121"/>
      <c r="P151" s="121"/>
      <c r="Q151" s="121"/>
      <c r="R151" s="121"/>
      <c r="S151" s="121"/>
      <c r="T151" s="121"/>
      <c r="U151" s="121"/>
      <c r="V151" s="121"/>
      <c r="W151" s="121"/>
      <c r="X151" s="121"/>
      <c r="Y151" s="121"/>
      <c r="Z151" s="121"/>
      <c r="AA151" s="121"/>
      <c r="AB151" s="121"/>
      <c r="AC151" s="121"/>
      <c r="AD151" s="121"/>
      <c r="AE151" s="121"/>
      <c r="AF151" s="121"/>
      <c r="AG151" s="121"/>
      <c r="AH151" s="121"/>
      <c r="AI151" s="121"/>
      <c r="AJ151" s="121"/>
      <c r="AK151" s="121"/>
      <c r="AL151" s="121"/>
      <c r="AM151" s="121"/>
      <c r="AN151" s="121"/>
      <c r="AO151" s="121"/>
      <c r="AP151" s="121"/>
      <c r="AQ151" s="121"/>
      <c r="AR151" s="121"/>
      <c r="AS151" s="121"/>
      <c r="AT151" s="121"/>
      <c r="AU151" s="121"/>
      <c r="AV151" s="121"/>
      <c r="AW151" s="121"/>
      <c r="AX151" s="121"/>
      <c r="AY151" s="121"/>
      <c r="AZ151" s="121"/>
      <c r="BA151" s="121"/>
      <c r="BB151" s="121"/>
      <c r="BC151" s="121"/>
      <c r="BD151" s="121"/>
      <c r="BE151" s="121"/>
      <c r="BF151" s="121"/>
      <c r="BG151" s="121"/>
      <c r="BH151" s="121"/>
      <c r="BI151" s="121"/>
      <c r="BJ151" s="122"/>
      <c r="BK151" s="93"/>
      <c r="BL151" s="94"/>
      <c r="BM151" s="95"/>
      <c r="BN151" s="179"/>
      <c r="BO151" s="177"/>
      <c r="BP151" s="14"/>
      <c r="BQ151" s="14"/>
      <c r="BR151" s="14"/>
      <c r="BS151" s="14"/>
      <c r="BT151" s="14"/>
      <c r="BU151" s="14"/>
      <c r="BV151" s="16"/>
      <c r="BW151" s="14"/>
      <c r="BX151" s="14"/>
      <c r="BY151" s="14"/>
      <c r="BZ151" s="14"/>
      <c r="CA151" s="14"/>
      <c r="CB151" s="14"/>
      <c r="CC151" s="14"/>
      <c r="CD151" s="14"/>
      <c r="CE151" s="14"/>
      <c r="CF151" s="14"/>
      <c r="CG151" s="14"/>
      <c r="CH151" s="14"/>
      <c r="CI151" s="14"/>
      <c r="CJ151" s="14"/>
      <c r="CK151" s="14"/>
      <c r="CL151" s="14"/>
      <c r="CM151" s="14"/>
      <c r="CN151" s="14"/>
      <c r="CO151" s="14"/>
      <c r="CP151" s="14"/>
      <c r="CQ151" s="14"/>
      <c r="CR151" s="14"/>
      <c r="CS151" s="14"/>
      <c r="CT151" s="14"/>
      <c r="CU151" s="14"/>
      <c r="CV151" s="14"/>
      <c r="CW151" s="14"/>
      <c r="CX151" s="14"/>
      <c r="CY151" s="14"/>
      <c r="CZ151" s="14"/>
      <c r="DA151" s="14"/>
      <c r="DB151" s="14"/>
      <c r="DC151" s="14"/>
      <c r="DD151" s="14"/>
      <c r="DE151" s="14"/>
      <c r="DF151" s="14"/>
      <c r="DG151" s="14"/>
      <c r="DH151" s="14"/>
      <c r="DI151" s="14"/>
      <c r="DJ151" s="14"/>
      <c r="DK151" s="14"/>
      <c r="DL151" s="14"/>
      <c r="DM151" s="14"/>
      <c r="DN151" s="14"/>
      <c r="DO151" s="14"/>
      <c r="DP151" s="26"/>
      <c r="DQ151" s="27"/>
      <c r="DR151" s="129"/>
      <c r="DS151" s="130">
        <f>TCP(BO151:DQ151,$BO$9:$DQ$9,data!$H$8)</f>
        <v>0</v>
      </c>
      <c r="DT151" s="135"/>
      <c r="DU151" s="121"/>
      <c r="DV151" s="121"/>
      <c r="DW151" s="134"/>
      <c r="DX151" s="132"/>
      <c r="DY151" s="136"/>
      <c r="DZ151" s="21"/>
      <c r="EA151" s="18"/>
      <c r="EB151" s="4"/>
      <c r="EI151" s="23"/>
      <c r="EJ151" s="23"/>
    </row>
    <row r="152" spans="1:140" ht="15.75" x14ac:dyDescent="0.25">
      <c r="A152" s="12"/>
      <c r="B152" s="16"/>
      <c r="C152" s="24" t="str">
        <f t="shared" si="3"/>
        <v xml:space="preserve"> </v>
      </c>
      <c r="D152" s="25"/>
      <c r="E152" s="20"/>
      <c r="F152" s="19"/>
      <c r="G152" s="180"/>
      <c r="H152" s="120"/>
      <c r="I152" s="121"/>
      <c r="J152" s="121"/>
      <c r="K152" s="121"/>
      <c r="L152" s="121"/>
      <c r="M152" s="121"/>
      <c r="N152" s="121"/>
      <c r="O152" s="121"/>
      <c r="P152" s="121"/>
      <c r="Q152" s="121"/>
      <c r="R152" s="121"/>
      <c r="S152" s="121"/>
      <c r="T152" s="121"/>
      <c r="U152" s="121"/>
      <c r="V152" s="121"/>
      <c r="W152" s="121"/>
      <c r="X152" s="121"/>
      <c r="Y152" s="121"/>
      <c r="Z152" s="121"/>
      <c r="AA152" s="121"/>
      <c r="AB152" s="121"/>
      <c r="AC152" s="121"/>
      <c r="AD152" s="121"/>
      <c r="AE152" s="121"/>
      <c r="AF152" s="121"/>
      <c r="AG152" s="121"/>
      <c r="AH152" s="121"/>
      <c r="AI152" s="121"/>
      <c r="AJ152" s="121"/>
      <c r="AK152" s="121"/>
      <c r="AL152" s="121"/>
      <c r="AM152" s="121"/>
      <c r="AN152" s="121"/>
      <c r="AO152" s="121"/>
      <c r="AP152" s="121"/>
      <c r="AQ152" s="121"/>
      <c r="AR152" s="121"/>
      <c r="AS152" s="121"/>
      <c r="AT152" s="121"/>
      <c r="AU152" s="121"/>
      <c r="AV152" s="121"/>
      <c r="AW152" s="121"/>
      <c r="AX152" s="121"/>
      <c r="AY152" s="121"/>
      <c r="AZ152" s="121"/>
      <c r="BA152" s="121"/>
      <c r="BB152" s="121"/>
      <c r="BC152" s="121"/>
      <c r="BD152" s="121"/>
      <c r="BE152" s="121"/>
      <c r="BF152" s="121"/>
      <c r="BG152" s="121"/>
      <c r="BH152" s="121"/>
      <c r="BI152" s="121"/>
      <c r="BJ152" s="122"/>
      <c r="BK152" s="93"/>
      <c r="BL152" s="94"/>
      <c r="BM152" s="95"/>
      <c r="BN152" s="179"/>
      <c r="BO152" s="177"/>
      <c r="BP152" s="14"/>
      <c r="BQ152" s="14"/>
      <c r="BR152" s="14"/>
      <c r="BS152" s="14"/>
      <c r="BT152" s="14"/>
      <c r="BU152" s="14"/>
      <c r="BV152" s="16"/>
      <c r="BW152" s="14"/>
      <c r="BX152" s="14"/>
      <c r="BY152" s="14"/>
      <c r="BZ152" s="14"/>
      <c r="CA152" s="14"/>
      <c r="CB152" s="14"/>
      <c r="CC152" s="14"/>
      <c r="CD152" s="14"/>
      <c r="CE152" s="14"/>
      <c r="CF152" s="14"/>
      <c r="CG152" s="14"/>
      <c r="CH152" s="14"/>
      <c r="CI152" s="14"/>
      <c r="CJ152" s="14"/>
      <c r="CK152" s="14"/>
      <c r="CL152" s="14"/>
      <c r="CM152" s="14"/>
      <c r="CN152" s="14"/>
      <c r="CO152" s="14"/>
      <c r="CP152" s="14"/>
      <c r="CQ152" s="14"/>
      <c r="CR152" s="14"/>
      <c r="CS152" s="14"/>
      <c r="CT152" s="14"/>
      <c r="CU152" s="14"/>
      <c r="CV152" s="14"/>
      <c r="CW152" s="14"/>
      <c r="CX152" s="14"/>
      <c r="CY152" s="14"/>
      <c r="CZ152" s="14"/>
      <c r="DA152" s="14"/>
      <c r="DB152" s="14"/>
      <c r="DC152" s="14"/>
      <c r="DD152" s="14"/>
      <c r="DE152" s="14"/>
      <c r="DF152" s="14"/>
      <c r="DG152" s="14"/>
      <c r="DH152" s="14"/>
      <c r="DI152" s="14"/>
      <c r="DJ152" s="14"/>
      <c r="DK152" s="14"/>
      <c r="DL152" s="14"/>
      <c r="DM152" s="14"/>
      <c r="DN152" s="14"/>
      <c r="DO152" s="14"/>
      <c r="DP152" s="26"/>
      <c r="DQ152" s="27"/>
      <c r="DR152" s="129"/>
      <c r="DS152" s="130">
        <f>TCP(BO152:DQ152,$BO$9:$DQ$9,data!$H$8)</f>
        <v>0</v>
      </c>
      <c r="DT152" s="135"/>
      <c r="DU152" s="121"/>
      <c r="DV152" s="121"/>
      <c r="DW152" s="134"/>
      <c r="DX152" s="132"/>
      <c r="DY152" s="136"/>
      <c r="DZ152" s="21"/>
      <c r="EA152" s="18"/>
      <c r="EB152" s="4"/>
      <c r="EI152" s="23"/>
      <c r="EJ152" s="23"/>
    </row>
    <row r="153" spans="1:140" ht="15.75" x14ac:dyDescent="0.25">
      <c r="A153" s="12"/>
      <c r="B153" s="16"/>
      <c r="C153" s="24" t="str">
        <f t="shared" si="3"/>
        <v xml:space="preserve"> </v>
      </c>
      <c r="D153" s="25"/>
      <c r="E153" s="20"/>
      <c r="F153" s="19"/>
      <c r="G153" s="180"/>
      <c r="H153" s="120"/>
      <c r="I153" s="121"/>
      <c r="J153" s="121"/>
      <c r="K153" s="121"/>
      <c r="L153" s="121"/>
      <c r="M153" s="121"/>
      <c r="N153" s="121"/>
      <c r="O153" s="121"/>
      <c r="P153" s="121"/>
      <c r="Q153" s="121"/>
      <c r="R153" s="121"/>
      <c r="S153" s="121"/>
      <c r="T153" s="121"/>
      <c r="U153" s="121"/>
      <c r="V153" s="121"/>
      <c r="W153" s="121"/>
      <c r="X153" s="121"/>
      <c r="Y153" s="121"/>
      <c r="Z153" s="121"/>
      <c r="AA153" s="121"/>
      <c r="AB153" s="121"/>
      <c r="AC153" s="121"/>
      <c r="AD153" s="121"/>
      <c r="AE153" s="121"/>
      <c r="AF153" s="121"/>
      <c r="AG153" s="121"/>
      <c r="AH153" s="121"/>
      <c r="AI153" s="121"/>
      <c r="AJ153" s="121"/>
      <c r="AK153" s="121"/>
      <c r="AL153" s="121"/>
      <c r="AM153" s="121"/>
      <c r="AN153" s="121"/>
      <c r="AO153" s="121"/>
      <c r="AP153" s="121"/>
      <c r="AQ153" s="121"/>
      <c r="AR153" s="121"/>
      <c r="AS153" s="121"/>
      <c r="AT153" s="121"/>
      <c r="AU153" s="121"/>
      <c r="AV153" s="121"/>
      <c r="AW153" s="121"/>
      <c r="AX153" s="121"/>
      <c r="AY153" s="121"/>
      <c r="AZ153" s="121"/>
      <c r="BA153" s="121"/>
      <c r="BB153" s="121"/>
      <c r="BC153" s="121"/>
      <c r="BD153" s="121"/>
      <c r="BE153" s="121"/>
      <c r="BF153" s="121"/>
      <c r="BG153" s="121"/>
      <c r="BH153" s="121"/>
      <c r="BI153" s="121"/>
      <c r="BJ153" s="122"/>
      <c r="BK153" s="93"/>
      <c r="BL153" s="94"/>
      <c r="BM153" s="95"/>
      <c r="BN153" s="179"/>
      <c r="BO153" s="177"/>
      <c r="BP153" s="14"/>
      <c r="BQ153" s="14"/>
      <c r="BR153" s="14"/>
      <c r="BS153" s="14"/>
      <c r="BT153" s="14"/>
      <c r="BU153" s="14"/>
      <c r="BV153" s="16"/>
      <c r="BW153" s="14"/>
      <c r="BX153" s="14"/>
      <c r="BY153" s="14"/>
      <c r="BZ153" s="14"/>
      <c r="CA153" s="14"/>
      <c r="CB153" s="14"/>
      <c r="CC153" s="14"/>
      <c r="CD153" s="14"/>
      <c r="CE153" s="14"/>
      <c r="CF153" s="14"/>
      <c r="CG153" s="14"/>
      <c r="CH153" s="14"/>
      <c r="CI153" s="14"/>
      <c r="CJ153" s="14"/>
      <c r="CK153" s="14"/>
      <c r="CL153" s="14"/>
      <c r="CM153" s="14"/>
      <c r="CN153" s="14"/>
      <c r="CO153" s="14"/>
      <c r="CP153" s="14"/>
      <c r="CQ153" s="14"/>
      <c r="CR153" s="14"/>
      <c r="CS153" s="14"/>
      <c r="CT153" s="14"/>
      <c r="CU153" s="14"/>
      <c r="CV153" s="14"/>
      <c r="CW153" s="14"/>
      <c r="CX153" s="14"/>
      <c r="CY153" s="14"/>
      <c r="CZ153" s="14"/>
      <c r="DA153" s="14"/>
      <c r="DB153" s="14"/>
      <c r="DC153" s="14"/>
      <c r="DD153" s="14"/>
      <c r="DE153" s="14"/>
      <c r="DF153" s="14"/>
      <c r="DG153" s="14"/>
      <c r="DH153" s="14"/>
      <c r="DI153" s="14"/>
      <c r="DJ153" s="14"/>
      <c r="DK153" s="14"/>
      <c r="DL153" s="14"/>
      <c r="DM153" s="14"/>
      <c r="DN153" s="14"/>
      <c r="DO153" s="14"/>
      <c r="DP153" s="26"/>
      <c r="DQ153" s="27"/>
      <c r="DR153" s="129"/>
      <c r="DS153" s="130">
        <f>TCP(BO153:DQ153,$BO$9:$DQ$9,data!$H$8)</f>
        <v>0</v>
      </c>
      <c r="DT153" s="135"/>
      <c r="DU153" s="121"/>
      <c r="DV153" s="121"/>
      <c r="DW153" s="134"/>
      <c r="DX153" s="132"/>
      <c r="DY153" s="136"/>
      <c r="DZ153" s="21"/>
      <c r="EA153" s="18"/>
      <c r="EB153" s="4"/>
      <c r="EI153" s="23"/>
      <c r="EJ153" s="23"/>
    </row>
    <row r="154" spans="1:140" ht="15.75" x14ac:dyDescent="0.25">
      <c r="A154" s="12"/>
      <c r="B154" s="16"/>
      <c r="C154" s="24" t="str">
        <f t="shared" si="3"/>
        <v xml:space="preserve"> </v>
      </c>
      <c r="D154" s="25"/>
      <c r="E154" s="20"/>
      <c r="F154" s="19"/>
      <c r="G154" s="180"/>
      <c r="H154" s="120"/>
      <c r="I154" s="121"/>
      <c r="J154" s="121"/>
      <c r="K154" s="121"/>
      <c r="L154" s="121"/>
      <c r="M154" s="121"/>
      <c r="N154" s="121"/>
      <c r="O154" s="121"/>
      <c r="P154" s="121"/>
      <c r="Q154" s="121"/>
      <c r="R154" s="121"/>
      <c r="S154" s="121"/>
      <c r="T154" s="121"/>
      <c r="U154" s="121"/>
      <c r="V154" s="121"/>
      <c r="W154" s="121"/>
      <c r="X154" s="121"/>
      <c r="Y154" s="121"/>
      <c r="Z154" s="121"/>
      <c r="AA154" s="121"/>
      <c r="AB154" s="121"/>
      <c r="AC154" s="121"/>
      <c r="AD154" s="121"/>
      <c r="AE154" s="121"/>
      <c r="AF154" s="121"/>
      <c r="AG154" s="121"/>
      <c r="AH154" s="121"/>
      <c r="AI154" s="121"/>
      <c r="AJ154" s="121"/>
      <c r="AK154" s="121"/>
      <c r="AL154" s="121"/>
      <c r="AM154" s="121"/>
      <c r="AN154" s="121"/>
      <c r="AO154" s="121"/>
      <c r="AP154" s="121"/>
      <c r="AQ154" s="121"/>
      <c r="AR154" s="121"/>
      <c r="AS154" s="121"/>
      <c r="AT154" s="121"/>
      <c r="AU154" s="121"/>
      <c r="AV154" s="121"/>
      <c r="AW154" s="121"/>
      <c r="AX154" s="121"/>
      <c r="AY154" s="121"/>
      <c r="AZ154" s="121"/>
      <c r="BA154" s="121"/>
      <c r="BB154" s="121"/>
      <c r="BC154" s="121"/>
      <c r="BD154" s="121"/>
      <c r="BE154" s="121"/>
      <c r="BF154" s="121"/>
      <c r="BG154" s="121"/>
      <c r="BH154" s="121"/>
      <c r="BI154" s="121"/>
      <c r="BJ154" s="122"/>
      <c r="BK154" s="93"/>
      <c r="BL154" s="94"/>
      <c r="BM154" s="95"/>
      <c r="BN154" s="179"/>
      <c r="BO154" s="177"/>
      <c r="BP154" s="14"/>
      <c r="BQ154" s="14"/>
      <c r="BR154" s="14"/>
      <c r="BS154" s="14"/>
      <c r="BT154" s="14"/>
      <c r="BU154" s="14"/>
      <c r="BV154" s="16"/>
      <c r="BW154" s="14"/>
      <c r="BX154" s="14"/>
      <c r="BY154" s="14"/>
      <c r="BZ154" s="14"/>
      <c r="CA154" s="14"/>
      <c r="CB154" s="14"/>
      <c r="CC154" s="14"/>
      <c r="CD154" s="14"/>
      <c r="CE154" s="14"/>
      <c r="CF154" s="14"/>
      <c r="CG154" s="14"/>
      <c r="CH154" s="14"/>
      <c r="CI154" s="14"/>
      <c r="CJ154" s="14"/>
      <c r="CK154" s="14"/>
      <c r="CL154" s="14"/>
      <c r="CM154" s="14"/>
      <c r="CN154" s="14"/>
      <c r="CO154" s="14"/>
      <c r="CP154" s="14"/>
      <c r="CQ154" s="14"/>
      <c r="CR154" s="14"/>
      <c r="CS154" s="14"/>
      <c r="CT154" s="14"/>
      <c r="CU154" s="14"/>
      <c r="CV154" s="14"/>
      <c r="CW154" s="14"/>
      <c r="CX154" s="14"/>
      <c r="CY154" s="14"/>
      <c r="CZ154" s="14"/>
      <c r="DA154" s="14"/>
      <c r="DB154" s="14"/>
      <c r="DC154" s="14"/>
      <c r="DD154" s="14"/>
      <c r="DE154" s="14"/>
      <c r="DF154" s="14"/>
      <c r="DG154" s="14"/>
      <c r="DH154" s="14"/>
      <c r="DI154" s="14"/>
      <c r="DJ154" s="14"/>
      <c r="DK154" s="14"/>
      <c r="DL154" s="14"/>
      <c r="DM154" s="14"/>
      <c r="DN154" s="14"/>
      <c r="DO154" s="14"/>
      <c r="DP154" s="26"/>
      <c r="DQ154" s="27"/>
      <c r="DR154" s="129"/>
      <c r="DS154" s="130">
        <f>TCP(BO154:DQ154,$BO$9:$DQ$9,data!$H$8)</f>
        <v>0</v>
      </c>
      <c r="DT154" s="135"/>
      <c r="DU154" s="121"/>
      <c r="DV154" s="121"/>
      <c r="DW154" s="134"/>
      <c r="DX154" s="132"/>
      <c r="DY154" s="136"/>
      <c r="DZ154" s="21"/>
      <c r="EA154" s="18"/>
      <c r="EB154" s="4"/>
      <c r="EI154" s="23"/>
      <c r="EJ154" s="23"/>
    </row>
    <row r="155" spans="1:140" ht="15.75" x14ac:dyDescent="0.25">
      <c r="A155" s="12"/>
      <c r="B155" s="16"/>
      <c r="C155" s="24" t="str">
        <f t="shared" si="3"/>
        <v xml:space="preserve"> </v>
      </c>
      <c r="D155" s="25"/>
      <c r="E155" s="20"/>
      <c r="F155" s="19"/>
      <c r="G155" s="180"/>
      <c r="H155" s="120"/>
      <c r="I155" s="121"/>
      <c r="J155" s="121"/>
      <c r="K155" s="121"/>
      <c r="L155" s="121"/>
      <c r="M155" s="121"/>
      <c r="N155" s="121"/>
      <c r="O155" s="121"/>
      <c r="P155" s="121"/>
      <c r="Q155" s="121"/>
      <c r="R155" s="121"/>
      <c r="S155" s="121"/>
      <c r="T155" s="121"/>
      <c r="U155" s="121"/>
      <c r="V155" s="121"/>
      <c r="W155" s="121"/>
      <c r="X155" s="121"/>
      <c r="Y155" s="121"/>
      <c r="Z155" s="121"/>
      <c r="AA155" s="121"/>
      <c r="AB155" s="121"/>
      <c r="AC155" s="121"/>
      <c r="AD155" s="121"/>
      <c r="AE155" s="121"/>
      <c r="AF155" s="121"/>
      <c r="AG155" s="121"/>
      <c r="AH155" s="121"/>
      <c r="AI155" s="121"/>
      <c r="AJ155" s="121"/>
      <c r="AK155" s="121"/>
      <c r="AL155" s="121"/>
      <c r="AM155" s="121"/>
      <c r="AN155" s="121"/>
      <c r="AO155" s="121"/>
      <c r="AP155" s="121"/>
      <c r="AQ155" s="121"/>
      <c r="AR155" s="121"/>
      <c r="AS155" s="121"/>
      <c r="AT155" s="121"/>
      <c r="AU155" s="121"/>
      <c r="AV155" s="121"/>
      <c r="AW155" s="121"/>
      <c r="AX155" s="121"/>
      <c r="AY155" s="121"/>
      <c r="AZ155" s="121"/>
      <c r="BA155" s="121"/>
      <c r="BB155" s="121"/>
      <c r="BC155" s="121"/>
      <c r="BD155" s="121"/>
      <c r="BE155" s="121"/>
      <c r="BF155" s="121"/>
      <c r="BG155" s="121"/>
      <c r="BH155" s="121"/>
      <c r="BI155" s="121"/>
      <c r="BJ155" s="122"/>
      <c r="BK155" s="93"/>
      <c r="BL155" s="94"/>
      <c r="BM155" s="95"/>
      <c r="BN155" s="179"/>
      <c r="BO155" s="177"/>
      <c r="BP155" s="14"/>
      <c r="BQ155" s="14"/>
      <c r="BR155" s="14"/>
      <c r="BS155" s="14"/>
      <c r="BT155" s="14"/>
      <c r="BU155" s="14"/>
      <c r="BV155" s="16"/>
      <c r="BW155" s="14"/>
      <c r="BX155" s="14"/>
      <c r="BY155" s="14"/>
      <c r="BZ155" s="14"/>
      <c r="CA155" s="14"/>
      <c r="CB155" s="14"/>
      <c r="CC155" s="14"/>
      <c r="CD155" s="14"/>
      <c r="CE155" s="14"/>
      <c r="CF155" s="14"/>
      <c r="CG155" s="14"/>
      <c r="CH155" s="14"/>
      <c r="CI155" s="14"/>
      <c r="CJ155" s="14"/>
      <c r="CK155" s="14"/>
      <c r="CL155" s="14"/>
      <c r="CM155" s="14"/>
      <c r="CN155" s="14"/>
      <c r="CO155" s="14"/>
      <c r="CP155" s="14"/>
      <c r="CQ155" s="14"/>
      <c r="CR155" s="14"/>
      <c r="CS155" s="14"/>
      <c r="CT155" s="14"/>
      <c r="CU155" s="14"/>
      <c r="CV155" s="14"/>
      <c r="CW155" s="14"/>
      <c r="CX155" s="14"/>
      <c r="CY155" s="14"/>
      <c r="CZ155" s="14"/>
      <c r="DA155" s="14"/>
      <c r="DB155" s="14"/>
      <c r="DC155" s="14"/>
      <c r="DD155" s="14"/>
      <c r="DE155" s="14"/>
      <c r="DF155" s="14"/>
      <c r="DG155" s="14"/>
      <c r="DH155" s="14"/>
      <c r="DI155" s="14"/>
      <c r="DJ155" s="14"/>
      <c r="DK155" s="14"/>
      <c r="DL155" s="14"/>
      <c r="DM155" s="14"/>
      <c r="DN155" s="14"/>
      <c r="DO155" s="14"/>
      <c r="DP155" s="26"/>
      <c r="DQ155" s="27"/>
      <c r="DR155" s="129"/>
      <c r="DS155" s="130">
        <f>TCP(BO155:DQ155,$BO$9:$DQ$9,data!$H$8)</f>
        <v>0</v>
      </c>
      <c r="DT155" s="135"/>
      <c r="DU155" s="121"/>
      <c r="DV155" s="121"/>
      <c r="DW155" s="134"/>
      <c r="DX155" s="132"/>
      <c r="DY155" s="136"/>
      <c r="DZ155" s="21"/>
      <c r="EA155" s="18"/>
      <c r="EB155" s="4"/>
      <c r="EI155" s="23"/>
      <c r="EJ155" s="23"/>
    </row>
    <row r="156" spans="1:140" ht="15.75" x14ac:dyDescent="0.25">
      <c r="A156" s="12"/>
      <c r="B156" s="16"/>
      <c r="C156" s="24" t="str">
        <f t="shared" si="3"/>
        <v xml:space="preserve"> </v>
      </c>
      <c r="D156" s="25"/>
      <c r="E156" s="20"/>
      <c r="F156" s="19"/>
      <c r="G156" s="180"/>
      <c r="H156" s="120"/>
      <c r="I156" s="121"/>
      <c r="J156" s="121"/>
      <c r="K156" s="121"/>
      <c r="L156" s="121"/>
      <c r="M156" s="121"/>
      <c r="N156" s="121"/>
      <c r="O156" s="121"/>
      <c r="P156" s="121"/>
      <c r="Q156" s="121"/>
      <c r="R156" s="121"/>
      <c r="S156" s="121"/>
      <c r="T156" s="121"/>
      <c r="U156" s="121"/>
      <c r="V156" s="121"/>
      <c r="W156" s="121"/>
      <c r="X156" s="121"/>
      <c r="Y156" s="121"/>
      <c r="Z156" s="121"/>
      <c r="AA156" s="121"/>
      <c r="AB156" s="121"/>
      <c r="AC156" s="121"/>
      <c r="AD156" s="121"/>
      <c r="AE156" s="121"/>
      <c r="AF156" s="121"/>
      <c r="AG156" s="121"/>
      <c r="AH156" s="121"/>
      <c r="AI156" s="121"/>
      <c r="AJ156" s="121"/>
      <c r="AK156" s="121"/>
      <c r="AL156" s="121"/>
      <c r="AM156" s="121"/>
      <c r="AN156" s="121"/>
      <c r="AO156" s="121"/>
      <c r="AP156" s="121"/>
      <c r="AQ156" s="121"/>
      <c r="AR156" s="121"/>
      <c r="AS156" s="121"/>
      <c r="AT156" s="121"/>
      <c r="AU156" s="121"/>
      <c r="AV156" s="121"/>
      <c r="AW156" s="121"/>
      <c r="AX156" s="121"/>
      <c r="AY156" s="121"/>
      <c r="AZ156" s="121"/>
      <c r="BA156" s="121"/>
      <c r="BB156" s="121"/>
      <c r="BC156" s="121"/>
      <c r="BD156" s="121"/>
      <c r="BE156" s="121"/>
      <c r="BF156" s="121"/>
      <c r="BG156" s="121"/>
      <c r="BH156" s="121"/>
      <c r="BI156" s="121"/>
      <c r="BJ156" s="122"/>
      <c r="BK156" s="93"/>
      <c r="BL156" s="94"/>
      <c r="BM156" s="95"/>
      <c r="BN156" s="179"/>
      <c r="BO156" s="177"/>
      <c r="BP156" s="14"/>
      <c r="BQ156" s="14"/>
      <c r="BR156" s="14"/>
      <c r="BS156" s="14"/>
      <c r="BT156" s="14"/>
      <c r="BU156" s="14"/>
      <c r="BV156" s="16"/>
      <c r="BW156" s="14"/>
      <c r="BX156" s="14"/>
      <c r="BY156" s="14"/>
      <c r="BZ156" s="14"/>
      <c r="CA156" s="14"/>
      <c r="CB156" s="14"/>
      <c r="CC156" s="14"/>
      <c r="CD156" s="14"/>
      <c r="CE156" s="14"/>
      <c r="CF156" s="14"/>
      <c r="CG156" s="14"/>
      <c r="CH156" s="14"/>
      <c r="CI156" s="14"/>
      <c r="CJ156" s="14"/>
      <c r="CK156" s="14"/>
      <c r="CL156" s="14"/>
      <c r="CM156" s="14"/>
      <c r="CN156" s="14"/>
      <c r="CO156" s="14"/>
      <c r="CP156" s="14"/>
      <c r="CQ156" s="14"/>
      <c r="CR156" s="14"/>
      <c r="CS156" s="14"/>
      <c r="CT156" s="14"/>
      <c r="CU156" s="14"/>
      <c r="CV156" s="14"/>
      <c r="CW156" s="14"/>
      <c r="CX156" s="14"/>
      <c r="CY156" s="14"/>
      <c r="CZ156" s="14"/>
      <c r="DA156" s="14"/>
      <c r="DB156" s="14"/>
      <c r="DC156" s="14"/>
      <c r="DD156" s="14"/>
      <c r="DE156" s="14"/>
      <c r="DF156" s="14"/>
      <c r="DG156" s="14"/>
      <c r="DH156" s="14"/>
      <c r="DI156" s="14"/>
      <c r="DJ156" s="14"/>
      <c r="DK156" s="14"/>
      <c r="DL156" s="14"/>
      <c r="DM156" s="14"/>
      <c r="DN156" s="14"/>
      <c r="DO156" s="14"/>
      <c r="DP156" s="26"/>
      <c r="DQ156" s="27"/>
      <c r="DR156" s="129"/>
      <c r="DS156" s="130">
        <f>TCP(BO156:DQ156,$BO$9:$DQ$9,data!$H$8)</f>
        <v>0</v>
      </c>
      <c r="DT156" s="135"/>
      <c r="DU156" s="121"/>
      <c r="DV156" s="121"/>
      <c r="DW156" s="134"/>
      <c r="DX156" s="132"/>
      <c r="DY156" s="136"/>
      <c r="DZ156" s="21"/>
      <c r="EA156" s="18"/>
      <c r="EB156" s="4"/>
      <c r="EI156" s="23"/>
      <c r="EJ156" s="23"/>
    </row>
    <row r="157" spans="1:140" ht="15.75" x14ac:dyDescent="0.25">
      <c r="A157" s="12"/>
      <c r="B157" s="16"/>
      <c r="C157" s="24" t="str">
        <f t="shared" si="3"/>
        <v xml:space="preserve"> </v>
      </c>
      <c r="D157" s="25"/>
      <c r="E157" s="20"/>
      <c r="F157" s="19"/>
      <c r="G157" s="180"/>
      <c r="H157" s="120"/>
      <c r="I157" s="121"/>
      <c r="J157" s="121"/>
      <c r="K157" s="121"/>
      <c r="L157" s="121"/>
      <c r="M157" s="121"/>
      <c r="N157" s="121"/>
      <c r="O157" s="121"/>
      <c r="P157" s="121"/>
      <c r="Q157" s="121"/>
      <c r="R157" s="121"/>
      <c r="S157" s="121"/>
      <c r="T157" s="121"/>
      <c r="U157" s="121"/>
      <c r="V157" s="121"/>
      <c r="W157" s="121"/>
      <c r="X157" s="121"/>
      <c r="Y157" s="121"/>
      <c r="Z157" s="121"/>
      <c r="AA157" s="121"/>
      <c r="AB157" s="121"/>
      <c r="AC157" s="121"/>
      <c r="AD157" s="121"/>
      <c r="AE157" s="121"/>
      <c r="AF157" s="121"/>
      <c r="AG157" s="121"/>
      <c r="AH157" s="121"/>
      <c r="AI157" s="121"/>
      <c r="AJ157" s="121"/>
      <c r="AK157" s="121"/>
      <c r="AL157" s="121"/>
      <c r="AM157" s="121"/>
      <c r="AN157" s="121"/>
      <c r="AO157" s="121"/>
      <c r="AP157" s="121"/>
      <c r="AQ157" s="121"/>
      <c r="AR157" s="121"/>
      <c r="AS157" s="121"/>
      <c r="AT157" s="121"/>
      <c r="AU157" s="121"/>
      <c r="AV157" s="121"/>
      <c r="AW157" s="121"/>
      <c r="AX157" s="121"/>
      <c r="AY157" s="121"/>
      <c r="AZ157" s="121"/>
      <c r="BA157" s="121"/>
      <c r="BB157" s="121"/>
      <c r="BC157" s="121"/>
      <c r="BD157" s="121"/>
      <c r="BE157" s="121"/>
      <c r="BF157" s="121"/>
      <c r="BG157" s="121"/>
      <c r="BH157" s="121"/>
      <c r="BI157" s="121"/>
      <c r="BJ157" s="122"/>
      <c r="BK157" s="93"/>
      <c r="BL157" s="94"/>
      <c r="BM157" s="95"/>
      <c r="BN157" s="179"/>
      <c r="BO157" s="177"/>
      <c r="BP157" s="14"/>
      <c r="BQ157" s="14"/>
      <c r="BR157" s="14"/>
      <c r="BS157" s="14"/>
      <c r="BT157" s="14"/>
      <c r="BU157" s="14"/>
      <c r="BV157" s="16"/>
      <c r="BW157" s="14"/>
      <c r="BX157" s="14"/>
      <c r="BY157" s="14"/>
      <c r="BZ157" s="14"/>
      <c r="CA157" s="14"/>
      <c r="CB157" s="14"/>
      <c r="CC157" s="14"/>
      <c r="CD157" s="14"/>
      <c r="CE157" s="14"/>
      <c r="CF157" s="14"/>
      <c r="CG157" s="14"/>
      <c r="CH157" s="14"/>
      <c r="CI157" s="14"/>
      <c r="CJ157" s="14"/>
      <c r="CK157" s="14"/>
      <c r="CL157" s="14"/>
      <c r="CM157" s="14"/>
      <c r="CN157" s="14"/>
      <c r="CO157" s="14"/>
      <c r="CP157" s="14"/>
      <c r="CQ157" s="14"/>
      <c r="CR157" s="14"/>
      <c r="CS157" s="14"/>
      <c r="CT157" s="14"/>
      <c r="CU157" s="14"/>
      <c r="CV157" s="14"/>
      <c r="CW157" s="14"/>
      <c r="CX157" s="14"/>
      <c r="CY157" s="14"/>
      <c r="CZ157" s="14"/>
      <c r="DA157" s="14"/>
      <c r="DB157" s="14"/>
      <c r="DC157" s="14"/>
      <c r="DD157" s="14"/>
      <c r="DE157" s="14"/>
      <c r="DF157" s="14"/>
      <c r="DG157" s="14"/>
      <c r="DH157" s="14"/>
      <c r="DI157" s="14"/>
      <c r="DJ157" s="14"/>
      <c r="DK157" s="14"/>
      <c r="DL157" s="14"/>
      <c r="DM157" s="14"/>
      <c r="DN157" s="14"/>
      <c r="DO157" s="14"/>
      <c r="DP157" s="26"/>
      <c r="DQ157" s="27"/>
      <c r="DR157" s="129"/>
      <c r="DS157" s="130">
        <f>TCP(BO157:DQ157,$BO$9:$DQ$9,data!$H$8)</f>
        <v>0</v>
      </c>
      <c r="DT157" s="135"/>
      <c r="DU157" s="121"/>
      <c r="DV157" s="121"/>
      <c r="DW157" s="134"/>
      <c r="DX157" s="132"/>
      <c r="DY157" s="136"/>
      <c r="DZ157" s="21"/>
      <c r="EA157" s="18"/>
      <c r="EB157" s="4"/>
      <c r="EI157" s="23"/>
      <c r="EJ157" s="23"/>
    </row>
    <row r="158" spans="1:140" ht="15.75" x14ac:dyDescent="0.25">
      <c r="A158" s="12"/>
      <c r="B158" s="16"/>
      <c r="C158" s="24" t="str">
        <f t="shared" si="3"/>
        <v xml:space="preserve"> </v>
      </c>
      <c r="D158" s="25"/>
      <c r="E158" s="20"/>
      <c r="F158" s="19"/>
      <c r="G158" s="180"/>
      <c r="H158" s="120"/>
      <c r="I158" s="121"/>
      <c r="J158" s="121"/>
      <c r="K158" s="121"/>
      <c r="L158" s="121"/>
      <c r="M158" s="121"/>
      <c r="N158" s="121"/>
      <c r="O158" s="121"/>
      <c r="P158" s="121"/>
      <c r="Q158" s="121"/>
      <c r="R158" s="121"/>
      <c r="S158" s="121"/>
      <c r="T158" s="121"/>
      <c r="U158" s="121"/>
      <c r="V158" s="121"/>
      <c r="W158" s="121"/>
      <c r="X158" s="121"/>
      <c r="Y158" s="121"/>
      <c r="Z158" s="121"/>
      <c r="AA158" s="121"/>
      <c r="AB158" s="121"/>
      <c r="AC158" s="121"/>
      <c r="AD158" s="121"/>
      <c r="AE158" s="121"/>
      <c r="AF158" s="121"/>
      <c r="AG158" s="121"/>
      <c r="AH158" s="121"/>
      <c r="AI158" s="121"/>
      <c r="AJ158" s="121"/>
      <c r="AK158" s="121"/>
      <c r="AL158" s="121"/>
      <c r="AM158" s="121"/>
      <c r="AN158" s="121"/>
      <c r="AO158" s="121"/>
      <c r="AP158" s="121"/>
      <c r="AQ158" s="121"/>
      <c r="AR158" s="121"/>
      <c r="AS158" s="121"/>
      <c r="AT158" s="121"/>
      <c r="AU158" s="121"/>
      <c r="AV158" s="121"/>
      <c r="AW158" s="121"/>
      <c r="AX158" s="121"/>
      <c r="AY158" s="121"/>
      <c r="AZ158" s="121"/>
      <c r="BA158" s="121"/>
      <c r="BB158" s="121"/>
      <c r="BC158" s="121"/>
      <c r="BD158" s="121"/>
      <c r="BE158" s="121"/>
      <c r="BF158" s="121"/>
      <c r="BG158" s="121"/>
      <c r="BH158" s="121"/>
      <c r="BI158" s="121"/>
      <c r="BJ158" s="122"/>
      <c r="BK158" s="93"/>
      <c r="BL158" s="94"/>
      <c r="BM158" s="95"/>
      <c r="BN158" s="179"/>
      <c r="BO158" s="177"/>
      <c r="BP158" s="14"/>
      <c r="BQ158" s="14"/>
      <c r="BR158" s="14"/>
      <c r="BS158" s="14"/>
      <c r="BT158" s="14"/>
      <c r="BU158" s="14"/>
      <c r="BV158" s="16"/>
      <c r="BW158" s="14"/>
      <c r="BX158" s="14"/>
      <c r="BY158" s="14"/>
      <c r="BZ158" s="14"/>
      <c r="CA158" s="14"/>
      <c r="CB158" s="14"/>
      <c r="CC158" s="14"/>
      <c r="CD158" s="14"/>
      <c r="CE158" s="14"/>
      <c r="CF158" s="14"/>
      <c r="CG158" s="14"/>
      <c r="CH158" s="14"/>
      <c r="CI158" s="14"/>
      <c r="CJ158" s="14"/>
      <c r="CK158" s="14"/>
      <c r="CL158" s="14"/>
      <c r="CM158" s="14"/>
      <c r="CN158" s="14"/>
      <c r="CO158" s="14"/>
      <c r="CP158" s="14"/>
      <c r="CQ158" s="14"/>
      <c r="CR158" s="14"/>
      <c r="CS158" s="14"/>
      <c r="CT158" s="14"/>
      <c r="CU158" s="14"/>
      <c r="CV158" s="14"/>
      <c r="CW158" s="14"/>
      <c r="CX158" s="14"/>
      <c r="CY158" s="14"/>
      <c r="CZ158" s="14"/>
      <c r="DA158" s="14"/>
      <c r="DB158" s="14"/>
      <c r="DC158" s="14"/>
      <c r="DD158" s="14"/>
      <c r="DE158" s="14"/>
      <c r="DF158" s="14"/>
      <c r="DG158" s="14"/>
      <c r="DH158" s="14"/>
      <c r="DI158" s="14"/>
      <c r="DJ158" s="14"/>
      <c r="DK158" s="14"/>
      <c r="DL158" s="14"/>
      <c r="DM158" s="14"/>
      <c r="DN158" s="14"/>
      <c r="DO158" s="14"/>
      <c r="DP158" s="26"/>
      <c r="DQ158" s="27"/>
      <c r="DR158" s="129"/>
      <c r="DS158" s="130">
        <f>TCP(BO158:DQ158,$BO$9:$DQ$9,data!$H$8)</f>
        <v>0</v>
      </c>
      <c r="DT158" s="135"/>
      <c r="DU158" s="121"/>
      <c r="DV158" s="121"/>
      <c r="DW158" s="134"/>
      <c r="DX158" s="132"/>
      <c r="DY158" s="136"/>
      <c r="DZ158" s="21"/>
      <c r="EA158" s="18"/>
      <c r="EB158" s="4"/>
      <c r="EI158" s="23"/>
      <c r="EJ158" s="23"/>
    </row>
    <row r="159" spans="1:140" ht="15.75" x14ac:dyDescent="0.25">
      <c r="A159" s="12"/>
      <c r="B159" s="16"/>
      <c r="C159" s="24" t="str">
        <f t="shared" si="3"/>
        <v xml:space="preserve"> </v>
      </c>
      <c r="D159" s="25"/>
      <c r="E159" s="20"/>
      <c r="F159" s="19"/>
      <c r="G159" s="180"/>
      <c r="H159" s="120"/>
      <c r="I159" s="121"/>
      <c r="J159" s="121"/>
      <c r="K159" s="121"/>
      <c r="L159" s="121"/>
      <c r="M159" s="121"/>
      <c r="N159" s="121"/>
      <c r="O159" s="121"/>
      <c r="P159" s="121"/>
      <c r="Q159" s="121"/>
      <c r="R159" s="121"/>
      <c r="S159" s="121"/>
      <c r="T159" s="121"/>
      <c r="U159" s="121"/>
      <c r="V159" s="121"/>
      <c r="W159" s="121"/>
      <c r="X159" s="121"/>
      <c r="Y159" s="121"/>
      <c r="Z159" s="121"/>
      <c r="AA159" s="121"/>
      <c r="AB159" s="121"/>
      <c r="AC159" s="121"/>
      <c r="AD159" s="121"/>
      <c r="AE159" s="121"/>
      <c r="AF159" s="121"/>
      <c r="AG159" s="121"/>
      <c r="AH159" s="121"/>
      <c r="AI159" s="121"/>
      <c r="AJ159" s="121"/>
      <c r="AK159" s="121"/>
      <c r="AL159" s="121"/>
      <c r="AM159" s="121"/>
      <c r="AN159" s="121"/>
      <c r="AO159" s="121"/>
      <c r="AP159" s="121"/>
      <c r="AQ159" s="121"/>
      <c r="AR159" s="121"/>
      <c r="AS159" s="121"/>
      <c r="AT159" s="121"/>
      <c r="AU159" s="121"/>
      <c r="AV159" s="121"/>
      <c r="AW159" s="121"/>
      <c r="AX159" s="121"/>
      <c r="AY159" s="121"/>
      <c r="AZ159" s="121"/>
      <c r="BA159" s="121"/>
      <c r="BB159" s="121"/>
      <c r="BC159" s="121"/>
      <c r="BD159" s="121"/>
      <c r="BE159" s="121"/>
      <c r="BF159" s="121"/>
      <c r="BG159" s="121"/>
      <c r="BH159" s="121"/>
      <c r="BI159" s="121"/>
      <c r="BJ159" s="122"/>
      <c r="BK159" s="93"/>
      <c r="BL159" s="94"/>
      <c r="BM159" s="95"/>
      <c r="BN159" s="179"/>
      <c r="BO159" s="177"/>
      <c r="BP159" s="14"/>
      <c r="BQ159" s="14"/>
      <c r="BR159" s="14"/>
      <c r="BS159" s="14"/>
      <c r="BT159" s="14"/>
      <c r="BU159" s="14"/>
      <c r="BV159" s="16"/>
      <c r="BW159" s="14"/>
      <c r="BX159" s="14"/>
      <c r="BY159" s="14"/>
      <c r="BZ159" s="14"/>
      <c r="CA159" s="14"/>
      <c r="CB159" s="14"/>
      <c r="CC159" s="14"/>
      <c r="CD159" s="14"/>
      <c r="CE159" s="14"/>
      <c r="CF159" s="14"/>
      <c r="CG159" s="14"/>
      <c r="CH159" s="14"/>
      <c r="CI159" s="14"/>
      <c r="CJ159" s="14"/>
      <c r="CK159" s="14"/>
      <c r="CL159" s="14"/>
      <c r="CM159" s="14"/>
      <c r="CN159" s="14"/>
      <c r="CO159" s="14"/>
      <c r="CP159" s="14"/>
      <c r="CQ159" s="14"/>
      <c r="CR159" s="14"/>
      <c r="CS159" s="14"/>
      <c r="CT159" s="14"/>
      <c r="CU159" s="14"/>
      <c r="CV159" s="14"/>
      <c r="CW159" s="14"/>
      <c r="CX159" s="14"/>
      <c r="CY159" s="14"/>
      <c r="CZ159" s="14"/>
      <c r="DA159" s="14"/>
      <c r="DB159" s="14"/>
      <c r="DC159" s="14"/>
      <c r="DD159" s="14"/>
      <c r="DE159" s="14"/>
      <c r="DF159" s="14"/>
      <c r="DG159" s="14"/>
      <c r="DH159" s="14"/>
      <c r="DI159" s="14"/>
      <c r="DJ159" s="14"/>
      <c r="DK159" s="14"/>
      <c r="DL159" s="14"/>
      <c r="DM159" s="14"/>
      <c r="DN159" s="14"/>
      <c r="DO159" s="14"/>
      <c r="DP159" s="26"/>
      <c r="DQ159" s="27"/>
      <c r="DR159" s="129"/>
      <c r="DS159" s="130">
        <f>TCP(BO159:DQ159,$BO$9:$DQ$9,data!$H$8)</f>
        <v>0</v>
      </c>
      <c r="DT159" s="135"/>
      <c r="DU159" s="121"/>
      <c r="DV159" s="121"/>
      <c r="DW159" s="134"/>
      <c r="DX159" s="132"/>
      <c r="DY159" s="136"/>
      <c r="DZ159" s="21"/>
      <c r="EA159" s="18"/>
      <c r="EB159" s="4"/>
      <c r="EI159" s="23"/>
      <c r="EJ159" s="23"/>
    </row>
    <row r="160" spans="1:140" ht="15.75" x14ac:dyDescent="0.25">
      <c r="A160" s="12"/>
      <c r="B160" s="16"/>
      <c r="C160" s="24" t="str">
        <f t="shared" si="3"/>
        <v xml:space="preserve"> </v>
      </c>
      <c r="D160" s="25"/>
      <c r="E160" s="20"/>
      <c r="F160" s="19"/>
      <c r="G160" s="180"/>
      <c r="H160" s="120"/>
      <c r="I160" s="121"/>
      <c r="J160" s="121"/>
      <c r="K160" s="121"/>
      <c r="L160" s="121"/>
      <c r="M160" s="121"/>
      <c r="N160" s="121"/>
      <c r="O160" s="121"/>
      <c r="P160" s="121"/>
      <c r="Q160" s="121"/>
      <c r="R160" s="121"/>
      <c r="S160" s="121"/>
      <c r="T160" s="121"/>
      <c r="U160" s="121"/>
      <c r="V160" s="121"/>
      <c r="W160" s="121"/>
      <c r="X160" s="121"/>
      <c r="Y160" s="121"/>
      <c r="Z160" s="121"/>
      <c r="AA160" s="121"/>
      <c r="AB160" s="121"/>
      <c r="AC160" s="121"/>
      <c r="AD160" s="121"/>
      <c r="AE160" s="121"/>
      <c r="AF160" s="121"/>
      <c r="AG160" s="121"/>
      <c r="AH160" s="121"/>
      <c r="AI160" s="121"/>
      <c r="AJ160" s="121"/>
      <c r="AK160" s="121"/>
      <c r="AL160" s="121"/>
      <c r="AM160" s="121"/>
      <c r="AN160" s="121"/>
      <c r="AO160" s="121"/>
      <c r="AP160" s="121"/>
      <c r="AQ160" s="121"/>
      <c r="AR160" s="121"/>
      <c r="AS160" s="121"/>
      <c r="AT160" s="121"/>
      <c r="AU160" s="121"/>
      <c r="AV160" s="121"/>
      <c r="AW160" s="121"/>
      <c r="AX160" s="121"/>
      <c r="AY160" s="121"/>
      <c r="AZ160" s="121"/>
      <c r="BA160" s="121"/>
      <c r="BB160" s="121"/>
      <c r="BC160" s="121"/>
      <c r="BD160" s="121"/>
      <c r="BE160" s="121"/>
      <c r="BF160" s="121"/>
      <c r="BG160" s="121"/>
      <c r="BH160" s="121"/>
      <c r="BI160" s="121"/>
      <c r="BJ160" s="122"/>
      <c r="BK160" s="93"/>
      <c r="BL160" s="94"/>
      <c r="BM160" s="95"/>
      <c r="BN160" s="179"/>
      <c r="BO160" s="177"/>
      <c r="BP160" s="14"/>
      <c r="BQ160" s="14"/>
      <c r="BR160" s="14"/>
      <c r="BS160" s="14"/>
      <c r="BT160" s="14"/>
      <c r="BU160" s="14"/>
      <c r="BV160" s="16"/>
      <c r="BW160" s="14"/>
      <c r="BX160" s="14"/>
      <c r="BY160" s="14"/>
      <c r="BZ160" s="14"/>
      <c r="CA160" s="14"/>
      <c r="CB160" s="14"/>
      <c r="CC160" s="14"/>
      <c r="CD160" s="14"/>
      <c r="CE160" s="14"/>
      <c r="CF160" s="14"/>
      <c r="CG160" s="14"/>
      <c r="CH160" s="14"/>
      <c r="CI160" s="14"/>
      <c r="CJ160" s="14"/>
      <c r="CK160" s="14"/>
      <c r="CL160" s="14"/>
      <c r="CM160" s="14"/>
      <c r="CN160" s="14"/>
      <c r="CO160" s="14"/>
      <c r="CP160" s="14"/>
      <c r="CQ160" s="14"/>
      <c r="CR160" s="14"/>
      <c r="CS160" s="14"/>
      <c r="CT160" s="14"/>
      <c r="CU160" s="14"/>
      <c r="CV160" s="14"/>
      <c r="CW160" s="14"/>
      <c r="CX160" s="14"/>
      <c r="CY160" s="14"/>
      <c r="CZ160" s="14"/>
      <c r="DA160" s="14"/>
      <c r="DB160" s="14"/>
      <c r="DC160" s="14"/>
      <c r="DD160" s="14"/>
      <c r="DE160" s="14"/>
      <c r="DF160" s="14"/>
      <c r="DG160" s="14"/>
      <c r="DH160" s="14"/>
      <c r="DI160" s="14"/>
      <c r="DJ160" s="14"/>
      <c r="DK160" s="14"/>
      <c r="DL160" s="14"/>
      <c r="DM160" s="14"/>
      <c r="DN160" s="14"/>
      <c r="DO160" s="14"/>
      <c r="DP160" s="26"/>
      <c r="DQ160" s="27"/>
      <c r="DR160" s="129"/>
      <c r="DS160" s="130">
        <f>TCP(BO160:DQ160,$BO$9:$DQ$9,data!$H$8)</f>
        <v>0</v>
      </c>
      <c r="DT160" s="135"/>
      <c r="DU160" s="121"/>
      <c r="DV160" s="121"/>
      <c r="DW160" s="134"/>
      <c r="DX160" s="132"/>
      <c r="DY160" s="136"/>
      <c r="DZ160" s="21"/>
      <c r="EA160" s="18"/>
      <c r="EB160" s="4"/>
      <c r="EI160" s="23"/>
      <c r="EJ160" s="23"/>
    </row>
    <row r="161" spans="1:140" ht="15.75" x14ac:dyDescent="0.25">
      <c r="A161" s="12"/>
      <c r="B161" s="16"/>
      <c r="C161" s="24" t="str">
        <f t="shared" si="3"/>
        <v xml:space="preserve"> </v>
      </c>
      <c r="D161" s="25"/>
      <c r="E161" s="20"/>
      <c r="F161" s="19"/>
      <c r="G161" s="180"/>
      <c r="H161" s="120"/>
      <c r="I161" s="121"/>
      <c r="J161" s="121"/>
      <c r="K161" s="121"/>
      <c r="L161" s="121"/>
      <c r="M161" s="121"/>
      <c r="N161" s="121"/>
      <c r="O161" s="121"/>
      <c r="P161" s="121"/>
      <c r="Q161" s="121"/>
      <c r="R161" s="121"/>
      <c r="S161" s="121"/>
      <c r="T161" s="121"/>
      <c r="U161" s="121"/>
      <c r="V161" s="121"/>
      <c r="W161" s="121"/>
      <c r="X161" s="121"/>
      <c r="Y161" s="121"/>
      <c r="Z161" s="121"/>
      <c r="AA161" s="121"/>
      <c r="AB161" s="121"/>
      <c r="AC161" s="121"/>
      <c r="AD161" s="121"/>
      <c r="AE161" s="121"/>
      <c r="AF161" s="121"/>
      <c r="AG161" s="121"/>
      <c r="AH161" s="121"/>
      <c r="AI161" s="121"/>
      <c r="AJ161" s="121"/>
      <c r="AK161" s="121"/>
      <c r="AL161" s="121"/>
      <c r="AM161" s="121"/>
      <c r="AN161" s="121"/>
      <c r="AO161" s="121"/>
      <c r="AP161" s="121"/>
      <c r="AQ161" s="121"/>
      <c r="AR161" s="121"/>
      <c r="AS161" s="121"/>
      <c r="AT161" s="121"/>
      <c r="AU161" s="121"/>
      <c r="AV161" s="121"/>
      <c r="AW161" s="121"/>
      <c r="AX161" s="121"/>
      <c r="AY161" s="121"/>
      <c r="AZ161" s="121"/>
      <c r="BA161" s="121"/>
      <c r="BB161" s="121"/>
      <c r="BC161" s="121"/>
      <c r="BD161" s="121"/>
      <c r="BE161" s="121"/>
      <c r="BF161" s="121"/>
      <c r="BG161" s="121"/>
      <c r="BH161" s="121"/>
      <c r="BI161" s="121"/>
      <c r="BJ161" s="122"/>
      <c r="BK161" s="93"/>
      <c r="BL161" s="94"/>
      <c r="BM161" s="95"/>
      <c r="BN161" s="179"/>
      <c r="BO161" s="177"/>
      <c r="BP161" s="14"/>
      <c r="BQ161" s="14"/>
      <c r="BR161" s="14"/>
      <c r="BS161" s="14"/>
      <c r="BT161" s="14"/>
      <c r="BU161" s="14"/>
      <c r="BV161" s="16"/>
      <c r="BW161" s="14"/>
      <c r="BX161" s="14"/>
      <c r="BY161" s="14"/>
      <c r="BZ161" s="14"/>
      <c r="CA161" s="14"/>
      <c r="CB161" s="14"/>
      <c r="CC161" s="14"/>
      <c r="CD161" s="14"/>
      <c r="CE161" s="14"/>
      <c r="CF161" s="14"/>
      <c r="CG161" s="14"/>
      <c r="CH161" s="14"/>
      <c r="CI161" s="14"/>
      <c r="CJ161" s="14"/>
      <c r="CK161" s="14"/>
      <c r="CL161" s="14"/>
      <c r="CM161" s="14"/>
      <c r="CN161" s="14"/>
      <c r="CO161" s="14"/>
      <c r="CP161" s="14"/>
      <c r="CQ161" s="14"/>
      <c r="CR161" s="14"/>
      <c r="CS161" s="14"/>
      <c r="CT161" s="14"/>
      <c r="CU161" s="14"/>
      <c r="CV161" s="14"/>
      <c r="CW161" s="14"/>
      <c r="CX161" s="14"/>
      <c r="CY161" s="14"/>
      <c r="CZ161" s="14"/>
      <c r="DA161" s="14"/>
      <c r="DB161" s="14"/>
      <c r="DC161" s="14"/>
      <c r="DD161" s="14"/>
      <c r="DE161" s="14"/>
      <c r="DF161" s="14"/>
      <c r="DG161" s="14"/>
      <c r="DH161" s="14"/>
      <c r="DI161" s="14"/>
      <c r="DJ161" s="14"/>
      <c r="DK161" s="14"/>
      <c r="DL161" s="14"/>
      <c r="DM161" s="14"/>
      <c r="DN161" s="14"/>
      <c r="DO161" s="14"/>
      <c r="DP161" s="26"/>
      <c r="DQ161" s="27"/>
      <c r="DR161" s="129"/>
      <c r="DS161" s="130">
        <f>TCP(BO161:DQ161,$BO$9:$DQ$9,data!$H$8)</f>
        <v>0</v>
      </c>
      <c r="DT161" s="135"/>
      <c r="DU161" s="121"/>
      <c r="DV161" s="121"/>
      <c r="DW161" s="134"/>
      <c r="DX161" s="132"/>
      <c r="DY161" s="136"/>
      <c r="DZ161" s="21"/>
      <c r="EA161" s="18"/>
      <c r="EB161" s="4"/>
      <c r="EI161" s="23"/>
      <c r="EJ161" s="23"/>
    </row>
    <row r="162" spans="1:140" ht="15.75" x14ac:dyDescent="0.25">
      <c r="A162" s="12"/>
      <c r="B162" s="16"/>
      <c r="C162" s="24" t="str">
        <f t="shared" si="3"/>
        <v xml:space="preserve"> </v>
      </c>
      <c r="D162" s="25"/>
      <c r="E162" s="20"/>
      <c r="F162" s="19"/>
      <c r="G162" s="180"/>
      <c r="H162" s="120"/>
      <c r="I162" s="121"/>
      <c r="J162" s="121"/>
      <c r="K162" s="121"/>
      <c r="L162" s="121"/>
      <c r="M162" s="121"/>
      <c r="N162" s="121"/>
      <c r="O162" s="121"/>
      <c r="P162" s="121"/>
      <c r="Q162" s="121"/>
      <c r="R162" s="121"/>
      <c r="S162" s="121"/>
      <c r="T162" s="121"/>
      <c r="U162" s="121"/>
      <c r="V162" s="121"/>
      <c r="W162" s="121"/>
      <c r="X162" s="121"/>
      <c r="Y162" s="121"/>
      <c r="Z162" s="121"/>
      <c r="AA162" s="121"/>
      <c r="AB162" s="121"/>
      <c r="AC162" s="121"/>
      <c r="AD162" s="121"/>
      <c r="AE162" s="121"/>
      <c r="AF162" s="121"/>
      <c r="AG162" s="121"/>
      <c r="AH162" s="121"/>
      <c r="AI162" s="121"/>
      <c r="AJ162" s="121"/>
      <c r="AK162" s="121"/>
      <c r="AL162" s="121"/>
      <c r="AM162" s="121"/>
      <c r="AN162" s="121"/>
      <c r="AO162" s="121"/>
      <c r="AP162" s="121"/>
      <c r="AQ162" s="121"/>
      <c r="AR162" s="121"/>
      <c r="AS162" s="121"/>
      <c r="AT162" s="121"/>
      <c r="AU162" s="121"/>
      <c r="AV162" s="121"/>
      <c r="AW162" s="121"/>
      <c r="AX162" s="121"/>
      <c r="AY162" s="121"/>
      <c r="AZ162" s="121"/>
      <c r="BA162" s="121"/>
      <c r="BB162" s="121"/>
      <c r="BC162" s="121"/>
      <c r="BD162" s="121"/>
      <c r="BE162" s="121"/>
      <c r="BF162" s="121"/>
      <c r="BG162" s="121"/>
      <c r="BH162" s="121"/>
      <c r="BI162" s="121"/>
      <c r="BJ162" s="122"/>
      <c r="BK162" s="93"/>
      <c r="BL162" s="94"/>
      <c r="BM162" s="95"/>
      <c r="BN162" s="179"/>
      <c r="BO162" s="177"/>
      <c r="BP162" s="14"/>
      <c r="BQ162" s="14"/>
      <c r="BR162" s="14"/>
      <c r="BS162" s="14"/>
      <c r="BT162" s="14"/>
      <c r="BU162" s="14"/>
      <c r="BV162" s="16"/>
      <c r="BW162" s="14"/>
      <c r="BX162" s="14"/>
      <c r="BY162" s="14"/>
      <c r="BZ162" s="14"/>
      <c r="CA162" s="14"/>
      <c r="CB162" s="14"/>
      <c r="CC162" s="14"/>
      <c r="CD162" s="14"/>
      <c r="CE162" s="14"/>
      <c r="CF162" s="14"/>
      <c r="CG162" s="14"/>
      <c r="CH162" s="14"/>
      <c r="CI162" s="14"/>
      <c r="CJ162" s="14"/>
      <c r="CK162" s="14"/>
      <c r="CL162" s="14"/>
      <c r="CM162" s="14"/>
      <c r="CN162" s="14"/>
      <c r="CO162" s="14"/>
      <c r="CP162" s="14"/>
      <c r="CQ162" s="14"/>
      <c r="CR162" s="14"/>
      <c r="CS162" s="14"/>
      <c r="CT162" s="14"/>
      <c r="CU162" s="14"/>
      <c r="CV162" s="14"/>
      <c r="CW162" s="14"/>
      <c r="CX162" s="14"/>
      <c r="CY162" s="14"/>
      <c r="CZ162" s="14"/>
      <c r="DA162" s="14"/>
      <c r="DB162" s="14"/>
      <c r="DC162" s="14"/>
      <c r="DD162" s="14"/>
      <c r="DE162" s="14"/>
      <c r="DF162" s="14"/>
      <c r="DG162" s="14"/>
      <c r="DH162" s="14"/>
      <c r="DI162" s="14"/>
      <c r="DJ162" s="14"/>
      <c r="DK162" s="14"/>
      <c r="DL162" s="14"/>
      <c r="DM162" s="14"/>
      <c r="DN162" s="14"/>
      <c r="DO162" s="14"/>
      <c r="DP162" s="26"/>
      <c r="DQ162" s="27"/>
      <c r="DR162" s="129"/>
      <c r="DS162" s="130">
        <f>TCP(BO162:DQ162,$BO$9:$DQ$9,data!$H$8)</f>
        <v>0</v>
      </c>
      <c r="DT162" s="135"/>
      <c r="DU162" s="121"/>
      <c r="DV162" s="121"/>
      <c r="DW162" s="134"/>
      <c r="DX162" s="132"/>
      <c r="DY162" s="136"/>
      <c r="DZ162" s="21"/>
      <c r="EA162" s="18"/>
      <c r="EB162" s="4"/>
      <c r="EI162" s="23"/>
      <c r="EJ162" s="23"/>
    </row>
    <row r="163" spans="1:140" ht="15.75" x14ac:dyDescent="0.25">
      <c r="A163" s="12"/>
      <c r="B163" s="16"/>
      <c r="C163" s="24" t="str">
        <f t="shared" si="3"/>
        <v xml:space="preserve"> </v>
      </c>
      <c r="D163" s="25"/>
      <c r="E163" s="20"/>
      <c r="F163" s="19"/>
      <c r="G163" s="180"/>
      <c r="H163" s="120"/>
      <c r="I163" s="121"/>
      <c r="J163" s="121"/>
      <c r="K163" s="121"/>
      <c r="L163" s="121"/>
      <c r="M163" s="121"/>
      <c r="N163" s="121"/>
      <c r="O163" s="121"/>
      <c r="P163" s="121"/>
      <c r="Q163" s="121"/>
      <c r="R163" s="121"/>
      <c r="S163" s="121"/>
      <c r="T163" s="121"/>
      <c r="U163" s="121"/>
      <c r="V163" s="121"/>
      <c r="W163" s="121"/>
      <c r="X163" s="121"/>
      <c r="Y163" s="121"/>
      <c r="Z163" s="121"/>
      <c r="AA163" s="121"/>
      <c r="AB163" s="121"/>
      <c r="AC163" s="121"/>
      <c r="AD163" s="121"/>
      <c r="AE163" s="121"/>
      <c r="AF163" s="121"/>
      <c r="AG163" s="121"/>
      <c r="AH163" s="121"/>
      <c r="AI163" s="121"/>
      <c r="AJ163" s="121"/>
      <c r="AK163" s="121"/>
      <c r="AL163" s="121"/>
      <c r="AM163" s="121"/>
      <c r="AN163" s="121"/>
      <c r="AO163" s="121"/>
      <c r="AP163" s="121"/>
      <c r="AQ163" s="121"/>
      <c r="AR163" s="121"/>
      <c r="AS163" s="121"/>
      <c r="AT163" s="121"/>
      <c r="AU163" s="121"/>
      <c r="AV163" s="121"/>
      <c r="AW163" s="121"/>
      <c r="AX163" s="121"/>
      <c r="AY163" s="121"/>
      <c r="AZ163" s="121"/>
      <c r="BA163" s="121"/>
      <c r="BB163" s="121"/>
      <c r="BC163" s="121"/>
      <c r="BD163" s="121"/>
      <c r="BE163" s="121"/>
      <c r="BF163" s="121"/>
      <c r="BG163" s="121"/>
      <c r="BH163" s="121"/>
      <c r="BI163" s="121"/>
      <c r="BJ163" s="122"/>
      <c r="BK163" s="93"/>
      <c r="BL163" s="94"/>
      <c r="BM163" s="95"/>
      <c r="BN163" s="179"/>
      <c r="BO163" s="177"/>
      <c r="BP163" s="14"/>
      <c r="BQ163" s="14"/>
      <c r="BR163" s="14"/>
      <c r="BS163" s="14"/>
      <c r="BT163" s="14"/>
      <c r="BU163" s="14"/>
      <c r="BV163" s="16"/>
      <c r="BW163" s="14"/>
      <c r="BX163" s="14"/>
      <c r="BY163" s="14"/>
      <c r="BZ163" s="14"/>
      <c r="CA163" s="14"/>
      <c r="CB163" s="14"/>
      <c r="CC163" s="14"/>
      <c r="CD163" s="14"/>
      <c r="CE163" s="14"/>
      <c r="CF163" s="14"/>
      <c r="CG163" s="14"/>
      <c r="CH163" s="14"/>
      <c r="CI163" s="14"/>
      <c r="CJ163" s="14"/>
      <c r="CK163" s="14"/>
      <c r="CL163" s="14"/>
      <c r="CM163" s="14"/>
      <c r="CN163" s="14"/>
      <c r="CO163" s="14"/>
      <c r="CP163" s="14"/>
      <c r="CQ163" s="14"/>
      <c r="CR163" s="14"/>
      <c r="CS163" s="14"/>
      <c r="CT163" s="14"/>
      <c r="CU163" s="14"/>
      <c r="CV163" s="14"/>
      <c r="CW163" s="14"/>
      <c r="CX163" s="14"/>
      <c r="CY163" s="14"/>
      <c r="CZ163" s="14"/>
      <c r="DA163" s="14"/>
      <c r="DB163" s="14"/>
      <c r="DC163" s="14"/>
      <c r="DD163" s="14"/>
      <c r="DE163" s="14"/>
      <c r="DF163" s="14"/>
      <c r="DG163" s="14"/>
      <c r="DH163" s="14"/>
      <c r="DI163" s="14"/>
      <c r="DJ163" s="14"/>
      <c r="DK163" s="14"/>
      <c r="DL163" s="14"/>
      <c r="DM163" s="14"/>
      <c r="DN163" s="14"/>
      <c r="DO163" s="14"/>
      <c r="DP163" s="26"/>
      <c r="DQ163" s="27"/>
      <c r="DR163" s="129"/>
      <c r="DS163" s="130">
        <f>TCP(BO163:DQ163,$BO$9:$DQ$9,data!$H$8)</f>
        <v>0</v>
      </c>
      <c r="DT163" s="135"/>
      <c r="DU163" s="121"/>
      <c r="DV163" s="121"/>
      <c r="DW163" s="134"/>
      <c r="DX163" s="132"/>
      <c r="DY163" s="136"/>
      <c r="DZ163" s="21"/>
      <c r="EA163" s="18"/>
      <c r="EB163" s="4"/>
      <c r="EI163" s="23"/>
      <c r="EJ163" s="23"/>
    </row>
    <row r="164" spans="1:140" ht="15.75" x14ac:dyDescent="0.25">
      <c r="A164" s="12"/>
      <c r="B164" s="16"/>
      <c r="C164" s="24" t="str">
        <f t="shared" si="3"/>
        <v xml:space="preserve"> </v>
      </c>
      <c r="D164" s="25"/>
      <c r="E164" s="20"/>
      <c r="F164" s="19"/>
      <c r="G164" s="180"/>
      <c r="H164" s="120"/>
      <c r="I164" s="121"/>
      <c r="J164" s="121"/>
      <c r="K164" s="121"/>
      <c r="L164" s="121"/>
      <c r="M164" s="121"/>
      <c r="N164" s="121"/>
      <c r="O164" s="121"/>
      <c r="P164" s="121"/>
      <c r="Q164" s="121"/>
      <c r="R164" s="121"/>
      <c r="S164" s="121"/>
      <c r="T164" s="121"/>
      <c r="U164" s="121"/>
      <c r="V164" s="121"/>
      <c r="W164" s="121"/>
      <c r="X164" s="121"/>
      <c r="Y164" s="121"/>
      <c r="Z164" s="121"/>
      <c r="AA164" s="121"/>
      <c r="AB164" s="121"/>
      <c r="AC164" s="121"/>
      <c r="AD164" s="121"/>
      <c r="AE164" s="121"/>
      <c r="AF164" s="121"/>
      <c r="AG164" s="121"/>
      <c r="AH164" s="121"/>
      <c r="AI164" s="121"/>
      <c r="AJ164" s="121"/>
      <c r="AK164" s="121"/>
      <c r="AL164" s="121"/>
      <c r="AM164" s="121"/>
      <c r="AN164" s="121"/>
      <c r="AO164" s="121"/>
      <c r="AP164" s="121"/>
      <c r="AQ164" s="121"/>
      <c r="AR164" s="121"/>
      <c r="AS164" s="121"/>
      <c r="AT164" s="121"/>
      <c r="AU164" s="121"/>
      <c r="AV164" s="121"/>
      <c r="AW164" s="121"/>
      <c r="AX164" s="121"/>
      <c r="AY164" s="121"/>
      <c r="AZ164" s="121"/>
      <c r="BA164" s="121"/>
      <c r="BB164" s="121"/>
      <c r="BC164" s="121"/>
      <c r="BD164" s="121"/>
      <c r="BE164" s="121"/>
      <c r="BF164" s="121"/>
      <c r="BG164" s="121"/>
      <c r="BH164" s="121"/>
      <c r="BI164" s="121"/>
      <c r="BJ164" s="122"/>
      <c r="BK164" s="93"/>
      <c r="BL164" s="94"/>
      <c r="BM164" s="95"/>
      <c r="BN164" s="179"/>
      <c r="BO164" s="177"/>
      <c r="BP164" s="14"/>
      <c r="BQ164" s="14"/>
      <c r="BR164" s="14"/>
      <c r="BS164" s="14"/>
      <c r="BT164" s="14"/>
      <c r="BU164" s="14"/>
      <c r="BV164" s="16"/>
      <c r="BW164" s="14"/>
      <c r="BX164" s="14"/>
      <c r="BY164" s="14"/>
      <c r="BZ164" s="14"/>
      <c r="CA164" s="14"/>
      <c r="CB164" s="14"/>
      <c r="CC164" s="14"/>
      <c r="CD164" s="14"/>
      <c r="CE164" s="14"/>
      <c r="CF164" s="14"/>
      <c r="CG164" s="14"/>
      <c r="CH164" s="14"/>
      <c r="CI164" s="14"/>
      <c r="CJ164" s="14"/>
      <c r="CK164" s="14"/>
      <c r="CL164" s="14"/>
      <c r="CM164" s="14"/>
      <c r="CN164" s="14"/>
      <c r="CO164" s="14"/>
      <c r="CP164" s="14"/>
      <c r="CQ164" s="14"/>
      <c r="CR164" s="14"/>
      <c r="CS164" s="14"/>
      <c r="CT164" s="14"/>
      <c r="CU164" s="14"/>
      <c r="CV164" s="14"/>
      <c r="CW164" s="14"/>
      <c r="CX164" s="14"/>
      <c r="CY164" s="14"/>
      <c r="CZ164" s="14"/>
      <c r="DA164" s="14"/>
      <c r="DB164" s="14"/>
      <c r="DC164" s="14"/>
      <c r="DD164" s="14"/>
      <c r="DE164" s="14"/>
      <c r="DF164" s="14"/>
      <c r="DG164" s="14"/>
      <c r="DH164" s="14"/>
      <c r="DI164" s="14"/>
      <c r="DJ164" s="14"/>
      <c r="DK164" s="14"/>
      <c r="DL164" s="14"/>
      <c r="DM164" s="14"/>
      <c r="DN164" s="14"/>
      <c r="DO164" s="14"/>
      <c r="DP164" s="26"/>
      <c r="DQ164" s="27"/>
      <c r="DR164" s="129"/>
      <c r="DS164" s="130">
        <f>TCP(BO164:DQ164,$BO$9:$DQ$9,data!$H$8)</f>
        <v>0</v>
      </c>
      <c r="DT164" s="135"/>
      <c r="DU164" s="121"/>
      <c r="DV164" s="121"/>
      <c r="DW164" s="134"/>
      <c r="DX164" s="132"/>
      <c r="DY164" s="136"/>
      <c r="DZ164" s="21"/>
      <c r="EA164" s="18"/>
      <c r="EB164" s="4"/>
      <c r="EI164" s="23"/>
      <c r="EJ164" s="23"/>
    </row>
    <row r="165" spans="1:140" ht="15.75" x14ac:dyDescent="0.25">
      <c r="A165" s="12"/>
      <c r="B165" s="16"/>
      <c r="C165" s="24" t="str">
        <f t="shared" si="3"/>
        <v xml:space="preserve"> </v>
      </c>
      <c r="D165" s="25"/>
      <c r="E165" s="20"/>
      <c r="F165" s="19"/>
      <c r="G165" s="180"/>
      <c r="H165" s="120"/>
      <c r="I165" s="121"/>
      <c r="J165" s="121"/>
      <c r="K165" s="121"/>
      <c r="L165" s="121"/>
      <c r="M165" s="121"/>
      <c r="N165" s="121"/>
      <c r="O165" s="121"/>
      <c r="P165" s="121"/>
      <c r="Q165" s="121"/>
      <c r="R165" s="121"/>
      <c r="S165" s="121"/>
      <c r="T165" s="121"/>
      <c r="U165" s="121"/>
      <c r="V165" s="121"/>
      <c r="W165" s="121"/>
      <c r="X165" s="121"/>
      <c r="Y165" s="121"/>
      <c r="Z165" s="121"/>
      <c r="AA165" s="121"/>
      <c r="AB165" s="121"/>
      <c r="AC165" s="121"/>
      <c r="AD165" s="121"/>
      <c r="AE165" s="121"/>
      <c r="AF165" s="121"/>
      <c r="AG165" s="121"/>
      <c r="AH165" s="121"/>
      <c r="AI165" s="121"/>
      <c r="AJ165" s="121"/>
      <c r="AK165" s="121"/>
      <c r="AL165" s="121"/>
      <c r="AM165" s="121"/>
      <c r="AN165" s="121"/>
      <c r="AO165" s="121"/>
      <c r="AP165" s="121"/>
      <c r="AQ165" s="121"/>
      <c r="AR165" s="121"/>
      <c r="AS165" s="121"/>
      <c r="AT165" s="121"/>
      <c r="AU165" s="121"/>
      <c r="AV165" s="121"/>
      <c r="AW165" s="121"/>
      <c r="AX165" s="121"/>
      <c r="AY165" s="121"/>
      <c r="AZ165" s="121"/>
      <c r="BA165" s="121"/>
      <c r="BB165" s="121"/>
      <c r="BC165" s="121"/>
      <c r="BD165" s="121"/>
      <c r="BE165" s="121"/>
      <c r="BF165" s="121"/>
      <c r="BG165" s="121"/>
      <c r="BH165" s="121"/>
      <c r="BI165" s="121"/>
      <c r="BJ165" s="122"/>
      <c r="BK165" s="93"/>
      <c r="BL165" s="94"/>
      <c r="BM165" s="95"/>
      <c r="BN165" s="179"/>
      <c r="BO165" s="177"/>
      <c r="BP165" s="14"/>
      <c r="BQ165" s="14"/>
      <c r="BR165" s="14"/>
      <c r="BS165" s="14"/>
      <c r="BT165" s="14"/>
      <c r="BU165" s="14"/>
      <c r="BV165" s="16"/>
      <c r="BW165" s="14"/>
      <c r="BX165" s="14"/>
      <c r="BY165" s="14"/>
      <c r="BZ165" s="14"/>
      <c r="CA165" s="14"/>
      <c r="CB165" s="14"/>
      <c r="CC165" s="14"/>
      <c r="CD165" s="14"/>
      <c r="CE165" s="14"/>
      <c r="CF165" s="14"/>
      <c r="CG165" s="14"/>
      <c r="CH165" s="14"/>
      <c r="CI165" s="14"/>
      <c r="CJ165" s="14"/>
      <c r="CK165" s="14"/>
      <c r="CL165" s="14"/>
      <c r="CM165" s="14"/>
      <c r="CN165" s="14"/>
      <c r="CO165" s="14"/>
      <c r="CP165" s="14"/>
      <c r="CQ165" s="14"/>
      <c r="CR165" s="14"/>
      <c r="CS165" s="14"/>
      <c r="CT165" s="14"/>
      <c r="CU165" s="14"/>
      <c r="CV165" s="14"/>
      <c r="CW165" s="14"/>
      <c r="CX165" s="14"/>
      <c r="CY165" s="14"/>
      <c r="CZ165" s="14"/>
      <c r="DA165" s="14"/>
      <c r="DB165" s="14"/>
      <c r="DC165" s="14"/>
      <c r="DD165" s="14"/>
      <c r="DE165" s="14"/>
      <c r="DF165" s="14"/>
      <c r="DG165" s="14"/>
      <c r="DH165" s="14"/>
      <c r="DI165" s="14"/>
      <c r="DJ165" s="14"/>
      <c r="DK165" s="14"/>
      <c r="DL165" s="14"/>
      <c r="DM165" s="14"/>
      <c r="DN165" s="14"/>
      <c r="DO165" s="14"/>
      <c r="DP165" s="26"/>
      <c r="DQ165" s="27"/>
      <c r="DR165" s="129"/>
      <c r="DS165" s="130">
        <f>TCP(BO165:DQ165,$BO$9:$DQ$9,data!$H$8)</f>
        <v>0</v>
      </c>
      <c r="DT165" s="135"/>
      <c r="DU165" s="121"/>
      <c r="DV165" s="121"/>
      <c r="DW165" s="134"/>
      <c r="DX165" s="132"/>
      <c r="DY165" s="136"/>
      <c r="DZ165" s="21"/>
      <c r="EA165" s="18"/>
      <c r="EB165" s="4"/>
      <c r="EI165" s="23"/>
      <c r="EJ165" s="23"/>
    </row>
    <row r="166" spans="1:140" ht="15.75" x14ac:dyDescent="0.25">
      <c r="A166" s="12"/>
      <c r="B166" s="16"/>
      <c r="C166" s="24" t="str">
        <f t="shared" si="3"/>
        <v xml:space="preserve"> </v>
      </c>
      <c r="D166" s="25"/>
      <c r="E166" s="20"/>
      <c r="F166" s="19"/>
      <c r="G166" s="180"/>
      <c r="H166" s="120"/>
      <c r="I166" s="121"/>
      <c r="J166" s="121"/>
      <c r="K166" s="121"/>
      <c r="L166" s="121"/>
      <c r="M166" s="121"/>
      <c r="N166" s="121"/>
      <c r="O166" s="121"/>
      <c r="P166" s="121"/>
      <c r="Q166" s="121"/>
      <c r="R166" s="121"/>
      <c r="S166" s="121"/>
      <c r="T166" s="121"/>
      <c r="U166" s="121"/>
      <c r="V166" s="121"/>
      <c r="W166" s="121"/>
      <c r="X166" s="121"/>
      <c r="Y166" s="121"/>
      <c r="Z166" s="121"/>
      <c r="AA166" s="121"/>
      <c r="AB166" s="121"/>
      <c r="AC166" s="121"/>
      <c r="AD166" s="121"/>
      <c r="AE166" s="121"/>
      <c r="AF166" s="121"/>
      <c r="AG166" s="121"/>
      <c r="AH166" s="121"/>
      <c r="AI166" s="121"/>
      <c r="AJ166" s="121"/>
      <c r="AK166" s="121"/>
      <c r="AL166" s="121"/>
      <c r="AM166" s="121"/>
      <c r="AN166" s="121"/>
      <c r="AO166" s="121"/>
      <c r="AP166" s="121"/>
      <c r="AQ166" s="121"/>
      <c r="AR166" s="121"/>
      <c r="AS166" s="121"/>
      <c r="AT166" s="121"/>
      <c r="AU166" s="121"/>
      <c r="AV166" s="121"/>
      <c r="AW166" s="121"/>
      <c r="AX166" s="121"/>
      <c r="AY166" s="121"/>
      <c r="AZ166" s="121"/>
      <c r="BA166" s="121"/>
      <c r="BB166" s="121"/>
      <c r="BC166" s="121"/>
      <c r="BD166" s="121"/>
      <c r="BE166" s="121"/>
      <c r="BF166" s="121"/>
      <c r="BG166" s="121"/>
      <c r="BH166" s="121"/>
      <c r="BI166" s="121"/>
      <c r="BJ166" s="122"/>
      <c r="BK166" s="93"/>
      <c r="BL166" s="94"/>
      <c r="BM166" s="95"/>
      <c r="BN166" s="179"/>
      <c r="BO166" s="177"/>
      <c r="BP166" s="14"/>
      <c r="BQ166" s="14"/>
      <c r="BR166" s="14"/>
      <c r="BS166" s="14"/>
      <c r="BT166" s="14"/>
      <c r="BU166" s="14"/>
      <c r="BV166" s="16"/>
      <c r="BW166" s="14"/>
      <c r="BX166" s="14"/>
      <c r="BY166" s="14"/>
      <c r="BZ166" s="14"/>
      <c r="CA166" s="14"/>
      <c r="CB166" s="14"/>
      <c r="CC166" s="14"/>
      <c r="CD166" s="14"/>
      <c r="CE166" s="14"/>
      <c r="CF166" s="14"/>
      <c r="CG166" s="14"/>
      <c r="CH166" s="14"/>
      <c r="CI166" s="14"/>
      <c r="CJ166" s="14"/>
      <c r="CK166" s="14"/>
      <c r="CL166" s="14"/>
      <c r="CM166" s="14"/>
      <c r="CN166" s="14"/>
      <c r="CO166" s="14"/>
      <c r="CP166" s="14"/>
      <c r="CQ166" s="14"/>
      <c r="CR166" s="14"/>
      <c r="CS166" s="14"/>
      <c r="CT166" s="14"/>
      <c r="CU166" s="14"/>
      <c r="CV166" s="14"/>
      <c r="CW166" s="14"/>
      <c r="CX166" s="14"/>
      <c r="CY166" s="14"/>
      <c r="CZ166" s="14"/>
      <c r="DA166" s="14"/>
      <c r="DB166" s="14"/>
      <c r="DC166" s="14"/>
      <c r="DD166" s="14"/>
      <c r="DE166" s="14"/>
      <c r="DF166" s="14"/>
      <c r="DG166" s="14"/>
      <c r="DH166" s="14"/>
      <c r="DI166" s="14"/>
      <c r="DJ166" s="14"/>
      <c r="DK166" s="14"/>
      <c r="DL166" s="14"/>
      <c r="DM166" s="14"/>
      <c r="DN166" s="14"/>
      <c r="DO166" s="14"/>
      <c r="DP166" s="26"/>
      <c r="DQ166" s="27"/>
      <c r="DR166" s="129"/>
      <c r="DS166" s="130">
        <f>TCP(BO166:DQ166,$BO$9:$DQ$9,data!$H$8)</f>
        <v>0</v>
      </c>
      <c r="DT166" s="135"/>
      <c r="DU166" s="121"/>
      <c r="DV166" s="121"/>
      <c r="DW166" s="134"/>
      <c r="DX166" s="132"/>
      <c r="DY166" s="136"/>
      <c r="DZ166" s="21"/>
      <c r="EA166" s="18"/>
      <c r="EB166" s="4"/>
      <c r="EI166" s="23"/>
      <c r="EJ166" s="23"/>
    </row>
    <row r="167" spans="1:140" ht="15.75" x14ac:dyDescent="0.25">
      <c r="A167" s="12"/>
      <c r="B167" s="16"/>
      <c r="C167" s="24" t="str">
        <f t="shared" si="3"/>
        <v xml:space="preserve"> </v>
      </c>
      <c r="D167" s="25"/>
      <c r="E167" s="20"/>
      <c r="F167" s="19"/>
      <c r="G167" s="180"/>
      <c r="H167" s="120"/>
      <c r="I167" s="121"/>
      <c r="J167" s="121"/>
      <c r="K167" s="121"/>
      <c r="L167" s="121"/>
      <c r="M167" s="121"/>
      <c r="N167" s="121"/>
      <c r="O167" s="121"/>
      <c r="P167" s="121"/>
      <c r="Q167" s="121"/>
      <c r="R167" s="121"/>
      <c r="S167" s="121"/>
      <c r="T167" s="121"/>
      <c r="U167" s="121"/>
      <c r="V167" s="121"/>
      <c r="W167" s="121"/>
      <c r="X167" s="121"/>
      <c r="Y167" s="121"/>
      <c r="Z167" s="121"/>
      <c r="AA167" s="121"/>
      <c r="AB167" s="121"/>
      <c r="AC167" s="121"/>
      <c r="AD167" s="121"/>
      <c r="AE167" s="121"/>
      <c r="AF167" s="121"/>
      <c r="AG167" s="121"/>
      <c r="AH167" s="121"/>
      <c r="AI167" s="121"/>
      <c r="AJ167" s="121"/>
      <c r="AK167" s="121"/>
      <c r="AL167" s="121"/>
      <c r="AM167" s="121"/>
      <c r="AN167" s="121"/>
      <c r="AO167" s="121"/>
      <c r="AP167" s="121"/>
      <c r="AQ167" s="121"/>
      <c r="AR167" s="121"/>
      <c r="AS167" s="121"/>
      <c r="AT167" s="121"/>
      <c r="AU167" s="121"/>
      <c r="AV167" s="121"/>
      <c r="AW167" s="121"/>
      <c r="AX167" s="121"/>
      <c r="AY167" s="121"/>
      <c r="AZ167" s="121"/>
      <c r="BA167" s="121"/>
      <c r="BB167" s="121"/>
      <c r="BC167" s="121"/>
      <c r="BD167" s="121"/>
      <c r="BE167" s="121"/>
      <c r="BF167" s="121"/>
      <c r="BG167" s="121"/>
      <c r="BH167" s="121"/>
      <c r="BI167" s="121"/>
      <c r="BJ167" s="122"/>
      <c r="BK167" s="93"/>
      <c r="BL167" s="94"/>
      <c r="BM167" s="95"/>
      <c r="BN167" s="179"/>
      <c r="BO167" s="177"/>
      <c r="BP167" s="14"/>
      <c r="BQ167" s="14"/>
      <c r="BR167" s="14"/>
      <c r="BS167" s="14"/>
      <c r="BT167" s="14"/>
      <c r="BU167" s="14"/>
      <c r="BV167" s="16"/>
      <c r="BW167" s="14"/>
      <c r="BX167" s="14"/>
      <c r="BY167" s="14"/>
      <c r="BZ167" s="14"/>
      <c r="CA167" s="14"/>
      <c r="CB167" s="14"/>
      <c r="CC167" s="14"/>
      <c r="CD167" s="14"/>
      <c r="CE167" s="14"/>
      <c r="CF167" s="14"/>
      <c r="CG167" s="14"/>
      <c r="CH167" s="14"/>
      <c r="CI167" s="14"/>
      <c r="CJ167" s="14"/>
      <c r="CK167" s="14"/>
      <c r="CL167" s="14"/>
      <c r="CM167" s="14"/>
      <c r="CN167" s="14"/>
      <c r="CO167" s="14"/>
      <c r="CP167" s="14"/>
      <c r="CQ167" s="14"/>
      <c r="CR167" s="14"/>
      <c r="CS167" s="14"/>
      <c r="CT167" s="14"/>
      <c r="CU167" s="14"/>
      <c r="CV167" s="14"/>
      <c r="CW167" s="14"/>
      <c r="CX167" s="14"/>
      <c r="CY167" s="14"/>
      <c r="CZ167" s="14"/>
      <c r="DA167" s="14"/>
      <c r="DB167" s="14"/>
      <c r="DC167" s="14"/>
      <c r="DD167" s="14"/>
      <c r="DE167" s="14"/>
      <c r="DF167" s="14"/>
      <c r="DG167" s="14"/>
      <c r="DH167" s="14"/>
      <c r="DI167" s="14"/>
      <c r="DJ167" s="14"/>
      <c r="DK167" s="14"/>
      <c r="DL167" s="14"/>
      <c r="DM167" s="14"/>
      <c r="DN167" s="14"/>
      <c r="DO167" s="14"/>
      <c r="DP167" s="26"/>
      <c r="DQ167" s="27"/>
      <c r="DR167" s="129"/>
      <c r="DS167" s="130">
        <f>TCP(BO167:DQ167,$BO$9:$DQ$9,data!$H$8)</f>
        <v>0</v>
      </c>
      <c r="DT167" s="135"/>
      <c r="DU167" s="121"/>
      <c r="DV167" s="121"/>
      <c r="DW167" s="134"/>
      <c r="DX167" s="132"/>
      <c r="DY167" s="136"/>
      <c r="DZ167" s="21"/>
      <c r="EA167" s="18"/>
      <c r="EB167" s="4"/>
      <c r="EI167" s="23"/>
      <c r="EJ167" s="23"/>
    </row>
    <row r="168" spans="1:140" ht="15.75" x14ac:dyDescent="0.25">
      <c r="A168" s="12"/>
      <c r="B168" s="16"/>
      <c r="C168" s="24" t="str">
        <f t="shared" si="3"/>
        <v xml:space="preserve"> </v>
      </c>
      <c r="D168" s="25"/>
      <c r="E168" s="20"/>
      <c r="F168" s="19"/>
      <c r="G168" s="180"/>
      <c r="H168" s="120"/>
      <c r="I168" s="121"/>
      <c r="J168" s="121"/>
      <c r="K168" s="121"/>
      <c r="L168" s="121"/>
      <c r="M168" s="121"/>
      <c r="N168" s="121"/>
      <c r="O168" s="121"/>
      <c r="P168" s="121"/>
      <c r="Q168" s="121"/>
      <c r="R168" s="121"/>
      <c r="S168" s="121"/>
      <c r="T168" s="121"/>
      <c r="U168" s="121"/>
      <c r="V168" s="121"/>
      <c r="W168" s="121"/>
      <c r="X168" s="121"/>
      <c r="Y168" s="121"/>
      <c r="Z168" s="121"/>
      <c r="AA168" s="121"/>
      <c r="AB168" s="121"/>
      <c r="AC168" s="121"/>
      <c r="AD168" s="121"/>
      <c r="AE168" s="121"/>
      <c r="AF168" s="121"/>
      <c r="AG168" s="121"/>
      <c r="AH168" s="121"/>
      <c r="AI168" s="121"/>
      <c r="AJ168" s="121"/>
      <c r="AK168" s="121"/>
      <c r="AL168" s="121"/>
      <c r="AM168" s="121"/>
      <c r="AN168" s="121"/>
      <c r="AO168" s="121"/>
      <c r="AP168" s="121"/>
      <c r="AQ168" s="121"/>
      <c r="AR168" s="121"/>
      <c r="AS168" s="121"/>
      <c r="AT168" s="121"/>
      <c r="AU168" s="121"/>
      <c r="AV168" s="121"/>
      <c r="AW168" s="121"/>
      <c r="AX168" s="121"/>
      <c r="AY168" s="121"/>
      <c r="AZ168" s="121"/>
      <c r="BA168" s="121"/>
      <c r="BB168" s="121"/>
      <c r="BC168" s="121"/>
      <c r="BD168" s="121"/>
      <c r="BE168" s="121"/>
      <c r="BF168" s="121"/>
      <c r="BG168" s="121"/>
      <c r="BH168" s="121"/>
      <c r="BI168" s="121"/>
      <c r="BJ168" s="122"/>
      <c r="BK168" s="93"/>
      <c r="BL168" s="94"/>
      <c r="BM168" s="95"/>
      <c r="BN168" s="179"/>
      <c r="BO168" s="177"/>
      <c r="BP168" s="14"/>
      <c r="BQ168" s="14"/>
      <c r="BR168" s="14"/>
      <c r="BS168" s="14"/>
      <c r="BT168" s="14"/>
      <c r="BU168" s="14"/>
      <c r="BV168" s="16"/>
      <c r="BW168" s="14"/>
      <c r="BX168" s="14"/>
      <c r="BY168" s="14"/>
      <c r="BZ168" s="14"/>
      <c r="CA168" s="14"/>
      <c r="CB168" s="14"/>
      <c r="CC168" s="14"/>
      <c r="CD168" s="14"/>
      <c r="CE168" s="14"/>
      <c r="CF168" s="14"/>
      <c r="CG168" s="14"/>
      <c r="CH168" s="14"/>
      <c r="CI168" s="14"/>
      <c r="CJ168" s="14"/>
      <c r="CK168" s="14"/>
      <c r="CL168" s="14"/>
      <c r="CM168" s="14"/>
      <c r="CN168" s="14"/>
      <c r="CO168" s="14"/>
      <c r="CP168" s="14"/>
      <c r="CQ168" s="14"/>
      <c r="CR168" s="14"/>
      <c r="CS168" s="14"/>
      <c r="CT168" s="14"/>
      <c r="CU168" s="14"/>
      <c r="CV168" s="14"/>
      <c r="CW168" s="14"/>
      <c r="CX168" s="14"/>
      <c r="CY168" s="14"/>
      <c r="CZ168" s="14"/>
      <c r="DA168" s="14"/>
      <c r="DB168" s="14"/>
      <c r="DC168" s="14"/>
      <c r="DD168" s="14"/>
      <c r="DE168" s="14"/>
      <c r="DF168" s="14"/>
      <c r="DG168" s="14"/>
      <c r="DH168" s="14"/>
      <c r="DI168" s="14"/>
      <c r="DJ168" s="14"/>
      <c r="DK168" s="14"/>
      <c r="DL168" s="14"/>
      <c r="DM168" s="14"/>
      <c r="DN168" s="14"/>
      <c r="DO168" s="14"/>
      <c r="DP168" s="26"/>
      <c r="DQ168" s="27"/>
      <c r="DR168" s="129"/>
      <c r="DS168" s="130">
        <f>TCP(BO168:DQ168,$BO$9:$DQ$9,data!$H$8)</f>
        <v>0</v>
      </c>
      <c r="DT168" s="135"/>
      <c r="DU168" s="121"/>
      <c r="DV168" s="121"/>
      <c r="DW168" s="134"/>
      <c r="DX168" s="132"/>
      <c r="DY168" s="136"/>
      <c r="DZ168" s="21"/>
      <c r="EA168" s="18"/>
      <c r="EB168" s="4"/>
      <c r="EI168" s="23"/>
      <c r="EJ168" s="23"/>
    </row>
    <row r="169" spans="1:140" ht="15.75" x14ac:dyDescent="0.25">
      <c r="A169" s="12"/>
      <c r="B169" s="16"/>
      <c r="C169" s="24" t="str">
        <f t="shared" si="3"/>
        <v xml:space="preserve"> </v>
      </c>
      <c r="D169" s="25"/>
      <c r="E169" s="20"/>
      <c r="F169" s="19"/>
      <c r="G169" s="180"/>
      <c r="H169" s="120"/>
      <c r="I169" s="121"/>
      <c r="J169" s="121"/>
      <c r="K169" s="121"/>
      <c r="L169" s="121"/>
      <c r="M169" s="121"/>
      <c r="N169" s="121"/>
      <c r="O169" s="121"/>
      <c r="P169" s="121"/>
      <c r="Q169" s="121"/>
      <c r="R169" s="121"/>
      <c r="S169" s="121"/>
      <c r="T169" s="121"/>
      <c r="U169" s="121"/>
      <c r="V169" s="121"/>
      <c r="W169" s="121"/>
      <c r="X169" s="121"/>
      <c r="Y169" s="121"/>
      <c r="Z169" s="121"/>
      <c r="AA169" s="121"/>
      <c r="AB169" s="121"/>
      <c r="AC169" s="121"/>
      <c r="AD169" s="121"/>
      <c r="AE169" s="121"/>
      <c r="AF169" s="121"/>
      <c r="AG169" s="121"/>
      <c r="AH169" s="121"/>
      <c r="AI169" s="121"/>
      <c r="AJ169" s="121"/>
      <c r="AK169" s="121"/>
      <c r="AL169" s="121"/>
      <c r="AM169" s="121"/>
      <c r="AN169" s="121"/>
      <c r="AO169" s="121"/>
      <c r="AP169" s="121"/>
      <c r="AQ169" s="121"/>
      <c r="AR169" s="121"/>
      <c r="AS169" s="121"/>
      <c r="AT169" s="121"/>
      <c r="AU169" s="121"/>
      <c r="AV169" s="121"/>
      <c r="AW169" s="121"/>
      <c r="AX169" s="121"/>
      <c r="AY169" s="121"/>
      <c r="AZ169" s="121"/>
      <c r="BA169" s="121"/>
      <c r="BB169" s="121"/>
      <c r="BC169" s="121"/>
      <c r="BD169" s="121"/>
      <c r="BE169" s="121"/>
      <c r="BF169" s="121"/>
      <c r="BG169" s="121"/>
      <c r="BH169" s="121"/>
      <c r="BI169" s="121"/>
      <c r="BJ169" s="122"/>
      <c r="BK169" s="93"/>
      <c r="BL169" s="94"/>
      <c r="BM169" s="95"/>
      <c r="BN169" s="179"/>
      <c r="BO169" s="177"/>
      <c r="BP169" s="14"/>
      <c r="BQ169" s="14"/>
      <c r="BR169" s="14"/>
      <c r="BS169" s="14"/>
      <c r="BT169" s="14"/>
      <c r="BU169" s="14"/>
      <c r="BV169" s="16"/>
      <c r="BW169" s="14"/>
      <c r="BX169" s="14"/>
      <c r="BY169" s="14"/>
      <c r="BZ169" s="14"/>
      <c r="CA169" s="14"/>
      <c r="CB169" s="14"/>
      <c r="CC169" s="14"/>
      <c r="CD169" s="14"/>
      <c r="CE169" s="14"/>
      <c r="CF169" s="14"/>
      <c r="CG169" s="14"/>
      <c r="CH169" s="14"/>
      <c r="CI169" s="14"/>
      <c r="CJ169" s="14"/>
      <c r="CK169" s="14"/>
      <c r="CL169" s="14"/>
      <c r="CM169" s="14"/>
      <c r="CN169" s="14"/>
      <c r="CO169" s="14"/>
      <c r="CP169" s="14"/>
      <c r="CQ169" s="14"/>
      <c r="CR169" s="14"/>
      <c r="CS169" s="14"/>
      <c r="CT169" s="14"/>
      <c r="CU169" s="14"/>
      <c r="CV169" s="14"/>
      <c r="CW169" s="14"/>
      <c r="CX169" s="14"/>
      <c r="CY169" s="14"/>
      <c r="CZ169" s="14"/>
      <c r="DA169" s="14"/>
      <c r="DB169" s="14"/>
      <c r="DC169" s="14"/>
      <c r="DD169" s="14"/>
      <c r="DE169" s="14"/>
      <c r="DF169" s="14"/>
      <c r="DG169" s="14"/>
      <c r="DH169" s="14"/>
      <c r="DI169" s="14"/>
      <c r="DJ169" s="14"/>
      <c r="DK169" s="14"/>
      <c r="DL169" s="14"/>
      <c r="DM169" s="14"/>
      <c r="DN169" s="14"/>
      <c r="DO169" s="14"/>
      <c r="DP169" s="26"/>
      <c r="DQ169" s="27"/>
      <c r="DR169" s="129"/>
      <c r="DS169" s="130">
        <f>TCP(BO169:DQ169,$BO$9:$DQ$9,data!$H$8)</f>
        <v>0</v>
      </c>
      <c r="DT169" s="135"/>
      <c r="DU169" s="121"/>
      <c r="DV169" s="121"/>
      <c r="DW169" s="134"/>
      <c r="DX169" s="132"/>
      <c r="DY169" s="136"/>
      <c r="DZ169" s="21"/>
      <c r="EA169" s="18"/>
      <c r="EB169" s="4"/>
      <c r="EI169" s="23"/>
      <c r="EJ169" s="23"/>
    </row>
    <row r="170" spans="1:140" ht="15.75" x14ac:dyDescent="0.25">
      <c r="A170" s="12"/>
      <c r="B170" s="16"/>
      <c r="C170" s="24" t="str">
        <f t="shared" si="3"/>
        <v xml:space="preserve"> </v>
      </c>
      <c r="D170" s="25"/>
      <c r="E170" s="20"/>
      <c r="F170" s="19"/>
      <c r="G170" s="180"/>
      <c r="H170" s="120"/>
      <c r="I170" s="121"/>
      <c r="J170" s="121"/>
      <c r="K170" s="121"/>
      <c r="L170" s="121"/>
      <c r="M170" s="121"/>
      <c r="N170" s="121"/>
      <c r="O170" s="121"/>
      <c r="P170" s="121"/>
      <c r="Q170" s="121"/>
      <c r="R170" s="121"/>
      <c r="S170" s="121"/>
      <c r="T170" s="121"/>
      <c r="U170" s="121"/>
      <c r="V170" s="121"/>
      <c r="W170" s="121"/>
      <c r="X170" s="121"/>
      <c r="Y170" s="121"/>
      <c r="Z170" s="121"/>
      <c r="AA170" s="121"/>
      <c r="AB170" s="121"/>
      <c r="AC170" s="121"/>
      <c r="AD170" s="121"/>
      <c r="AE170" s="121"/>
      <c r="AF170" s="121"/>
      <c r="AG170" s="121"/>
      <c r="AH170" s="121"/>
      <c r="AI170" s="121"/>
      <c r="AJ170" s="121"/>
      <c r="AK170" s="121"/>
      <c r="AL170" s="121"/>
      <c r="AM170" s="121"/>
      <c r="AN170" s="121"/>
      <c r="AO170" s="121"/>
      <c r="AP170" s="121"/>
      <c r="AQ170" s="121"/>
      <c r="AR170" s="121"/>
      <c r="AS170" s="121"/>
      <c r="AT170" s="121"/>
      <c r="AU170" s="121"/>
      <c r="AV170" s="121"/>
      <c r="AW170" s="121"/>
      <c r="AX170" s="121"/>
      <c r="AY170" s="121"/>
      <c r="AZ170" s="121"/>
      <c r="BA170" s="121"/>
      <c r="BB170" s="121"/>
      <c r="BC170" s="121"/>
      <c r="BD170" s="121"/>
      <c r="BE170" s="121"/>
      <c r="BF170" s="121"/>
      <c r="BG170" s="121"/>
      <c r="BH170" s="121"/>
      <c r="BI170" s="121"/>
      <c r="BJ170" s="122"/>
      <c r="BK170" s="93"/>
      <c r="BL170" s="94"/>
      <c r="BM170" s="95"/>
      <c r="BN170" s="179"/>
      <c r="BO170" s="177"/>
      <c r="BP170" s="14"/>
      <c r="BQ170" s="14"/>
      <c r="BR170" s="14"/>
      <c r="BS170" s="14"/>
      <c r="BT170" s="14"/>
      <c r="BU170" s="14"/>
      <c r="BV170" s="16"/>
      <c r="BW170" s="14"/>
      <c r="BX170" s="14"/>
      <c r="BY170" s="14"/>
      <c r="BZ170" s="14"/>
      <c r="CA170" s="14"/>
      <c r="CB170" s="14"/>
      <c r="CC170" s="14"/>
      <c r="CD170" s="14"/>
      <c r="CE170" s="14"/>
      <c r="CF170" s="14"/>
      <c r="CG170" s="14"/>
      <c r="CH170" s="14"/>
      <c r="CI170" s="14"/>
      <c r="CJ170" s="14"/>
      <c r="CK170" s="14"/>
      <c r="CL170" s="14"/>
      <c r="CM170" s="14"/>
      <c r="CN170" s="14"/>
      <c r="CO170" s="14"/>
      <c r="CP170" s="14"/>
      <c r="CQ170" s="14"/>
      <c r="CR170" s="14"/>
      <c r="CS170" s="14"/>
      <c r="CT170" s="14"/>
      <c r="CU170" s="14"/>
      <c r="CV170" s="14"/>
      <c r="CW170" s="14"/>
      <c r="CX170" s="14"/>
      <c r="CY170" s="14"/>
      <c r="CZ170" s="14"/>
      <c r="DA170" s="14"/>
      <c r="DB170" s="14"/>
      <c r="DC170" s="14"/>
      <c r="DD170" s="14"/>
      <c r="DE170" s="14"/>
      <c r="DF170" s="14"/>
      <c r="DG170" s="14"/>
      <c r="DH170" s="14"/>
      <c r="DI170" s="14"/>
      <c r="DJ170" s="14"/>
      <c r="DK170" s="14"/>
      <c r="DL170" s="14"/>
      <c r="DM170" s="14"/>
      <c r="DN170" s="14"/>
      <c r="DO170" s="14"/>
      <c r="DP170" s="26"/>
      <c r="DQ170" s="27"/>
      <c r="DR170" s="129"/>
      <c r="DS170" s="130">
        <f>TCP(BO170:DQ170,$BO$9:$DQ$9,data!$H$8)</f>
        <v>0</v>
      </c>
      <c r="DT170" s="135"/>
      <c r="DU170" s="121"/>
      <c r="DV170" s="121"/>
      <c r="DW170" s="134"/>
      <c r="DX170" s="132"/>
      <c r="DY170" s="136"/>
      <c r="DZ170" s="21"/>
      <c r="EA170" s="18"/>
      <c r="EB170" s="4"/>
      <c r="EI170" s="23"/>
      <c r="EJ170" s="23"/>
    </row>
    <row r="171" spans="1:140" ht="15.75" x14ac:dyDescent="0.25">
      <c r="A171" s="12"/>
      <c r="B171" s="16"/>
      <c r="C171" s="24" t="str">
        <f t="shared" si="3"/>
        <v xml:space="preserve"> </v>
      </c>
      <c r="D171" s="25"/>
      <c r="E171" s="20"/>
      <c r="F171" s="19" t="str">
        <f t="shared" si="1"/>
        <v xml:space="preserve"> </v>
      </c>
      <c r="G171" s="180"/>
      <c r="H171" s="120"/>
      <c r="I171" s="121"/>
      <c r="J171" s="121"/>
      <c r="K171" s="121"/>
      <c r="L171" s="121"/>
      <c r="M171" s="121"/>
      <c r="N171" s="121"/>
      <c r="O171" s="121"/>
      <c r="P171" s="121"/>
      <c r="Q171" s="121"/>
      <c r="R171" s="121"/>
      <c r="S171" s="121"/>
      <c r="T171" s="121"/>
      <c r="U171" s="121"/>
      <c r="V171" s="121"/>
      <c r="W171" s="121"/>
      <c r="X171" s="121"/>
      <c r="Y171" s="121"/>
      <c r="Z171" s="121"/>
      <c r="AA171" s="121"/>
      <c r="AB171" s="121"/>
      <c r="AC171" s="121"/>
      <c r="AD171" s="121"/>
      <c r="AE171" s="121"/>
      <c r="AF171" s="121"/>
      <c r="AG171" s="121"/>
      <c r="AH171" s="121"/>
      <c r="AI171" s="121"/>
      <c r="AJ171" s="121"/>
      <c r="AK171" s="121"/>
      <c r="AL171" s="121"/>
      <c r="AM171" s="121"/>
      <c r="AN171" s="121"/>
      <c r="AO171" s="121"/>
      <c r="AP171" s="121"/>
      <c r="AQ171" s="121"/>
      <c r="AR171" s="121"/>
      <c r="AS171" s="121"/>
      <c r="AT171" s="121"/>
      <c r="AU171" s="121"/>
      <c r="AV171" s="121"/>
      <c r="AW171" s="121"/>
      <c r="AX171" s="121"/>
      <c r="AY171" s="121"/>
      <c r="AZ171" s="121"/>
      <c r="BA171" s="121"/>
      <c r="BB171" s="121"/>
      <c r="BC171" s="121"/>
      <c r="BD171" s="121"/>
      <c r="BE171" s="121"/>
      <c r="BF171" s="121"/>
      <c r="BG171" s="121"/>
      <c r="BH171" s="121"/>
      <c r="BI171" s="121"/>
      <c r="BJ171" s="122"/>
      <c r="BK171" s="93"/>
      <c r="BL171" s="94"/>
      <c r="BM171" s="95"/>
      <c r="BN171" s="179"/>
      <c r="BO171" s="177"/>
      <c r="BP171" s="14"/>
      <c r="BQ171" s="14"/>
      <c r="BR171" s="14"/>
      <c r="BS171" s="14"/>
      <c r="BT171" s="14"/>
      <c r="BU171" s="14"/>
      <c r="BV171" s="16"/>
      <c r="BW171" s="14"/>
      <c r="BX171" s="14"/>
      <c r="BY171" s="14"/>
      <c r="BZ171" s="14"/>
      <c r="CA171" s="14"/>
      <c r="CB171" s="14"/>
      <c r="CC171" s="14"/>
      <c r="CD171" s="14"/>
      <c r="CE171" s="14"/>
      <c r="CF171" s="14"/>
      <c r="CG171" s="14"/>
      <c r="CH171" s="14"/>
      <c r="CI171" s="14"/>
      <c r="CJ171" s="14"/>
      <c r="CK171" s="14"/>
      <c r="CL171" s="14"/>
      <c r="CM171" s="14"/>
      <c r="CN171" s="14"/>
      <c r="CO171" s="14"/>
      <c r="CP171" s="14"/>
      <c r="CQ171" s="14"/>
      <c r="CR171" s="14"/>
      <c r="CS171" s="14"/>
      <c r="CT171" s="14"/>
      <c r="CU171" s="14"/>
      <c r="CV171" s="14"/>
      <c r="CW171" s="14"/>
      <c r="CX171" s="14"/>
      <c r="CY171" s="14"/>
      <c r="CZ171" s="14"/>
      <c r="DA171" s="14"/>
      <c r="DB171" s="14"/>
      <c r="DC171" s="14"/>
      <c r="DD171" s="14"/>
      <c r="DE171" s="14"/>
      <c r="DF171" s="14"/>
      <c r="DG171" s="14"/>
      <c r="DH171" s="14"/>
      <c r="DI171" s="14"/>
      <c r="DJ171" s="14"/>
      <c r="DK171" s="14"/>
      <c r="DL171" s="14"/>
      <c r="DM171" s="14"/>
      <c r="DN171" s="14"/>
      <c r="DO171" s="14"/>
      <c r="DP171" s="26"/>
      <c r="DQ171" s="27"/>
      <c r="DR171" s="129"/>
      <c r="DS171" s="130">
        <f>TCP(BO171:DQ171,$BO$9:$DQ$9,data!$H$8)</f>
        <v>0</v>
      </c>
      <c r="DT171" s="135"/>
      <c r="DU171" s="121"/>
      <c r="DV171" s="121"/>
      <c r="DW171" s="134"/>
      <c r="DX171" s="132"/>
      <c r="DY171" s="136"/>
      <c r="DZ171" s="21"/>
      <c r="EA171" s="18"/>
      <c r="EB171" s="4"/>
      <c r="EI171" s="23"/>
      <c r="EJ171" s="23"/>
    </row>
    <row r="172" spans="1:140" ht="15.75" x14ac:dyDescent="0.25">
      <c r="A172" s="12"/>
      <c r="B172" s="16"/>
      <c r="C172" s="24" t="str">
        <f t="shared" si="3"/>
        <v xml:space="preserve"> </v>
      </c>
      <c r="D172" s="25"/>
      <c r="E172" s="20"/>
      <c r="F172" s="19"/>
      <c r="G172" s="180"/>
      <c r="H172" s="120"/>
      <c r="I172" s="121"/>
      <c r="J172" s="121"/>
      <c r="K172" s="121"/>
      <c r="L172" s="121"/>
      <c r="M172" s="121"/>
      <c r="N172" s="121"/>
      <c r="O172" s="121"/>
      <c r="P172" s="121"/>
      <c r="Q172" s="121"/>
      <c r="R172" s="121"/>
      <c r="S172" s="121"/>
      <c r="T172" s="121"/>
      <c r="U172" s="121"/>
      <c r="V172" s="121"/>
      <c r="W172" s="121"/>
      <c r="X172" s="121"/>
      <c r="Y172" s="121"/>
      <c r="Z172" s="121"/>
      <c r="AA172" s="121"/>
      <c r="AB172" s="121"/>
      <c r="AC172" s="121"/>
      <c r="AD172" s="121"/>
      <c r="AE172" s="121"/>
      <c r="AF172" s="121"/>
      <c r="AG172" s="121"/>
      <c r="AH172" s="121"/>
      <c r="AI172" s="121"/>
      <c r="AJ172" s="121"/>
      <c r="AK172" s="121"/>
      <c r="AL172" s="121"/>
      <c r="AM172" s="121"/>
      <c r="AN172" s="121"/>
      <c r="AO172" s="121"/>
      <c r="AP172" s="121"/>
      <c r="AQ172" s="121"/>
      <c r="AR172" s="121"/>
      <c r="AS172" s="121"/>
      <c r="AT172" s="121"/>
      <c r="AU172" s="121"/>
      <c r="AV172" s="121"/>
      <c r="AW172" s="121"/>
      <c r="AX172" s="121"/>
      <c r="AY172" s="121"/>
      <c r="AZ172" s="121"/>
      <c r="BA172" s="121"/>
      <c r="BB172" s="121"/>
      <c r="BC172" s="121"/>
      <c r="BD172" s="121"/>
      <c r="BE172" s="121"/>
      <c r="BF172" s="121"/>
      <c r="BG172" s="121"/>
      <c r="BH172" s="121"/>
      <c r="BI172" s="121"/>
      <c r="BJ172" s="122"/>
      <c r="BK172" s="93"/>
      <c r="BL172" s="94"/>
      <c r="BM172" s="95"/>
      <c r="BN172" s="179"/>
      <c r="BO172" s="177"/>
      <c r="BP172" s="14"/>
      <c r="BQ172" s="14"/>
      <c r="BR172" s="14"/>
      <c r="BS172" s="14"/>
      <c r="BT172" s="14"/>
      <c r="BU172" s="14"/>
      <c r="BV172" s="16"/>
      <c r="BW172" s="14"/>
      <c r="BX172" s="14"/>
      <c r="BY172" s="14"/>
      <c r="BZ172" s="14"/>
      <c r="CA172" s="14"/>
      <c r="CB172" s="14"/>
      <c r="CC172" s="14"/>
      <c r="CD172" s="14"/>
      <c r="CE172" s="14"/>
      <c r="CF172" s="14"/>
      <c r="CG172" s="14"/>
      <c r="CH172" s="14"/>
      <c r="CI172" s="14"/>
      <c r="CJ172" s="14"/>
      <c r="CK172" s="14"/>
      <c r="CL172" s="14"/>
      <c r="CM172" s="14"/>
      <c r="CN172" s="14"/>
      <c r="CO172" s="14"/>
      <c r="CP172" s="14"/>
      <c r="CQ172" s="14"/>
      <c r="CR172" s="14"/>
      <c r="CS172" s="14"/>
      <c r="CT172" s="14"/>
      <c r="CU172" s="14"/>
      <c r="CV172" s="14"/>
      <c r="CW172" s="14"/>
      <c r="CX172" s="14"/>
      <c r="CY172" s="14"/>
      <c r="CZ172" s="14"/>
      <c r="DA172" s="14"/>
      <c r="DB172" s="14"/>
      <c r="DC172" s="14"/>
      <c r="DD172" s="14"/>
      <c r="DE172" s="14"/>
      <c r="DF172" s="14"/>
      <c r="DG172" s="14"/>
      <c r="DH172" s="14"/>
      <c r="DI172" s="14"/>
      <c r="DJ172" s="14"/>
      <c r="DK172" s="14"/>
      <c r="DL172" s="14"/>
      <c r="DM172" s="14"/>
      <c r="DN172" s="14"/>
      <c r="DO172" s="14"/>
      <c r="DP172" s="26"/>
      <c r="DQ172" s="27"/>
      <c r="DR172" s="129"/>
      <c r="DS172" s="130">
        <f>TCP(BO172:DQ172,$BO$9:$DQ$9,data!$H$8)</f>
        <v>0</v>
      </c>
      <c r="DT172" s="135"/>
      <c r="DU172" s="121"/>
      <c r="DV172" s="121"/>
      <c r="DW172" s="134"/>
      <c r="DX172" s="132"/>
      <c r="DY172" s="136"/>
      <c r="DZ172" s="21"/>
      <c r="EA172" s="18"/>
      <c r="EB172" s="4"/>
      <c r="EI172" s="23"/>
      <c r="EJ172" s="23"/>
    </row>
    <row r="173" spans="1:140" ht="15.75" x14ac:dyDescent="0.25">
      <c r="A173" s="12"/>
      <c r="B173" s="16"/>
      <c r="C173" s="24" t="str">
        <f t="shared" si="3"/>
        <v xml:space="preserve"> </v>
      </c>
      <c r="D173" s="25"/>
      <c r="E173" s="22"/>
      <c r="F173" s="19" t="str">
        <f t="shared" si="1"/>
        <v xml:space="preserve"> </v>
      </c>
      <c r="G173" s="180"/>
      <c r="H173" s="120"/>
      <c r="I173" s="123"/>
      <c r="J173" s="123"/>
      <c r="K173" s="123"/>
      <c r="L173" s="123"/>
      <c r="M173" s="123"/>
      <c r="N173" s="123"/>
      <c r="O173" s="123"/>
      <c r="P173" s="123"/>
      <c r="Q173" s="123"/>
      <c r="R173" s="123"/>
      <c r="S173" s="123"/>
      <c r="T173" s="123"/>
      <c r="U173" s="123"/>
      <c r="V173" s="123"/>
      <c r="W173" s="123"/>
      <c r="X173" s="123"/>
      <c r="Y173" s="123"/>
      <c r="Z173" s="123"/>
      <c r="AA173" s="123"/>
      <c r="AB173" s="123"/>
      <c r="AC173" s="123"/>
      <c r="AD173" s="123"/>
      <c r="AE173" s="123"/>
      <c r="AF173" s="123"/>
      <c r="AG173" s="123"/>
      <c r="AH173" s="123"/>
      <c r="AI173" s="123"/>
      <c r="AJ173" s="123"/>
      <c r="AK173" s="123"/>
      <c r="AL173" s="123"/>
      <c r="AM173" s="123"/>
      <c r="AN173" s="123"/>
      <c r="AO173" s="123"/>
      <c r="AP173" s="123"/>
      <c r="AQ173" s="123"/>
      <c r="AR173" s="123"/>
      <c r="AS173" s="123"/>
      <c r="AT173" s="123"/>
      <c r="AU173" s="123"/>
      <c r="AV173" s="123"/>
      <c r="AW173" s="123"/>
      <c r="AX173" s="123"/>
      <c r="AY173" s="123"/>
      <c r="AZ173" s="123"/>
      <c r="BA173" s="123"/>
      <c r="BB173" s="123"/>
      <c r="BC173" s="123"/>
      <c r="BD173" s="123"/>
      <c r="BE173" s="123"/>
      <c r="BF173" s="123"/>
      <c r="BG173" s="123"/>
      <c r="BH173" s="123"/>
      <c r="BI173" s="124"/>
      <c r="BJ173" s="125"/>
      <c r="BK173" s="93"/>
      <c r="BL173" s="94"/>
      <c r="BM173" s="88"/>
      <c r="BN173" s="179"/>
      <c r="BO173" s="176"/>
      <c r="BP173" s="13"/>
      <c r="BQ173" s="30"/>
      <c r="BR173" s="14"/>
      <c r="BS173" s="14"/>
      <c r="BT173" s="13"/>
      <c r="BU173" s="29"/>
      <c r="BV173" s="29"/>
      <c r="BW173" s="29"/>
      <c r="BX173" s="29"/>
      <c r="BY173" s="29"/>
      <c r="BZ173" s="29"/>
      <c r="CA173" s="29"/>
      <c r="CB173" s="29"/>
      <c r="CC173" s="29"/>
      <c r="CD173" s="29"/>
      <c r="CE173" s="29"/>
      <c r="CF173" s="29"/>
      <c r="CG173" s="29"/>
      <c r="CH173" s="29"/>
      <c r="CI173" s="29"/>
      <c r="CJ173" s="2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29"/>
      <c r="DC173" s="29"/>
      <c r="DD173" s="29"/>
      <c r="DE173" s="29"/>
      <c r="DF173" s="29"/>
      <c r="DG173" s="29"/>
      <c r="DH173" s="29"/>
      <c r="DI173" s="29"/>
      <c r="DJ173" s="29"/>
      <c r="DK173" s="29"/>
      <c r="DL173" s="29"/>
      <c r="DM173" s="29"/>
      <c r="DN173" s="29"/>
      <c r="DO173" s="29"/>
      <c r="DP173" s="29"/>
      <c r="DQ173" s="31"/>
      <c r="DR173" s="129"/>
      <c r="DS173" s="130">
        <f>TCP(BO173:DQ173,$BO$9:$DQ$9,data!$H$8)</f>
        <v>0</v>
      </c>
      <c r="DT173" s="137"/>
      <c r="DU173" s="121"/>
      <c r="DV173" s="121"/>
      <c r="DW173" s="134"/>
      <c r="DX173" s="132"/>
      <c r="DY173" s="136"/>
      <c r="DZ173" s="32"/>
      <c r="EA173" s="18"/>
      <c r="EB173" s="4"/>
      <c r="EI173" s="23"/>
      <c r="EJ173" s="23"/>
    </row>
    <row r="174" spans="1:140" ht="15.75" x14ac:dyDescent="0.25">
      <c r="A174" s="12"/>
      <c r="B174" s="16"/>
      <c r="C174" s="24" t="str">
        <f t="shared" si="3"/>
        <v xml:space="preserve"> </v>
      </c>
      <c r="D174" s="25"/>
      <c r="E174" s="20"/>
      <c r="F174" s="19" t="str">
        <f t="shared" si="1"/>
        <v xml:space="preserve"> </v>
      </c>
      <c r="G174" s="180"/>
      <c r="H174" s="120"/>
      <c r="I174" s="121"/>
      <c r="J174" s="121"/>
      <c r="K174" s="121"/>
      <c r="L174" s="121"/>
      <c r="M174" s="121"/>
      <c r="N174" s="121"/>
      <c r="O174" s="121"/>
      <c r="P174" s="121"/>
      <c r="Q174" s="121"/>
      <c r="R174" s="121"/>
      <c r="S174" s="121"/>
      <c r="T174" s="121"/>
      <c r="U174" s="121"/>
      <c r="V174" s="121"/>
      <c r="W174" s="121"/>
      <c r="X174" s="121"/>
      <c r="Y174" s="121"/>
      <c r="Z174" s="121"/>
      <c r="AA174" s="121"/>
      <c r="AB174" s="121"/>
      <c r="AC174" s="121"/>
      <c r="AD174" s="121"/>
      <c r="AE174" s="121"/>
      <c r="AF174" s="121"/>
      <c r="AG174" s="121"/>
      <c r="AH174" s="121"/>
      <c r="AI174" s="121"/>
      <c r="AJ174" s="121"/>
      <c r="AK174" s="121"/>
      <c r="AL174" s="121"/>
      <c r="AM174" s="121"/>
      <c r="AN174" s="121"/>
      <c r="AO174" s="121"/>
      <c r="AP174" s="121"/>
      <c r="AQ174" s="121"/>
      <c r="AR174" s="121"/>
      <c r="AS174" s="121"/>
      <c r="AT174" s="121"/>
      <c r="AU174" s="121"/>
      <c r="AV174" s="121"/>
      <c r="AW174" s="121"/>
      <c r="AX174" s="121"/>
      <c r="AY174" s="121"/>
      <c r="AZ174" s="121"/>
      <c r="BA174" s="121"/>
      <c r="BB174" s="121"/>
      <c r="BC174" s="121"/>
      <c r="BD174" s="121"/>
      <c r="BE174" s="121"/>
      <c r="BF174" s="121"/>
      <c r="BG174" s="121"/>
      <c r="BH174" s="121"/>
      <c r="BI174" s="121"/>
      <c r="BJ174" s="122"/>
      <c r="BK174" s="93"/>
      <c r="BL174" s="94"/>
      <c r="BM174" s="95"/>
      <c r="BN174" s="179"/>
      <c r="BO174" s="177"/>
      <c r="BP174" s="14"/>
      <c r="BQ174" s="14"/>
      <c r="BR174" s="14"/>
      <c r="BS174" s="14"/>
      <c r="BT174" s="14"/>
      <c r="BU174" s="14"/>
      <c r="BV174" s="16"/>
      <c r="BW174" s="14"/>
      <c r="BX174" s="14"/>
      <c r="BY174" s="14"/>
      <c r="BZ174" s="14"/>
      <c r="CA174" s="14"/>
      <c r="CB174" s="14"/>
      <c r="CC174" s="14"/>
      <c r="CD174" s="14"/>
      <c r="CE174" s="14"/>
      <c r="CF174" s="14"/>
      <c r="CG174" s="14"/>
      <c r="CH174" s="14"/>
      <c r="CI174" s="14"/>
      <c r="CJ174" s="14"/>
      <c r="CK174" s="14"/>
      <c r="CL174" s="14"/>
      <c r="CM174" s="14"/>
      <c r="CN174" s="14"/>
      <c r="CO174" s="14"/>
      <c r="CP174" s="14"/>
      <c r="CQ174" s="14"/>
      <c r="CR174" s="14"/>
      <c r="CS174" s="14"/>
      <c r="CT174" s="14"/>
      <c r="CU174" s="14"/>
      <c r="CV174" s="14"/>
      <c r="CW174" s="14"/>
      <c r="CX174" s="14"/>
      <c r="CY174" s="14"/>
      <c r="CZ174" s="14"/>
      <c r="DA174" s="14"/>
      <c r="DB174" s="14"/>
      <c r="DC174" s="14"/>
      <c r="DD174" s="14"/>
      <c r="DE174" s="14"/>
      <c r="DF174" s="14"/>
      <c r="DG174" s="14"/>
      <c r="DH174" s="14"/>
      <c r="DI174" s="14"/>
      <c r="DJ174" s="14"/>
      <c r="DK174" s="14"/>
      <c r="DL174" s="14"/>
      <c r="DM174" s="14"/>
      <c r="DN174" s="14"/>
      <c r="DO174" s="14"/>
      <c r="DP174" s="26"/>
      <c r="DQ174" s="27"/>
      <c r="DR174" s="129"/>
      <c r="DS174" s="130">
        <f>TCP(BO174:DQ174,$BO$9:$DQ$9,data!$H$8)</f>
        <v>0</v>
      </c>
      <c r="DT174" s="135"/>
      <c r="DU174" s="121"/>
      <c r="DV174" s="121"/>
      <c r="DW174" s="134"/>
      <c r="DX174" s="132"/>
      <c r="DY174" s="136"/>
      <c r="DZ174" s="21"/>
      <c r="EA174" s="18"/>
      <c r="EB174" s="4"/>
      <c r="EI174" s="23"/>
      <c r="EJ174" s="23"/>
    </row>
    <row r="175" spans="1:140" ht="16.5" thickBot="1" x14ac:dyDescent="0.3">
      <c r="A175" s="40"/>
      <c r="B175" s="41"/>
      <c r="C175" s="24" t="str">
        <f t="shared" si="3"/>
        <v xml:space="preserve"> </v>
      </c>
      <c r="D175" s="42"/>
      <c r="E175" s="43"/>
      <c r="F175" s="44"/>
      <c r="G175" s="45"/>
      <c r="H175" s="126"/>
      <c r="I175" s="127"/>
      <c r="J175" s="127"/>
      <c r="K175" s="127"/>
      <c r="L175" s="127"/>
      <c r="M175" s="127"/>
      <c r="N175" s="127"/>
      <c r="O175" s="127"/>
      <c r="P175" s="127"/>
      <c r="Q175" s="127"/>
      <c r="R175" s="127"/>
      <c r="S175" s="127"/>
      <c r="T175" s="127"/>
      <c r="U175" s="127"/>
      <c r="V175" s="127"/>
      <c r="W175" s="127"/>
      <c r="X175" s="127"/>
      <c r="Y175" s="127"/>
      <c r="Z175" s="127"/>
      <c r="AA175" s="127"/>
      <c r="AB175" s="127"/>
      <c r="AC175" s="127"/>
      <c r="AD175" s="127"/>
      <c r="AE175" s="127"/>
      <c r="AF175" s="127"/>
      <c r="AG175" s="127"/>
      <c r="AH175" s="127"/>
      <c r="AI175" s="127"/>
      <c r="AJ175" s="127"/>
      <c r="AK175" s="127"/>
      <c r="AL175" s="127"/>
      <c r="AM175" s="127"/>
      <c r="AN175" s="127"/>
      <c r="AO175" s="127"/>
      <c r="AP175" s="127"/>
      <c r="AQ175" s="127"/>
      <c r="AR175" s="127"/>
      <c r="AS175" s="127"/>
      <c r="AT175" s="127"/>
      <c r="AU175" s="127"/>
      <c r="AV175" s="127"/>
      <c r="AW175" s="127"/>
      <c r="AX175" s="127"/>
      <c r="AY175" s="127"/>
      <c r="AZ175" s="127"/>
      <c r="BA175" s="127"/>
      <c r="BB175" s="127"/>
      <c r="BC175" s="127"/>
      <c r="BD175" s="127"/>
      <c r="BE175" s="127"/>
      <c r="BF175" s="127"/>
      <c r="BG175" s="127"/>
      <c r="BH175" s="127"/>
      <c r="BI175" s="127"/>
      <c r="BJ175" s="128"/>
      <c r="BK175" s="96"/>
      <c r="BL175" s="97"/>
      <c r="BM175" s="89"/>
      <c r="BN175" s="179"/>
      <c r="BO175" s="178"/>
      <c r="BP175" s="33"/>
      <c r="BQ175" s="33"/>
      <c r="BR175" s="34"/>
      <c r="BS175" s="34"/>
      <c r="BT175" s="34"/>
      <c r="BU175" s="34"/>
      <c r="BV175" s="34"/>
      <c r="BW175" s="34"/>
      <c r="BX175" s="35"/>
      <c r="BY175" s="35"/>
      <c r="BZ175" s="35"/>
      <c r="CA175" s="35"/>
      <c r="CB175" s="35"/>
      <c r="CC175" s="35"/>
      <c r="CD175" s="35"/>
      <c r="CE175" s="35"/>
      <c r="CF175" s="35"/>
      <c r="CG175" s="35"/>
      <c r="CH175" s="35"/>
      <c r="CI175" s="35"/>
      <c r="CJ175" s="35"/>
      <c r="CK175" s="35"/>
      <c r="CL175" s="35"/>
      <c r="CM175" s="35"/>
      <c r="CN175" s="35"/>
      <c r="CO175" s="35"/>
      <c r="CP175" s="35"/>
      <c r="CQ175" s="35"/>
      <c r="CR175" s="35"/>
      <c r="CS175" s="35"/>
      <c r="CT175" s="35"/>
      <c r="CU175" s="35"/>
      <c r="CV175" s="35"/>
      <c r="CW175" s="35"/>
      <c r="CX175" s="35"/>
      <c r="CY175" s="35"/>
      <c r="CZ175" s="35"/>
      <c r="DA175" s="35"/>
      <c r="DB175" s="35"/>
      <c r="DC175" s="35"/>
      <c r="DD175" s="35"/>
      <c r="DE175" s="35"/>
      <c r="DF175" s="35"/>
      <c r="DG175" s="35"/>
      <c r="DH175" s="35"/>
      <c r="DI175" s="35"/>
      <c r="DJ175" s="35"/>
      <c r="DK175" s="35"/>
      <c r="DL175" s="35"/>
      <c r="DM175" s="35"/>
      <c r="DN175" s="35"/>
      <c r="DO175" s="35"/>
      <c r="DP175" s="35"/>
      <c r="DQ175" s="35"/>
      <c r="DR175" s="138"/>
      <c r="DS175" s="130">
        <f>TCP(BO175:DQ175,$BO$9:$DQ$9,data!$H$8)</f>
        <v>0</v>
      </c>
      <c r="DT175" s="139"/>
      <c r="DU175" s="140"/>
      <c r="DV175" s="140"/>
      <c r="DW175" s="140"/>
      <c r="DX175" s="141"/>
      <c r="DY175" s="136"/>
      <c r="DZ175" s="38"/>
      <c r="EA175" s="18"/>
      <c r="EB175" s="4"/>
      <c r="EI175" s="2"/>
      <c r="EJ175" s="2"/>
    </row>
    <row r="176" spans="1:140" ht="15.75" x14ac:dyDescent="0.25">
      <c r="A176" s="46"/>
      <c r="B176" s="47"/>
      <c r="C176" s="48"/>
      <c r="D176" s="49"/>
      <c r="E176" s="49"/>
      <c r="F176" s="50"/>
      <c r="G176" s="51"/>
      <c r="H176" s="46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  <c r="AG176" s="46"/>
      <c r="AH176" s="46"/>
      <c r="AI176" s="46"/>
      <c r="AJ176" s="46"/>
      <c r="AK176" s="46"/>
      <c r="AL176" s="46"/>
      <c r="AM176" s="46"/>
      <c r="AN176" s="46"/>
      <c r="AO176" s="46"/>
      <c r="AP176" s="46"/>
      <c r="AQ176" s="46"/>
      <c r="AR176" s="46"/>
      <c r="AS176" s="46"/>
      <c r="AT176" s="46"/>
      <c r="AU176" s="46"/>
      <c r="AV176" s="46"/>
      <c r="AW176" s="46"/>
      <c r="AX176" s="46"/>
      <c r="AY176" s="46"/>
      <c r="AZ176" s="46"/>
      <c r="BA176" s="46"/>
      <c r="BB176" s="46"/>
      <c r="BC176" s="46"/>
      <c r="BD176" s="46"/>
      <c r="BE176" s="46"/>
      <c r="BF176" s="46"/>
      <c r="BG176" s="46"/>
      <c r="BH176" s="46"/>
      <c r="BI176" s="46"/>
      <c r="BJ176" s="46"/>
      <c r="BK176" s="46"/>
      <c r="BL176" s="52"/>
      <c r="BM176" s="46"/>
      <c r="BN176" s="53"/>
      <c r="BO176" s="46"/>
      <c r="BP176" s="46"/>
      <c r="BQ176" s="46"/>
      <c r="BR176" s="46"/>
      <c r="BS176" s="46"/>
      <c r="BT176" s="46"/>
      <c r="BU176" s="46"/>
      <c r="BV176" s="46"/>
      <c r="BW176" s="46"/>
      <c r="BX176" s="46"/>
      <c r="BY176" s="46"/>
      <c r="BZ176" s="46"/>
      <c r="CA176" s="46"/>
      <c r="CB176" s="46"/>
      <c r="CC176" s="46"/>
      <c r="CD176" s="46"/>
      <c r="CE176" s="46"/>
      <c r="CF176" s="46"/>
      <c r="CG176" s="46"/>
      <c r="CH176" s="46"/>
      <c r="CI176" s="46"/>
      <c r="CJ176" s="46"/>
      <c r="CK176" s="46"/>
      <c r="CL176" s="46"/>
      <c r="CM176" s="46"/>
      <c r="CN176" s="46"/>
      <c r="CO176" s="46"/>
      <c r="CP176" s="46"/>
      <c r="CQ176" s="46"/>
      <c r="CR176" s="46"/>
      <c r="CS176" s="46"/>
      <c r="CT176" s="46"/>
      <c r="CU176" s="46"/>
      <c r="CV176" s="46"/>
      <c r="CW176" s="46"/>
      <c r="CX176" s="46"/>
      <c r="CY176" s="46"/>
      <c r="CZ176" s="46"/>
      <c r="DA176" s="46"/>
      <c r="DB176" s="46"/>
      <c r="DC176" s="46"/>
      <c r="DD176" s="46"/>
      <c r="DE176" s="46"/>
      <c r="DF176" s="46"/>
      <c r="DG176" s="46"/>
      <c r="DH176" s="46"/>
      <c r="DI176" s="46"/>
      <c r="DJ176" s="46"/>
      <c r="DK176" s="46"/>
      <c r="DL176" s="46"/>
      <c r="DM176" s="46"/>
      <c r="DN176" s="46"/>
      <c r="DO176" s="46"/>
      <c r="DP176" s="46"/>
      <c r="DQ176" s="46"/>
      <c r="DR176" s="47"/>
      <c r="DS176" s="47"/>
      <c r="DT176" s="47"/>
      <c r="DU176" s="54"/>
      <c r="DV176" s="55"/>
      <c r="DW176" s="2"/>
      <c r="DX176" s="56"/>
      <c r="DY176" s="57"/>
      <c r="EI176" s="2"/>
      <c r="EJ176" s="2"/>
    </row>
    <row r="177" spans="1:140" ht="15.75" x14ac:dyDescent="0.25">
      <c r="A177" s="46"/>
      <c r="B177" s="47"/>
      <c r="C177" s="98" t="s">
        <v>59</v>
      </c>
      <c r="D177" s="58"/>
      <c r="E177" s="37"/>
      <c r="F177" s="59"/>
      <c r="G177" s="60"/>
      <c r="H177" s="61"/>
      <c r="I177" s="62"/>
      <c r="J177" s="62"/>
      <c r="K177" s="62"/>
      <c r="L177" s="62"/>
      <c r="M177" s="62"/>
      <c r="N177" s="62"/>
      <c r="O177" s="62"/>
      <c r="P177" s="62"/>
      <c r="Q177" s="62"/>
      <c r="R177" s="62"/>
      <c r="S177" s="62"/>
      <c r="T177" s="62"/>
      <c r="U177" s="62"/>
      <c r="V177" s="62"/>
      <c r="W177" s="62"/>
      <c r="X177" s="62"/>
      <c r="Y177" s="62"/>
      <c r="Z177" s="62"/>
      <c r="AA177" s="62"/>
      <c r="AB177" s="62"/>
      <c r="AC177" s="62"/>
      <c r="AD177" s="62"/>
      <c r="AE177" s="62"/>
      <c r="AF177" s="62"/>
      <c r="AG177" s="62"/>
      <c r="AH177" s="62"/>
      <c r="AI177" s="62"/>
      <c r="AJ177" s="62"/>
      <c r="AK177" s="62"/>
      <c r="AL177" s="62"/>
      <c r="AM177" s="62"/>
      <c r="AN177" s="62"/>
      <c r="AO177" s="62"/>
      <c r="AP177" s="62"/>
      <c r="AQ177" s="62"/>
      <c r="AR177" s="62"/>
      <c r="AS177" s="62"/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62"/>
      <c r="BE177" s="62"/>
      <c r="BF177" s="62"/>
      <c r="BG177" s="62"/>
      <c r="BH177" s="62"/>
      <c r="BI177" s="62"/>
      <c r="BJ177" s="62"/>
      <c r="BK177" s="62"/>
      <c r="BL177" s="63"/>
      <c r="BM177" s="62"/>
      <c r="BN177" s="64"/>
      <c r="BO177" s="46"/>
      <c r="BP177" s="46"/>
      <c r="BQ177" s="46"/>
      <c r="BR177" s="46"/>
      <c r="BS177" s="46"/>
      <c r="BT177" s="46"/>
      <c r="BU177" s="46"/>
      <c r="BV177" s="46"/>
      <c r="BW177" s="46"/>
      <c r="BX177" s="46"/>
      <c r="BY177" s="46"/>
      <c r="BZ177" s="46"/>
      <c r="CA177" s="46"/>
      <c r="CB177" s="46"/>
      <c r="CC177" s="46"/>
      <c r="CD177" s="46"/>
      <c r="CE177" s="46"/>
      <c r="CF177" s="46"/>
      <c r="CG177" s="46"/>
      <c r="CH177" s="46"/>
      <c r="CI177" s="46"/>
      <c r="CJ177" s="46"/>
      <c r="CK177" s="46"/>
      <c r="CL177" s="46"/>
      <c r="CM177" s="46"/>
      <c r="CN177" s="46"/>
      <c r="CO177" s="46"/>
      <c r="CP177" s="46"/>
      <c r="CQ177" s="46"/>
      <c r="CR177" s="46"/>
      <c r="CS177" s="46"/>
      <c r="CT177" s="46"/>
      <c r="CU177" s="46"/>
      <c r="CV177" s="46"/>
      <c r="CW177" s="46"/>
      <c r="CX177" s="46"/>
      <c r="CY177" s="46"/>
      <c r="CZ177" s="46"/>
      <c r="DA177" s="46"/>
      <c r="DB177" s="46"/>
      <c r="DC177" s="46"/>
      <c r="DD177" s="46"/>
      <c r="DE177" s="46"/>
      <c r="DF177" s="46"/>
      <c r="DG177" s="46"/>
      <c r="DH177" s="46"/>
      <c r="DI177" s="46"/>
      <c r="DJ177" s="46"/>
      <c r="DK177" s="46"/>
      <c r="DL177" s="46"/>
      <c r="DM177" s="46"/>
      <c r="DN177" s="46"/>
      <c r="DO177" s="46"/>
      <c r="DP177" s="46"/>
      <c r="DQ177" s="46"/>
      <c r="DR177" s="47"/>
      <c r="DS177" s="47"/>
      <c r="DT177" s="47"/>
      <c r="DU177" s="54"/>
      <c r="DV177" s="55"/>
      <c r="DW177" s="2"/>
      <c r="DX177" s="56"/>
      <c r="DY177" s="57"/>
      <c r="EI177" s="2"/>
      <c r="EJ177" s="2"/>
    </row>
    <row r="178" spans="1:140" ht="15.75" x14ac:dyDescent="0.25">
      <c r="A178" s="46"/>
      <c r="B178" s="47"/>
      <c r="C178" s="99" t="s">
        <v>60</v>
      </c>
      <c r="D178" s="65"/>
      <c r="E178" s="37"/>
      <c r="F178" s="66"/>
      <c r="G178" s="67"/>
      <c r="H178" s="68"/>
      <c r="I178" s="69"/>
      <c r="J178" s="69"/>
      <c r="K178" s="69"/>
      <c r="L178" s="69"/>
      <c r="M178" s="69"/>
      <c r="N178" s="69"/>
      <c r="O178" s="69"/>
      <c r="P178" s="69"/>
      <c r="Q178" s="69"/>
      <c r="R178" s="69"/>
      <c r="S178" s="69"/>
      <c r="T178" s="69"/>
      <c r="U178" s="69"/>
      <c r="V178" s="69"/>
      <c r="W178" s="69"/>
      <c r="X178" s="69"/>
      <c r="Y178" s="69"/>
      <c r="Z178" s="69"/>
      <c r="AA178" s="69"/>
      <c r="AB178" s="69"/>
      <c r="AC178" s="69"/>
      <c r="AD178" s="69"/>
      <c r="AE178" s="69"/>
      <c r="AF178" s="69"/>
      <c r="AG178" s="69"/>
      <c r="AH178" s="69"/>
      <c r="AI178" s="69"/>
      <c r="AJ178" s="69"/>
      <c r="AK178" s="69"/>
      <c r="AL178" s="69"/>
      <c r="AM178" s="69"/>
      <c r="AN178" s="69"/>
      <c r="AO178" s="69"/>
      <c r="AP178" s="69"/>
      <c r="AQ178" s="69"/>
      <c r="AR178" s="69"/>
      <c r="AS178" s="69"/>
      <c r="AT178" s="69"/>
      <c r="AU178" s="69"/>
      <c r="AV178" s="69"/>
      <c r="AW178" s="69"/>
      <c r="AX178" s="69"/>
      <c r="AY178" s="69"/>
      <c r="AZ178" s="69"/>
      <c r="BA178" s="69"/>
      <c r="BB178" s="69"/>
      <c r="BC178" s="69"/>
      <c r="BD178" s="69"/>
      <c r="BE178" s="69"/>
      <c r="BF178" s="69"/>
      <c r="BG178" s="69"/>
      <c r="BH178" s="69"/>
      <c r="BI178" s="69"/>
      <c r="BJ178" s="69"/>
      <c r="BK178" s="69"/>
      <c r="BL178" s="70"/>
      <c r="BM178" s="72">
        <f>COUNTIF(EA10:EA175," ")</f>
        <v>0</v>
      </c>
      <c r="BN178" s="71"/>
      <c r="BO178" s="46"/>
      <c r="BP178" s="46"/>
      <c r="BQ178" s="46"/>
      <c r="BR178" s="46"/>
      <c r="BS178" s="46"/>
      <c r="BT178" s="46"/>
      <c r="BU178" s="46"/>
      <c r="BV178" s="46"/>
      <c r="BW178" s="46"/>
      <c r="BX178" s="46"/>
      <c r="BY178" s="46"/>
      <c r="BZ178" s="46"/>
      <c r="CA178" s="46"/>
      <c r="CB178" s="46"/>
      <c r="CC178" s="46"/>
      <c r="CD178" s="46"/>
      <c r="CE178" s="46"/>
      <c r="CF178" s="46"/>
      <c r="CG178" s="46"/>
      <c r="CH178" s="46"/>
      <c r="CI178" s="46"/>
      <c r="CJ178" s="46"/>
      <c r="CK178" s="46"/>
      <c r="CL178" s="46"/>
      <c r="CM178" s="46"/>
      <c r="CN178" s="46"/>
      <c r="CO178" s="46"/>
      <c r="CP178" s="46"/>
      <c r="CQ178" s="46"/>
      <c r="CR178" s="46"/>
      <c r="CS178" s="46"/>
      <c r="CT178" s="46"/>
      <c r="CU178" s="46"/>
      <c r="CV178" s="46"/>
      <c r="CW178" s="46"/>
      <c r="CX178" s="46"/>
      <c r="CY178" s="46"/>
      <c r="CZ178" s="46"/>
      <c r="DA178" s="46"/>
      <c r="DB178" s="46"/>
      <c r="DC178" s="46"/>
      <c r="DD178" s="46"/>
      <c r="DE178" s="46"/>
      <c r="DF178" s="46"/>
      <c r="DG178" s="46"/>
      <c r="DH178" s="46"/>
      <c r="DI178" s="46"/>
      <c r="DJ178" s="46"/>
      <c r="DK178" s="46"/>
      <c r="DL178" s="46"/>
      <c r="DM178" s="46"/>
      <c r="DN178" s="46"/>
      <c r="DO178" s="46"/>
      <c r="DP178" s="46"/>
      <c r="DQ178" s="46"/>
      <c r="DR178" s="47"/>
      <c r="DS178" s="47"/>
      <c r="DT178" s="47"/>
      <c r="DU178" s="54"/>
      <c r="DV178" s="55"/>
      <c r="DW178" s="2"/>
      <c r="DX178" s="56"/>
      <c r="DY178" s="57"/>
      <c r="EI178" s="2"/>
      <c r="EJ178" s="2"/>
    </row>
    <row r="179" spans="1:140" ht="15.75" x14ac:dyDescent="0.25">
      <c r="A179" s="73"/>
      <c r="B179" s="47"/>
      <c r="C179" s="99" t="s">
        <v>61</v>
      </c>
      <c r="D179" s="65"/>
      <c r="E179" s="37"/>
      <c r="F179" s="74"/>
      <c r="G179" s="75"/>
      <c r="H179" s="76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  <c r="AG179" s="77"/>
      <c r="AH179" s="77"/>
      <c r="AI179" s="77"/>
      <c r="AJ179" s="77"/>
      <c r="AK179" s="77"/>
      <c r="AL179" s="77"/>
      <c r="AM179" s="77"/>
      <c r="AN179" s="77"/>
      <c r="AO179" s="77"/>
      <c r="AP179" s="77"/>
      <c r="AQ179" s="77"/>
      <c r="AR179" s="77"/>
      <c r="AS179" s="77"/>
      <c r="AT179" s="77"/>
      <c r="AU179" s="77"/>
      <c r="AV179" s="77"/>
      <c r="AW179" s="77"/>
      <c r="AX179" s="77"/>
      <c r="AY179" s="77"/>
      <c r="AZ179" s="77"/>
      <c r="BA179" s="77"/>
      <c r="BB179" s="77"/>
      <c r="BC179" s="77"/>
      <c r="BD179" s="77"/>
      <c r="BE179" s="77"/>
      <c r="BF179" s="77"/>
      <c r="BG179" s="77"/>
      <c r="BH179" s="77"/>
      <c r="BI179" s="77"/>
      <c r="BJ179" s="77"/>
      <c r="BK179" s="77"/>
      <c r="BL179" s="78"/>
      <c r="BM179" s="80">
        <f>BM184-BM178</f>
        <v>1</v>
      </c>
      <c r="BN179" s="79"/>
      <c r="BO179" s="46"/>
      <c r="BP179" s="46"/>
      <c r="BQ179" s="46"/>
      <c r="BR179" s="46"/>
      <c r="BS179" s="46"/>
      <c r="BT179" s="46"/>
      <c r="BU179" s="46"/>
      <c r="BV179" s="46"/>
      <c r="BW179" s="46"/>
      <c r="BX179" s="46"/>
      <c r="BY179" s="46"/>
      <c r="BZ179" s="46"/>
      <c r="CA179" s="46"/>
      <c r="CB179" s="46"/>
      <c r="CC179" s="46"/>
      <c r="CD179" s="46"/>
      <c r="CE179" s="46"/>
      <c r="CF179" s="46"/>
      <c r="CG179" s="46"/>
      <c r="CH179" s="46"/>
      <c r="CI179" s="46"/>
      <c r="CJ179" s="46"/>
      <c r="CK179" s="46"/>
      <c r="CL179" s="46"/>
      <c r="CM179" s="46"/>
      <c r="CN179" s="46"/>
      <c r="CO179" s="46"/>
      <c r="CP179" s="46"/>
      <c r="CQ179" s="46"/>
      <c r="CR179" s="46"/>
      <c r="CS179" s="46"/>
      <c r="CT179" s="46"/>
      <c r="CU179" s="46"/>
      <c r="CV179" s="46"/>
      <c r="CW179" s="46"/>
      <c r="CX179" s="46"/>
      <c r="CY179" s="46"/>
      <c r="CZ179" s="46"/>
      <c r="DA179" s="46"/>
      <c r="DB179" s="46"/>
      <c r="DC179" s="46"/>
      <c r="DD179" s="46"/>
      <c r="DE179" s="46"/>
      <c r="DF179" s="46"/>
      <c r="DG179" s="46"/>
      <c r="DH179" s="46"/>
      <c r="DI179" s="46"/>
      <c r="DJ179" s="46"/>
      <c r="DK179" s="46"/>
      <c r="DL179" s="46"/>
      <c r="DM179" s="46"/>
      <c r="DN179" s="46"/>
      <c r="DO179" s="46"/>
      <c r="DP179" s="46"/>
      <c r="DQ179" s="46"/>
      <c r="DR179" s="47"/>
      <c r="DS179" s="47"/>
      <c r="DT179" s="47"/>
      <c r="DU179" s="54"/>
      <c r="DV179" s="55"/>
      <c r="DW179" s="2"/>
      <c r="DX179" s="56"/>
      <c r="DY179" s="57"/>
      <c r="EI179" s="2"/>
      <c r="EJ179" s="2"/>
    </row>
    <row r="180" spans="1:140" ht="15.75" x14ac:dyDescent="0.25">
      <c r="A180" s="73"/>
      <c r="B180" s="81"/>
      <c r="C180" s="99" t="s">
        <v>62</v>
      </c>
      <c r="D180" s="65"/>
      <c r="E180" s="37"/>
      <c r="F180" s="74"/>
      <c r="G180" s="75"/>
      <c r="H180" s="76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  <c r="AG180" s="77"/>
      <c r="AH180" s="77"/>
      <c r="AI180" s="77"/>
      <c r="AJ180" s="77"/>
      <c r="AK180" s="77"/>
      <c r="AL180" s="77"/>
      <c r="AM180" s="77"/>
      <c r="AN180" s="77"/>
      <c r="AO180" s="77"/>
      <c r="AP180" s="77"/>
      <c r="AQ180" s="77"/>
      <c r="AR180" s="77"/>
      <c r="AS180" s="77"/>
      <c r="AT180" s="77"/>
      <c r="AU180" s="77"/>
      <c r="AV180" s="77"/>
      <c r="AW180" s="77"/>
      <c r="AX180" s="77"/>
      <c r="AY180" s="77"/>
      <c r="AZ180" s="77"/>
      <c r="BA180" s="77"/>
      <c r="BB180" s="77"/>
      <c r="BC180" s="77"/>
      <c r="BD180" s="77"/>
      <c r="BE180" s="77"/>
      <c r="BF180" s="77"/>
      <c r="BG180" s="77"/>
      <c r="BH180" s="77"/>
      <c r="BI180" s="77"/>
      <c r="BJ180" s="77"/>
      <c r="BK180" s="77"/>
      <c r="BL180" s="78"/>
      <c r="BM180" s="80">
        <f>COUNTIFS(DY10:DY175,"1")</f>
        <v>0</v>
      </c>
      <c r="BN180" s="79"/>
      <c r="BO180" s="46"/>
      <c r="BP180" s="46"/>
      <c r="BQ180" s="46"/>
      <c r="BR180" s="46"/>
      <c r="BS180" s="46"/>
      <c r="BT180" s="46"/>
      <c r="BU180" s="46"/>
      <c r="BV180" s="46"/>
      <c r="BW180" s="46"/>
      <c r="BX180" s="46"/>
      <c r="BY180" s="46"/>
      <c r="BZ180" s="46"/>
      <c r="CA180" s="46"/>
      <c r="CB180" s="46"/>
      <c r="CC180" s="46"/>
      <c r="CD180" s="46"/>
      <c r="CE180" s="46"/>
      <c r="CF180" s="46"/>
      <c r="CG180" s="46"/>
      <c r="CH180" s="46"/>
      <c r="CI180" s="46"/>
      <c r="CJ180" s="46"/>
      <c r="CK180" s="46"/>
      <c r="CL180" s="46"/>
      <c r="CM180" s="46"/>
      <c r="CN180" s="46"/>
      <c r="CO180" s="46"/>
      <c r="CP180" s="46"/>
      <c r="CQ180" s="46"/>
      <c r="CR180" s="46"/>
      <c r="CS180" s="46"/>
      <c r="CT180" s="46"/>
      <c r="CU180" s="46"/>
      <c r="CV180" s="46"/>
      <c r="CW180" s="46"/>
      <c r="CX180" s="46"/>
      <c r="CY180" s="46"/>
      <c r="CZ180" s="46"/>
      <c r="DA180" s="46"/>
      <c r="DB180" s="46"/>
      <c r="DC180" s="46"/>
      <c r="DD180" s="46"/>
      <c r="DE180" s="46"/>
      <c r="DF180" s="46"/>
      <c r="DG180" s="46"/>
      <c r="DH180" s="46"/>
      <c r="DI180" s="46"/>
      <c r="DJ180" s="46"/>
      <c r="DK180" s="46"/>
      <c r="DL180" s="46"/>
      <c r="DM180" s="46"/>
      <c r="DN180" s="46"/>
      <c r="DO180" s="46"/>
      <c r="DP180" s="46"/>
      <c r="DQ180" s="46"/>
      <c r="DR180" s="47"/>
      <c r="DS180" s="47"/>
      <c r="DT180" s="47"/>
      <c r="DU180" s="54"/>
      <c r="DV180" s="55"/>
      <c r="DW180" s="2"/>
      <c r="DX180" s="56"/>
      <c r="DY180" s="57"/>
      <c r="EI180" s="2"/>
      <c r="EJ180" s="2"/>
    </row>
    <row r="181" spans="1:140" ht="15.75" x14ac:dyDescent="0.25">
      <c r="A181" s="73"/>
      <c r="B181" s="81"/>
      <c r="C181" s="99" t="s">
        <v>63</v>
      </c>
      <c r="D181" s="65"/>
      <c r="E181" s="37"/>
      <c r="F181" s="74"/>
      <c r="G181" s="75"/>
      <c r="H181" s="76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  <c r="AG181" s="77"/>
      <c r="AH181" s="77"/>
      <c r="AI181" s="77"/>
      <c r="AJ181" s="77"/>
      <c r="AK181" s="77"/>
      <c r="AL181" s="77"/>
      <c r="AM181" s="77"/>
      <c r="AN181" s="77"/>
      <c r="AO181" s="77"/>
      <c r="AP181" s="77"/>
      <c r="AQ181" s="77"/>
      <c r="AR181" s="77"/>
      <c r="AS181" s="77"/>
      <c r="AT181" s="77"/>
      <c r="AU181" s="77"/>
      <c r="AV181" s="77"/>
      <c r="AW181" s="77"/>
      <c r="AX181" s="77"/>
      <c r="AY181" s="77"/>
      <c r="AZ181" s="77"/>
      <c r="BA181" s="77"/>
      <c r="BB181" s="77"/>
      <c r="BC181" s="77"/>
      <c r="BD181" s="77"/>
      <c r="BE181" s="77"/>
      <c r="BF181" s="77"/>
      <c r="BG181" s="77"/>
      <c r="BH181" s="77"/>
      <c r="BI181" s="77"/>
      <c r="BJ181" s="77"/>
      <c r="BK181" s="77"/>
      <c r="BL181" s="78"/>
      <c r="BM181" s="80">
        <f>COUNTIFS(DY10:DY175,"2.1")</f>
        <v>0</v>
      </c>
      <c r="BN181" s="79"/>
      <c r="BO181" s="46"/>
      <c r="BP181" s="46"/>
      <c r="BQ181" s="46"/>
      <c r="BR181" s="46"/>
      <c r="BS181" s="46"/>
      <c r="BT181" s="46"/>
      <c r="BU181" s="46"/>
      <c r="BV181" s="46"/>
      <c r="BW181" s="46"/>
      <c r="BX181" s="46"/>
      <c r="BY181" s="46"/>
      <c r="BZ181" s="46"/>
      <c r="CA181" s="46"/>
      <c r="CB181" s="46"/>
      <c r="CC181" s="46"/>
      <c r="CD181" s="46"/>
      <c r="CE181" s="46"/>
      <c r="CF181" s="46"/>
      <c r="CG181" s="46"/>
      <c r="CH181" s="46"/>
      <c r="CI181" s="46"/>
      <c r="CJ181" s="46"/>
      <c r="CK181" s="46"/>
      <c r="CL181" s="46"/>
      <c r="CM181" s="46"/>
      <c r="CN181" s="46"/>
      <c r="CO181" s="46"/>
      <c r="CP181" s="46"/>
      <c r="CQ181" s="46"/>
      <c r="CR181" s="46"/>
      <c r="CS181" s="46"/>
      <c r="CT181" s="46"/>
      <c r="CU181" s="46"/>
      <c r="CV181" s="46"/>
      <c r="CW181" s="46"/>
      <c r="CX181" s="46"/>
      <c r="CY181" s="46"/>
      <c r="CZ181" s="46"/>
      <c r="DA181" s="46"/>
      <c r="DB181" s="46"/>
      <c r="DC181" s="46"/>
      <c r="DD181" s="46"/>
      <c r="DE181" s="46"/>
      <c r="DF181" s="46"/>
      <c r="DG181" s="46"/>
      <c r="DH181" s="46"/>
      <c r="DI181" s="46"/>
      <c r="DJ181" s="46"/>
      <c r="DK181" s="46"/>
      <c r="DL181" s="46"/>
      <c r="DM181" s="46"/>
      <c r="DN181" s="46"/>
      <c r="DO181" s="46"/>
      <c r="DP181" s="46"/>
      <c r="DQ181" s="46"/>
      <c r="DR181" s="47"/>
      <c r="DS181" s="47"/>
      <c r="DT181" s="47"/>
      <c r="DU181" s="54"/>
      <c r="DV181" s="55"/>
      <c r="DW181" s="2"/>
      <c r="DX181" s="56"/>
      <c r="DY181" s="57"/>
      <c r="EI181" s="2"/>
      <c r="EJ181" s="2"/>
    </row>
    <row r="182" spans="1:140" ht="15.75" x14ac:dyDescent="0.25">
      <c r="A182" s="73"/>
      <c r="B182" s="81"/>
      <c r="C182" s="99" t="s">
        <v>64</v>
      </c>
      <c r="D182" s="65"/>
      <c r="E182" s="37"/>
      <c r="F182" s="74"/>
      <c r="G182" s="75"/>
      <c r="H182" s="76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  <c r="AG182" s="77"/>
      <c r="AH182" s="77"/>
      <c r="AI182" s="77"/>
      <c r="AJ182" s="77"/>
      <c r="AK182" s="77"/>
      <c r="AL182" s="77"/>
      <c r="AM182" s="77"/>
      <c r="AN182" s="77"/>
      <c r="AO182" s="77"/>
      <c r="AP182" s="77"/>
      <c r="AQ182" s="77"/>
      <c r="AR182" s="77"/>
      <c r="AS182" s="77"/>
      <c r="AT182" s="77"/>
      <c r="AU182" s="77"/>
      <c r="AV182" s="77"/>
      <c r="AW182" s="77"/>
      <c r="AX182" s="77"/>
      <c r="AY182" s="77"/>
      <c r="AZ182" s="77"/>
      <c r="BA182" s="77"/>
      <c r="BB182" s="77"/>
      <c r="BC182" s="77"/>
      <c r="BD182" s="77"/>
      <c r="BE182" s="77"/>
      <c r="BF182" s="77"/>
      <c r="BG182" s="77"/>
      <c r="BH182" s="77"/>
      <c r="BI182" s="77"/>
      <c r="BJ182" s="77"/>
      <c r="BK182" s="77"/>
      <c r="BL182" s="78"/>
      <c r="BM182" s="80">
        <f>COUNTIFS(DY10:DY175,"2.2")</f>
        <v>0</v>
      </c>
      <c r="BN182" s="79"/>
      <c r="BO182" s="46"/>
      <c r="BP182" s="46"/>
      <c r="BQ182" s="46"/>
      <c r="BR182" s="46"/>
      <c r="BS182" s="46"/>
      <c r="BT182" s="46"/>
      <c r="BU182" s="46"/>
      <c r="BV182" s="46"/>
      <c r="BW182" s="46"/>
      <c r="BX182" s="46"/>
      <c r="BY182" s="46"/>
      <c r="BZ182" s="46"/>
      <c r="CA182" s="46"/>
      <c r="CB182" s="46"/>
      <c r="CC182" s="46"/>
      <c r="CD182" s="46"/>
      <c r="CE182" s="46"/>
      <c r="CF182" s="46"/>
      <c r="CG182" s="46"/>
      <c r="CH182" s="46"/>
      <c r="CI182" s="46"/>
      <c r="CJ182" s="46"/>
      <c r="CK182" s="46"/>
      <c r="CL182" s="46"/>
      <c r="CM182" s="46"/>
      <c r="CN182" s="46"/>
      <c r="CO182" s="46"/>
      <c r="CP182" s="46"/>
      <c r="CQ182" s="46"/>
      <c r="CR182" s="46"/>
      <c r="CS182" s="46"/>
      <c r="CT182" s="46"/>
      <c r="CU182" s="46"/>
      <c r="CV182" s="46"/>
      <c r="CW182" s="46"/>
      <c r="CX182" s="46"/>
      <c r="CY182" s="46"/>
      <c r="CZ182" s="46"/>
      <c r="DA182" s="46"/>
      <c r="DB182" s="46"/>
      <c r="DC182" s="46"/>
      <c r="DD182" s="46"/>
      <c r="DE182" s="46"/>
      <c r="DF182" s="46"/>
      <c r="DG182" s="46"/>
      <c r="DH182" s="46"/>
      <c r="DI182" s="46"/>
      <c r="DJ182" s="46"/>
      <c r="DK182" s="46"/>
      <c r="DL182" s="46"/>
      <c r="DM182" s="46"/>
      <c r="DN182" s="46"/>
      <c r="DO182" s="46"/>
      <c r="DP182" s="46"/>
      <c r="DQ182" s="46"/>
      <c r="DR182" s="47"/>
      <c r="DS182" s="47"/>
      <c r="DT182" s="47"/>
      <c r="DU182" s="54"/>
      <c r="DV182" s="55"/>
      <c r="DW182" s="2"/>
      <c r="DX182" s="56"/>
      <c r="DY182" s="57"/>
      <c r="EI182" s="2"/>
      <c r="EJ182" s="2"/>
    </row>
    <row r="183" spans="1:140" ht="15.75" x14ac:dyDescent="0.25">
      <c r="A183" s="73"/>
      <c r="B183" s="81"/>
      <c r="C183" s="99" t="s">
        <v>65</v>
      </c>
      <c r="D183" s="65"/>
      <c r="E183" s="37"/>
      <c r="F183" s="74"/>
      <c r="G183" s="75"/>
      <c r="H183" s="76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  <c r="AG183" s="77"/>
      <c r="AH183" s="77"/>
      <c r="AI183" s="77"/>
      <c r="AJ183" s="77"/>
      <c r="AK183" s="77"/>
      <c r="AL183" s="77"/>
      <c r="AM183" s="77"/>
      <c r="AN183" s="77"/>
      <c r="AO183" s="77"/>
      <c r="AP183" s="77"/>
      <c r="AQ183" s="77"/>
      <c r="AR183" s="77"/>
      <c r="AS183" s="77"/>
      <c r="AT183" s="77"/>
      <c r="AU183" s="77"/>
      <c r="AV183" s="77"/>
      <c r="AW183" s="77"/>
      <c r="AX183" s="77"/>
      <c r="AY183" s="77"/>
      <c r="AZ183" s="77"/>
      <c r="BA183" s="77"/>
      <c r="BB183" s="77"/>
      <c r="BC183" s="77"/>
      <c r="BD183" s="77"/>
      <c r="BE183" s="77"/>
      <c r="BF183" s="77"/>
      <c r="BG183" s="77"/>
      <c r="BH183" s="77"/>
      <c r="BI183" s="77"/>
      <c r="BJ183" s="77"/>
      <c r="BK183" s="77"/>
      <c r="BL183" s="78"/>
      <c r="BM183" s="80">
        <f>COUNTIFS(DY10:DY175,"3.0")</f>
        <v>0</v>
      </c>
      <c r="BN183" s="79"/>
      <c r="BO183" s="46"/>
      <c r="BP183" s="46"/>
      <c r="BQ183" s="46"/>
      <c r="BR183" s="46"/>
      <c r="BS183" s="46"/>
      <c r="BT183" s="46"/>
      <c r="BU183" s="46"/>
      <c r="BV183" s="46"/>
      <c r="BW183" s="46"/>
      <c r="BX183" s="46"/>
      <c r="BY183" s="46"/>
      <c r="BZ183" s="46"/>
      <c r="CA183" s="46"/>
      <c r="CB183" s="46"/>
      <c r="CC183" s="46"/>
      <c r="CD183" s="46"/>
      <c r="CE183" s="46"/>
      <c r="CF183" s="46"/>
      <c r="CG183" s="46"/>
      <c r="CH183" s="46"/>
      <c r="CI183" s="46"/>
      <c r="CJ183" s="46"/>
      <c r="CK183" s="46"/>
      <c r="CL183" s="46"/>
      <c r="CM183" s="46"/>
      <c r="CN183" s="46"/>
      <c r="CO183" s="46"/>
      <c r="CP183" s="46"/>
      <c r="CQ183" s="46"/>
      <c r="CR183" s="46"/>
      <c r="CS183" s="46"/>
      <c r="CT183" s="46"/>
      <c r="CU183" s="46"/>
      <c r="CV183" s="46"/>
      <c r="CW183" s="46"/>
      <c r="CX183" s="46"/>
      <c r="CY183" s="46"/>
      <c r="CZ183" s="46"/>
      <c r="DA183" s="46"/>
      <c r="DB183" s="46"/>
      <c r="DC183" s="46"/>
      <c r="DD183" s="46"/>
      <c r="DE183" s="46"/>
      <c r="DF183" s="46"/>
      <c r="DG183" s="46"/>
      <c r="DH183" s="46"/>
      <c r="DI183" s="46"/>
      <c r="DJ183" s="46"/>
      <c r="DK183" s="46"/>
      <c r="DL183" s="46"/>
      <c r="DM183" s="46"/>
      <c r="DN183" s="46"/>
      <c r="DO183" s="46"/>
      <c r="DP183" s="46"/>
      <c r="DQ183" s="46"/>
      <c r="DR183" s="47"/>
      <c r="DS183" s="47"/>
      <c r="DT183" s="47"/>
      <c r="DU183" s="54"/>
      <c r="DV183" s="55"/>
      <c r="DW183" s="2"/>
      <c r="DX183" s="56"/>
      <c r="DY183" s="57"/>
      <c r="EI183" s="2"/>
      <c r="EJ183" s="2"/>
    </row>
    <row r="184" spans="1:140" ht="15.75" x14ac:dyDescent="0.25">
      <c r="A184" s="73"/>
      <c r="B184" s="81"/>
      <c r="C184" s="100" t="s">
        <v>66</v>
      </c>
      <c r="D184" s="82"/>
      <c r="E184" s="39"/>
      <c r="F184" s="83"/>
      <c r="G184" s="84"/>
      <c r="H184" s="61"/>
      <c r="I184" s="62"/>
      <c r="J184" s="62"/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X184" s="62"/>
      <c r="Y184" s="62"/>
      <c r="Z184" s="62"/>
      <c r="AA184" s="62"/>
      <c r="AB184" s="62"/>
      <c r="AC184" s="62"/>
      <c r="AD184" s="62"/>
      <c r="AE184" s="62"/>
      <c r="AF184" s="62"/>
      <c r="AG184" s="62"/>
      <c r="AH184" s="62"/>
      <c r="AI184" s="62"/>
      <c r="AJ184" s="62"/>
      <c r="AK184" s="62"/>
      <c r="AL184" s="62"/>
      <c r="AM184" s="62"/>
      <c r="AN184" s="62"/>
      <c r="AO184" s="62"/>
      <c r="AP184" s="62"/>
      <c r="AQ184" s="62"/>
      <c r="AR184" s="62"/>
      <c r="AS184" s="62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62"/>
      <c r="BE184" s="62"/>
      <c r="BF184" s="62"/>
      <c r="BG184" s="62"/>
      <c r="BH184" s="62"/>
      <c r="BI184" s="62"/>
      <c r="BJ184" s="62"/>
      <c r="BK184" s="62"/>
      <c r="BL184" s="63"/>
      <c r="BM184" s="85">
        <v>1</v>
      </c>
      <c r="BN184" s="64"/>
      <c r="BO184" s="46"/>
      <c r="BP184" s="46"/>
      <c r="BQ184" s="46"/>
      <c r="BR184" s="46"/>
      <c r="BS184" s="46"/>
      <c r="BT184" s="46"/>
      <c r="BU184" s="46"/>
      <c r="BV184" s="46"/>
      <c r="BW184" s="46"/>
      <c r="BX184" s="46"/>
      <c r="BY184" s="46"/>
      <c r="BZ184" s="46"/>
      <c r="CA184" s="46"/>
      <c r="CB184" s="46"/>
      <c r="CC184" s="46"/>
      <c r="CD184" s="46"/>
      <c r="CE184" s="46"/>
      <c r="CF184" s="46"/>
      <c r="CG184" s="46"/>
      <c r="CH184" s="46"/>
      <c r="CI184" s="46"/>
      <c r="CJ184" s="46"/>
      <c r="CK184" s="46"/>
      <c r="CL184" s="46"/>
      <c r="CM184" s="46"/>
      <c r="CN184" s="46"/>
      <c r="CO184" s="46"/>
      <c r="CP184" s="46"/>
      <c r="CQ184" s="46"/>
      <c r="CR184" s="46"/>
      <c r="CS184" s="46"/>
      <c r="CT184" s="46"/>
      <c r="CU184" s="46"/>
      <c r="CV184" s="46"/>
      <c r="CW184" s="46"/>
      <c r="CX184" s="46"/>
      <c r="CY184" s="46"/>
      <c r="CZ184" s="46"/>
      <c r="DA184" s="46"/>
      <c r="DB184" s="46"/>
      <c r="DC184" s="46"/>
      <c r="DD184" s="46"/>
      <c r="DE184" s="46"/>
      <c r="DF184" s="46"/>
      <c r="DG184" s="46"/>
      <c r="DH184" s="46"/>
      <c r="DI184" s="46"/>
      <c r="DJ184" s="46"/>
      <c r="DK184" s="46"/>
      <c r="DL184" s="46"/>
      <c r="DM184" s="46"/>
      <c r="DN184" s="46"/>
      <c r="DO184" s="46"/>
      <c r="DP184" s="46"/>
      <c r="DQ184" s="46"/>
      <c r="DR184" s="47"/>
      <c r="DS184" s="47"/>
      <c r="DT184" s="47"/>
      <c r="DU184" s="54"/>
      <c r="DV184" s="55"/>
      <c r="DW184" s="2"/>
      <c r="DX184" s="56"/>
      <c r="DY184" s="57"/>
      <c r="EI184" s="2"/>
      <c r="EJ184" s="2"/>
    </row>
    <row r="185" spans="1:140" ht="15.75" x14ac:dyDescent="0.25">
      <c r="A185" s="73"/>
      <c r="B185" s="2"/>
      <c r="C185" s="2"/>
      <c r="D185" s="25"/>
      <c r="E185" s="25"/>
      <c r="F185" s="86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  <c r="BJ185" s="2"/>
      <c r="BK185" s="2"/>
      <c r="BL185" s="87"/>
      <c r="BM185" s="2"/>
      <c r="BN185" s="55"/>
      <c r="BO185" s="73"/>
      <c r="BP185" s="73"/>
      <c r="BQ185" s="73"/>
      <c r="BR185" s="73"/>
      <c r="BS185" s="73"/>
      <c r="BT185" s="73"/>
      <c r="BU185" s="73"/>
      <c r="BV185" s="73"/>
      <c r="BW185" s="73"/>
      <c r="BX185" s="73"/>
      <c r="BY185" s="73"/>
      <c r="BZ185" s="73"/>
      <c r="CA185" s="73"/>
      <c r="CB185" s="73"/>
      <c r="CC185" s="73"/>
      <c r="CD185" s="73"/>
      <c r="CE185" s="73"/>
      <c r="CF185" s="73"/>
      <c r="CG185" s="73"/>
      <c r="CH185" s="73"/>
      <c r="CI185" s="73"/>
      <c r="CJ185" s="73"/>
      <c r="CK185" s="73"/>
      <c r="CL185" s="73"/>
      <c r="CM185" s="73"/>
      <c r="CN185" s="73"/>
      <c r="CO185" s="73"/>
      <c r="CP185" s="73"/>
      <c r="CQ185" s="73"/>
      <c r="CR185" s="73"/>
      <c r="CS185" s="73"/>
      <c r="CT185" s="73"/>
      <c r="CU185" s="73"/>
      <c r="CV185" s="73"/>
      <c r="CW185" s="73"/>
      <c r="CX185" s="73"/>
      <c r="CY185" s="73"/>
      <c r="CZ185" s="73"/>
      <c r="DA185" s="73"/>
      <c r="DB185" s="73"/>
      <c r="DC185" s="73"/>
      <c r="DD185" s="73"/>
      <c r="DE185" s="73"/>
      <c r="DF185" s="73"/>
      <c r="DG185" s="73"/>
      <c r="DH185" s="73"/>
      <c r="DI185" s="73"/>
      <c r="DJ185" s="73"/>
      <c r="DK185" s="73"/>
      <c r="DL185" s="73"/>
      <c r="DM185" s="73"/>
      <c r="DN185" s="73"/>
      <c r="DO185" s="73"/>
      <c r="DP185" s="73"/>
      <c r="DQ185" s="73"/>
      <c r="DR185" s="2"/>
      <c r="DS185" s="2"/>
      <c r="DT185" s="2"/>
      <c r="DU185" s="2"/>
      <c r="DV185" s="55"/>
      <c r="DW185" s="2"/>
      <c r="DX185" s="3"/>
      <c r="DY185" s="73"/>
      <c r="DZ185" s="2"/>
      <c r="EA185" s="2"/>
      <c r="EB185" s="2"/>
      <c r="EI185" s="2"/>
      <c r="EJ185" s="2"/>
    </row>
    <row r="186" spans="1:140" ht="15.75" x14ac:dyDescent="0.25">
      <c r="A186" s="73"/>
      <c r="B186" s="2"/>
      <c r="C186" s="2"/>
      <c r="D186" s="25"/>
      <c r="E186" s="25"/>
      <c r="F186" s="86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2"/>
      <c r="BJ186" s="2"/>
      <c r="BK186" s="2"/>
      <c r="BL186" s="87"/>
      <c r="BM186" s="2"/>
      <c r="BN186" s="55"/>
      <c r="BO186" s="73"/>
      <c r="BP186" s="73"/>
      <c r="BQ186" s="73"/>
      <c r="BR186" s="73"/>
      <c r="BS186" s="73"/>
      <c r="BT186" s="73"/>
      <c r="BU186" s="73"/>
      <c r="BV186" s="73"/>
      <c r="BW186" s="73"/>
      <c r="BX186" s="73"/>
      <c r="BY186" s="73"/>
      <c r="BZ186" s="73"/>
      <c r="CA186" s="73"/>
      <c r="CB186" s="73"/>
      <c r="CC186" s="73"/>
      <c r="CD186" s="73"/>
      <c r="CE186" s="73"/>
      <c r="CF186" s="73"/>
      <c r="CG186" s="73"/>
      <c r="CH186" s="73"/>
      <c r="CI186" s="73"/>
      <c r="CJ186" s="73"/>
      <c r="CK186" s="73"/>
      <c r="CL186" s="73"/>
      <c r="CM186" s="73"/>
      <c r="CN186" s="73"/>
      <c r="CO186" s="73"/>
      <c r="CP186" s="73"/>
      <c r="CQ186" s="73"/>
      <c r="CR186" s="73"/>
      <c r="CS186" s="73"/>
      <c r="CT186" s="73"/>
      <c r="CU186" s="73"/>
      <c r="CV186" s="73"/>
      <c r="CW186" s="73"/>
      <c r="CX186" s="73"/>
      <c r="CY186" s="73"/>
      <c r="CZ186" s="73"/>
      <c r="DA186" s="73"/>
      <c r="DB186" s="73"/>
      <c r="DC186" s="73"/>
      <c r="DD186" s="73"/>
      <c r="DE186" s="73"/>
      <c r="DF186" s="73"/>
      <c r="DG186" s="73"/>
      <c r="DH186" s="73"/>
      <c r="DI186" s="73"/>
      <c r="DJ186" s="73"/>
      <c r="DK186" s="73"/>
      <c r="DL186" s="73"/>
      <c r="DM186" s="73"/>
      <c r="DN186" s="73"/>
      <c r="DO186" s="73"/>
      <c r="DP186" s="73"/>
      <c r="DQ186" s="73"/>
      <c r="DR186" s="2"/>
      <c r="DS186" s="2"/>
      <c r="DT186" s="2"/>
      <c r="DU186" s="2"/>
      <c r="DV186" s="55"/>
      <c r="DW186" s="2"/>
      <c r="DX186" s="3"/>
      <c r="DY186" s="73"/>
      <c r="DZ186" s="2"/>
      <c r="EA186" s="2"/>
      <c r="EB186" s="2"/>
      <c r="EI186" s="2"/>
      <c r="EJ186" s="2"/>
    </row>
  </sheetData>
  <mergeCells count="106">
    <mergeCell ref="A2:EA2"/>
    <mergeCell ref="A3:EA3"/>
    <mergeCell ref="A4:EA4"/>
    <mergeCell ref="A5:EA5"/>
    <mergeCell ref="A6:EA6"/>
    <mergeCell ref="A7:A9"/>
    <mergeCell ref="B7:B9"/>
    <mergeCell ref="C7:C9"/>
    <mergeCell ref="D7:D9"/>
    <mergeCell ref="E7:E9"/>
    <mergeCell ref="L7:L8"/>
    <mergeCell ref="M7:M8"/>
    <mergeCell ref="N7:N8"/>
    <mergeCell ref="O7:O8"/>
    <mergeCell ref="P7:P8"/>
    <mergeCell ref="Q7:Q8"/>
    <mergeCell ref="F7:F9"/>
    <mergeCell ref="G7:G9"/>
    <mergeCell ref="H7:H8"/>
    <mergeCell ref="I7:I8"/>
    <mergeCell ref="J7:J8"/>
    <mergeCell ref="K7:K8"/>
    <mergeCell ref="X7:X8"/>
    <mergeCell ref="Y7:Y8"/>
    <mergeCell ref="Z7:Z8"/>
    <mergeCell ref="AA7:AA8"/>
    <mergeCell ref="AB7:AB8"/>
    <mergeCell ref="AC7:AC8"/>
    <mergeCell ref="R7:R8"/>
    <mergeCell ref="S7:S8"/>
    <mergeCell ref="T7:T8"/>
    <mergeCell ref="U7:U8"/>
    <mergeCell ref="V7:V8"/>
    <mergeCell ref="W7:W8"/>
    <mergeCell ref="AJ7:AJ8"/>
    <mergeCell ref="AK7:AK8"/>
    <mergeCell ref="AL7:AL8"/>
    <mergeCell ref="AM7:AM8"/>
    <mergeCell ref="AN7:AN8"/>
    <mergeCell ref="AO7:AO8"/>
    <mergeCell ref="AD7:AD8"/>
    <mergeCell ref="AE7:AE8"/>
    <mergeCell ref="AF7:AF8"/>
    <mergeCell ref="AG7:AG8"/>
    <mergeCell ref="AH7:AH8"/>
    <mergeCell ref="AI7:AI8"/>
    <mergeCell ref="AV7:AV8"/>
    <mergeCell ref="AW7:AW8"/>
    <mergeCell ref="AX7:AX8"/>
    <mergeCell ref="AY7:AY8"/>
    <mergeCell ref="AZ7:AZ8"/>
    <mergeCell ref="BA7:BA8"/>
    <mergeCell ref="AP7:AP8"/>
    <mergeCell ref="AQ7:AQ8"/>
    <mergeCell ref="AR7:AR8"/>
    <mergeCell ref="AS7:AS8"/>
    <mergeCell ref="AT7:AT8"/>
    <mergeCell ref="AU7:AU8"/>
    <mergeCell ref="BH7:BH8"/>
    <mergeCell ref="BI7:BI8"/>
    <mergeCell ref="BJ7:BJ8"/>
    <mergeCell ref="BK7:BK9"/>
    <mergeCell ref="BL7:BL9"/>
    <mergeCell ref="BM7:BM9"/>
    <mergeCell ref="BB7:BB8"/>
    <mergeCell ref="BC7:BC8"/>
    <mergeCell ref="BD7:BD8"/>
    <mergeCell ref="BE7:BE8"/>
    <mergeCell ref="BF7:BF8"/>
    <mergeCell ref="BG7:BG8"/>
    <mergeCell ref="BT7:BT8"/>
    <mergeCell ref="BU7:BU8"/>
    <mergeCell ref="BV7:BV8"/>
    <mergeCell ref="BW7:BW8"/>
    <mergeCell ref="BX7:BX8"/>
    <mergeCell ref="BY7:BY8"/>
    <mergeCell ref="BN7:BN9"/>
    <mergeCell ref="BO7:BO8"/>
    <mergeCell ref="BP7:BP8"/>
    <mergeCell ref="BQ7:BQ8"/>
    <mergeCell ref="BR7:BR8"/>
    <mergeCell ref="BS7:BS8"/>
    <mergeCell ref="DJ7:DJ8"/>
    <mergeCell ref="DK7:DK8"/>
    <mergeCell ref="DL7:DL8"/>
    <mergeCell ref="DM7:DM8"/>
    <mergeCell ref="DN7:DN8"/>
    <mergeCell ref="DO7:DO8"/>
    <mergeCell ref="BZ7:BZ8"/>
    <mergeCell ref="CA7:CA8"/>
    <mergeCell ref="CB7:CB8"/>
    <mergeCell ref="DG7:DG8"/>
    <mergeCell ref="DH7:DH8"/>
    <mergeCell ref="DI7:DI8"/>
    <mergeCell ref="DV7:DV9"/>
    <mergeCell ref="DW7:DW9"/>
    <mergeCell ref="DX7:DX9"/>
    <mergeCell ref="DY7:DY9"/>
    <mergeCell ref="DZ7:DZ9"/>
    <mergeCell ref="EA7:EA9"/>
    <mergeCell ref="DP7:DP8"/>
    <mergeCell ref="DQ7:DQ8"/>
    <mergeCell ref="DR7:DR9"/>
    <mergeCell ref="DS7:DS9"/>
    <mergeCell ref="DT7:DT9"/>
    <mergeCell ref="DU7:DU9"/>
  </mergeCells>
  <pageMargins left="0.25" right="0.25" top="0.75" bottom="0.75" header="0.3" footer="0.3"/>
  <pageSetup scale="38" fitToHeight="0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6:EA156"/>
  <sheetViews>
    <sheetView topLeftCell="A5" zoomScale="86" zoomScaleNormal="86" workbookViewId="0">
      <selection activeCell="BA10" sqref="BA10"/>
    </sheetView>
  </sheetViews>
  <sheetFormatPr defaultRowHeight="12.75" x14ac:dyDescent="0.2"/>
  <cols>
    <col min="1" max="1" width="9.140625" style="191"/>
    <col min="2" max="2" width="13.85546875" style="191" customWidth="1"/>
    <col min="3" max="3" width="23.28515625" style="191" customWidth="1"/>
    <col min="4" max="4" width="17.85546875" style="191" hidden="1" customWidth="1"/>
    <col min="5" max="5" width="21.28515625" style="191" hidden="1" customWidth="1"/>
    <col min="6" max="6" width="66.85546875" style="191" hidden="1" customWidth="1"/>
    <col min="7" max="7" width="28.85546875" style="191" customWidth="1"/>
    <col min="8" max="131" width="5.28515625" style="191" customWidth="1"/>
    <col min="132" max="16384" width="9.140625" style="191"/>
  </cols>
  <sheetData>
    <row r="6" spans="1:131" ht="13.5" thickBot="1" x14ac:dyDescent="0.25"/>
    <row r="7" spans="1:131" ht="57" customHeight="1" x14ac:dyDescent="0.2">
      <c r="A7" s="271" t="s">
        <v>4</v>
      </c>
      <c r="B7" s="274" t="s">
        <v>5</v>
      </c>
      <c r="C7" s="274" t="str">
        <f>Broadsheet!C7</f>
        <v>NAME OF CANDIDATE (SURNAME IN CAPITAL)</v>
      </c>
      <c r="D7" s="199" t="str">
        <f>Broadsheet!D7</f>
        <v>Other Names</v>
      </c>
      <c r="E7" s="199" t="str">
        <f>Broadsheet!E7</f>
        <v>Surname</v>
      </c>
      <c r="F7" s="274" t="str">
        <f>Broadsheet!F7</f>
        <v>REPEAT COURSES IN CODES AND MARKS (ALL HIDDEN)</v>
      </c>
      <c r="G7" s="281" t="str">
        <f>Broadsheet!G7</f>
        <v>REPEAT COURSES IN CODES AND MARKS (FIRST SEMESTER)</v>
      </c>
      <c r="H7" s="205" t="str">
        <f ca="1">IF(Broadsheet!H7="","",Broadsheet!H7)</f>
        <v>MTH110</v>
      </c>
      <c r="I7" s="206" t="str">
        <f ca="1">IF(Broadsheet!I7="","",Broadsheet!I7)</f>
        <v>MTH111</v>
      </c>
      <c r="J7" s="206" t="str">
        <f ca="1">IF(Broadsheet!J7="","",Broadsheet!J7)</f>
        <v>PHY111</v>
      </c>
      <c r="K7" s="206" t="str">
        <f ca="1">IF(Broadsheet!K7="","",Broadsheet!K7)</f>
        <v>PHY112</v>
      </c>
      <c r="L7" s="206" t="str">
        <f ca="1">IF(Broadsheet!L7="","",Broadsheet!L7)</f>
        <v>CHM111</v>
      </c>
      <c r="M7" s="206" t="str">
        <f ca="1">IF(Broadsheet!M7="","",Broadsheet!M7)</f>
        <v>CHM112</v>
      </c>
      <c r="N7" s="206" t="str">
        <f ca="1">IF(Broadsheet!N7="","",Broadsheet!N7)</f>
        <v>GST111</v>
      </c>
      <c r="O7" s="206" t="str">
        <f ca="1">IF(Broadsheet!O7="","",Broadsheet!O7)</f>
        <v>GST112</v>
      </c>
      <c r="P7" s="206">
        <f ca="1">IF(Broadsheet!P7="","",Broadsheet!P7)</f>
        <v>0</v>
      </c>
      <c r="Q7" s="206">
        <f ca="1">IF(Broadsheet!Q7="","",Broadsheet!Q7)</f>
        <v>0</v>
      </c>
      <c r="R7" s="206" t="str">
        <f ca="1">IF(Broadsheet!R7="","",Broadsheet!R7)</f>
        <v>CHE211</v>
      </c>
      <c r="S7" s="206" t="str">
        <f ca="1">IF(Broadsheet!S7="","",Broadsheet!S7)</f>
        <v>CVE211</v>
      </c>
      <c r="T7" s="206" t="str">
        <f ca="1">IF(Broadsheet!T7="","",Broadsheet!T7)</f>
        <v>MEE211</v>
      </c>
      <c r="U7" s="206" t="str">
        <f ca="1">IF(Broadsheet!U7="","",Broadsheet!U7)</f>
        <v>MEE212</v>
      </c>
      <c r="V7" s="206" t="str">
        <f ca="1">IF(Broadsheet!V7="","",Broadsheet!V7)</f>
        <v>PRE211</v>
      </c>
      <c r="W7" s="206" t="str">
        <f>IF(Broadsheet!W7="","",Broadsheet!W7)</f>
        <v/>
      </c>
      <c r="X7" s="206" t="str">
        <f>IF(Broadsheet!X7="","",Broadsheet!X7)</f>
        <v/>
      </c>
      <c r="Y7" s="206" t="str">
        <f>IF(Broadsheet!Y7="","",Broadsheet!Y7)</f>
        <v/>
      </c>
      <c r="Z7" s="206" t="str">
        <f>IF(Broadsheet!Z7="","",Broadsheet!Z7)</f>
        <v/>
      </c>
      <c r="AA7" s="206" t="str">
        <f>IF(Broadsheet!AA7="","",Broadsheet!AA7)</f>
        <v/>
      </c>
      <c r="AB7" s="206" t="str">
        <f>IF(Broadsheet!AB7="","",Broadsheet!AB7)</f>
        <v/>
      </c>
      <c r="AC7" s="206" t="str">
        <f>IF(Broadsheet!AC7="","",Broadsheet!AC7)</f>
        <v/>
      </c>
      <c r="AD7" s="206" t="str">
        <f>IF(Broadsheet!AD7="","",Broadsheet!AD7)</f>
        <v/>
      </c>
      <c r="AE7" s="206" t="str">
        <f>IF(Broadsheet!AE7="","",Broadsheet!AE7)</f>
        <v/>
      </c>
      <c r="AF7" s="206" t="str">
        <f>IF(Broadsheet!AF7="","",Broadsheet!AF7)</f>
        <v/>
      </c>
      <c r="AG7" s="206" t="str">
        <f>IF(Broadsheet!AG7="","",Broadsheet!AG7)</f>
        <v/>
      </c>
      <c r="AH7" s="206" t="str">
        <f>IF(Broadsheet!AH7="","",Broadsheet!AH7)</f>
        <v/>
      </c>
      <c r="AI7" s="206" t="str">
        <f>IF(Broadsheet!AI7="","",Broadsheet!AI7)</f>
        <v/>
      </c>
      <c r="AJ7" s="206" t="str">
        <f>IF(Broadsheet!AJ7="","",Broadsheet!AJ7)</f>
        <v/>
      </c>
      <c r="AK7" s="206" t="str">
        <f>IF(Broadsheet!AK7="","",Broadsheet!AK7)</f>
        <v/>
      </c>
      <c r="AL7" s="206" t="str">
        <f>IF(Broadsheet!AL7="","",Broadsheet!AL7)</f>
        <v/>
      </c>
      <c r="AM7" s="206" t="str">
        <f>IF(Broadsheet!AM7="","",Broadsheet!AM7)</f>
        <v/>
      </c>
      <c r="AN7" s="206" t="str">
        <f>IF(Broadsheet!AN7="","",Broadsheet!AN7)</f>
        <v/>
      </c>
      <c r="AO7" s="206" t="str">
        <f>IF(Broadsheet!AO7="","",Broadsheet!AO7)</f>
        <v/>
      </c>
      <c r="AP7" s="206" t="str">
        <f>IF(Broadsheet!AP7="","",Broadsheet!AP7)</f>
        <v/>
      </c>
      <c r="AQ7" s="206" t="str">
        <f>IF(Broadsheet!AQ7="","",Broadsheet!AQ7)</f>
        <v/>
      </c>
      <c r="AR7" s="206" t="str">
        <f>IF(Broadsheet!AR7="","",Broadsheet!AR7)</f>
        <v/>
      </c>
      <c r="AS7" s="206" t="str">
        <f>IF(Broadsheet!AS7="","",Broadsheet!AS7)</f>
        <v/>
      </c>
      <c r="AT7" s="206" t="str">
        <f>IF(Broadsheet!AT7="","",Broadsheet!AT7)</f>
        <v/>
      </c>
      <c r="AU7" s="206" t="str">
        <f>IF(Broadsheet!AU7="","",Broadsheet!AU7)</f>
        <v/>
      </c>
      <c r="AV7" s="206" t="str">
        <f>IF(Broadsheet!AV7="","",Broadsheet!AV7)</f>
        <v/>
      </c>
      <c r="AW7" s="206" t="str">
        <f>IF(Broadsheet!AW7="","",Broadsheet!AW7)</f>
        <v/>
      </c>
      <c r="AX7" s="206" t="str">
        <f>IF(Broadsheet!AX7="","",Broadsheet!AX7)</f>
        <v/>
      </c>
      <c r="AY7" s="206" t="str">
        <f>IF(Broadsheet!AY7="","",Broadsheet!AY7)</f>
        <v/>
      </c>
      <c r="AZ7" s="206" t="str">
        <f>IF(Broadsheet!AZ7="","",Broadsheet!AZ7)</f>
        <v/>
      </c>
      <c r="BA7" s="206" t="str">
        <f>IF(Broadsheet!BA7="","",Broadsheet!BA7)</f>
        <v/>
      </c>
      <c r="BB7" s="206" t="str">
        <f>IF(Broadsheet!BB7="","",Broadsheet!BB7)</f>
        <v/>
      </c>
      <c r="BC7" s="206" t="str">
        <f>IF(Broadsheet!BC7="","",Broadsheet!BC7)</f>
        <v/>
      </c>
      <c r="BD7" s="206" t="str">
        <f>IF(Broadsheet!BD7="","",Broadsheet!BD7)</f>
        <v/>
      </c>
      <c r="BE7" s="206" t="str">
        <f>IF(Broadsheet!BE7="","",Broadsheet!BE7)</f>
        <v/>
      </c>
      <c r="BF7" s="206" t="str">
        <f>IF(Broadsheet!BF7="","",Broadsheet!BF7)</f>
        <v/>
      </c>
      <c r="BG7" s="206" t="str">
        <f>IF(Broadsheet!BG7="","",Broadsheet!BG7)</f>
        <v/>
      </c>
      <c r="BH7" s="206" t="str">
        <f>IF(Broadsheet!BH7="","",Broadsheet!BH7)</f>
        <v/>
      </c>
      <c r="BI7" s="206" t="str">
        <f>IF(Broadsheet!BI7="","",Broadsheet!BI7)</f>
        <v/>
      </c>
      <c r="BJ7" s="206" t="str">
        <f>IF(Broadsheet!BJ7="","",Broadsheet!BJ7)</f>
        <v/>
      </c>
      <c r="BK7" s="277" t="str">
        <f>Broadsheet!BK7</f>
        <v>TCF/1ST SEM.</v>
      </c>
      <c r="BL7" s="277" t="str">
        <f>Broadsheet!BL7</f>
        <v>TCP/1ST SEM.</v>
      </c>
      <c r="BM7" s="277" t="str">
        <f>Broadsheet!BM7</f>
        <v>TCR/1ST SEM.</v>
      </c>
      <c r="BN7" s="277" t="str">
        <f>Broadsheet!BN7</f>
        <v>REPEAT COURSES IN CODES AND MARKS (SECOND SEMESTER)</v>
      </c>
      <c r="BO7" s="206" t="str">
        <f ca="1">IF(Broadsheet!BO7="","",Broadsheet!BO7)</f>
        <v>MTH110</v>
      </c>
      <c r="BP7" s="206" t="str">
        <f>IF(Broadsheet!BP7="","",Broadsheet!BP7)</f>
        <v/>
      </c>
      <c r="BQ7" s="206" t="str">
        <f>IF(Broadsheet!BQ7="","",Broadsheet!BQ7)</f>
        <v/>
      </c>
      <c r="BR7" s="206" t="str">
        <f>IF(Broadsheet!BR7="","",Broadsheet!BR7)</f>
        <v/>
      </c>
      <c r="BS7" s="206" t="str">
        <f>IF(Broadsheet!BS7="","",Broadsheet!BS7)</f>
        <v/>
      </c>
      <c r="BT7" s="206" t="str">
        <f>IF(Broadsheet!BT7="","",Broadsheet!BT7)</f>
        <v/>
      </c>
      <c r="BU7" s="206" t="str">
        <f>IF(Broadsheet!BU7="","",Broadsheet!BU7)</f>
        <v/>
      </c>
      <c r="BV7" s="206" t="str">
        <f>IF(Broadsheet!BV7="","",Broadsheet!BV7)</f>
        <v/>
      </c>
      <c r="BW7" s="206" t="str">
        <f>IF(Broadsheet!BW7="","",Broadsheet!BW7)</f>
        <v/>
      </c>
      <c r="BX7" s="206" t="str">
        <f>IF(Broadsheet!BX7="","",Broadsheet!BX7)</f>
        <v/>
      </c>
      <c r="BY7" s="206" t="str">
        <f>IF(Broadsheet!BY7="","",Broadsheet!BY7)</f>
        <v/>
      </c>
      <c r="BZ7" s="206" t="str">
        <f>IF(Broadsheet!BZ7="","",Broadsheet!BZ7)</f>
        <v/>
      </c>
      <c r="CA7" s="206" t="str">
        <f>IF(Broadsheet!CA7="","",Broadsheet!CA7)</f>
        <v/>
      </c>
      <c r="CB7" s="206" t="str">
        <f>IF(Broadsheet!CB7="","",Broadsheet!CB7)</f>
        <v/>
      </c>
      <c r="CC7" s="206" t="str">
        <f>IF(Broadsheet!CC7="","",Broadsheet!CC7)</f>
        <v/>
      </c>
      <c r="CD7" s="206" t="str">
        <f>IF(Broadsheet!CD7="","",Broadsheet!CD7)</f>
        <v/>
      </c>
      <c r="CE7" s="206" t="str">
        <f>IF(Broadsheet!CE7="","",Broadsheet!CE7)</f>
        <v/>
      </c>
      <c r="CF7" s="206" t="str">
        <f>IF(Broadsheet!CF7="","",Broadsheet!CF7)</f>
        <v/>
      </c>
      <c r="CG7" s="206" t="str">
        <f>IF(Broadsheet!CG7="","",Broadsheet!CG7)</f>
        <v/>
      </c>
      <c r="CH7" s="206" t="str">
        <f>IF(Broadsheet!CH7="","",Broadsheet!CH7)</f>
        <v/>
      </c>
      <c r="CI7" s="206" t="str">
        <f>IF(Broadsheet!CI7="","",Broadsheet!CI7)</f>
        <v/>
      </c>
      <c r="CJ7" s="206" t="str">
        <f>IF(Broadsheet!CJ7="","",Broadsheet!CJ7)</f>
        <v/>
      </c>
      <c r="CK7" s="206" t="str">
        <f>IF(Broadsheet!CK7="","",Broadsheet!CK7)</f>
        <v/>
      </c>
      <c r="CL7" s="206" t="str">
        <f>IF(Broadsheet!CL7="","",Broadsheet!CL7)</f>
        <v/>
      </c>
      <c r="CM7" s="206" t="str">
        <f>IF(Broadsheet!CM7="","",Broadsheet!CM7)</f>
        <v/>
      </c>
      <c r="CN7" s="206" t="str">
        <f>IF(Broadsheet!CN7="","",Broadsheet!CN7)</f>
        <v/>
      </c>
      <c r="CO7" s="206" t="str">
        <f>IF(Broadsheet!CO7="","",Broadsheet!CO7)</f>
        <v/>
      </c>
      <c r="CP7" s="206" t="str">
        <f>IF(Broadsheet!CP7="","",Broadsheet!CP7)</f>
        <v/>
      </c>
      <c r="CQ7" s="206" t="str">
        <f>IF(Broadsheet!CQ7="","",Broadsheet!CQ7)</f>
        <v/>
      </c>
      <c r="CR7" s="206" t="str">
        <f>IF(Broadsheet!CR7="","",Broadsheet!CR7)</f>
        <v/>
      </c>
      <c r="CS7" s="206" t="str">
        <f>IF(Broadsheet!CS7="","",Broadsheet!CS7)</f>
        <v/>
      </c>
      <c r="CT7" s="206" t="str">
        <f>IF(Broadsheet!CT7="","",Broadsheet!CT7)</f>
        <v/>
      </c>
      <c r="CU7" s="206" t="str">
        <f>IF(Broadsheet!CU7="","",Broadsheet!CU7)</f>
        <v/>
      </c>
      <c r="CV7" s="206" t="str">
        <f>IF(Broadsheet!CV7="","",Broadsheet!CV7)</f>
        <v/>
      </c>
      <c r="CW7" s="206" t="str">
        <f>IF(Broadsheet!CW7="","",Broadsheet!CW7)</f>
        <v/>
      </c>
      <c r="CX7" s="206" t="str">
        <f>IF(Broadsheet!CX7="","",Broadsheet!CX7)</f>
        <v/>
      </c>
      <c r="CY7" s="206" t="str">
        <f>IF(Broadsheet!CY7="","",Broadsheet!CY7)</f>
        <v/>
      </c>
      <c r="CZ7" s="206" t="str">
        <f>IF(Broadsheet!CZ7="","",Broadsheet!CZ7)</f>
        <v/>
      </c>
      <c r="DA7" s="206" t="str">
        <f>IF(Broadsheet!DA7="","",Broadsheet!DA7)</f>
        <v/>
      </c>
      <c r="DB7" s="206" t="str">
        <f>IF(Broadsheet!DB7="","",Broadsheet!DB7)</f>
        <v/>
      </c>
      <c r="DC7" s="206" t="str">
        <f>IF(Broadsheet!DC7="","",Broadsheet!DC7)</f>
        <v/>
      </c>
      <c r="DD7" s="206" t="str">
        <f>IF(Broadsheet!DD7="","",Broadsheet!DD7)</f>
        <v/>
      </c>
      <c r="DE7" s="206" t="str">
        <f>IF(Broadsheet!DE7="","",Broadsheet!DE7)</f>
        <v/>
      </c>
      <c r="DF7" s="206" t="str">
        <f>IF(Broadsheet!DF7="","",Broadsheet!DF7)</f>
        <v/>
      </c>
      <c r="DG7" s="206" t="str">
        <f>IF(Broadsheet!DG7="","",Broadsheet!DG7)</f>
        <v/>
      </c>
      <c r="DH7" s="206" t="str">
        <f>IF(Broadsheet!DH7="","",Broadsheet!DH7)</f>
        <v/>
      </c>
      <c r="DI7" s="206" t="str">
        <f>IF(Broadsheet!DI7="","",Broadsheet!DI7)</f>
        <v/>
      </c>
      <c r="DJ7" s="206" t="str">
        <f>IF(Broadsheet!DJ7="","",Broadsheet!DJ7)</f>
        <v/>
      </c>
      <c r="DK7" s="206" t="str">
        <f>IF(Broadsheet!DK7="","",Broadsheet!DK7)</f>
        <v/>
      </c>
      <c r="DL7" s="206" t="str">
        <f>IF(Broadsheet!DL7="","",Broadsheet!DL7)</f>
        <v/>
      </c>
      <c r="DM7" s="206" t="str">
        <f>IF(Broadsheet!DM7="","",Broadsheet!DM7)</f>
        <v/>
      </c>
      <c r="DN7" s="206" t="str">
        <f>IF(Broadsheet!DN7="","",Broadsheet!DN7)</f>
        <v/>
      </c>
      <c r="DO7" s="206" t="str">
        <f>IF(Broadsheet!DO7="","",Broadsheet!DO7)</f>
        <v/>
      </c>
      <c r="DP7" s="206" t="str">
        <f>IF(Broadsheet!DP7="","",Broadsheet!DP7)</f>
        <v/>
      </c>
      <c r="DQ7" s="206" t="str">
        <f>IF(Broadsheet!DQ7="","",Broadsheet!DQ7)</f>
        <v/>
      </c>
      <c r="DR7" s="206" t="str">
        <f>IF(Broadsheet!DR7="","",Broadsheet!DR7)</f>
        <v>TCF/2ND SEM.</v>
      </c>
      <c r="DS7" s="206" t="str">
        <f>IF(Broadsheet!DS7="","",Broadsheet!DS7)</f>
        <v>TCP/2ND SEM.</v>
      </c>
      <c r="DT7" s="206" t="str">
        <f>IF(Broadsheet!DT7="","",Broadsheet!DT7)</f>
        <v>TCR/2ND SEM.</v>
      </c>
      <c r="DU7" s="206" t="str">
        <f>IF(Broadsheet!DU7="","",Broadsheet!DU7)</f>
        <v>TCF SESSION</v>
      </c>
      <c r="DV7" s="206" t="str">
        <f>IF(Broadsheet!DV7="","",Broadsheet!DV7)</f>
        <v>TCP SESSION</v>
      </c>
      <c r="DW7" s="206" t="str">
        <f>IF(Broadsheet!DW7="","",Broadsheet!DW7)</f>
        <v>TCR SESSION</v>
      </c>
      <c r="DX7" s="206" t="str">
        <f>IF(Broadsheet!DX7="","",Broadsheet!DX7)</f>
        <v>GPA</v>
      </c>
      <c r="DY7" s="206" t="str">
        <f>IF(Broadsheet!DY7="","",Broadsheet!DY7)</f>
        <v>CLASS OF DEGREE</v>
      </c>
      <c r="DZ7" s="206" t="str">
        <f>IF(Broadsheet!DZ7="","",Broadsheet!DZ7)</f>
        <v>STATUS</v>
      </c>
      <c r="EA7" s="207"/>
    </row>
    <row r="8" spans="1:131" ht="13.5" customHeight="1" thickBot="1" x14ac:dyDescent="0.25">
      <c r="A8" s="272"/>
      <c r="B8" s="275"/>
      <c r="C8" s="275"/>
      <c r="D8" s="110"/>
      <c r="E8" s="110"/>
      <c r="F8" s="279"/>
      <c r="G8" s="282"/>
      <c r="H8" s="208" t="str">
        <f>IF(Broadsheet!H8="","",Broadsheet!H8)</f>
        <v/>
      </c>
      <c r="I8" s="208" t="str">
        <f>IF(Broadsheet!I8="","",Broadsheet!I8)</f>
        <v/>
      </c>
      <c r="J8" s="208" t="str">
        <f>IF(Broadsheet!J8="","",Broadsheet!J8)</f>
        <v/>
      </c>
      <c r="K8" s="208" t="str">
        <f>IF(Broadsheet!K8="","",Broadsheet!K8)</f>
        <v/>
      </c>
      <c r="L8" s="208" t="str">
        <f>IF(Broadsheet!L8="","",Broadsheet!L8)</f>
        <v/>
      </c>
      <c r="M8" s="208" t="str">
        <f>IF(Broadsheet!M8="","",Broadsheet!M8)</f>
        <v/>
      </c>
      <c r="N8" s="208" t="str">
        <f>IF(Broadsheet!N8="","",Broadsheet!N8)</f>
        <v/>
      </c>
      <c r="O8" s="208" t="str">
        <f>IF(Broadsheet!O8="","",Broadsheet!O8)</f>
        <v/>
      </c>
      <c r="P8" s="208" t="str">
        <f>IF(Broadsheet!P8="","",Broadsheet!P8)</f>
        <v/>
      </c>
      <c r="Q8" s="208" t="str">
        <f>IF(Broadsheet!Q8="","",Broadsheet!Q8)</f>
        <v/>
      </c>
      <c r="R8" s="208" t="str">
        <f>IF(Broadsheet!R8="","",Broadsheet!R8)</f>
        <v/>
      </c>
      <c r="S8" s="208" t="str">
        <f>IF(Broadsheet!S8="","",Broadsheet!S8)</f>
        <v/>
      </c>
      <c r="T8" s="208" t="str">
        <f>IF(Broadsheet!T8="","",Broadsheet!T8)</f>
        <v/>
      </c>
      <c r="U8" s="208" t="str">
        <f>IF(Broadsheet!U8="","",Broadsheet!U8)</f>
        <v/>
      </c>
      <c r="V8" s="208" t="str">
        <f>IF(Broadsheet!V8="","",Broadsheet!V8)</f>
        <v/>
      </c>
      <c r="W8" s="208" t="str">
        <f>IF(Broadsheet!W8="","",Broadsheet!W8)</f>
        <v/>
      </c>
      <c r="X8" s="208" t="str">
        <f>IF(Broadsheet!X8="","",Broadsheet!X8)</f>
        <v/>
      </c>
      <c r="Y8" s="208" t="str">
        <f>IF(Broadsheet!Y8="","",Broadsheet!Y8)</f>
        <v/>
      </c>
      <c r="Z8" s="208" t="str">
        <f>IF(Broadsheet!Z8="","",Broadsheet!Z8)</f>
        <v/>
      </c>
      <c r="AA8" s="208" t="str">
        <f>IF(Broadsheet!AA8="","",Broadsheet!AA8)</f>
        <v/>
      </c>
      <c r="AB8" s="208" t="str">
        <f>IF(Broadsheet!AB8="","",Broadsheet!AB8)</f>
        <v/>
      </c>
      <c r="AC8" s="208" t="str">
        <f>IF(Broadsheet!AC8="","",Broadsheet!AC8)</f>
        <v/>
      </c>
      <c r="AD8" s="208" t="str">
        <f>IF(Broadsheet!AD8="","",Broadsheet!AD8)</f>
        <v/>
      </c>
      <c r="AE8" s="208" t="str">
        <f>IF(Broadsheet!AE8="","",Broadsheet!AE8)</f>
        <v/>
      </c>
      <c r="AF8" s="208" t="str">
        <f>IF(Broadsheet!AF8="","",Broadsheet!AF8)</f>
        <v/>
      </c>
      <c r="AG8" s="208" t="str">
        <f>IF(Broadsheet!AG8="","",Broadsheet!AG8)</f>
        <v/>
      </c>
      <c r="AH8" s="208" t="str">
        <f>IF(Broadsheet!AH8="","",Broadsheet!AH8)</f>
        <v/>
      </c>
      <c r="AI8" s="208" t="str">
        <f>IF(Broadsheet!AI8="","",Broadsheet!AI8)</f>
        <v/>
      </c>
      <c r="AJ8" s="208" t="str">
        <f>IF(Broadsheet!AJ8="","",Broadsheet!AJ8)</f>
        <v/>
      </c>
      <c r="AK8" s="208" t="str">
        <f>IF(Broadsheet!AK8="","",Broadsheet!AK8)</f>
        <v/>
      </c>
      <c r="AL8" s="208" t="str">
        <f>IF(Broadsheet!AL8="","",Broadsheet!AL8)</f>
        <v/>
      </c>
      <c r="AM8" s="208" t="str">
        <f>IF(Broadsheet!AM8="","",Broadsheet!AM8)</f>
        <v/>
      </c>
      <c r="AN8" s="208" t="str">
        <f>IF(Broadsheet!AN8="","",Broadsheet!AN8)</f>
        <v/>
      </c>
      <c r="AO8" s="208" t="str">
        <f>IF(Broadsheet!AO8="","",Broadsheet!AO8)</f>
        <v/>
      </c>
      <c r="AP8" s="208" t="str">
        <f>IF(Broadsheet!AP8="","",Broadsheet!AP8)</f>
        <v/>
      </c>
      <c r="AQ8" s="208" t="str">
        <f>IF(Broadsheet!AQ8="","",Broadsheet!AQ8)</f>
        <v/>
      </c>
      <c r="AR8" s="208" t="str">
        <f>IF(Broadsheet!AR8="","",Broadsheet!AR8)</f>
        <v/>
      </c>
      <c r="AS8" s="208" t="str">
        <f>IF(Broadsheet!AS8="","",Broadsheet!AS8)</f>
        <v/>
      </c>
      <c r="AT8" s="208" t="str">
        <f>IF(Broadsheet!AT8="","",Broadsheet!AT8)</f>
        <v/>
      </c>
      <c r="AU8" s="208" t="str">
        <f>IF(Broadsheet!AU8="","",Broadsheet!AU8)</f>
        <v/>
      </c>
      <c r="AV8" s="208" t="str">
        <f>IF(Broadsheet!AV8="","",Broadsheet!AV8)</f>
        <v/>
      </c>
      <c r="AW8" s="208" t="str">
        <f>IF(Broadsheet!AW8="","",Broadsheet!AW8)</f>
        <v/>
      </c>
      <c r="AX8" s="208" t="str">
        <f>IF(Broadsheet!AX8="","",Broadsheet!AX8)</f>
        <v/>
      </c>
      <c r="AY8" s="208" t="str">
        <f>IF(Broadsheet!AY8="","",Broadsheet!AY8)</f>
        <v/>
      </c>
      <c r="AZ8" s="208" t="str">
        <f>IF(Broadsheet!AZ8="","",Broadsheet!AZ8)</f>
        <v/>
      </c>
      <c r="BA8" s="208" t="str">
        <f>IF(Broadsheet!BA8="","",Broadsheet!BA8)</f>
        <v/>
      </c>
      <c r="BB8" s="208" t="str">
        <f>IF(Broadsheet!BB8="","",Broadsheet!BB8)</f>
        <v/>
      </c>
      <c r="BC8" s="208" t="str">
        <f>IF(Broadsheet!BC8="","",Broadsheet!BC8)</f>
        <v/>
      </c>
      <c r="BD8" s="208" t="str">
        <f>IF(Broadsheet!BD8="","",Broadsheet!BD8)</f>
        <v/>
      </c>
      <c r="BE8" s="208" t="str">
        <f>IF(Broadsheet!BE8="","",Broadsheet!BE8)</f>
        <v/>
      </c>
      <c r="BF8" s="208" t="str">
        <f>IF(Broadsheet!BF8="","",Broadsheet!BF8)</f>
        <v/>
      </c>
      <c r="BG8" s="208" t="str">
        <f>IF(Broadsheet!BG8="","",Broadsheet!BG8)</f>
        <v/>
      </c>
      <c r="BH8" s="208" t="str">
        <f>IF(Broadsheet!BH8="","",Broadsheet!BH8)</f>
        <v/>
      </c>
      <c r="BI8" s="208" t="str">
        <f>IF(Broadsheet!BI8="","",Broadsheet!BI8)</f>
        <v/>
      </c>
      <c r="BJ8" s="208" t="str">
        <f>IF(Broadsheet!BJ8="","",Broadsheet!BJ8)</f>
        <v/>
      </c>
      <c r="BK8" s="278"/>
      <c r="BL8" s="278"/>
      <c r="BM8" s="278"/>
      <c r="BN8" s="278"/>
      <c r="BO8" s="208" t="str">
        <f>IF(Broadsheet!BO8="","",Broadsheet!BO8)</f>
        <v/>
      </c>
      <c r="BP8" s="208" t="str">
        <f>IF(Broadsheet!BP8="","",Broadsheet!BP8)</f>
        <v/>
      </c>
      <c r="BQ8" s="208" t="str">
        <f>IF(Broadsheet!BQ8="","",Broadsheet!BQ8)</f>
        <v/>
      </c>
      <c r="BR8" s="208" t="str">
        <f>IF(Broadsheet!BR8="","",Broadsheet!BR8)</f>
        <v/>
      </c>
      <c r="BS8" s="208" t="str">
        <f>IF(Broadsheet!BS8="","",Broadsheet!BS8)</f>
        <v/>
      </c>
      <c r="BT8" s="208" t="str">
        <f>IF(Broadsheet!BT8="","",Broadsheet!BT8)</f>
        <v/>
      </c>
      <c r="BU8" s="208" t="str">
        <f>IF(Broadsheet!BU8="","",Broadsheet!BU8)</f>
        <v/>
      </c>
      <c r="BV8" s="208" t="str">
        <f>IF(Broadsheet!BV8="","",Broadsheet!BV8)</f>
        <v/>
      </c>
      <c r="BW8" s="208" t="str">
        <f>IF(Broadsheet!BW8="","",Broadsheet!BW8)</f>
        <v/>
      </c>
      <c r="BX8" s="208" t="str">
        <f>IF(Broadsheet!BX8="","",Broadsheet!BX8)</f>
        <v/>
      </c>
      <c r="BY8" s="208" t="str">
        <f>IF(Broadsheet!BY8="","",Broadsheet!BY8)</f>
        <v/>
      </c>
      <c r="BZ8" s="208" t="str">
        <f>IF(Broadsheet!BZ8="","",Broadsheet!BZ8)</f>
        <v/>
      </c>
      <c r="CA8" s="208" t="str">
        <f>IF(Broadsheet!CA8="","",Broadsheet!CA8)</f>
        <v/>
      </c>
      <c r="CB8" s="208" t="str">
        <f>IF(Broadsheet!CB8="","",Broadsheet!CB8)</f>
        <v/>
      </c>
      <c r="CC8" s="208" t="str">
        <f>IF(Broadsheet!CC8="","",Broadsheet!CC8)</f>
        <v/>
      </c>
      <c r="CD8" s="208" t="str">
        <f>IF(Broadsheet!CD8="","",Broadsheet!CD8)</f>
        <v/>
      </c>
      <c r="CE8" s="208" t="str">
        <f>IF(Broadsheet!CE8="","",Broadsheet!CE8)</f>
        <v/>
      </c>
      <c r="CF8" s="208" t="str">
        <f>IF(Broadsheet!CF8="","",Broadsheet!CF8)</f>
        <v/>
      </c>
      <c r="CG8" s="208" t="str">
        <f>IF(Broadsheet!CG8="","",Broadsheet!CG8)</f>
        <v/>
      </c>
      <c r="CH8" s="208" t="str">
        <f>IF(Broadsheet!CH8="","",Broadsheet!CH8)</f>
        <v/>
      </c>
      <c r="CI8" s="208" t="str">
        <f>IF(Broadsheet!CI8="","",Broadsheet!CI8)</f>
        <v/>
      </c>
      <c r="CJ8" s="208" t="str">
        <f>IF(Broadsheet!CJ8="","",Broadsheet!CJ8)</f>
        <v/>
      </c>
      <c r="CK8" s="208" t="str">
        <f>IF(Broadsheet!CK8="","",Broadsheet!CK8)</f>
        <v/>
      </c>
      <c r="CL8" s="208" t="str">
        <f>IF(Broadsheet!CL8="","",Broadsheet!CL8)</f>
        <v/>
      </c>
      <c r="CM8" s="208" t="str">
        <f>IF(Broadsheet!CM8="","",Broadsheet!CM8)</f>
        <v/>
      </c>
      <c r="CN8" s="208" t="str">
        <f>IF(Broadsheet!CN8="","",Broadsheet!CN8)</f>
        <v/>
      </c>
      <c r="CO8" s="208" t="str">
        <f>IF(Broadsheet!CO8="","",Broadsheet!CO8)</f>
        <v/>
      </c>
      <c r="CP8" s="208" t="str">
        <f>IF(Broadsheet!CP8="","",Broadsheet!CP8)</f>
        <v/>
      </c>
      <c r="CQ8" s="208" t="str">
        <f>IF(Broadsheet!CQ8="","",Broadsheet!CQ8)</f>
        <v/>
      </c>
      <c r="CR8" s="208" t="str">
        <f>IF(Broadsheet!CR8="","",Broadsheet!CR8)</f>
        <v/>
      </c>
      <c r="CS8" s="208" t="str">
        <f>IF(Broadsheet!CS8="","",Broadsheet!CS8)</f>
        <v/>
      </c>
      <c r="CT8" s="208" t="str">
        <f>IF(Broadsheet!CT8="","",Broadsheet!CT8)</f>
        <v/>
      </c>
      <c r="CU8" s="208" t="str">
        <f>IF(Broadsheet!CU8="","",Broadsheet!CU8)</f>
        <v/>
      </c>
      <c r="CV8" s="208" t="str">
        <f>IF(Broadsheet!CV8="","",Broadsheet!CV8)</f>
        <v/>
      </c>
      <c r="CW8" s="208" t="str">
        <f>IF(Broadsheet!CW8="","",Broadsheet!CW8)</f>
        <v/>
      </c>
      <c r="CX8" s="208" t="str">
        <f>IF(Broadsheet!CX8="","",Broadsheet!CX8)</f>
        <v/>
      </c>
      <c r="CY8" s="208" t="str">
        <f>IF(Broadsheet!CY8="","",Broadsheet!CY8)</f>
        <v/>
      </c>
      <c r="CZ8" s="208" t="str">
        <f>IF(Broadsheet!CZ8="","",Broadsheet!CZ8)</f>
        <v/>
      </c>
      <c r="DA8" s="208" t="str">
        <f>IF(Broadsheet!DA8="","",Broadsheet!DA8)</f>
        <v/>
      </c>
      <c r="DB8" s="208" t="str">
        <f>IF(Broadsheet!DB8="","",Broadsheet!DB8)</f>
        <v/>
      </c>
      <c r="DC8" s="208" t="str">
        <f>IF(Broadsheet!DC8="","",Broadsheet!DC8)</f>
        <v/>
      </c>
      <c r="DD8" s="208" t="str">
        <f>IF(Broadsheet!DD8="","",Broadsheet!DD8)</f>
        <v/>
      </c>
      <c r="DE8" s="208" t="str">
        <f>IF(Broadsheet!DE8="","",Broadsheet!DE8)</f>
        <v/>
      </c>
      <c r="DF8" s="208" t="str">
        <f>IF(Broadsheet!DF8="","",Broadsheet!DF8)</f>
        <v/>
      </c>
      <c r="DG8" s="208" t="str">
        <f>IF(Broadsheet!DG8="","",Broadsheet!DG8)</f>
        <v/>
      </c>
      <c r="DH8" s="208" t="str">
        <f>IF(Broadsheet!DH8="","",Broadsheet!DH8)</f>
        <v/>
      </c>
      <c r="DI8" s="208" t="str">
        <f>IF(Broadsheet!DI8="","",Broadsheet!DI8)</f>
        <v/>
      </c>
      <c r="DJ8" s="208" t="str">
        <f>IF(Broadsheet!DJ8="","",Broadsheet!DJ8)</f>
        <v/>
      </c>
      <c r="DK8" s="208" t="str">
        <f>IF(Broadsheet!DK8="","",Broadsheet!DK8)</f>
        <v/>
      </c>
      <c r="DL8" s="208" t="str">
        <f>IF(Broadsheet!DL8="","",Broadsheet!DL8)</f>
        <v/>
      </c>
      <c r="DM8" s="208" t="str">
        <f>IF(Broadsheet!DM8="","",Broadsheet!DM8)</f>
        <v/>
      </c>
      <c r="DN8" s="208" t="str">
        <f>IF(Broadsheet!DN8="","",Broadsheet!DN8)</f>
        <v/>
      </c>
      <c r="DO8" s="208" t="str">
        <f>IF(Broadsheet!DO8="","",Broadsheet!DO8)</f>
        <v/>
      </c>
      <c r="DP8" s="208" t="str">
        <f>IF(Broadsheet!DP8="","",Broadsheet!DP8)</f>
        <v/>
      </c>
      <c r="DQ8" s="208" t="str">
        <f>IF(Broadsheet!DQ8="","",Broadsheet!DQ8)</f>
        <v/>
      </c>
      <c r="DR8" s="208" t="str">
        <f>IF(Broadsheet!DR8="","",Broadsheet!DR8)</f>
        <v/>
      </c>
      <c r="DS8" s="208" t="str">
        <f>IF(Broadsheet!DS8="","",Broadsheet!DS8)</f>
        <v/>
      </c>
      <c r="DT8" s="208" t="str">
        <f>IF(Broadsheet!DT8="","",Broadsheet!DT8)</f>
        <v/>
      </c>
      <c r="DU8" s="208" t="str">
        <f>IF(Broadsheet!DU8="","",Broadsheet!DU8)</f>
        <v/>
      </c>
      <c r="DV8" s="208" t="str">
        <f>IF(Broadsheet!DV8="","",Broadsheet!DV8)</f>
        <v/>
      </c>
      <c r="DW8" s="208" t="str">
        <f>IF(Broadsheet!DW8="","",Broadsheet!DW8)</f>
        <v/>
      </c>
      <c r="DX8" s="208" t="str">
        <f>IF(Broadsheet!DX8="","",Broadsheet!DX8)</f>
        <v/>
      </c>
      <c r="DY8" s="208" t="str">
        <f>IF(Broadsheet!DY8="","",Broadsheet!DY8)</f>
        <v/>
      </c>
      <c r="DZ8" s="208" t="str">
        <f>IF(Broadsheet!DZ8="","",Broadsheet!DZ8)</f>
        <v/>
      </c>
      <c r="EA8" s="209"/>
    </row>
    <row r="9" spans="1:131" ht="16.5" thickBot="1" x14ac:dyDescent="0.25">
      <c r="A9" s="273"/>
      <c r="B9" s="276"/>
      <c r="C9" s="276"/>
      <c r="D9" s="170"/>
      <c r="E9" s="170"/>
      <c r="F9" s="280"/>
      <c r="G9" s="283"/>
      <c r="H9" s="211">
        <f>IF(Broadsheet!H9="","",Broadsheet!H9)</f>
        <v>3</v>
      </c>
      <c r="I9" s="212">
        <f>IF(Broadsheet!I9="","",Broadsheet!I9)</f>
        <v>3</v>
      </c>
      <c r="J9" s="212">
        <f>IF(Broadsheet!J9="","",Broadsheet!J9)</f>
        <v>3</v>
      </c>
      <c r="K9" s="212">
        <f>IF(Broadsheet!K9="","",Broadsheet!K9)</f>
        <v>3</v>
      </c>
      <c r="L9" s="212">
        <f>IF(Broadsheet!L9="","",Broadsheet!L9)</f>
        <v>3</v>
      </c>
      <c r="M9" s="212">
        <f>IF(Broadsheet!M9="","",Broadsheet!M9)</f>
        <v>3</v>
      </c>
      <c r="N9" s="212">
        <f>IF(Broadsheet!N9="","",Broadsheet!N9)</f>
        <v>3</v>
      </c>
      <c r="O9" s="212">
        <f>IF(Broadsheet!O9="","",Broadsheet!O9)</f>
        <v>3</v>
      </c>
      <c r="P9" s="212" t="str">
        <f>IF(Broadsheet!P9="","",Broadsheet!P9)</f>
        <v/>
      </c>
      <c r="Q9" s="212" t="str">
        <f>IF(Broadsheet!Q9="","",Broadsheet!Q9)</f>
        <v/>
      </c>
      <c r="R9" s="212" t="str">
        <f>IF(Broadsheet!R9="","",Broadsheet!R9)</f>
        <v/>
      </c>
      <c r="S9" s="212" t="str">
        <f>IF(Broadsheet!S9="","",Broadsheet!S9)</f>
        <v/>
      </c>
      <c r="T9" s="212" t="str">
        <f>IF(Broadsheet!T9="","",Broadsheet!T9)</f>
        <v/>
      </c>
      <c r="U9" s="212" t="str">
        <f>IF(Broadsheet!U9="","",Broadsheet!U9)</f>
        <v/>
      </c>
      <c r="V9" s="212" t="str">
        <f>IF(Broadsheet!V9="","",Broadsheet!V9)</f>
        <v/>
      </c>
      <c r="W9" s="212" t="str">
        <f>IF(Broadsheet!W9="","",Broadsheet!W9)</f>
        <v/>
      </c>
      <c r="X9" s="212" t="str">
        <f>IF(Broadsheet!X9="","",Broadsheet!X9)</f>
        <v/>
      </c>
      <c r="Y9" s="212" t="str">
        <f>IF(Broadsheet!Y9="","",Broadsheet!Y9)</f>
        <v/>
      </c>
      <c r="Z9" s="212" t="str">
        <f>IF(Broadsheet!Z9="","",Broadsheet!Z9)</f>
        <v/>
      </c>
      <c r="AA9" s="212" t="str">
        <f>IF(Broadsheet!AA9="","",Broadsheet!AA9)</f>
        <v/>
      </c>
      <c r="AB9" s="212" t="str">
        <f>IF(Broadsheet!AB9="","",Broadsheet!AB9)</f>
        <v/>
      </c>
      <c r="AC9" s="212" t="str">
        <f>IF(Broadsheet!AC9="","",Broadsheet!AC9)</f>
        <v/>
      </c>
      <c r="AD9" s="212" t="str">
        <f>IF(Broadsheet!AD9="","",Broadsheet!AD9)</f>
        <v/>
      </c>
      <c r="AE9" s="212" t="str">
        <f>IF(Broadsheet!AE9="","",Broadsheet!AE9)</f>
        <v/>
      </c>
      <c r="AF9" s="212" t="str">
        <f>IF(Broadsheet!AF9="","",Broadsheet!AF9)</f>
        <v/>
      </c>
      <c r="AG9" s="212" t="str">
        <f>IF(Broadsheet!AG9="","",Broadsheet!AG9)</f>
        <v/>
      </c>
      <c r="AH9" s="212" t="str">
        <f>IF(Broadsheet!AH9="","",Broadsheet!AH9)</f>
        <v/>
      </c>
      <c r="AI9" s="212" t="str">
        <f>IF(Broadsheet!AI9="","",Broadsheet!AI9)</f>
        <v/>
      </c>
      <c r="AJ9" s="212" t="str">
        <f>IF(Broadsheet!AJ9="","",Broadsheet!AJ9)</f>
        <v/>
      </c>
      <c r="AK9" s="212" t="str">
        <f>IF(Broadsheet!AK9="","",Broadsheet!AK9)</f>
        <v/>
      </c>
      <c r="AL9" s="212" t="str">
        <f>IF(Broadsheet!AL9="","",Broadsheet!AL9)</f>
        <v/>
      </c>
      <c r="AM9" s="212" t="str">
        <f>IF(Broadsheet!AM9="","",Broadsheet!AM9)</f>
        <v/>
      </c>
      <c r="AN9" s="212" t="str">
        <f>IF(Broadsheet!AN9="","",Broadsheet!AN9)</f>
        <v/>
      </c>
      <c r="AO9" s="212" t="str">
        <f>IF(Broadsheet!AO9="","",Broadsheet!AO9)</f>
        <v/>
      </c>
      <c r="AP9" s="212" t="str">
        <f>IF(Broadsheet!AP9="","",Broadsheet!AP9)</f>
        <v/>
      </c>
      <c r="AQ9" s="212" t="str">
        <f>IF(Broadsheet!AQ9="","",Broadsheet!AQ9)</f>
        <v/>
      </c>
      <c r="AR9" s="212" t="str">
        <f>IF(Broadsheet!AR9="","",Broadsheet!AR9)</f>
        <v/>
      </c>
      <c r="AS9" s="212" t="str">
        <f>IF(Broadsheet!AS9="","",Broadsheet!AS9)</f>
        <v/>
      </c>
      <c r="AT9" s="212" t="str">
        <f>IF(Broadsheet!AT9="","",Broadsheet!AT9)</f>
        <v/>
      </c>
      <c r="AU9" s="212" t="str">
        <f>IF(Broadsheet!AU9="","",Broadsheet!AU9)</f>
        <v/>
      </c>
      <c r="AV9" s="212" t="str">
        <f>IF(Broadsheet!AV9="","",Broadsheet!AV9)</f>
        <v/>
      </c>
      <c r="AW9" s="212" t="str">
        <f>IF(Broadsheet!AW9="","",Broadsheet!AW9)</f>
        <v/>
      </c>
      <c r="AX9" s="212" t="str">
        <f>IF(Broadsheet!AX9="","",Broadsheet!AX9)</f>
        <v/>
      </c>
      <c r="AY9" s="212" t="str">
        <f>IF(Broadsheet!AY9="","",Broadsheet!AY9)</f>
        <v/>
      </c>
      <c r="AZ9" s="212" t="str">
        <f>IF(Broadsheet!AZ9="","",Broadsheet!AZ9)</f>
        <v/>
      </c>
      <c r="BA9" s="212" t="str">
        <f>IF(Broadsheet!BA9="","",Broadsheet!BA9)</f>
        <v/>
      </c>
      <c r="BB9" s="212" t="str">
        <f>IF(Broadsheet!BB9="","",Broadsheet!BB9)</f>
        <v/>
      </c>
      <c r="BC9" s="212" t="str">
        <f>IF(Broadsheet!BC9="","",Broadsheet!BC9)</f>
        <v/>
      </c>
      <c r="BD9" s="212" t="str">
        <f>IF(Broadsheet!BD9="","",Broadsheet!BD9)</f>
        <v/>
      </c>
      <c r="BE9" s="212" t="str">
        <f>IF(Broadsheet!BE9="","",Broadsheet!BE9)</f>
        <v/>
      </c>
      <c r="BF9" s="212" t="str">
        <f>IF(Broadsheet!BF9="","",Broadsheet!BF9)</f>
        <v/>
      </c>
      <c r="BG9" s="212" t="str">
        <f>IF(Broadsheet!BG9="","",Broadsheet!BG9)</f>
        <v/>
      </c>
      <c r="BH9" s="212" t="str">
        <f>IF(Broadsheet!BH9="","",Broadsheet!BH9)</f>
        <v/>
      </c>
      <c r="BI9" s="212" t="str">
        <f>IF(Broadsheet!BI9="","",Broadsheet!BI9)</f>
        <v/>
      </c>
      <c r="BJ9" s="213" t="str">
        <f>IF(Broadsheet!BJ9="","",Broadsheet!BJ9)</f>
        <v/>
      </c>
      <c r="BK9" s="210">
        <f>Broadsheet!BK9</f>
        <v>0</v>
      </c>
      <c r="BL9" s="201">
        <f>Broadsheet!BL9</f>
        <v>0</v>
      </c>
      <c r="BM9" s="201">
        <f>Broadsheet!BM9</f>
        <v>0</v>
      </c>
      <c r="BN9" s="201">
        <f>Broadsheet!BN9</f>
        <v>0</v>
      </c>
      <c r="BO9" s="201">
        <f>Broadsheet!BO9</f>
        <v>3</v>
      </c>
      <c r="BP9" s="201">
        <f>Broadsheet!BP9</f>
        <v>3</v>
      </c>
      <c r="BQ9" s="201">
        <f>Broadsheet!BQ9</f>
        <v>3</v>
      </c>
      <c r="BR9" s="201">
        <f>Broadsheet!BR9</f>
        <v>3</v>
      </c>
      <c r="BS9" s="201">
        <f>Broadsheet!BS9</f>
        <v>3</v>
      </c>
      <c r="BT9" s="201">
        <f>Broadsheet!BT9</f>
        <v>3</v>
      </c>
      <c r="BU9" s="201">
        <f>Broadsheet!BU9</f>
        <v>3</v>
      </c>
      <c r="BV9" s="201">
        <f>Broadsheet!BV9</f>
        <v>3</v>
      </c>
      <c r="BW9" s="201">
        <f>Broadsheet!BW9</f>
        <v>3</v>
      </c>
      <c r="BX9" s="201">
        <f>Broadsheet!BX9</f>
        <v>3</v>
      </c>
      <c r="BY9" s="201">
        <f>Broadsheet!BY9</f>
        <v>3</v>
      </c>
      <c r="BZ9" s="201">
        <f>Broadsheet!BZ9</f>
        <v>0</v>
      </c>
      <c r="CA9" s="201">
        <f>Broadsheet!CA9</f>
        <v>0</v>
      </c>
      <c r="CB9" s="201">
        <f>Broadsheet!CB9</f>
        <v>0</v>
      </c>
      <c r="CC9" s="201">
        <f>Broadsheet!CC9</f>
        <v>0</v>
      </c>
      <c r="CD9" s="201">
        <f>Broadsheet!CD9</f>
        <v>0</v>
      </c>
      <c r="CE9" s="201">
        <f>Broadsheet!CE9</f>
        <v>0</v>
      </c>
      <c r="CF9" s="201">
        <f>Broadsheet!CF9</f>
        <v>0</v>
      </c>
      <c r="CG9" s="201">
        <f>Broadsheet!CG9</f>
        <v>0</v>
      </c>
      <c r="CH9" s="201">
        <f>Broadsheet!CH9</f>
        <v>0</v>
      </c>
      <c r="CI9" s="201">
        <f>Broadsheet!CI9</f>
        <v>0</v>
      </c>
      <c r="CJ9" s="201">
        <f>Broadsheet!CJ9</f>
        <v>0</v>
      </c>
      <c r="CK9" s="201">
        <f>Broadsheet!CK9</f>
        <v>0</v>
      </c>
      <c r="CL9" s="201">
        <f>Broadsheet!CL9</f>
        <v>0</v>
      </c>
      <c r="CM9" s="201">
        <f>Broadsheet!CM9</f>
        <v>0</v>
      </c>
      <c r="CN9" s="201">
        <f>Broadsheet!CN9</f>
        <v>0</v>
      </c>
      <c r="CO9" s="201">
        <f>Broadsheet!CO9</f>
        <v>0</v>
      </c>
      <c r="CP9" s="201">
        <f>Broadsheet!CP9</f>
        <v>0</v>
      </c>
      <c r="CQ9" s="201">
        <f>Broadsheet!CQ9</f>
        <v>0</v>
      </c>
      <c r="CR9" s="201">
        <f>Broadsheet!CR9</f>
        <v>0</v>
      </c>
      <c r="CS9" s="201">
        <f>Broadsheet!CS9</f>
        <v>0</v>
      </c>
      <c r="CT9" s="201">
        <f>Broadsheet!CT9</f>
        <v>0</v>
      </c>
      <c r="CU9" s="201">
        <f>Broadsheet!CU9</f>
        <v>0</v>
      </c>
      <c r="CV9" s="201">
        <f>Broadsheet!CV9</f>
        <v>0</v>
      </c>
      <c r="CW9" s="201">
        <f>Broadsheet!CW9</f>
        <v>0</v>
      </c>
      <c r="CX9" s="201">
        <f>Broadsheet!CX9</f>
        <v>0</v>
      </c>
      <c r="CY9" s="201">
        <f>Broadsheet!CY9</f>
        <v>0</v>
      </c>
      <c r="CZ9" s="201">
        <f>Broadsheet!CZ9</f>
        <v>0</v>
      </c>
      <c r="DA9" s="201">
        <f>Broadsheet!DA9</f>
        <v>0</v>
      </c>
      <c r="DB9" s="201">
        <f>Broadsheet!DB9</f>
        <v>0</v>
      </c>
      <c r="DC9" s="201">
        <f>Broadsheet!DC9</f>
        <v>0</v>
      </c>
      <c r="DD9" s="201">
        <f>Broadsheet!DD9</f>
        <v>0</v>
      </c>
      <c r="DE9" s="201">
        <f>Broadsheet!DE9</f>
        <v>0</v>
      </c>
      <c r="DF9" s="201">
        <f>Broadsheet!DF9</f>
        <v>0</v>
      </c>
      <c r="DG9" s="201">
        <f>Broadsheet!DG9</f>
        <v>0</v>
      </c>
      <c r="DH9" s="201">
        <f>Broadsheet!DH9</f>
        <v>0</v>
      </c>
      <c r="DI9" s="201">
        <f>Broadsheet!DI9</f>
        <v>0</v>
      </c>
      <c r="DJ9" s="201">
        <f>Broadsheet!DJ9</f>
        <v>0</v>
      </c>
      <c r="DK9" s="201">
        <f>Broadsheet!DK9</f>
        <v>0</v>
      </c>
      <c r="DL9" s="201">
        <f>Broadsheet!DL9</f>
        <v>0</v>
      </c>
      <c r="DM9" s="201">
        <f>Broadsheet!DM9</f>
        <v>0</v>
      </c>
      <c r="DN9" s="201">
        <f>Broadsheet!DN9</f>
        <v>0</v>
      </c>
      <c r="DO9" s="201">
        <f>Broadsheet!DO9</f>
        <v>0</v>
      </c>
      <c r="DP9" s="201">
        <f>Broadsheet!DP9</f>
        <v>0</v>
      </c>
      <c r="DQ9" s="201">
        <f>Broadsheet!DQ9</f>
        <v>0</v>
      </c>
      <c r="DR9" s="201">
        <f>Broadsheet!DR9</f>
        <v>0</v>
      </c>
      <c r="DS9" s="201">
        <f>Broadsheet!DS9</f>
        <v>0</v>
      </c>
      <c r="DT9" s="201">
        <f>Broadsheet!DT9</f>
        <v>0</v>
      </c>
      <c r="DU9" s="201">
        <f>Broadsheet!DU9</f>
        <v>0</v>
      </c>
      <c r="DV9" s="201">
        <f>Broadsheet!DV9</f>
        <v>0</v>
      </c>
      <c r="DW9" s="201">
        <f>Broadsheet!DW9</f>
        <v>0</v>
      </c>
      <c r="DX9" s="201">
        <f>Broadsheet!DX9</f>
        <v>0</v>
      </c>
      <c r="DY9" s="201">
        <f>Broadsheet!DY9</f>
        <v>0</v>
      </c>
      <c r="DZ9" s="201">
        <f>Broadsheet!DZ9</f>
        <v>0</v>
      </c>
      <c r="EA9" s="202">
        <f>Broadsheet!EA9</f>
        <v>0</v>
      </c>
    </row>
    <row r="10" spans="1:131" ht="94.5" x14ac:dyDescent="0.25">
      <c r="A10" s="197">
        <f>Broadsheet!A10</f>
        <v>0</v>
      </c>
      <c r="B10" s="203" t="str">
        <f>IF(Broadsheet!B10="","",Broadsheet!B10)</f>
        <v/>
      </c>
      <c r="C10" s="24" t="str">
        <f>IF(Broadsheet!C10="","",Broadsheet!C10)</f>
        <v xml:space="preserve"> </v>
      </c>
      <c r="D10" s="24">
        <f>Broadsheet!D10</f>
        <v>0</v>
      </c>
      <c r="E10" s="24">
        <f>Broadsheet!E10</f>
        <v>0</v>
      </c>
      <c r="F10" s="24" t="str">
        <f>Broadsheet!F10</f>
        <v xml:space="preserve"> </v>
      </c>
      <c r="G10" s="24" t="str">
        <f ca="1">IF(H10&lt;&gt;"", $H$7 &amp; "/" &amp; $H$9 &amp; "/" &amp; H10 &amp; ", ","") &amp; IF(I10&lt;&gt;"", $I$7 &amp; "/" &amp; $I$9 &amp; "/" &amp; I10 &amp; ", ","") &amp; IF(J10&lt;&gt;"", $J$7 &amp; "/" &amp; $J$9 &amp; "/" &amp; J10 &amp; ", ","") &amp; IF(K10&lt;&gt;"", $K$7 &amp; "/" &amp; $K$9 &amp; "/" &amp; K10 &amp; ", ","") &amp; IF(L10&lt;&gt;"", $L$7 &amp; "/" &amp; $L$9 &amp; "/" &amp; L10 &amp; ", ","") &amp; IF(M10&lt;&gt;"", $M$7 &amp; "/" &amp; $M$9 &amp; "/" &amp; M10 &amp; ", ","") &amp; IF(N10&lt;&gt;"", $N$7 &amp; "/" &amp; $N$9 &amp; "/" &amp; N10 &amp; ", ","") &amp; IF(O10&lt;&gt;"", $O$7 &amp; "/" &amp; $O$9 &amp; "/" &amp; O10 &amp; ", ","") &amp; IF(P10&lt;&gt;"", $P$7 &amp; "/" &amp; $P$9 &amp; "/" &amp; P10 &amp; ", ","") &amp; IF(Q10&lt;&gt;"", $Q$7 &amp; "/" &amp; $Q$9 &amp; "/" &amp; Q10 &amp; ", ","") &amp; IF(R10&lt;&gt;"", $R$7 &amp; "/" &amp; $R$9 &amp; "/" &amp; R10 &amp; ", ","") &amp; IF(S10&lt;&gt;"", $S$7 &amp; "/" &amp; $S$9 &amp; "/" &amp; S10 &amp; ", ","") &amp; IF(T10&lt;&gt;"", $T$7 &amp; "/" &amp; $T$9 &amp; "/" &amp; T10 &amp; ", ","") &amp; IF(AY10&lt;&gt;"", $AY$7 &amp; "/" &amp; $AY$9 &amp; "/" &amp; AY10 &amp; ", ","") &amp; IF(AZ10&lt;&gt;"", $AZ$7 &amp; "/" &amp; $AZ$9 &amp; "/" &amp; AZ10 &amp; ", ","") &amp; IF(BA10&lt;&gt;"", $BA$7 &amp; "/" &amp; $BA$9 &amp; "/" &amp; BA10 &amp; ", ","") &amp; IF(BB10&lt;&gt;"", $BB$7 &amp; "/" &amp; $BB$9 &amp; "/" &amp; BB10 &amp; ", ","") &amp; IF(BC10&lt;&gt;"", $BC$7 &amp; "/" &amp; $BC$9 &amp; "/" &amp; BC10 &amp; ", ","") &amp; IF(BD10&lt;&gt;"", $BD$7 &amp; "/" &amp; $BD$9 &amp; "/" &amp; BD10 &amp; ", ","") &amp; IF(BE10&lt;&gt;"", $BE$7 &amp; "/" &amp; $BE$9 &amp; "/" &amp; BE10 &amp; ", ","") &amp; IF(BF10&lt;&gt;"", $BF$7 &amp; "/" &amp; $BF$9 &amp; "/" &amp; BF10 &amp; ", ","") &amp; IF(BG10&lt;&gt;"", $BG$7 &amp; "/" &amp; $BG$9 &amp; "/" &amp; BG10 &amp; ", ","") &amp; IF(BH10&lt;&gt;"", $BH$7 &amp; "/" &amp; $BH$9 &amp; "/" &amp; BH10 &amp; ", ","") &amp; IF(BI10&lt;&gt;"", $BI$7 &amp; "/" &amp; $BI$9 &amp; "/" &amp; BI10 &amp; ", ","") &amp; IF(BJ10&lt;&gt;"", $BJ$7 &amp; "/" &amp; $BJ$9 &amp; "/" &amp; BJ10 &amp; ", ","")</f>
        <v xml:space="preserve">MTH110/3/#, MTH111/3/#, PHY111/3/#, PHY112/3/#, CHM111/3/#, CHM112/3/#, GST111/3/#, GST112/3/#, 0//#, 0//#, CHE211//#, CVE211//#, MEE211//#, </v>
      </c>
      <c r="H10" s="200" t="str">
        <f ca="1">IF(ISERROR(getgrade(Broadsheet!H10,data!$H$4:$I$9)),"#",getgrade(Broadsheet!H10,data!$H$4:$I$9))</f>
        <v>#</v>
      </c>
      <c r="I10" s="200" t="str">
        <f ca="1">IF(ISERROR(getgrade(Broadsheet!I10,data!$H$4:$I$9)),"#",getgrade(Broadsheet!I10,data!$H$4:$I$9))</f>
        <v>#</v>
      </c>
      <c r="J10" s="200" t="str">
        <f ca="1">IF(ISERROR(getgrade(Broadsheet!J10,data!$H$4:$I$9)),"#",getgrade(Broadsheet!J10,data!$H$4:$I$9))</f>
        <v>#</v>
      </c>
      <c r="K10" s="200" t="str">
        <f ca="1">IF(ISERROR(getgrade(Broadsheet!K10,data!$H$4:$I$9)),"#",getgrade(Broadsheet!K10,data!$H$4:$I$9))</f>
        <v>#</v>
      </c>
      <c r="L10" s="200" t="str">
        <f ca="1">IF(ISERROR(getgrade(Broadsheet!L10,data!$H$4:$I$9)),"#",getgrade(Broadsheet!L10,data!$H$4:$I$9))</f>
        <v>#</v>
      </c>
      <c r="M10" s="200" t="str">
        <f ca="1">IF(ISERROR(getgrade(Broadsheet!M10,data!$H$4:$I$9)),"#",getgrade(Broadsheet!M10,data!$H$4:$I$9))</f>
        <v>#</v>
      </c>
      <c r="N10" s="200" t="str">
        <f ca="1">IF(ISERROR(getgrade(Broadsheet!N10,data!$H$4:$I$9)),"#",getgrade(Broadsheet!N10,data!$H$4:$I$9))</f>
        <v>#</v>
      </c>
      <c r="O10" s="200" t="str">
        <f ca="1">IF(ISERROR(getgrade(Broadsheet!O10,data!$H$4:$I$9)),"#",getgrade(Broadsheet!O10,data!$H$4:$I$9))</f>
        <v>#</v>
      </c>
      <c r="P10" s="200" t="str">
        <f ca="1">IF(ISERROR(getgrade(Broadsheet!P10,data!$H$4:$I$9)),"#",getgrade(Broadsheet!P10,data!$H$4:$I$9))</f>
        <v>#</v>
      </c>
      <c r="Q10" s="200" t="str">
        <f ca="1">IF(ISERROR(getgrade(Broadsheet!Q10,data!$H$4:$I$9)),"#",getgrade(Broadsheet!Q10,data!$H$4:$I$9))</f>
        <v>#</v>
      </c>
      <c r="R10" s="200" t="str">
        <f ca="1">IF(ISERROR(getgrade(Broadsheet!R10,data!$H$4:$I$9)),"#",getgrade(Broadsheet!R10,data!$H$4:$I$9))</f>
        <v>#</v>
      </c>
      <c r="S10" s="200" t="str">
        <f ca="1">IF(ISERROR(getgrade(Broadsheet!S10,data!$H$4:$I$9)),"#",getgrade(Broadsheet!S10,data!$H$4:$I$9))</f>
        <v>#</v>
      </c>
      <c r="T10" s="200" t="str">
        <f ca="1">IF(ISERROR(getgrade(Broadsheet!T10,data!$H$4:$I$9)),"#",getgrade(Broadsheet!T10,data!$H$4:$I$9))</f>
        <v>#</v>
      </c>
      <c r="U10" s="200" t="str">
        <f ca="1">IF(ISERROR(getgrade(Broadsheet!U10,data!$H$4:$I$9)),"#",getgrade(Broadsheet!U10,data!$H$4:$I$9))</f>
        <v>#</v>
      </c>
      <c r="V10" s="200" t="str">
        <f ca="1">IF(ISERROR(getgrade(Broadsheet!V10,data!$H$4:$I$9)),"#",getgrade(Broadsheet!V10,data!$H$4:$I$9))</f>
        <v>#</v>
      </c>
      <c r="W10" s="200" t="str">
        <f>IF(ISERROR(getgrade(Broadsheet!W10,data!$H$4:$I$9)),"#",getgrade(Broadsheet!W10,data!$H$4:$I$9))</f>
        <v/>
      </c>
      <c r="X10" s="200" t="str">
        <f>IF(ISERROR(getgrade(Broadsheet!X10,data!$H$4:$I$9)),"#",getgrade(Broadsheet!X10,data!$H$4:$I$9))</f>
        <v/>
      </c>
      <c r="Y10" s="200" t="str">
        <f>IF(ISERROR(getgrade(Broadsheet!Y10,data!$H$4:$I$9)),"#",getgrade(Broadsheet!Y10,data!$H$4:$I$9))</f>
        <v/>
      </c>
      <c r="Z10" s="200" t="str">
        <f>IF(ISERROR(getgrade(Broadsheet!Z10,data!$H$4:$I$9)),"#",getgrade(Broadsheet!Z10,data!$H$4:$I$9))</f>
        <v/>
      </c>
      <c r="AA10" s="200" t="str">
        <f>IF(ISERROR(getgrade(Broadsheet!AA10,data!$H$4:$I$9)),"#",getgrade(Broadsheet!AA10,data!$H$4:$I$9))</f>
        <v/>
      </c>
      <c r="AB10" s="200" t="str">
        <f>IF(ISERROR(getgrade(Broadsheet!AB10,data!$H$4:$I$9)),"#",getgrade(Broadsheet!AB10,data!$H$4:$I$9))</f>
        <v/>
      </c>
      <c r="AC10" s="200" t="str">
        <f>IF(ISERROR(getgrade(Broadsheet!AC10,data!$H$4:$I$9)),"#",getgrade(Broadsheet!AC10,data!$H$4:$I$9))</f>
        <v/>
      </c>
      <c r="AD10" s="200" t="str">
        <f>IF(ISERROR(getgrade(Broadsheet!AD10,data!$H$4:$I$9)),"#",getgrade(Broadsheet!AD10,data!$H$4:$I$9))</f>
        <v/>
      </c>
      <c r="AE10" s="200" t="str">
        <f>IF(ISERROR(getgrade(Broadsheet!AE10,data!$H$4:$I$9)),"#",getgrade(Broadsheet!AE10,data!$H$4:$I$9))</f>
        <v/>
      </c>
      <c r="AF10" s="200" t="str">
        <f>IF(ISERROR(getgrade(Broadsheet!AF10,data!$H$4:$I$9)),"#",getgrade(Broadsheet!AF10,data!$H$4:$I$9))</f>
        <v/>
      </c>
      <c r="AG10" s="200" t="str">
        <f>IF(ISERROR(getgrade(Broadsheet!AG10,data!$H$4:$I$9)),"#",getgrade(Broadsheet!AG10,data!$H$4:$I$9))</f>
        <v/>
      </c>
      <c r="AH10" s="200" t="str">
        <f>IF(ISERROR(getgrade(Broadsheet!AH10,data!$H$4:$I$9)),"#",getgrade(Broadsheet!AH10,data!$H$4:$I$9))</f>
        <v/>
      </c>
      <c r="AI10" s="200" t="str">
        <f>IF(ISERROR(getgrade(Broadsheet!AI10,data!$H$4:$I$9)),"#",getgrade(Broadsheet!AI10,data!$H$4:$I$9))</f>
        <v/>
      </c>
      <c r="AJ10" s="200" t="str">
        <f>IF(ISERROR(getgrade(Broadsheet!AJ10,data!$H$4:$I$9)),"#",getgrade(Broadsheet!AJ10,data!$H$4:$I$9))</f>
        <v/>
      </c>
      <c r="AK10" s="200" t="str">
        <f>IF(ISERROR(getgrade(Broadsheet!AK10,data!$H$4:$I$9)),"#",getgrade(Broadsheet!AK10,data!$H$4:$I$9))</f>
        <v/>
      </c>
      <c r="AL10" s="200" t="str">
        <f>IF(ISERROR(getgrade(Broadsheet!AL10,data!$H$4:$I$9)),"#",getgrade(Broadsheet!AL10,data!$H$4:$I$9))</f>
        <v/>
      </c>
      <c r="AM10" s="200" t="str">
        <f>IF(ISERROR(getgrade(Broadsheet!AM10,data!$H$4:$I$9)),"#",getgrade(Broadsheet!AM10,data!$H$4:$I$9))</f>
        <v/>
      </c>
      <c r="AN10" s="200" t="str">
        <f>IF(ISERROR(getgrade(Broadsheet!AN10,data!$H$4:$I$9)),"#",getgrade(Broadsheet!AN10,data!$H$4:$I$9))</f>
        <v/>
      </c>
      <c r="AO10" s="200" t="str">
        <f>IF(ISERROR(getgrade(Broadsheet!AO10,data!$H$4:$I$9)),"#",getgrade(Broadsheet!AO10,data!$H$4:$I$9))</f>
        <v/>
      </c>
      <c r="AP10" s="200" t="str">
        <f>IF(ISERROR(getgrade(Broadsheet!AP10,data!$H$4:$I$9)),"#",getgrade(Broadsheet!AP10,data!$H$4:$I$9))</f>
        <v/>
      </c>
      <c r="AQ10" s="200" t="str">
        <f>IF(ISERROR(getgrade(Broadsheet!AQ10,data!$H$4:$I$9)),"#",getgrade(Broadsheet!AQ10,data!$H$4:$I$9))</f>
        <v/>
      </c>
      <c r="AR10" s="200" t="str">
        <f>IF(ISERROR(getgrade(Broadsheet!AR10,data!$H$4:$I$9)),"#",getgrade(Broadsheet!AR10,data!$H$4:$I$9))</f>
        <v/>
      </c>
      <c r="AS10" s="200" t="str">
        <f>IF(ISERROR(getgrade(Broadsheet!AS10,data!$H$4:$I$9)),"#",getgrade(Broadsheet!AS10,data!$H$4:$I$9))</f>
        <v/>
      </c>
      <c r="AT10" s="200" t="str">
        <f>IF(ISERROR(getgrade(Broadsheet!AT10,data!$H$4:$I$9)),"#",getgrade(Broadsheet!AT10,data!$H$4:$I$9))</f>
        <v/>
      </c>
      <c r="AU10" s="200" t="str">
        <f>IF(ISERROR(getgrade(Broadsheet!AU10,data!$H$4:$I$9)),"#",getgrade(Broadsheet!AU10,data!$H$4:$I$9))</f>
        <v/>
      </c>
      <c r="AV10" s="200" t="str">
        <f>IF(ISERROR(getgrade(Broadsheet!AV10,data!$H$4:$I$9)),"#",getgrade(Broadsheet!AV10,data!$H$4:$I$9))</f>
        <v/>
      </c>
      <c r="AW10" s="200" t="str">
        <f>IF(ISERROR(getgrade(Broadsheet!AW10,data!$H$4:$I$9)),"#",getgrade(Broadsheet!AW10,data!$H$4:$I$9))</f>
        <v/>
      </c>
      <c r="AX10" s="200" t="str">
        <f>IF(ISERROR(getgrade(Broadsheet!AX10,data!$H$4:$I$9)),"#",getgrade(Broadsheet!AX10,data!$H$4:$I$9))</f>
        <v/>
      </c>
      <c r="AY10" s="200" t="str">
        <f>IF(ISERROR(getgrade(Broadsheet!AY10,data!$H$4:$I$9)),"#",getgrade(Broadsheet!AY10,data!$H$4:$I$9))</f>
        <v/>
      </c>
      <c r="AZ10" s="200" t="str">
        <f>IF(ISERROR(getgrade(Broadsheet!AZ10,data!$H$4:$I$9)),"#",getgrade(Broadsheet!AZ10,data!$H$4:$I$9))</f>
        <v/>
      </c>
      <c r="BA10" s="200" t="str">
        <f>IF(ISERROR(getgrade(Broadsheet!BA10,data!$H$4:$I$9)),"#",getgrade(Broadsheet!BA10,data!$H$4:$I$9))</f>
        <v/>
      </c>
      <c r="BB10" s="200" t="str">
        <f>IF(ISERROR(getgrade(Broadsheet!BB10,data!$H$4:$I$9)),"#",getgrade(Broadsheet!BB10,data!$H$4:$I$9))</f>
        <v/>
      </c>
      <c r="BC10" s="200" t="str">
        <f>IF(ISERROR(getgrade(Broadsheet!BC10,data!$H$4:$I$9)),"#",getgrade(Broadsheet!BC10,data!$H$4:$I$9))</f>
        <v/>
      </c>
      <c r="BD10" s="200" t="str">
        <f>IF(ISERROR(getgrade(Broadsheet!BD10,data!$H$4:$I$9)),"#",getgrade(Broadsheet!BD10,data!$H$4:$I$9))</f>
        <v/>
      </c>
      <c r="BE10" s="200" t="str">
        <f>IF(ISERROR(getgrade(Broadsheet!BE10,data!$H$4:$I$9)),"#",getgrade(Broadsheet!BE10,data!$H$4:$I$9))</f>
        <v/>
      </c>
      <c r="BF10" s="200" t="str">
        <f>IF(ISERROR(getgrade(Broadsheet!BF10,data!$H$4:$I$9)),"#",getgrade(Broadsheet!BF10,data!$H$4:$I$9))</f>
        <v/>
      </c>
      <c r="BG10" s="200" t="str">
        <f>IF(ISERROR(getgrade(Broadsheet!BG10,data!$H$4:$I$9)),"#",getgrade(Broadsheet!BG10,data!$H$4:$I$9))</f>
        <v/>
      </c>
      <c r="BH10" s="200" t="str">
        <f>IF(ISERROR(getgrade(Broadsheet!BH10,data!$H$4:$I$9)),"#",getgrade(Broadsheet!BH10,data!$H$4:$I$9))</f>
        <v/>
      </c>
      <c r="BI10" s="200" t="str">
        <f>IF(ISERROR(getgrade(Broadsheet!BI10,data!$H$4:$I$9)),"#",getgrade(Broadsheet!BI10,data!$H$4:$I$9))</f>
        <v/>
      </c>
      <c r="BJ10" s="200" t="str">
        <f>IF(ISERROR(getgrade(Broadsheet!BJ10,data!$H$4:$I$9)),"#",getgrade(Broadsheet!BJ10,data!$H$4:$I$9))</f>
        <v/>
      </c>
      <c r="BK10" s="200"/>
      <c r="BL10" s="200"/>
      <c r="BM10" s="200"/>
      <c r="BN10" s="200"/>
      <c r="BO10" s="200"/>
      <c r="BP10" s="200"/>
      <c r="BQ10" s="200"/>
      <c r="BR10" s="200"/>
      <c r="BS10" s="200"/>
      <c r="BT10" s="200"/>
      <c r="BU10" s="200"/>
      <c r="BV10" s="200"/>
      <c r="BW10" s="200"/>
      <c r="BX10" s="200"/>
      <c r="BY10" s="200"/>
      <c r="BZ10" s="200"/>
      <c r="CA10" s="200"/>
      <c r="CB10" s="200"/>
      <c r="CC10" s="200"/>
      <c r="CD10" s="200"/>
      <c r="CE10" s="200"/>
      <c r="CF10" s="200"/>
      <c r="CG10" s="200"/>
      <c r="CH10" s="200"/>
      <c r="CI10" s="200"/>
      <c r="CJ10" s="200"/>
      <c r="CK10" s="200"/>
      <c r="CL10" s="200"/>
      <c r="CM10" s="200"/>
      <c r="CN10" s="200"/>
      <c r="CO10" s="200"/>
      <c r="CP10" s="200"/>
      <c r="CQ10" s="200"/>
      <c r="CR10" s="200"/>
      <c r="CS10" s="200"/>
      <c r="CT10" s="200"/>
      <c r="CU10" s="200"/>
      <c r="CV10" s="200"/>
      <c r="CW10" s="200"/>
      <c r="CX10" s="200"/>
      <c r="CY10" s="200"/>
      <c r="CZ10" s="200"/>
      <c r="DA10" s="200"/>
      <c r="DB10" s="200"/>
      <c r="DC10" s="200"/>
      <c r="DD10" s="200"/>
      <c r="DE10" s="200"/>
      <c r="DF10" s="200"/>
      <c r="DG10" s="200"/>
      <c r="DH10" s="200"/>
      <c r="DI10" s="200"/>
      <c r="DJ10" s="200"/>
      <c r="DK10" s="200"/>
      <c r="DL10" s="200"/>
      <c r="DM10" s="200"/>
      <c r="DN10" s="200"/>
      <c r="DO10" s="200"/>
      <c r="DP10" s="200"/>
      <c r="DQ10" s="200"/>
      <c r="DR10" s="200"/>
      <c r="DS10" s="200"/>
      <c r="DT10" s="200"/>
      <c r="DU10" s="200"/>
      <c r="DV10" s="200"/>
      <c r="DW10" s="200"/>
      <c r="DX10" s="200"/>
      <c r="DY10" s="200"/>
      <c r="DZ10" s="200"/>
      <c r="EA10" s="200"/>
    </row>
    <row r="11" spans="1:131" ht="15.75" x14ac:dyDescent="0.25">
      <c r="A11" s="12">
        <f>Broadsheet!A11</f>
        <v>0</v>
      </c>
      <c r="B11" s="204" t="str">
        <f>IF(Broadsheet!B11="","",Broadsheet!B11)</f>
        <v/>
      </c>
      <c r="C11" s="24" t="str">
        <f>IF(Broadsheet!C11="","",Broadsheet!C11)</f>
        <v xml:space="preserve"> </v>
      </c>
      <c r="D11" s="24"/>
      <c r="E11" s="24"/>
      <c r="F11" s="24"/>
      <c r="G11" s="24" t="str">
        <f ca="1">IF(H11&lt;&gt;"", $H$7 &amp; "/" &amp; $H$9 &amp; "/" &amp; H11 &amp; ", ","") &amp; IF(I11&lt;&gt;"", $I$7 &amp; "/" &amp; $I$9 &amp; "/" &amp; I11 &amp; ", ","") &amp; IF(J11&lt;&gt;"", $J$7 &amp; "/" &amp; $J$9 &amp; "/" &amp; J11 &amp; ", ","") &amp; IF(K11&lt;&gt;"", $K$7 &amp; "/" &amp; $K$9 &amp; "/" &amp; K11 &amp; ", ","") &amp; IF(L11&lt;&gt;"", $L$7 &amp; "/" &amp; $L$9 &amp; "/" &amp; L11 &amp; ", ","") &amp; IF(M11&lt;&gt;"", $M$7 &amp; "/" &amp; $M$9 &amp; "/" &amp; M11 &amp; ", ","") &amp; IF(N11&lt;&gt;"", $N$7 &amp; "/" &amp; $N$9 &amp; "/" &amp; N11 &amp; ", ","") &amp; IF(O11&lt;&gt;"", $O$7 &amp; "/" &amp; $O$9 &amp; "/" &amp; O11 &amp; ", ","") &amp; IF(P11&lt;&gt;"", $P$7 &amp; "/" &amp; $P$9 &amp; "/" &amp; P11 &amp; ", ","") &amp; IF(Q11&lt;&gt;"", $Q$7 &amp; "/" &amp; $Q$9 &amp; "/" &amp; Q11 &amp; ", ","") &amp; IF(R11&lt;&gt;"", $R$7 &amp; "/" &amp; $R$9 &amp; "/" &amp; R11 &amp; ", ","") &amp; IF(S11&lt;&gt;"", $S$7 &amp; "/" &amp; $S$9 &amp; "/" &amp; S11 &amp; ", ","") &amp; IF(T11&lt;&gt;"", $T$7 &amp; "/" &amp; $T$9 &amp; "/" &amp; T11 &amp; ", ","") &amp; IF(AY11&lt;&gt;"", $AY$7 &amp; "/" &amp; $AY$9 &amp; "/" &amp; AY11 &amp; ", ","") &amp; IF(AZ11&lt;&gt;"", $AZ$7 &amp; "/" &amp; $AZ$9 &amp; "/" &amp; AZ11 &amp; ", ","") &amp; IF(BA11&lt;&gt;"", $BA$7 &amp; "/" &amp; $BA$9 &amp; "/" &amp; BA11 &amp; ", ","") &amp; IF(BB11&lt;&gt;"", $BB$7 &amp; "/" &amp; $BB$9 &amp; "/" &amp; BB11 &amp; ", ","") &amp; IF(BC11&lt;&gt;"", $BC$7 &amp; "/" &amp; $BC$9 &amp; "/" &amp; BC11 &amp; ", ","") &amp; IF(BD11&lt;&gt;"", $BD$7 &amp; "/" &amp; $BD$9 &amp; "/" &amp; BD11 &amp; ", ","") &amp; IF(BE11&lt;&gt;"", $BE$7 &amp; "/" &amp; $BE$9 &amp; "/" &amp; BE11 &amp; ", ","") &amp; IF(BF11&lt;&gt;"", $BF$7 &amp; "/" &amp; $BF$9 &amp; "/" &amp; BF11 &amp; ", ","") &amp; IF(BG11&lt;&gt;"", $BG$7 &amp; "/" &amp; $BG$9 &amp; "/" &amp; BG11 &amp; ", ","") &amp; IF(BH11&lt;&gt;"", $BH$7 &amp; "/" &amp; $BH$9 &amp; "/" &amp; BH11 &amp; ", ","") &amp; IF(BI11&lt;&gt;"", $BI$7 &amp; "/" &amp; $BI$9 &amp; "/" &amp; BI11 &amp; ", ","") &amp; IF(BJ11&lt;&gt;"", $BJ$7 &amp; "/" &amp; $BJ$9 &amp; "/" &amp; BJ11 &amp; ", ","")</f>
        <v xml:space="preserve">MTH110/3/#, MTH111/3/#, PHY111/3/#, PHY112/3/#, CHM111/3/#, CHM112/3/#, GST111/3/#, GST112/3/#, 0//#, 0//#, CHE211//#, CVE211//#, MEE211//#, </v>
      </c>
      <c r="H11" s="188" t="str">
        <f ca="1">IF(ISERROR(getgrade(Broadsheet!H11,data!$H$4:$I$9)),"#",getgrade(Broadsheet!H11,data!$H$4:$I$9))</f>
        <v>#</v>
      </c>
      <c r="I11" s="188" t="str">
        <f ca="1">IF(ISERROR(getgrade(Broadsheet!I11,data!$H$4:$I$9)),"#",getgrade(Broadsheet!I11,data!$H$4:$I$9))</f>
        <v>#</v>
      </c>
      <c r="J11" s="188" t="str">
        <f ca="1">IF(ISERROR(getgrade(Broadsheet!J11,data!$H$4:$I$9)),"#",getgrade(Broadsheet!J11,data!$H$4:$I$9))</f>
        <v>#</v>
      </c>
      <c r="K11" s="188" t="str">
        <f ca="1">IF(ISERROR(getgrade(Broadsheet!K11,data!$H$4:$I$9)),"#",getgrade(Broadsheet!K11,data!$H$4:$I$9))</f>
        <v>#</v>
      </c>
      <c r="L11" s="188" t="str">
        <f ca="1">IF(ISERROR(getgrade(Broadsheet!L11,data!$H$4:$I$9)),"#",getgrade(Broadsheet!L11,data!$H$4:$I$9))</f>
        <v>#</v>
      </c>
      <c r="M11" s="188" t="str">
        <f ca="1">IF(ISERROR(getgrade(Broadsheet!M11,data!$H$4:$I$9)),"#",getgrade(Broadsheet!M11,data!$H$4:$I$9))</f>
        <v>#</v>
      </c>
      <c r="N11" s="188" t="str">
        <f ca="1">IF(ISERROR(getgrade(Broadsheet!N11,data!$H$4:$I$9)),"#",getgrade(Broadsheet!N11,data!$H$4:$I$9))</f>
        <v>#</v>
      </c>
      <c r="O11" s="188" t="str">
        <f ca="1">IF(ISERROR(getgrade(Broadsheet!O11,data!$H$4:$I$9)),"#",getgrade(Broadsheet!O11,data!$H$4:$I$9))</f>
        <v>#</v>
      </c>
      <c r="P11" s="188" t="str">
        <f ca="1">IF(ISERROR(getgrade(Broadsheet!P11,data!$H$4:$I$9)),"#",getgrade(Broadsheet!P11,data!$H$4:$I$9))</f>
        <v>#</v>
      </c>
      <c r="Q11" s="188" t="str">
        <f ca="1">IF(ISERROR(getgrade(Broadsheet!Q11,data!$H$4:$I$9)),"#",getgrade(Broadsheet!Q11,data!$H$4:$I$9))</f>
        <v>#</v>
      </c>
      <c r="R11" s="188" t="str">
        <f ca="1">IF(ISERROR(getgrade(Broadsheet!R11,data!$H$4:$I$9)),"#",getgrade(Broadsheet!R11,data!$H$4:$I$9))</f>
        <v>#</v>
      </c>
      <c r="S11" s="188" t="str">
        <f ca="1">IF(ISERROR(getgrade(Broadsheet!S11,data!$H$4:$I$9)),"#",getgrade(Broadsheet!S11,data!$H$4:$I$9))</f>
        <v>#</v>
      </c>
      <c r="T11" s="188" t="str">
        <f ca="1">IF(ISERROR(getgrade(Broadsheet!T11,data!$H$4:$I$9)),"#",getgrade(Broadsheet!T11,data!$H$4:$I$9))</f>
        <v>#</v>
      </c>
      <c r="U11" s="188" t="str">
        <f ca="1">IF(ISERROR(getgrade(Broadsheet!U11,data!$H$4:$I$9)),"#",getgrade(Broadsheet!U11,data!$H$4:$I$9))</f>
        <v>#</v>
      </c>
      <c r="V11" s="188" t="str">
        <f ca="1">IF(ISERROR(getgrade(Broadsheet!V11,data!$H$4:$I$9)),"#",getgrade(Broadsheet!V11,data!$H$4:$I$9))</f>
        <v>#</v>
      </c>
      <c r="W11" s="188" t="str">
        <f>IF(ISERROR(getgrade(Broadsheet!W11,data!$H$4:$I$9)),"#",getgrade(Broadsheet!W11,data!$H$4:$I$9))</f>
        <v/>
      </c>
      <c r="X11" s="188" t="str">
        <f>IF(ISERROR(getgrade(Broadsheet!X11,data!$H$4:$I$9)),"#",getgrade(Broadsheet!X11,data!$H$4:$I$9))</f>
        <v/>
      </c>
      <c r="Y11" s="188" t="str">
        <f>IF(ISERROR(getgrade(Broadsheet!Y11,data!$H$4:$I$9)),"#",getgrade(Broadsheet!Y11,data!$H$4:$I$9))</f>
        <v/>
      </c>
      <c r="Z11" s="188" t="str">
        <f>IF(ISERROR(getgrade(Broadsheet!Z11,data!$H$4:$I$9)),"#",getgrade(Broadsheet!Z11,data!$H$4:$I$9))</f>
        <v/>
      </c>
      <c r="AA11" s="188" t="str">
        <f>IF(ISERROR(getgrade(Broadsheet!AA11,data!$H$4:$I$9)),"#",getgrade(Broadsheet!AA11,data!$H$4:$I$9))</f>
        <v/>
      </c>
      <c r="AB11" s="188" t="str">
        <f>IF(ISERROR(getgrade(Broadsheet!AB11,data!$H$4:$I$9)),"#",getgrade(Broadsheet!AB11,data!$H$4:$I$9))</f>
        <v/>
      </c>
      <c r="AC11" s="188" t="str">
        <f>IF(ISERROR(getgrade(Broadsheet!AC11,data!$H$4:$I$9)),"#",getgrade(Broadsheet!AC11,data!$H$4:$I$9))</f>
        <v/>
      </c>
      <c r="AD11" s="188" t="str">
        <f>IF(ISERROR(getgrade(Broadsheet!AD11,data!$H$4:$I$9)),"#",getgrade(Broadsheet!AD11,data!$H$4:$I$9))</f>
        <v/>
      </c>
      <c r="AE11" s="188" t="str">
        <f>IF(ISERROR(getgrade(Broadsheet!AE11,data!$H$4:$I$9)),"#",getgrade(Broadsheet!AE11,data!$H$4:$I$9))</f>
        <v/>
      </c>
      <c r="AF11" s="188" t="str">
        <f>IF(ISERROR(getgrade(Broadsheet!AF11,data!$H$4:$I$9)),"#",getgrade(Broadsheet!AF11,data!$H$4:$I$9))</f>
        <v/>
      </c>
      <c r="AG11" s="188" t="str">
        <f>IF(ISERROR(getgrade(Broadsheet!AG11,data!$H$4:$I$9)),"#",getgrade(Broadsheet!AG11,data!$H$4:$I$9))</f>
        <v/>
      </c>
      <c r="AH11" s="188" t="str">
        <f>IF(ISERROR(getgrade(Broadsheet!AH11,data!$H$4:$I$9)),"#",getgrade(Broadsheet!AH11,data!$H$4:$I$9))</f>
        <v/>
      </c>
      <c r="AI11" s="188" t="str">
        <f>IF(ISERROR(getgrade(Broadsheet!AI11,data!$H$4:$I$9)),"#",getgrade(Broadsheet!AI11,data!$H$4:$I$9))</f>
        <v/>
      </c>
      <c r="AJ11" s="188" t="str">
        <f>IF(ISERROR(getgrade(Broadsheet!AJ11,data!$H$4:$I$9)),"#",getgrade(Broadsheet!AJ11,data!$H$4:$I$9))</f>
        <v/>
      </c>
      <c r="AK11" s="188" t="str">
        <f>IF(ISERROR(getgrade(Broadsheet!AK11,data!$H$4:$I$9)),"#",getgrade(Broadsheet!AK11,data!$H$4:$I$9))</f>
        <v/>
      </c>
      <c r="AL11" s="188" t="str">
        <f>IF(ISERROR(getgrade(Broadsheet!AL11,data!$H$4:$I$9)),"#",getgrade(Broadsheet!AL11,data!$H$4:$I$9))</f>
        <v/>
      </c>
      <c r="AM11" s="188" t="str">
        <f>IF(ISERROR(getgrade(Broadsheet!AM11,data!$H$4:$I$9)),"#",getgrade(Broadsheet!AM11,data!$H$4:$I$9))</f>
        <v/>
      </c>
      <c r="AN11" s="188" t="str">
        <f>IF(ISERROR(getgrade(Broadsheet!AN11,data!$H$4:$I$9)),"#",getgrade(Broadsheet!AN11,data!$H$4:$I$9))</f>
        <v/>
      </c>
      <c r="AO11" s="188" t="str">
        <f>IF(ISERROR(getgrade(Broadsheet!AO11,data!$H$4:$I$9)),"#",getgrade(Broadsheet!AO11,data!$H$4:$I$9))</f>
        <v/>
      </c>
      <c r="AP11" s="188" t="str">
        <f>IF(ISERROR(getgrade(Broadsheet!AP11,data!$H$4:$I$9)),"#",getgrade(Broadsheet!AP11,data!$H$4:$I$9))</f>
        <v/>
      </c>
      <c r="AQ11" s="188" t="str">
        <f>IF(ISERROR(getgrade(Broadsheet!AQ11,data!$H$4:$I$9)),"#",getgrade(Broadsheet!AQ11,data!$H$4:$I$9))</f>
        <v/>
      </c>
      <c r="AR11" s="188" t="str">
        <f>IF(ISERROR(getgrade(Broadsheet!AR11,data!$H$4:$I$9)),"#",getgrade(Broadsheet!AR11,data!$H$4:$I$9))</f>
        <v/>
      </c>
      <c r="AS11" s="188" t="str">
        <f>IF(ISERROR(getgrade(Broadsheet!AS11,data!$H$4:$I$9)),"#",getgrade(Broadsheet!AS11,data!$H$4:$I$9))</f>
        <v/>
      </c>
      <c r="AT11" s="188" t="str">
        <f>IF(ISERROR(getgrade(Broadsheet!AT11,data!$H$4:$I$9)),"#",getgrade(Broadsheet!AT11,data!$H$4:$I$9))</f>
        <v/>
      </c>
      <c r="AU11" s="188" t="str">
        <f>IF(ISERROR(getgrade(Broadsheet!AU11,data!$H$4:$I$9)),"#",getgrade(Broadsheet!AU11,data!$H$4:$I$9))</f>
        <v/>
      </c>
      <c r="AV11" s="188" t="str">
        <f>IF(ISERROR(getgrade(Broadsheet!AV11,data!$H$4:$I$9)),"#",getgrade(Broadsheet!AV11,data!$H$4:$I$9))</f>
        <v/>
      </c>
      <c r="AW11" s="188" t="str">
        <f>IF(ISERROR(getgrade(Broadsheet!AW11,data!$H$4:$I$9)),"#",getgrade(Broadsheet!AW11,data!$H$4:$I$9))</f>
        <v/>
      </c>
      <c r="AX11" s="188" t="str">
        <f>IF(ISERROR(getgrade(Broadsheet!AX11,data!$H$4:$I$9)),"#",getgrade(Broadsheet!AX11,data!$H$4:$I$9))</f>
        <v/>
      </c>
      <c r="AY11" s="188" t="str">
        <f>IF(ISERROR(getgrade(Broadsheet!AY11,data!$H$4:$I$9)),"#",getgrade(Broadsheet!AY11,data!$H$4:$I$9))</f>
        <v/>
      </c>
      <c r="AZ11" s="188" t="str">
        <f>IF(ISERROR(getgrade(Broadsheet!AZ11,data!$H$4:$I$9)),"#",getgrade(Broadsheet!AZ11,data!$H$4:$I$9))</f>
        <v/>
      </c>
      <c r="BA11" s="188" t="str">
        <f>IF(ISERROR(getgrade(Broadsheet!BA11,data!$H$4:$I$9)),"#",getgrade(Broadsheet!BA11,data!$H$4:$I$9))</f>
        <v/>
      </c>
      <c r="BB11" s="188" t="str">
        <f>IF(ISERROR(getgrade(Broadsheet!BB11,data!$H$4:$I$9)),"#",getgrade(Broadsheet!BB11,data!$H$4:$I$9))</f>
        <v/>
      </c>
      <c r="BC11" s="188" t="str">
        <f>IF(ISERROR(getgrade(Broadsheet!BC11,data!$H$4:$I$9)),"#",getgrade(Broadsheet!BC11,data!$H$4:$I$9))</f>
        <v/>
      </c>
      <c r="BD11" s="188" t="str">
        <f>IF(ISERROR(getgrade(Broadsheet!BD11,data!$H$4:$I$9)),"#",getgrade(Broadsheet!BD11,data!$H$4:$I$9))</f>
        <v/>
      </c>
      <c r="BE11" s="188" t="str">
        <f>IF(ISERROR(getgrade(Broadsheet!BE11,data!$H$4:$I$9)),"#",getgrade(Broadsheet!BE11,data!$H$4:$I$9))</f>
        <v/>
      </c>
      <c r="BF11" s="188" t="str">
        <f>IF(ISERROR(getgrade(Broadsheet!BF11,data!$H$4:$I$9)),"#",getgrade(Broadsheet!BF11,data!$H$4:$I$9))</f>
        <v/>
      </c>
      <c r="BG11" s="188" t="str">
        <f>IF(ISERROR(getgrade(Broadsheet!BG11,data!$H$4:$I$9)),"#",getgrade(Broadsheet!BG11,data!$H$4:$I$9))</f>
        <v/>
      </c>
      <c r="BH11" s="188" t="str">
        <f>IF(ISERROR(getgrade(Broadsheet!BH11,data!$H$4:$I$9)),"#",getgrade(Broadsheet!BH11,data!$H$4:$I$9))</f>
        <v/>
      </c>
      <c r="BI11" s="188" t="str">
        <f>IF(ISERROR(getgrade(Broadsheet!BI11,data!$H$4:$I$9)),"#",getgrade(Broadsheet!BI11,data!$H$4:$I$9))</f>
        <v/>
      </c>
      <c r="BJ11" s="188" t="str">
        <f>IF(ISERROR(getgrade(Broadsheet!BJ11,data!$H$4:$I$9)),"#",getgrade(Broadsheet!BJ11,data!$H$4:$I$9))</f>
        <v/>
      </c>
      <c r="BK11" s="188"/>
      <c r="BL11" s="188"/>
      <c r="BM11" s="188"/>
      <c r="BN11" s="188"/>
      <c r="BO11" s="188"/>
      <c r="BP11" s="188"/>
      <c r="BQ11" s="188"/>
      <c r="BR11" s="188"/>
      <c r="BS11" s="188"/>
      <c r="BT11" s="188"/>
      <c r="BU11" s="188"/>
      <c r="BV11" s="188"/>
      <c r="BW11" s="188"/>
      <c r="BX11" s="188"/>
      <c r="BY11" s="188"/>
      <c r="BZ11" s="188"/>
      <c r="CA11" s="188"/>
      <c r="CB11" s="188"/>
      <c r="CC11" s="188"/>
      <c r="CD11" s="188"/>
      <c r="CE11" s="188"/>
      <c r="CF11" s="188"/>
      <c r="CG11" s="188"/>
      <c r="CH11" s="188"/>
      <c r="CI11" s="188"/>
      <c r="CJ11" s="188"/>
      <c r="CK11" s="188"/>
      <c r="CL11" s="188"/>
      <c r="CM11" s="188"/>
      <c r="CN11" s="188"/>
      <c r="CO11" s="188"/>
      <c r="CP11" s="188"/>
      <c r="CQ11" s="188"/>
      <c r="CR11" s="188"/>
      <c r="CS11" s="188"/>
      <c r="CT11" s="188"/>
      <c r="CU11" s="188"/>
      <c r="CV11" s="188"/>
      <c r="CW11" s="188"/>
      <c r="CX11" s="188"/>
      <c r="CY11" s="188"/>
      <c r="CZ11" s="188"/>
      <c r="DA11" s="188"/>
      <c r="DB11" s="188"/>
      <c r="DC11" s="188"/>
      <c r="DD11" s="188"/>
      <c r="DE11" s="188"/>
      <c r="DF11" s="188"/>
      <c r="DG11" s="188"/>
      <c r="DH11" s="188"/>
      <c r="DI11" s="188"/>
      <c r="DJ11" s="188"/>
      <c r="DK11" s="188"/>
      <c r="DL11" s="188"/>
      <c r="DM11" s="188"/>
      <c r="DN11" s="188"/>
      <c r="DO11" s="188"/>
      <c r="DP11" s="188"/>
      <c r="DQ11" s="188"/>
      <c r="DR11" s="188"/>
      <c r="DS11" s="188"/>
      <c r="DT11" s="188"/>
      <c r="DU11" s="188"/>
      <c r="DV11" s="188"/>
      <c r="DW11" s="188"/>
      <c r="DX11" s="188"/>
      <c r="DY11" s="188"/>
      <c r="DZ11" s="188"/>
      <c r="EA11" s="188"/>
    </row>
    <row r="12" spans="1:131" ht="15.75" x14ac:dyDescent="0.25">
      <c r="A12" s="12">
        <f>Broadsheet!A12</f>
        <v>0</v>
      </c>
      <c r="B12" s="204" t="str">
        <f>IF(Broadsheet!B12="","",Broadsheet!B12)</f>
        <v/>
      </c>
      <c r="C12" s="24" t="str">
        <f>IF(Broadsheet!C12="","",Broadsheet!C12)</f>
        <v xml:space="preserve"> </v>
      </c>
      <c r="D12" s="24"/>
      <c r="E12" s="24"/>
      <c r="F12" s="24"/>
      <c r="G12" s="24" t="str">
        <f t="shared" ref="G12:G75" ca="1" si="0">IF(H12&lt;&gt;"", $H$7 &amp; "/" &amp; $H$9 &amp; "/" &amp; H12 &amp; ", ","") &amp; IF(I12&lt;&gt;"", $I$7 &amp; "/" &amp; $I$9 &amp; "/" &amp; I12 &amp; ", ","") &amp; IF(J12&lt;&gt;"", $J$7 &amp; "/" &amp; $J$9 &amp; "/" &amp; J12 &amp; ", ","") &amp; IF(K12&lt;&gt;"", $K$7 &amp; "/" &amp; $K$9 &amp; "/" &amp; K12 &amp; ", ","") &amp; IF(L12&lt;&gt;"", $L$7 &amp; "/" &amp; $L$9 &amp; "/" &amp; L12 &amp; ", ","") &amp; IF(M12&lt;&gt;"", $M$7 &amp; "/" &amp; $M$9 &amp; "/" &amp; M12 &amp; ", ","") &amp; IF(N12&lt;&gt;"", $N$7 &amp; "/" &amp; $N$9 &amp; "/" &amp; N12 &amp; ", ","") &amp; IF(O12&lt;&gt;"", $O$7 &amp; "/" &amp; $O$9 &amp; "/" &amp; O12 &amp; ", ","") &amp; IF(P12&lt;&gt;"", $P$7 &amp; "/" &amp; $P$9 &amp; "/" &amp; P12 &amp; ", ","") &amp; IF(Q12&lt;&gt;"", $Q$7 &amp; "/" &amp; $Q$9 &amp; "/" &amp; Q12 &amp; ", ","") &amp; IF(R12&lt;&gt;"", $R$7 &amp; "/" &amp; $R$9 &amp; "/" &amp; R12 &amp; ", ","") &amp; IF(S12&lt;&gt;"", $S$7 &amp; "/" &amp; $S$9 &amp; "/" &amp; S12 &amp; ", ","") &amp; IF(T12&lt;&gt;"", $T$7 &amp; "/" &amp; $T$9 &amp; "/" &amp; T12 &amp; ", ","") &amp; IF(AY12&lt;&gt;"", $AY$7 &amp; "/" &amp; $AY$9 &amp; "/" &amp; AY12 &amp; ", ","") &amp; IF(AZ12&lt;&gt;"", $AZ$7 &amp; "/" &amp; $AZ$9 &amp; "/" &amp; AZ12 &amp; ", ","") &amp; IF(BA12&lt;&gt;"", $BA$7 &amp; "/" &amp; $BA$9 &amp; "/" &amp; BA12 &amp; ", ","") &amp; IF(BB12&lt;&gt;"", $BB$7 &amp; "/" &amp; $BB$9 &amp; "/" &amp; BB12 &amp; ", ","") &amp; IF(BC12&lt;&gt;"", $BC$7 &amp; "/" &amp; $BC$9 &amp; "/" &amp; BC12 &amp; ", ","") &amp; IF(BD12&lt;&gt;"", $BD$7 &amp; "/" &amp; $BD$9 &amp; "/" &amp; BD12 &amp; ", ","") &amp; IF(BE12&lt;&gt;"", $BE$7 &amp; "/" &amp; $BE$9 &amp; "/" &amp; BE12 &amp; ", ","") &amp; IF(BF12&lt;&gt;"", $BF$7 &amp; "/" &amp; $BF$9 &amp; "/" &amp; BF12 &amp; ", ","") &amp; IF(BG12&lt;&gt;"", $BG$7 &amp; "/" &amp; $BG$9 &amp; "/" &amp; BG12 &amp; ", ","") &amp; IF(BH12&lt;&gt;"", $BH$7 &amp; "/" &amp; $BH$9 &amp; "/" &amp; BH12 &amp; ", ","") &amp; IF(BI12&lt;&gt;"", $BI$7 &amp; "/" &amp; $BI$9 &amp; "/" &amp; BI12 &amp; ", ","") &amp; IF(BJ12&lt;&gt;"", $BJ$7 &amp; "/" &amp; $BJ$9 &amp; "/" &amp; BJ12 &amp; ", ","")</f>
        <v xml:space="preserve">MTH110/3/#, MTH111/3/#, PHY111/3/#, PHY112/3/#, CHM111/3/#, CHM112/3/#, GST111/3/#, GST112/3/#, 0//#, 0//#, CHE211//#, CVE211//#, MEE211//#, </v>
      </c>
      <c r="H12" s="188" t="str">
        <f ca="1">IF(ISERROR(getgrade(Broadsheet!H12,data!$H$4:$I$9)),"#",getgrade(Broadsheet!H12,data!$H$4:$I$9))</f>
        <v>#</v>
      </c>
      <c r="I12" s="188" t="str">
        <f ca="1">IF(ISERROR(getgrade(Broadsheet!I12,data!$H$4:$I$9)),"#",getgrade(Broadsheet!I12,data!$H$4:$I$9))</f>
        <v>#</v>
      </c>
      <c r="J12" s="188" t="str">
        <f ca="1">IF(ISERROR(getgrade(Broadsheet!J12,data!$H$4:$I$9)),"#",getgrade(Broadsheet!J12,data!$H$4:$I$9))</f>
        <v>#</v>
      </c>
      <c r="K12" s="188" t="str">
        <f ca="1">IF(ISERROR(getgrade(Broadsheet!K12,data!$H$4:$I$9)),"#",getgrade(Broadsheet!K12,data!$H$4:$I$9))</f>
        <v>#</v>
      </c>
      <c r="L12" s="188" t="str">
        <f ca="1">IF(ISERROR(getgrade(Broadsheet!L12,data!$H$4:$I$9)),"#",getgrade(Broadsheet!L12,data!$H$4:$I$9))</f>
        <v>#</v>
      </c>
      <c r="M12" s="188" t="str">
        <f ca="1">IF(ISERROR(getgrade(Broadsheet!M12,data!$H$4:$I$9)),"#",getgrade(Broadsheet!M12,data!$H$4:$I$9))</f>
        <v>#</v>
      </c>
      <c r="N12" s="188" t="str">
        <f ca="1">IF(ISERROR(getgrade(Broadsheet!N12,data!$H$4:$I$9)),"#",getgrade(Broadsheet!N12,data!$H$4:$I$9))</f>
        <v>#</v>
      </c>
      <c r="O12" s="188" t="str">
        <f ca="1">IF(ISERROR(getgrade(Broadsheet!O12,data!$H$4:$I$9)),"#",getgrade(Broadsheet!O12,data!$H$4:$I$9))</f>
        <v>#</v>
      </c>
      <c r="P12" s="188" t="str">
        <f ca="1">IF(ISERROR(getgrade(Broadsheet!P12,data!$H$4:$I$9)),"#",getgrade(Broadsheet!P12,data!$H$4:$I$9))</f>
        <v>#</v>
      </c>
      <c r="Q12" s="188" t="str">
        <f ca="1">IF(ISERROR(getgrade(Broadsheet!Q12,data!$H$4:$I$9)),"#",getgrade(Broadsheet!Q12,data!$H$4:$I$9))</f>
        <v>#</v>
      </c>
      <c r="R12" s="188" t="str">
        <f ca="1">IF(ISERROR(getgrade(Broadsheet!R12,data!$H$4:$I$9)),"#",getgrade(Broadsheet!R12,data!$H$4:$I$9))</f>
        <v>#</v>
      </c>
      <c r="S12" s="188" t="str">
        <f ca="1">IF(ISERROR(getgrade(Broadsheet!S12,data!$H$4:$I$9)),"#",getgrade(Broadsheet!S12,data!$H$4:$I$9))</f>
        <v>#</v>
      </c>
      <c r="T12" s="188" t="str">
        <f ca="1">IF(ISERROR(getgrade(Broadsheet!T12,data!$H$4:$I$9)),"#",getgrade(Broadsheet!T12,data!$H$4:$I$9))</f>
        <v>#</v>
      </c>
      <c r="U12" s="188" t="str">
        <f ca="1">IF(ISERROR(getgrade(Broadsheet!U12,data!$H$4:$I$9)),"#",getgrade(Broadsheet!U12,data!$H$4:$I$9))</f>
        <v>#</v>
      </c>
      <c r="V12" s="188" t="str">
        <f ca="1">IF(ISERROR(getgrade(Broadsheet!V12,data!$H$4:$I$9)),"#",getgrade(Broadsheet!V12,data!$H$4:$I$9))</f>
        <v>#</v>
      </c>
      <c r="W12" s="188" t="str">
        <f>IF(ISERROR(getgrade(Broadsheet!W12,data!$H$4:$I$9)),"#",getgrade(Broadsheet!W12,data!$H$4:$I$9))</f>
        <v/>
      </c>
      <c r="X12" s="188" t="str">
        <f>IF(ISERROR(getgrade(Broadsheet!X12,data!$H$4:$I$9)),"#",getgrade(Broadsheet!X12,data!$H$4:$I$9))</f>
        <v/>
      </c>
      <c r="Y12" s="188" t="str">
        <f>IF(ISERROR(getgrade(Broadsheet!Y12,data!$H$4:$I$9)),"#",getgrade(Broadsheet!Y12,data!$H$4:$I$9))</f>
        <v/>
      </c>
      <c r="Z12" s="188" t="str">
        <f>IF(ISERROR(getgrade(Broadsheet!Z12,data!$H$4:$I$9)),"#",getgrade(Broadsheet!Z12,data!$H$4:$I$9))</f>
        <v/>
      </c>
      <c r="AA12" s="188" t="str">
        <f>IF(ISERROR(getgrade(Broadsheet!AA12,data!$H$4:$I$9)),"#",getgrade(Broadsheet!AA12,data!$H$4:$I$9))</f>
        <v/>
      </c>
      <c r="AB12" s="188" t="str">
        <f>IF(ISERROR(getgrade(Broadsheet!AB12,data!$H$4:$I$9)),"#",getgrade(Broadsheet!AB12,data!$H$4:$I$9))</f>
        <v/>
      </c>
      <c r="AC12" s="188" t="str">
        <f>IF(ISERROR(getgrade(Broadsheet!AC12,data!$H$4:$I$9)),"#",getgrade(Broadsheet!AC12,data!$H$4:$I$9))</f>
        <v/>
      </c>
      <c r="AD12" s="188" t="str">
        <f>IF(ISERROR(getgrade(Broadsheet!AD12,data!$H$4:$I$9)),"#",getgrade(Broadsheet!AD12,data!$H$4:$I$9))</f>
        <v/>
      </c>
      <c r="AE12" s="188" t="str">
        <f>IF(ISERROR(getgrade(Broadsheet!AE12,data!$H$4:$I$9)),"#",getgrade(Broadsheet!AE12,data!$H$4:$I$9))</f>
        <v/>
      </c>
      <c r="AF12" s="188" t="str">
        <f>IF(ISERROR(getgrade(Broadsheet!AF12,data!$H$4:$I$9)),"#",getgrade(Broadsheet!AF12,data!$H$4:$I$9))</f>
        <v/>
      </c>
      <c r="AG12" s="188" t="str">
        <f>IF(ISERROR(getgrade(Broadsheet!AG12,data!$H$4:$I$9)),"#",getgrade(Broadsheet!AG12,data!$H$4:$I$9))</f>
        <v/>
      </c>
      <c r="AH12" s="188" t="str">
        <f>IF(ISERROR(getgrade(Broadsheet!AH12,data!$H$4:$I$9)),"#",getgrade(Broadsheet!AH12,data!$H$4:$I$9))</f>
        <v/>
      </c>
      <c r="AI12" s="188" t="str">
        <f>IF(ISERROR(getgrade(Broadsheet!AI12,data!$H$4:$I$9)),"#",getgrade(Broadsheet!AI12,data!$H$4:$I$9))</f>
        <v/>
      </c>
      <c r="AJ12" s="188" t="str">
        <f>IF(ISERROR(getgrade(Broadsheet!AJ12,data!$H$4:$I$9)),"#",getgrade(Broadsheet!AJ12,data!$H$4:$I$9))</f>
        <v/>
      </c>
      <c r="AK12" s="188" t="str">
        <f>IF(ISERROR(getgrade(Broadsheet!AK12,data!$H$4:$I$9)),"#",getgrade(Broadsheet!AK12,data!$H$4:$I$9))</f>
        <v/>
      </c>
      <c r="AL12" s="188" t="str">
        <f>IF(ISERROR(getgrade(Broadsheet!AL12,data!$H$4:$I$9)),"#",getgrade(Broadsheet!AL12,data!$H$4:$I$9))</f>
        <v/>
      </c>
      <c r="AM12" s="188" t="str">
        <f>IF(ISERROR(getgrade(Broadsheet!AM12,data!$H$4:$I$9)),"#",getgrade(Broadsheet!AM12,data!$H$4:$I$9))</f>
        <v/>
      </c>
      <c r="AN12" s="188" t="str">
        <f>IF(ISERROR(getgrade(Broadsheet!AN12,data!$H$4:$I$9)),"#",getgrade(Broadsheet!AN12,data!$H$4:$I$9))</f>
        <v/>
      </c>
      <c r="AO12" s="188" t="str">
        <f>IF(ISERROR(getgrade(Broadsheet!AO12,data!$H$4:$I$9)),"#",getgrade(Broadsheet!AO12,data!$H$4:$I$9))</f>
        <v/>
      </c>
      <c r="AP12" s="188" t="str">
        <f>IF(ISERROR(getgrade(Broadsheet!AP12,data!$H$4:$I$9)),"#",getgrade(Broadsheet!AP12,data!$H$4:$I$9))</f>
        <v/>
      </c>
      <c r="AQ12" s="188" t="str">
        <f>IF(ISERROR(getgrade(Broadsheet!AQ12,data!$H$4:$I$9)),"#",getgrade(Broadsheet!AQ12,data!$H$4:$I$9))</f>
        <v/>
      </c>
      <c r="AR12" s="188" t="str">
        <f>IF(ISERROR(getgrade(Broadsheet!AR12,data!$H$4:$I$9)),"#",getgrade(Broadsheet!AR12,data!$H$4:$I$9))</f>
        <v/>
      </c>
      <c r="AS12" s="188" t="str">
        <f>IF(ISERROR(getgrade(Broadsheet!AS12,data!$H$4:$I$9)),"#",getgrade(Broadsheet!AS12,data!$H$4:$I$9))</f>
        <v/>
      </c>
      <c r="AT12" s="188" t="str">
        <f>IF(ISERROR(getgrade(Broadsheet!AT12,data!$H$4:$I$9)),"#",getgrade(Broadsheet!AT12,data!$H$4:$I$9))</f>
        <v/>
      </c>
      <c r="AU12" s="188" t="str">
        <f>IF(ISERROR(getgrade(Broadsheet!AU12,data!$H$4:$I$9)),"#",getgrade(Broadsheet!AU12,data!$H$4:$I$9))</f>
        <v/>
      </c>
      <c r="AV12" s="188" t="str">
        <f>IF(ISERROR(getgrade(Broadsheet!AV12,data!$H$4:$I$9)),"#",getgrade(Broadsheet!AV12,data!$H$4:$I$9))</f>
        <v/>
      </c>
      <c r="AW12" s="188" t="str">
        <f>IF(ISERROR(getgrade(Broadsheet!AW12,data!$H$4:$I$9)),"#",getgrade(Broadsheet!AW12,data!$H$4:$I$9))</f>
        <v/>
      </c>
      <c r="AX12" s="188" t="str">
        <f>IF(ISERROR(getgrade(Broadsheet!AX12,data!$H$4:$I$9)),"#",getgrade(Broadsheet!AX12,data!$H$4:$I$9))</f>
        <v/>
      </c>
      <c r="AY12" s="188" t="str">
        <f>IF(ISERROR(getgrade(Broadsheet!AY12,data!$H$4:$I$9)),"#",getgrade(Broadsheet!AY12,data!$H$4:$I$9))</f>
        <v/>
      </c>
      <c r="AZ12" s="188" t="str">
        <f>IF(ISERROR(getgrade(Broadsheet!AZ12,data!$H$4:$I$9)),"#",getgrade(Broadsheet!AZ12,data!$H$4:$I$9))</f>
        <v/>
      </c>
      <c r="BA12" s="188" t="str">
        <f>IF(ISERROR(getgrade(Broadsheet!BA12,data!$H$4:$I$9)),"#",getgrade(Broadsheet!BA12,data!$H$4:$I$9))</f>
        <v/>
      </c>
      <c r="BB12" s="188" t="str">
        <f>IF(ISERROR(getgrade(Broadsheet!BB12,data!$H$4:$I$9)),"#",getgrade(Broadsheet!BB12,data!$H$4:$I$9))</f>
        <v/>
      </c>
      <c r="BC12" s="188" t="str">
        <f>IF(ISERROR(getgrade(Broadsheet!BC12,data!$H$4:$I$9)),"#",getgrade(Broadsheet!BC12,data!$H$4:$I$9))</f>
        <v/>
      </c>
      <c r="BD12" s="188" t="str">
        <f>IF(ISERROR(getgrade(Broadsheet!BD12,data!$H$4:$I$9)),"#",getgrade(Broadsheet!BD12,data!$H$4:$I$9))</f>
        <v/>
      </c>
      <c r="BE12" s="188" t="str">
        <f>IF(ISERROR(getgrade(Broadsheet!BE12,data!$H$4:$I$9)),"#",getgrade(Broadsheet!BE12,data!$H$4:$I$9))</f>
        <v/>
      </c>
      <c r="BF12" s="188" t="str">
        <f>IF(ISERROR(getgrade(Broadsheet!BF12,data!$H$4:$I$9)),"#",getgrade(Broadsheet!BF12,data!$H$4:$I$9))</f>
        <v/>
      </c>
      <c r="BG12" s="188" t="str">
        <f>IF(ISERROR(getgrade(Broadsheet!BG12,data!$H$4:$I$9)),"#",getgrade(Broadsheet!BG12,data!$H$4:$I$9))</f>
        <v/>
      </c>
      <c r="BH12" s="188" t="str">
        <f>IF(ISERROR(getgrade(Broadsheet!BH12,data!$H$4:$I$9)),"#",getgrade(Broadsheet!BH12,data!$H$4:$I$9))</f>
        <v/>
      </c>
      <c r="BI12" s="188" t="str">
        <f>IF(ISERROR(getgrade(Broadsheet!BI12,data!$H$4:$I$9)),"#",getgrade(Broadsheet!BI12,data!$H$4:$I$9))</f>
        <v/>
      </c>
      <c r="BJ12" s="188" t="str">
        <f>IF(ISERROR(getgrade(Broadsheet!BJ12,data!$H$4:$I$9)),"#",getgrade(Broadsheet!BJ12,data!$H$4:$I$9))</f>
        <v/>
      </c>
      <c r="BK12" s="188"/>
      <c r="BL12" s="188"/>
      <c r="BM12" s="188"/>
      <c r="BN12" s="188"/>
      <c r="BO12" s="188"/>
      <c r="BP12" s="188"/>
      <c r="BQ12" s="188"/>
      <c r="BR12" s="188"/>
      <c r="BS12" s="188"/>
      <c r="BT12" s="188"/>
      <c r="BU12" s="188"/>
      <c r="BV12" s="188"/>
      <c r="BW12" s="188"/>
      <c r="BX12" s="188"/>
      <c r="BY12" s="188"/>
      <c r="BZ12" s="188"/>
      <c r="CA12" s="188"/>
      <c r="CB12" s="188"/>
      <c r="CC12" s="188"/>
      <c r="CD12" s="188"/>
      <c r="CE12" s="188"/>
      <c r="CF12" s="188"/>
      <c r="CG12" s="188"/>
      <c r="CH12" s="188"/>
      <c r="CI12" s="188"/>
      <c r="CJ12" s="188"/>
      <c r="CK12" s="188"/>
      <c r="CL12" s="188"/>
      <c r="CM12" s="188"/>
      <c r="CN12" s="188"/>
      <c r="CO12" s="188"/>
      <c r="CP12" s="188"/>
      <c r="CQ12" s="188"/>
      <c r="CR12" s="188"/>
      <c r="CS12" s="188"/>
      <c r="CT12" s="188"/>
      <c r="CU12" s="188"/>
      <c r="CV12" s="188"/>
      <c r="CW12" s="188"/>
      <c r="CX12" s="188"/>
      <c r="CY12" s="188"/>
      <c r="CZ12" s="188"/>
      <c r="DA12" s="188"/>
      <c r="DB12" s="188"/>
      <c r="DC12" s="188"/>
      <c r="DD12" s="188"/>
      <c r="DE12" s="188"/>
      <c r="DF12" s="188"/>
      <c r="DG12" s="188"/>
      <c r="DH12" s="188"/>
      <c r="DI12" s="188"/>
      <c r="DJ12" s="188"/>
      <c r="DK12" s="188"/>
      <c r="DL12" s="188"/>
      <c r="DM12" s="188"/>
      <c r="DN12" s="188"/>
      <c r="DO12" s="188"/>
      <c r="DP12" s="188"/>
      <c r="DQ12" s="188"/>
      <c r="DR12" s="188"/>
      <c r="DS12" s="188"/>
      <c r="DT12" s="188"/>
      <c r="DU12" s="188"/>
      <c r="DV12" s="188"/>
      <c r="DW12" s="188"/>
      <c r="DX12" s="188"/>
      <c r="DY12" s="188"/>
      <c r="DZ12" s="188"/>
      <c r="EA12" s="188"/>
    </row>
    <row r="13" spans="1:131" ht="15.75" x14ac:dyDescent="0.25">
      <c r="A13" s="12">
        <f>Broadsheet!A13</f>
        <v>0</v>
      </c>
      <c r="B13" s="204" t="str">
        <f>IF(Broadsheet!B13="","",Broadsheet!B13)</f>
        <v/>
      </c>
      <c r="C13" s="24" t="str">
        <f>IF(Broadsheet!C13="","",Broadsheet!C13)</f>
        <v xml:space="preserve"> </v>
      </c>
      <c r="D13" s="24"/>
      <c r="E13" s="24"/>
      <c r="F13" s="24"/>
      <c r="G13" s="24" t="str">
        <f t="shared" ca="1" si="0"/>
        <v xml:space="preserve">MTH110/3/#, MTH111/3/#, PHY111/3/#, PHY112/3/#, CHM111/3/#, CHM112/3/#, GST111/3/#, GST112/3/#, 0//#, 0//#, CHE211//#, CVE211//#, MEE211//#, </v>
      </c>
      <c r="H13" s="188" t="str">
        <f ca="1">IF(ISERROR(getgrade(Broadsheet!H13,data!$H$4:$I$9)),"#",getgrade(Broadsheet!H13,data!$H$4:$I$9))</f>
        <v>#</v>
      </c>
      <c r="I13" s="188" t="str">
        <f ca="1">IF(ISERROR(getgrade(Broadsheet!I13,data!$H$4:$I$9)),"#",getgrade(Broadsheet!I13,data!$H$4:$I$9))</f>
        <v>#</v>
      </c>
      <c r="J13" s="188" t="str">
        <f ca="1">IF(ISERROR(getgrade(Broadsheet!J13,data!$H$4:$I$9)),"#",getgrade(Broadsheet!J13,data!$H$4:$I$9))</f>
        <v>#</v>
      </c>
      <c r="K13" s="188" t="str">
        <f ca="1">IF(ISERROR(getgrade(Broadsheet!K13,data!$H$4:$I$9)),"#",getgrade(Broadsheet!K13,data!$H$4:$I$9))</f>
        <v>#</v>
      </c>
      <c r="L13" s="188" t="str">
        <f ca="1">IF(ISERROR(getgrade(Broadsheet!L13,data!$H$4:$I$9)),"#",getgrade(Broadsheet!L13,data!$H$4:$I$9))</f>
        <v>#</v>
      </c>
      <c r="M13" s="188" t="str">
        <f ca="1">IF(ISERROR(getgrade(Broadsheet!M13,data!$H$4:$I$9)),"#",getgrade(Broadsheet!M13,data!$H$4:$I$9))</f>
        <v>#</v>
      </c>
      <c r="N13" s="188" t="str">
        <f ca="1">IF(ISERROR(getgrade(Broadsheet!N13,data!$H$4:$I$9)),"#",getgrade(Broadsheet!N13,data!$H$4:$I$9))</f>
        <v>#</v>
      </c>
      <c r="O13" s="188" t="str">
        <f ca="1">IF(ISERROR(getgrade(Broadsheet!O13,data!$H$4:$I$9)),"#",getgrade(Broadsheet!O13,data!$H$4:$I$9))</f>
        <v>#</v>
      </c>
      <c r="P13" s="188" t="str">
        <f ca="1">IF(ISERROR(getgrade(Broadsheet!P13,data!$H$4:$I$9)),"#",getgrade(Broadsheet!P13,data!$H$4:$I$9))</f>
        <v>#</v>
      </c>
      <c r="Q13" s="188" t="str">
        <f ca="1">IF(ISERROR(getgrade(Broadsheet!Q13,data!$H$4:$I$9)),"#",getgrade(Broadsheet!Q13,data!$H$4:$I$9))</f>
        <v>#</v>
      </c>
      <c r="R13" s="188" t="str">
        <f ca="1">IF(ISERROR(getgrade(Broadsheet!R13,data!$H$4:$I$9)),"#",getgrade(Broadsheet!R13,data!$H$4:$I$9))</f>
        <v>#</v>
      </c>
      <c r="S13" s="188" t="str">
        <f ca="1">IF(ISERROR(getgrade(Broadsheet!S13,data!$H$4:$I$9)),"#",getgrade(Broadsheet!S13,data!$H$4:$I$9))</f>
        <v>#</v>
      </c>
      <c r="T13" s="188" t="str">
        <f ca="1">IF(ISERROR(getgrade(Broadsheet!T13,data!$H$4:$I$9)),"#",getgrade(Broadsheet!T13,data!$H$4:$I$9))</f>
        <v>#</v>
      </c>
      <c r="U13" s="188" t="str">
        <f ca="1">IF(ISERROR(getgrade(Broadsheet!U13,data!$H$4:$I$9)),"#",getgrade(Broadsheet!U13,data!$H$4:$I$9))</f>
        <v>#</v>
      </c>
      <c r="V13" s="188" t="str">
        <f ca="1">IF(ISERROR(getgrade(Broadsheet!V13,data!$H$4:$I$9)),"#",getgrade(Broadsheet!V13,data!$H$4:$I$9))</f>
        <v>#</v>
      </c>
      <c r="W13" s="188" t="str">
        <f>IF(ISERROR(getgrade(Broadsheet!W13,data!$H$4:$I$9)),"#",getgrade(Broadsheet!W13,data!$H$4:$I$9))</f>
        <v/>
      </c>
      <c r="X13" s="188" t="str">
        <f>IF(ISERROR(getgrade(Broadsheet!X13,data!$H$4:$I$9)),"#",getgrade(Broadsheet!X13,data!$H$4:$I$9))</f>
        <v/>
      </c>
      <c r="Y13" s="188" t="str">
        <f>IF(ISERROR(getgrade(Broadsheet!Y13,data!$H$4:$I$9)),"#",getgrade(Broadsheet!Y13,data!$H$4:$I$9))</f>
        <v/>
      </c>
      <c r="Z13" s="188" t="str">
        <f>IF(ISERROR(getgrade(Broadsheet!Z13,data!$H$4:$I$9)),"#",getgrade(Broadsheet!Z13,data!$H$4:$I$9))</f>
        <v/>
      </c>
      <c r="AA13" s="188" t="str">
        <f>IF(ISERROR(getgrade(Broadsheet!AA13,data!$H$4:$I$9)),"#",getgrade(Broadsheet!AA13,data!$H$4:$I$9))</f>
        <v/>
      </c>
      <c r="AB13" s="188" t="str">
        <f>IF(ISERROR(getgrade(Broadsheet!AB13,data!$H$4:$I$9)),"#",getgrade(Broadsheet!AB13,data!$H$4:$I$9))</f>
        <v/>
      </c>
      <c r="AC13" s="188" t="str">
        <f>IF(ISERROR(getgrade(Broadsheet!AC13,data!$H$4:$I$9)),"#",getgrade(Broadsheet!AC13,data!$H$4:$I$9))</f>
        <v/>
      </c>
      <c r="AD13" s="188" t="str">
        <f>IF(ISERROR(getgrade(Broadsheet!AD13,data!$H$4:$I$9)),"#",getgrade(Broadsheet!AD13,data!$H$4:$I$9))</f>
        <v/>
      </c>
      <c r="AE13" s="188" t="str">
        <f>IF(ISERROR(getgrade(Broadsheet!AE13,data!$H$4:$I$9)),"#",getgrade(Broadsheet!AE13,data!$H$4:$I$9))</f>
        <v/>
      </c>
      <c r="AF13" s="188" t="str">
        <f>IF(ISERROR(getgrade(Broadsheet!AF13,data!$H$4:$I$9)),"#",getgrade(Broadsheet!AF13,data!$H$4:$I$9))</f>
        <v/>
      </c>
      <c r="AG13" s="188" t="str">
        <f>IF(ISERROR(getgrade(Broadsheet!AG13,data!$H$4:$I$9)),"#",getgrade(Broadsheet!AG13,data!$H$4:$I$9))</f>
        <v/>
      </c>
      <c r="AH13" s="188" t="str">
        <f>IF(ISERROR(getgrade(Broadsheet!AH13,data!$H$4:$I$9)),"#",getgrade(Broadsheet!AH13,data!$H$4:$I$9))</f>
        <v/>
      </c>
      <c r="AI13" s="188" t="str">
        <f>IF(ISERROR(getgrade(Broadsheet!AI13,data!$H$4:$I$9)),"#",getgrade(Broadsheet!AI13,data!$H$4:$I$9))</f>
        <v/>
      </c>
      <c r="AJ13" s="188" t="str">
        <f>IF(ISERROR(getgrade(Broadsheet!AJ13,data!$H$4:$I$9)),"#",getgrade(Broadsheet!AJ13,data!$H$4:$I$9))</f>
        <v/>
      </c>
      <c r="AK13" s="188" t="str">
        <f>IF(ISERROR(getgrade(Broadsheet!AK13,data!$H$4:$I$9)),"#",getgrade(Broadsheet!AK13,data!$H$4:$I$9))</f>
        <v/>
      </c>
      <c r="AL13" s="188" t="str">
        <f>IF(ISERROR(getgrade(Broadsheet!AL13,data!$H$4:$I$9)),"#",getgrade(Broadsheet!AL13,data!$H$4:$I$9))</f>
        <v/>
      </c>
      <c r="AM13" s="188" t="str">
        <f>IF(ISERROR(getgrade(Broadsheet!AM13,data!$H$4:$I$9)),"#",getgrade(Broadsheet!AM13,data!$H$4:$I$9))</f>
        <v/>
      </c>
      <c r="AN13" s="188" t="str">
        <f>IF(ISERROR(getgrade(Broadsheet!AN13,data!$H$4:$I$9)),"#",getgrade(Broadsheet!AN13,data!$H$4:$I$9))</f>
        <v/>
      </c>
      <c r="AO13" s="188" t="str">
        <f>IF(ISERROR(getgrade(Broadsheet!AO13,data!$H$4:$I$9)),"#",getgrade(Broadsheet!AO13,data!$H$4:$I$9))</f>
        <v/>
      </c>
      <c r="AP13" s="188" t="str">
        <f>IF(ISERROR(getgrade(Broadsheet!AP13,data!$H$4:$I$9)),"#",getgrade(Broadsheet!AP13,data!$H$4:$I$9))</f>
        <v/>
      </c>
      <c r="AQ13" s="188" t="str">
        <f>IF(ISERROR(getgrade(Broadsheet!AQ13,data!$H$4:$I$9)),"#",getgrade(Broadsheet!AQ13,data!$H$4:$I$9))</f>
        <v/>
      </c>
      <c r="AR13" s="188" t="str">
        <f>IF(ISERROR(getgrade(Broadsheet!AR13,data!$H$4:$I$9)),"#",getgrade(Broadsheet!AR13,data!$H$4:$I$9))</f>
        <v/>
      </c>
      <c r="AS13" s="188" t="str">
        <f>IF(ISERROR(getgrade(Broadsheet!AS13,data!$H$4:$I$9)),"#",getgrade(Broadsheet!AS13,data!$H$4:$I$9))</f>
        <v/>
      </c>
      <c r="AT13" s="188" t="str">
        <f>IF(ISERROR(getgrade(Broadsheet!AT13,data!$H$4:$I$9)),"#",getgrade(Broadsheet!AT13,data!$H$4:$I$9))</f>
        <v/>
      </c>
      <c r="AU13" s="188" t="str">
        <f>IF(ISERROR(getgrade(Broadsheet!AU13,data!$H$4:$I$9)),"#",getgrade(Broadsheet!AU13,data!$H$4:$I$9))</f>
        <v/>
      </c>
      <c r="AV13" s="188" t="str">
        <f>IF(ISERROR(getgrade(Broadsheet!AV13,data!$H$4:$I$9)),"#",getgrade(Broadsheet!AV13,data!$H$4:$I$9))</f>
        <v/>
      </c>
      <c r="AW13" s="188" t="str">
        <f>IF(ISERROR(getgrade(Broadsheet!AW13,data!$H$4:$I$9)),"#",getgrade(Broadsheet!AW13,data!$H$4:$I$9))</f>
        <v/>
      </c>
      <c r="AX13" s="188" t="str">
        <f>IF(ISERROR(getgrade(Broadsheet!AX13,data!$H$4:$I$9)),"#",getgrade(Broadsheet!AX13,data!$H$4:$I$9))</f>
        <v/>
      </c>
      <c r="AY13" s="188" t="str">
        <f>IF(ISERROR(getgrade(Broadsheet!AY13,data!$H$4:$I$9)),"#",getgrade(Broadsheet!AY13,data!$H$4:$I$9))</f>
        <v/>
      </c>
      <c r="AZ13" s="188" t="str">
        <f>IF(ISERROR(getgrade(Broadsheet!AZ13,data!$H$4:$I$9)),"#",getgrade(Broadsheet!AZ13,data!$H$4:$I$9))</f>
        <v/>
      </c>
      <c r="BA13" s="188" t="str">
        <f>IF(ISERROR(getgrade(Broadsheet!BA13,data!$H$4:$I$9)),"#",getgrade(Broadsheet!BA13,data!$H$4:$I$9))</f>
        <v/>
      </c>
      <c r="BB13" s="188" t="str">
        <f>IF(ISERROR(getgrade(Broadsheet!BB13,data!$H$4:$I$9)),"#",getgrade(Broadsheet!BB13,data!$H$4:$I$9))</f>
        <v/>
      </c>
      <c r="BC13" s="188" t="str">
        <f>IF(ISERROR(getgrade(Broadsheet!BC13,data!$H$4:$I$9)),"#",getgrade(Broadsheet!BC13,data!$H$4:$I$9))</f>
        <v/>
      </c>
      <c r="BD13" s="188" t="str">
        <f>IF(ISERROR(getgrade(Broadsheet!BD13,data!$H$4:$I$9)),"#",getgrade(Broadsheet!BD13,data!$H$4:$I$9))</f>
        <v/>
      </c>
      <c r="BE13" s="188" t="str">
        <f>IF(ISERROR(getgrade(Broadsheet!BE13,data!$H$4:$I$9)),"#",getgrade(Broadsheet!BE13,data!$H$4:$I$9))</f>
        <v/>
      </c>
      <c r="BF13" s="188" t="str">
        <f>IF(ISERROR(getgrade(Broadsheet!BF13,data!$H$4:$I$9)),"#",getgrade(Broadsheet!BF13,data!$H$4:$I$9))</f>
        <v/>
      </c>
      <c r="BG13" s="188" t="str">
        <f>IF(ISERROR(getgrade(Broadsheet!BG13,data!$H$4:$I$9)),"#",getgrade(Broadsheet!BG13,data!$H$4:$I$9))</f>
        <v/>
      </c>
      <c r="BH13" s="188" t="str">
        <f>IF(ISERROR(getgrade(Broadsheet!BH13,data!$H$4:$I$9)),"#",getgrade(Broadsheet!BH13,data!$H$4:$I$9))</f>
        <v/>
      </c>
      <c r="BI13" s="188" t="str">
        <f>IF(ISERROR(getgrade(Broadsheet!BI13,data!$H$4:$I$9)),"#",getgrade(Broadsheet!BI13,data!$H$4:$I$9))</f>
        <v/>
      </c>
      <c r="BJ13" s="188" t="str">
        <f>IF(ISERROR(getgrade(Broadsheet!BJ13,data!$H$4:$I$9)),"#",getgrade(Broadsheet!BJ13,data!$H$4:$I$9))</f>
        <v/>
      </c>
      <c r="BK13" s="188"/>
      <c r="BL13" s="188"/>
      <c r="BM13" s="188"/>
      <c r="BN13" s="188"/>
      <c r="BO13" s="188"/>
      <c r="BP13" s="188"/>
      <c r="BQ13" s="188"/>
      <c r="BR13" s="188"/>
      <c r="BS13" s="188"/>
      <c r="BT13" s="188"/>
      <c r="BU13" s="188"/>
      <c r="BV13" s="188"/>
      <c r="BW13" s="188"/>
      <c r="BX13" s="188"/>
      <c r="BY13" s="188"/>
      <c r="BZ13" s="188"/>
      <c r="CA13" s="188"/>
      <c r="CB13" s="188"/>
      <c r="CC13" s="188"/>
      <c r="CD13" s="188"/>
      <c r="CE13" s="188"/>
      <c r="CF13" s="188"/>
      <c r="CG13" s="188"/>
      <c r="CH13" s="188"/>
      <c r="CI13" s="188"/>
      <c r="CJ13" s="188"/>
      <c r="CK13" s="188"/>
      <c r="CL13" s="188"/>
      <c r="CM13" s="188"/>
      <c r="CN13" s="188"/>
      <c r="CO13" s="188"/>
      <c r="CP13" s="188"/>
      <c r="CQ13" s="188"/>
      <c r="CR13" s="188"/>
      <c r="CS13" s="188"/>
      <c r="CT13" s="188"/>
      <c r="CU13" s="188"/>
      <c r="CV13" s="188"/>
      <c r="CW13" s="188"/>
      <c r="CX13" s="188"/>
      <c r="CY13" s="188"/>
      <c r="CZ13" s="188"/>
      <c r="DA13" s="188"/>
      <c r="DB13" s="188"/>
      <c r="DC13" s="188"/>
      <c r="DD13" s="188"/>
      <c r="DE13" s="188"/>
      <c r="DF13" s="188"/>
      <c r="DG13" s="188"/>
      <c r="DH13" s="188"/>
      <c r="DI13" s="188"/>
      <c r="DJ13" s="188"/>
      <c r="DK13" s="188"/>
      <c r="DL13" s="188"/>
      <c r="DM13" s="188"/>
      <c r="DN13" s="188"/>
      <c r="DO13" s="188"/>
      <c r="DP13" s="188"/>
      <c r="DQ13" s="188"/>
      <c r="DR13" s="188"/>
      <c r="DS13" s="188"/>
      <c r="DT13" s="188"/>
      <c r="DU13" s="188"/>
      <c r="DV13" s="188"/>
      <c r="DW13" s="188"/>
      <c r="DX13" s="188"/>
      <c r="DY13" s="188"/>
      <c r="DZ13" s="188"/>
      <c r="EA13" s="188"/>
    </row>
    <row r="14" spans="1:131" ht="15.75" x14ac:dyDescent="0.25">
      <c r="A14" s="12">
        <f>Broadsheet!A14</f>
        <v>0</v>
      </c>
      <c r="B14" s="204" t="str">
        <f>IF(Broadsheet!B14="","",Broadsheet!B14)</f>
        <v/>
      </c>
      <c r="C14" s="24" t="str">
        <f>IF(Broadsheet!C14="","",Broadsheet!C14)</f>
        <v xml:space="preserve"> </v>
      </c>
      <c r="D14" s="24"/>
      <c r="E14" s="24"/>
      <c r="F14" s="24"/>
      <c r="G14" s="24" t="str">
        <f t="shared" si="0"/>
        <v/>
      </c>
      <c r="H14" s="188" t="str">
        <f>IF(ISERROR(getgrade(Broadsheet!H14,data!$H$4:$I$9)),"#",getgrade(Broadsheet!H14,data!$H$4:$I$9))</f>
        <v/>
      </c>
      <c r="I14" s="188" t="str">
        <f>IF(ISERROR(getgrade(Broadsheet!I14,data!$H$4:$I$9)),"#",getgrade(Broadsheet!I14,data!$H$4:$I$9))</f>
        <v/>
      </c>
      <c r="J14" s="188" t="str">
        <f>IF(ISERROR(getgrade(Broadsheet!J14,data!$H$4:$I$9)),"#",getgrade(Broadsheet!J14,data!$H$4:$I$9))</f>
        <v/>
      </c>
      <c r="K14" s="188" t="str">
        <f>IF(ISERROR(getgrade(Broadsheet!K14,data!$H$4:$I$9)),"#",getgrade(Broadsheet!K14,data!$H$4:$I$9))</f>
        <v/>
      </c>
      <c r="L14" s="188" t="str">
        <f>IF(ISERROR(getgrade(Broadsheet!L14,data!$H$4:$I$9)),"#",getgrade(Broadsheet!L14,data!$H$4:$I$9))</f>
        <v/>
      </c>
      <c r="M14" s="188" t="str">
        <f>IF(ISERROR(getgrade(Broadsheet!M14,data!$H$4:$I$9)),"#",getgrade(Broadsheet!M14,data!$H$4:$I$9))</f>
        <v/>
      </c>
      <c r="N14" s="188" t="str">
        <f>IF(ISERROR(getgrade(Broadsheet!N14,data!$H$4:$I$9)),"#",getgrade(Broadsheet!N14,data!$H$4:$I$9))</f>
        <v/>
      </c>
      <c r="O14" s="188" t="str">
        <f>IF(ISERROR(getgrade(Broadsheet!O14,data!$H$4:$I$9)),"#",getgrade(Broadsheet!O14,data!$H$4:$I$9))</f>
        <v/>
      </c>
      <c r="P14" s="188" t="str">
        <f>IF(ISERROR(getgrade(Broadsheet!P14,data!$H$4:$I$9)),"#",getgrade(Broadsheet!P14,data!$H$4:$I$9))</f>
        <v/>
      </c>
      <c r="Q14" s="188" t="str">
        <f>IF(ISERROR(getgrade(Broadsheet!Q14,data!$H$4:$I$9)),"#",getgrade(Broadsheet!Q14,data!$H$4:$I$9))</f>
        <v/>
      </c>
      <c r="R14" s="188" t="str">
        <f>IF(ISERROR(getgrade(Broadsheet!R14,data!$H$4:$I$9)),"#",getgrade(Broadsheet!R14,data!$H$4:$I$9))</f>
        <v/>
      </c>
      <c r="S14" s="188" t="str">
        <f>IF(ISERROR(getgrade(Broadsheet!S14,data!$H$4:$I$9)),"#",getgrade(Broadsheet!S14,data!$H$4:$I$9))</f>
        <v/>
      </c>
      <c r="T14" s="188" t="str">
        <f>IF(ISERROR(getgrade(Broadsheet!T14,data!$H$4:$I$9)),"#",getgrade(Broadsheet!T14,data!$H$4:$I$9))</f>
        <v/>
      </c>
      <c r="U14" s="188" t="str">
        <f>IF(ISERROR(getgrade(Broadsheet!U14,data!$H$4:$I$9)),"#",getgrade(Broadsheet!U14,data!$H$4:$I$9))</f>
        <v/>
      </c>
      <c r="V14" s="188" t="str">
        <f>IF(ISERROR(getgrade(Broadsheet!V14,data!$H$4:$I$9)),"#",getgrade(Broadsheet!V14,data!$H$4:$I$9))</f>
        <v/>
      </c>
      <c r="W14" s="188" t="str">
        <f>IF(ISERROR(getgrade(Broadsheet!W14,data!$H$4:$I$9)),"#",getgrade(Broadsheet!W14,data!$H$4:$I$9))</f>
        <v/>
      </c>
      <c r="X14" s="188" t="str">
        <f>IF(ISERROR(getgrade(Broadsheet!X14,data!$H$4:$I$9)),"#",getgrade(Broadsheet!X14,data!$H$4:$I$9))</f>
        <v/>
      </c>
      <c r="Y14" s="188" t="str">
        <f>IF(ISERROR(getgrade(Broadsheet!Y14,data!$H$4:$I$9)),"#",getgrade(Broadsheet!Y14,data!$H$4:$I$9))</f>
        <v/>
      </c>
      <c r="Z14" s="188" t="str">
        <f>IF(ISERROR(getgrade(Broadsheet!Z14,data!$H$4:$I$9)),"#",getgrade(Broadsheet!Z14,data!$H$4:$I$9))</f>
        <v/>
      </c>
      <c r="AA14" s="188" t="str">
        <f>IF(ISERROR(getgrade(Broadsheet!AA14,data!$H$4:$I$9)),"#",getgrade(Broadsheet!AA14,data!$H$4:$I$9))</f>
        <v/>
      </c>
      <c r="AB14" s="188" t="str">
        <f>IF(ISERROR(getgrade(Broadsheet!AB14,data!$H$4:$I$9)),"#",getgrade(Broadsheet!AB14,data!$H$4:$I$9))</f>
        <v/>
      </c>
      <c r="AC14" s="188" t="str">
        <f>IF(ISERROR(getgrade(Broadsheet!AC14,data!$H$4:$I$9)),"#",getgrade(Broadsheet!AC14,data!$H$4:$I$9))</f>
        <v/>
      </c>
      <c r="AD14" s="188" t="str">
        <f>IF(ISERROR(getgrade(Broadsheet!AD14,data!$H$4:$I$9)),"#",getgrade(Broadsheet!AD14,data!$H$4:$I$9))</f>
        <v/>
      </c>
      <c r="AE14" s="188" t="str">
        <f>IF(ISERROR(getgrade(Broadsheet!AE14,data!$H$4:$I$9)),"#",getgrade(Broadsheet!AE14,data!$H$4:$I$9))</f>
        <v/>
      </c>
      <c r="AF14" s="188" t="str">
        <f>IF(ISERROR(getgrade(Broadsheet!AF14,data!$H$4:$I$9)),"#",getgrade(Broadsheet!AF14,data!$H$4:$I$9))</f>
        <v/>
      </c>
      <c r="AG14" s="188" t="str">
        <f>IF(ISERROR(getgrade(Broadsheet!AG14,data!$H$4:$I$9)),"#",getgrade(Broadsheet!AG14,data!$H$4:$I$9))</f>
        <v/>
      </c>
      <c r="AH14" s="188" t="str">
        <f>IF(ISERROR(getgrade(Broadsheet!AH14,data!$H$4:$I$9)),"#",getgrade(Broadsheet!AH14,data!$H$4:$I$9))</f>
        <v/>
      </c>
      <c r="AI14" s="188" t="str">
        <f>IF(ISERROR(getgrade(Broadsheet!AI14,data!$H$4:$I$9)),"#",getgrade(Broadsheet!AI14,data!$H$4:$I$9))</f>
        <v/>
      </c>
      <c r="AJ14" s="188" t="str">
        <f>IF(ISERROR(getgrade(Broadsheet!AJ14,data!$H$4:$I$9)),"#",getgrade(Broadsheet!AJ14,data!$H$4:$I$9))</f>
        <v/>
      </c>
      <c r="AK14" s="188" t="str">
        <f>IF(ISERROR(getgrade(Broadsheet!AK14,data!$H$4:$I$9)),"#",getgrade(Broadsheet!AK14,data!$H$4:$I$9))</f>
        <v/>
      </c>
      <c r="AL14" s="188" t="str">
        <f>IF(ISERROR(getgrade(Broadsheet!AL14,data!$H$4:$I$9)),"#",getgrade(Broadsheet!AL14,data!$H$4:$I$9))</f>
        <v/>
      </c>
      <c r="AM14" s="188" t="str">
        <f>IF(ISERROR(getgrade(Broadsheet!AM14,data!$H$4:$I$9)),"#",getgrade(Broadsheet!AM14,data!$H$4:$I$9))</f>
        <v/>
      </c>
      <c r="AN14" s="188" t="str">
        <f>IF(ISERROR(getgrade(Broadsheet!AN14,data!$H$4:$I$9)),"#",getgrade(Broadsheet!AN14,data!$H$4:$I$9))</f>
        <v/>
      </c>
      <c r="AO14" s="188" t="str">
        <f>IF(ISERROR(getgrade(Broadsheet!AO14,data!$H$4:$I$9)),"#",getgrade(Broadsheet!AO14,data!$H$4:$I$9))</f>
        <v/>
      </c>
      <c r="AP14" s="188" t="str">
        <f>IF(ISERROR(getgrade(Broadsheet!AP14,data!$H$4:$I$9)),"#",getgrade(Broadsheet!AP14,data!$H$4:$I$9))</f>
        <v/>
      </c>
      <c r="AQ14" s="188" t="str">
        <f>IF(ISERROR(getgrade(Broadsheet!AQ14,data!$H$4:$I$9)),"#",getgrade(Broadsheet!AQ14,data!$H$4:$I$9))</f>
        <v/>
      </c>
      <c r="AR14" s="188" t="str">
        <f>IF(ISERROR(getgrade(Broadsheet!AR14,data!$H$4:$I$9)),"#",getgrade(Broadsheet!AR14,data!$H$4:$I$9))</f>
        <v/>
      </c>
      <c r="AS14" s="188" t="str">
        <f>IF(ISERROR(getgrade(Broadsheet!AS14,data!$H$4:$I$9)),"#",getgrade(Broadsheet!AS14,data!$H$4:$I$9))</f>
        <v/>
      </c>
      <c r="AT14" s="188" t="str">
        <f>IF(ISERROR(getgrade(Broadsheet!AT14,data!$H$4:$I$9)),"#",getgrade(Broadsheet!AT14,data!$H$4:$I$9))</f>
        <v/>
      </c>
      <c r="AU14" s="188" t="str">
        <f>IF(ISERROR(getgrade(Broadsheet!AU14,data!$H$4:$I$9)),"#",getgrade(Broadsheet!AU14,data!$H$4:$I$9))</f>
        <v/>
      </c>
      <c r="AV14" s="188" t="str">
        <f>IF(ISERROR(getgrade(Broadsheet!AV14,data!$H$4:$I$9)),"#",getgrade(Broadsheet!AV14,data!$H$4:$I$9))</f>
        <v/>
      </c>
      <c r="AW14" s="188" t="str">
        <f>IF(ISERROR(getgrade(Broadsheet!AW14,data!$H$4:$I$9)),"#",getgrade(Broadsheet!AW14,data!$H$4:$I$9))</f>
        <v/>
      </c>
      <c r="AX14" s="188" t="str">
        <f>IF(ISERROR(getgrade(Broadsheet!AX14,data!$H$4:$I$9)),"#",getgrade(Broadsheet!AX14,data!$H$4:$I$9))</f>
        <v/>
      </c>
      <c r="AY14" s="188" t="str">
        <f>IF(ISERROR(getgrade(Broadsheet!AY14,data!$H$4:$I$9)),"#",getgrade(Broadsheet!AY14,data!$H$4:$I$9))</f>
        <v/>
      </c>
      <c r="AZ14" s="188" t="str">
        <f>IF(ISERROR(getgrade(Broadsheet!AZ14,data!$H$4:$I$9)),"#",getgrade(Broadsheet!AZ14,data!$H$4:$I$9))</f>
        <v/>
      </c>
      <c r="BA14" s="188" t="str">
        <f>IF(ISERROR(getgrade(Broadsheet!BA14,data!$H$4:$I$9)),"#",getgrade(Broadsheet!BA14,data!$H$4:$I$9))</f>
        <v/>
      </c>
      <c r="BB14" s="188" t="str">
        <f>IF(ISERROR(getgrade(Broadsheet!BB14,data!$H$4:$I$9)),"#",getgrade(Broadsheet!BB14,data!$H$4:$I$9))</f>
        <v/>
      </c>
      <c r="BC14" s="188" t="str">
        <f>IF(ISERROR(getgrade(Broadsheet!BC14,data!$H$4:$I$9)),"#",getgrade(Broadsheet!BC14,data!$H$4:$I$9))</f>
        <v/>
      </c>
      <c r="BD14" s="188" t="str">
        <f>IF(ISERROR(getgrade(Broadsheet!BD14,data!$H$4:$I$9)),"#",getgrade(Broadsheet!BD14,data!$H$4:$I$9))</f>
        <v/>
      </c>
      <c r="BE14" s="188" t="str">
        <f>IF(ISERROR(getgrade(Broadsheet!BE14,data!$H$4:$I$9)),"#",getgrade(Broadsheet!BE14,data!$H$4:$I$9))</f>
        <v/>
      </c>
      <c r="BF14" s="188" t="str">
        <f>IF(ISERROR(getgrade(Broadsheet!BF14,data!$H$4:$I$9)),"#",getgrade(Broadsheet!BF14,data!$H$4:$I$9))</f>
        <v/>
      </c>
      <c r="BG14" s="188" t="str">
        <f>IF(ISERROR(getgrade(Broadsheet!BG14,data!$H$4:$I$9)),"#",getgrade(Broadsheet!BG14,data!$H$4:$I$9))</f>
        <v/>
      </c>
      <c r="BH14" s="188" t="str">
        <f>IF(ISERROR(getgrade(Broadsheet!BH14,data!$H$4:$I$9)),"#",getgrade(Broadsheet!BH14,data!$H$4:$I$9))</f>
        <v/>
      </c>
      <c r="BI14" s="188" t="str">
        <f>IF(ISERROR(getgrade(Broadsheet!BI14,data!$H$4:$I$9)),"#",getgrade(Broadsheet!BI14,data!$H$4:$I$9))</f>
        <v/>
      </c>
      <c r="BJ14" s="188" t="str">
        <f>IF(ISERROR(getgrade(Broadsheet!BJ14,data!$H$4:$I$9)),"#",getgrade(Broadsheet!BJ14,data!$H$4:$I$9))</f>
        <v/>
      </c>
      <c r="BK14" s="188"/>
      <c r="BL14" s="188"/>
      <c r="BM14" s="188"/>
      <c r="BN14" s="188"/>
      <c r="BO14" s="188"/>
      <c r="BP14" s="188"/>
      <c r="BQ14" s="188"/>
      <c r="BR14" s="188"/>
      <c r="BS14" s="188"/>
      <c r="BT14" s="188"/>
      <c r="BU14" s="188"/>
      <c r="BV14" s="188"/>
      <c r="BW14" s="188"/>
      <c r="BX14" s="188"/>
      <c r="BY14" s="188"/>
      <c r="BZ14" s="188"/>
      <c r="CA14" s="188"/>
      <c r="CB14" s="188"/>
      <c r="CC14" s="188"/>
      <c r="CD14" s="188"/>
      <c r="CE14" s="188"/>
      <c r="CF14" s="188"/>
      <c r="CG14" s="188"/>
      <c r="CH14" s="188"/>
      <c r="CI14" s="188"/>
      <c r="CJ14" s="188"/>
      <c r="CK14" s="188"/>
      <c r="CL14" s="188"/>
      <c r="CM14" s="188"/>
      <c r="CN14" s="188"/>
      <c r="CO14" s="188"/>
      <c r="CP14" s="188"/>
      <c r="CQ14" s="188"/>
      <c r="CR14" s="188"/>
      <c r="CS14" s="188"/>
      <c r="CT14" s="188"/>
      <c r="CU14" s="188"/>
      <c r="CV14" s="188"/>
      <c r="CW14" s="188"/>
      <c r="CX14" s="188"/>
      <c r="CY14" s="188"/>
      <c r="CZ14" s="188"/>
      <c r="DA14" s="188"/>
      <c r="DB14" s="188"/>
      <c r="DC14" s="188"/>
      <c r="DD14" s="188"/>
      <c r="DE14" s="188"/>
      <c r="DF14" s="188"/>
      <c r="DG14" s="188"/>
      <c r="DH14" s="188"/>
      <c r="DI14" s="188"/>
      <c r="DJ14" s="188"/>
      <c r="DK14" s="188"/>
      <c r="DL14" s="188"/>
      <c r="DM14" s="188"/>
      <c r="DN14" s="188"/>
      <c r="DO14" s="188"/>
      <c r="DP14" s="188"/>
      <c r="DQ14" s="188"/>
      <c r="DR14" s="188"/>
      <c r="DS14" s="188"/>
      <c r="DT14" s="188"/>
      <c r="DU14" s="188"/>
      <c r="DV14" s="188"/>
      <c r="DW14" s="188"/>
      <c r="DX14" s="188"/>
      <c r="DY14" s="188"/>
      <c r="DZ14" s="188"/>
      <c r="EA14" s="188"/>
    </row>
    <row r="15" spans="1:131" ht="15.75" x14ac:dyDescent="0.25">
      <c r="A15" s="12">
        <f>Broadsheet!A15</f>
        <v>0</v>
      </c>
      <c r="B15" s="204" t="str">
        <f>IF(Broadsheet!B15="","",Broadsheet!B15)</f>
        <v/>
      </c>
      <c r="C15" s="24" t="str">
        <f>IF(Broadsheet!C15="","",Broadsheet!C15)</f>
        <v xml:space="preserve"> </v>
      </c>
      <c r="D15" s="24"/>
      <c r="E15" s="24"/>
      <c r="F15" s="24"/>
      <c r="G15" s="24" t="str">
        <f t="shared" si="0"/>
        <v/>
      </c>
      <c r="H15" s="188" t="str">
        <f>IF(ISERROR(getgrade(Broadsheet!H15,data!$H$4:$I$9)),"#",getgrade(Broadsheet!H15,data!$H$4:$I$9))</f>
        <v/>
      </c>
      <c r="I15" s="188" t="str">
        <f>IF(ISERROR(getgrade(Broadsheet!I15,data!$H$4:$I$9)),"#",getgrade(Broadsheet!I15,data!$H$4:$I$9))</f>
        <v/>
      </c>
      <c r="J15" s="188" t="str">
        <f>IF(ISERROR(getgrade(Broadsheet!J15,data!$H$4:$I$9)),"#",getgrade(Broadsheet!J15,data!$H$4:$I$9))</f>
        <v/>
      </c>
      <c r="K15" s="188" t="str">
        <f>IF(ISERROR(getgrade(Broadsheet!K15,data!$H$4:$I$9)),"#",getgrade(Broadsheet!K15,data!$H$4:$I$9))</f>
        <v/>
      </c>
      <c r="L15" s="188" t="str">
        <f>IF(ISERROR(getgrade(Broadsheet!L15,data!$H$4:$I$9)),"#",getgrade(Broadsheet!L15,data!$H$4:$I$9))</f>
        <v/>
      </c>
      <c r="M15" s="188" t="str">
        <f>IF(ISERROR(getgrade(Broadsheet!M15,data!$H$4:$I$9)),"#",getgrade(Broadsheet!M15,data!$H$4:$I$9))</f>
        <v/>
      </c>
      <c r="N15" s="188" t="str">
        <f>IF(ISERROR(getgrade(Broadsheet!N15,data!$H$4:$I$9)),"#",getgrade(Broadsheet!N15,data!$H$4:$I$9))</f>
        <v/>
      </c>
      <c r="O15" s="188" t="str">
        <f>IF(ISERROR(getgrade(Broadsheet!O15,data!$H$4:$I$9)),"#",getgrade(Broadsheet!O15,data!$H$4:$I$9))</f>
        <v/>
      </c>
      <c r="P15" s="188" t="str">
        <f>IF(ISERROR(getgrade(Broadsheet!P15,data!$H$4:$I$9)),"#",getgrade(Broadsheet!P15,data!$H$4:$I$9))</f>
        <v/>
      </c>
      <c r="Q15" s="188" t="str">
        <f>IF(ISERROR(getgrade(Broadsheet!Q15,data!$H$4:$I$9)),"#",getgrade(Broadsheet!Q15,data!$H$4:$I$9))</f>
        <v/>
      </c>
      <c r="R15" s="188" t="str">
        <f>IF(ISERROR(getgrade(Broadsheet!R15,data!$H$4:$I$9)),"#",getgrade(Broadsheet!R15,data!$H$4:$I$9))</f>
        <v/>
      </c>
      <c r="S15" s="188" t="str">
        <f>IF(ISERROR(getgrade(Broadsheet!S15,data!$H$4:$I$9)),"#",getgrade(Broadsheet!S15,data!$H$4:$I$9))</f>
        <v/>
      </c>
      <c r="T15" s="188" t="str">
        <f>IF(ISERROR(getgrade(Broadsheet!T15,data!$H$4:$I$9)),"#",getgrade(Broadsheet!T15,data!$H$4:$I$9))</f>
        <v/>
      </c>
      <c r="U15" s="188" t="str">
        <f>IF(ISERROR(getgrade(Broadsheet!U15,data!$H$4:$I$9)),"#",getgrade(Broadsheet!U15,data!$H$4:$I$9))</f>
        <v/>
      </c>
      <c r="V15" s="188" t="str">
        <f>IF(ISERROR(getgrade(Broadsheet!V15,data!$H$4:$I$9)),"#",getgrade(Broadsheet!V15,data!$H$4:$I$9))</f>
        <v/>
      </c>
      <c r="W15" s="188" t="str">
        <f>IF(ISERROR(getgrade(Broadsheet!W15,data!$H$4:$I$9)),"#",getgrade(Broadsheet!W15,data!$H$4:$I$9))</f>
        <v/>
      </c>
      <c r="X15" s="188" t="str">
        <f>IF(ISERROR(getgrade(Broadsheet!X15,data!$H$4:$I$9)),"#",getgrade(Broadsheet!X15,data!$H$4:$I$9))</f>
        <v/>
      </c>
      <c r="Y15" s="188" t="str">
        <f>IF(ISERROR(getgrade(Broadsheet!Y15,data!$H$4:$I$9)),"#",getgrade(Broadsheet!Y15,data!$H$4:$I$9))</f>
        <v/>
      </c>
      <c r="Z15" s="188" t="str">
        <f>IF(ISERROR(getgrade(Broadsheet!Z15,data!$H$4:$I$9)),"#",getgrade(Broadsheet!Z15,data!$H$4:$I$9))</f>
        <v/>
      </c>
      <c r="AA15" s="188" t="str">
        <f>IF(ISERROR(getgrade(Broadsheet!AA15,data!$H$4:$I$9)),"#",getgrade(Broadsheet!AA15,data!$H$4:$I$9))</f>
        <v/>
      </c>
      <c r="AB15" s="188" t="str">
        <f>IF(ISERROR(getgrade(Broadsheet!AB15,data!$H$4:$I$9)),"#",getgrade(Broadsheet!AB15,data!$H$4:$I$9))</f>
        <v/>
      </c>
      <c r="AC15" s="188" t="str">
        <f>IF(ISERROR(getgrade(Broadsheet!AC15,data!$H$4:$I$9)),"#",getgrade(Broadsheet!AC15,data!$H$4:$I$9))</f>
        <v/>
      </c>
      <c r="AD15" s="188" t="str">
        <f>IF(ISERROR(getgrade(Broadsheet!AD15,data!$H$4:$I$9)),"#",getgrade(Broadsheet!AD15,data!$H$4:$I$9))</f>
        <v/>
      </c>
      <c r="AE15" s="188" t="str">
        <f>IF(ISERROR(getgrade(Broadsheet!AE15,data!$H$4:$I$9)),"#",getgrade(Broadsheet!AE15,data!$H$4:$I$9))</f>
        <v/>
      </c>
      <c r="AF15" s="188" t="str">
        <f>IF(ISERROR(getgrade(Broadsheet!AF15,data!$H$4:$I$9)),"#",getgrade(Broadsheet!AF15,data!$H$4:$I$9))</f>
        <v/>
      </c>
      <c r="AG15" s="188" t="str">
        <f>IF(ISERROR(getgrade(Broadsheet!AG15,data!$H$4:$I$9)),"#",getgrade(Broadsheet!AG15,data!$H$4:$I$9))</f>
        <v/>
      </c>
      <c r="AH15" s="188" t="str">
        <f>IF(ISERROR(getgrade(Broadsheet!AH15,data!$H$4:$I$9)),"#",getgrade(Broadsheet!AH15,data!$H$4:$I$9))</f>
        <v/>
      </c>
      <c r="AI15" s="188" t="str">
        <f>IF(ISERROR(getgrade(Broadsheet!AI15,data!$H$4:$I$9)),"#",getgrade(Broadsheet!AI15,data!$H$4:$I$9))</f>
        <v/>
      </c>
      <c r="AJ15" s="188" t="str">
        <f>IF(ISERROR(getgrade(Broadsheet!AJ15,data!$H$4:$I$9)),"#",getgrade(Broadsheet!AJ15,data!$H$4:$I$9))</f>
        <v/>
      </c>
      <c r="AK15" s="188" t="str">
        <f>IF(ISERROR(getgrade(Broadsheet!AK15,data!$H$4:$I$9)),"#",getgrade(Broadsheet!AK15,data!$H$4:$I$9))</f>
        <v/>
      </c>
      <c r="AL15" s="188" t="str">
        <f>IF(ISERROR(getgrade(Broadsheet!AL15,data!$H$4:$I$9)),"#",getgrade(Broadsheet!AL15,data!$H$4:$I$9))</f>
        <v/>
      </c>
      <c r="AM15" s="188" t="str">
        <f>IF(ISERROR(getgrade(Broadsheet!AM15,data!$H$4:$I$9)),"#",getgrade(Broadsheet!AM15,data!$H$4:$I$9))</f>
        <v/>
      </c>
      <c r="AN15" s="188" t="str">
        <f>IF(ISERROR(getgrade(Broadsheet!AN15,data!$H$4:$I$9)),"#",getgrade(Broadsheet!AN15,data!$H$4:$I$9))</f>
        <v/>
      </c>
      <c r="AO15" s="188" t="str">
        <f>IF(ISERROR(getgrade(Broadsheet!AO15,data!$H$4:$I$9)),"#",getgrade(Broadsheet!AO15,data!$H$4:$I$9))</f>
        <v/>
      </c>
      <c r="AP15" s="188" t="str">
        <f>IF(ISERROR(getgrade(Broadsheet!AP15,data!$H$4:$I$9)),"#",getgrade(Broadsheet!AP15,data!$H$4:$I$9))</f>
        <v/>
      </c>
      <c r="AQ15" s="188" t="str">
        <f>IF(ISERROR(getgrade(Broadsheet!AQ15,data!$H$4:$I$9)),"#",getgrade(Broadsheet!AQ15,data!$H$4:$I$9))</f>
        <v/>
      </c>
      <c r="AR15" s="188" t="str">
        <f>IF(ISERROR(getgrade(Broadsheet!AR15,data!$H$4:$I$9)),"#",getgrade(Broadsheet!AR15,data!$H$4:$I$9))</f>
        <v/>
      </c>
      <c r="AS15" s="188" t="str">
        <f>IF(ISERROR(getgrade(Broadsheet!AS15,data!$H$4:$I$9)),"#",getgrade(Broadsheet!AS15,data!$H$4:$I$9))</f>
        <v/>
      </c>
      <c r="AT15" s="188" t="str">
        <f>IF(ISERROR(getgrade(Broadsheet!AT15,data!$H$4:$I$9)),"#",getgrade(Broadsheet!AT15,data!$H$4:$I$9))</f>
        <v/>
      </c>
      <c r="AU15" s="188" t="str">
        <f>IF(ISERROR(getgrade(Broadsheet!AU15,data!$H$4:$I$9)),"#",getgrade(Broadsheet!AU15,data!$H$4:$I$9))</f>
        <v/>
      </c>
      <c r="AV15" s="188" t="str">
        <f>IF(ISERROR(getgrade(Broadsheet!AV15,data!$H$4:$I$9)),"#",getgrade(Broadsheet!AV15,data!$H$4:$I$9))</f>
        <v/>
      </c>
      <c r="AW15" s="188" t="str">
        <f>IF(ISERROR(getgrade(Broadsheet!AW15,data!$H$4:$I$9)),"#",getgrade(Broadsheet!AW15,data!$H$4:$I$9))</f>
        <v/>
      </c>
      <c r="AX15" s="188" t="str">
        <f>IF(ISERROR(getgrade(Broadsheet!AX15,data!$H$4:$I$9)),"#",getgrade(Broadsheet!AX15,data!$H$4:$I$9))</f>
        <v/>
      </c>
      <c r="AY15" s="188" t="str">
        <f>IF(ISERROR(getgrade(Broadsheet!AY15,data!$H$4:$I$9)),"#",getgrade(Broadsheet!AY15,data!$H$4:$I$9))</f>
        <v/>
      </c>
      <c r="AZ15" s="188" t="str">
        <f>IF(ISERROR(getgrade(Broadsheet!AZ15,data!$H$4:$I$9)),"#",getgrade(Broadsheet!AZ15,data!$H$4:$I$9))</f>
        <v/>
      </c>
      <c r="BA15" s="188" t="str">
        <f>IF(ISERROR(getgrade(Broadsheet!BA15,data!$H$4:$I$9)),"#",getgrade(Broadsheet!BA15,data!$H$4:$I$9))</f>
        <v/>
      </c>
      <c r="BB15" s="188" t="str">
        <f>IF(ISERROR(getgrade(Broadsheet!BB15,data!$H$4:$I$9)),"#",getgrade(Broadsheet!BB15,data!$H$4:$I$9))</f>
        <v/>
      </c>
      <c r="BC15" s="188" t="str">
        <f>IF(ISERROR(getgrade(Broadsheet!BC15,data!$H$4:$I$9)),"#",getgrade(Broadsheet!BC15,data!$H$4:$I$9))</f>
        <v/>
      </c>
      <c r="BD15" s="188" t="str">
        <f>IF(ISERROR(getgrade(Broadsheet!BD15,data!$H$4:$I$9)),"#",getgrade(Broadsheet!BD15,data!$H$4:$I$9))</f>
        <v/>
      </c>
      <c r="BE15" s="188" t="str">
        <f>IF(ISERROR(getgrade(Broadsheet!BE15,data!$H$4:$I$9)),"#",getgrade(Broadsheet!BE15,data!$H$4:$I$9))</f>
        <v/>
      </c>
      <c r="BF15" s="188" t="str">
        <f>IF(ISERROR(getgrade(Broadsheet!BF15,data!$H$4:$I$9)),"#",getgrade(Broadsheet!BF15,data!$H$4:$I$9))</f>
        <v/>
      </c>
      <c r="BG15" s="188" t="str">
        <f>IF(ISERROR(getgrade(Broadsheet!BG15,data!$H$4:$I$9)),"#",getgrade(Broadsheet!BG15,data!$H$4:$I$9))</f>
        <v/>
      </c>
      <c r="BH15" s="188" t="str">
        <f>IF(ISERROR(getgrade(Broadsheet!BH15,data!$H$4:$I$9)),"#",getgrade(Broadsheet!BH15,data!$H$4:$I$9))</f>
        <v/>
      </c>
      <c r="BI15" s="188" t="str">
        <f>IF(ISERROR(getgrade(Broadsheet!BI15,data!$H$4:$I$9)),"#",getgrade(Broadsheet!BI15,data!$H$4:$I$9))</f>
        <v/>
      </c>
      <c r="BJ15" s="188" t="str">
        <f>IF(ISERROR(getgrade(Broadsheet!BJ15,data!$H$4:$I$9)),"#",getgrade(Broadsheet!BJ15,data!$H$4:$I$9))</f>
        <v/>
      </c>
      <c r="BK15" s="188"/>
      <c r="BL15" s="188"/>
      <c r="BM15" s="188"/>
      <c r="BN15" s="188"/>
      <c r="BO15" s="188"/>
      <c r="BP15" s="188"/>
      <c r="BQ15" s="188"/>
      <c r="BR15" s="188"/>
      <c r="BS15" s="188"/>
      <c r="BT15" s="188"/>
      <c r="BU15" s="188"/>
      <c r="BV15" s="188"/>
      <c r="BW15" s="188"/>
      <c r="BX15" s="188"/>
      <c r="BY15" s="188"/>
      <c r="BZ15" s="188"/>
      <c r="CA15" s="188"/>
      <c r="CB15" s="188"/>
      <c r="CC15" s="188"/>
      <c r="CD15" s="188"/>
      <c r="CE15" s="188"/>
      <c r="CF15" s="188"/>
      <c r="CG15" s="188"/>
      <c r="CH15" s="188"/>
      <c r="CI15" s="188"/>
      <c r="CJ15" s="188"/>
      <c r="CK15" s="188"/>
      <c r="CL15" s="188"/>
      <c r="CM15" s="188"/>
      <c r="CN15" s="188"/>
      <c r="CO15" s="188"/>
      <c r="CP15" s="188"/>
      <c r="CQ15" s="188"/>
      <c r="CR15" s="188"/>
      <c r="CS15" s="188"/>
      <c r="CT15" s="188"/>
      <c r="CU15" s="188"/>
      <c r="CV15" s="188"/>
      <c r="CW15" s="188"/>
      <c r="CX15" s="188"/>
      <c r="CY15" s="188"/>
      <c r="CZ15" s="188"/>
      <c r="DA15" s="188"/>
      <c r="DB15" s="188"/>
      <c r="DC15" s="188"/>
      <c r="DD15" s="188"/>
      <c r="DE15" s="188"/>
      <c r="DF15" s="188"/>
      <c r="DG15" s="188"/>
      <c r="DH15" s="188"/>
      <c r="DI15" s="188"/>
      <c r="DJ15" s="188"/>
      <c r="DK15" s="188"/>
      <c r="DL15" s="188"/>
      <c r="DM15" s="188"/>
      <c r="DN15" s="188"/>
      <c r="DO15" s="188"/>
      <c r="DP15" s="188"/>
      <c r="DQ15" s="188"/>
      <c r="DR15" s="188"/>
      <c r="DS15" s="188"/>
      <c r="DT15" s="188"/>
      <c r="DU15" s="188"/>
      <c r="DV15" s="188"/>
      <c r="DW15" s="188"/>
      <c r="DX15" s="188"/>
      <c r="DY15" s="188"/>
      <c r="DZ15" s="188"/>
      <c r="EA15" s="188"/>
    </row>
    <row r="16" spans="1:131" ht="15.75" x14ac:dyDescent="0.25">
      <c r="A16" s="12">
        <f>Broadsheet!A16</f>
        <v>0</v>
      </c>
      <c r="B16" s="204" t="str">
        <f>IF(Broadsheet!B16="","",Broadsheet!B16)</f>
        <v/>
      </c>
      <c r="C16" s="24" t="str">
        <f>IF(Broadsheet!C16="","",Broadsheet!C16)</f>
        <v xml:space="preserve"> </v>
      </c>
      <c r="D16" s="24"/>
      <c r="E16" s="24"/>
      <c r="F16" s="24"/>
      <c r="G16" s="24" t="str">
        <f t="shared" si="0"/>
        <v/>
      </c>
      <c r="H16" s="188" t="str">
        <f>IF(ISERROR(getgrade(Broadsheet!H16,data!$H$4:$I$9)),"#",getgrade(Broadsheet!H16,data!$H$4:$I$9))</f>
        <v/>
      </c>
      <c r="I16" s="188" t="str">
        <f>IF(ISERROR(getgrade(Broadsheet!I16,data!$H$4:$I$9)),"#",getgrade(Broadsheet!I16,data!$H$4:$I$9))</f>
        <v/>
      </c>
      <c r="J16" s="188" t="str">
        <f>IF(ISERROR(getgrade(Broadsheet!J16,data!$H$4:$I$9)),"#",getgrade(Broadsheet!J16,data!$H$4:$I$9))</f>
        <v/>
      </c>
      <c r="K16" s="188" t="str">
        <f>IF(ISERROR(getgrade(Broadsheet!K16,data!$H$4:$I$9)),"#",getgrade(Broadsheet!K16,data!$H$4:$I$9))</f>
        <v/>
      </c>
      <c r="L16" s="188" t="str">
        <f>IF(ISERROR(getgrade(Broadsheet!L16,data!$H$4:$I$9)),"#",getgrade(Broadsheet!L16,data!$H$4:$I$9))</f>
        <v/>
      </c>
      <c r="M16" s="188" t="str">
        <f>IF(ISERROR(getgrade(Broadsheet!M16,data!$H$4:$I$9)),"#",getgrade(Broadsheet!M16,data!$H$4:$I$9))</f>
        <v/>
      </c>
      <c r="N16" s="188" t="str">
        <f>IF(ISERROR(getgrade(Broadsheet!N16,data!$H$4:$I$9)),"#",getgrade(Broadsheet!N16,data!$H$4:$I$9))</f>
        <v/>
      </c>
      <c r="O16" s="188" t="str">
        <f>IF(ISERROR(getgrade(Broadsheet!O16,data!$H$4:$I$9)),"#",getgrade(Broadsheet!O16,data!$H$4:$I$9))</f>
        <v/>
      </c>
      <c r="P16" s="188" t="str">
        <f>IF(ISERROR(getgrade(Broadsheet!P16,data!$H$4:$I$9)),"#",getgrade(Broadsheet!P16,data!$H$4:$I$9))</f>
        <v/>
      </c>
      <c r="Q16" s="188" t="str">
        <f>IF(ISERROR(getgrade(Broadsheet!Q16,data!$H$4:$I$9)),"#",getgrade(Broadsheet!Q16,data!$H$4:$I$9))</f>
        <v/>
      </c>
      <c r="R16" s="188" t="str">
        <f>IF(ISERROR(getgrade(Broadsheet!R16,data!$H$4:$I$9)),"#",getgrade(Broadsheet!R16,data!$H$4:$I$9))</f>
        <v/>
      </c>
      <c r="S16" s="188" t="str">
        <f>IF(ISERROR(getgrade(Broadsheet!S16,data!$H$4:$I$9)),"#",getgrade(Broadsheet!S16,data!$H$4:$I$9))</f>
        <v/>
      </c>
      <c r="T16" s="188" t="str">
        <f>IF(ISERROR(getgrade(Broadsheet!T16,data!$H$4:$I$9)),"#",getgrade(Broadsheet!T16,data!$H$4:$I$9))</f>
        <v/>
      </c>
      <c r="U16" s="188" t="str">
        <f>IF(ISERROR(getgrade(Broadsheet!U16,data!$H$4:$I$9)),"#",getgrade(Broadsheet!U16,data!$H$4:$I$9))</f>
        <v/>
      </c>
      <c r="V16" s="188" t="str">
        <f>IF(ISERROR(getgrade(Broadsheet!V16,data!$H$4:$I$9)),"#",getgrade(Broadsheet!V16,data!$H$4:$I$9))</f>
        <v/>
      </c>
      <c r="W16" s="188" t="str">
        <f>IF(ISERROR(getgrade(Broadsheet!W16,data!$H$4:$I$9)),"#",getgrade(Broadsheet!W16,data!$H$4:$I$9))</f>
        <v/>
      </c>
      <c r="X16" s="188" t="str">
        <f>IF(ISERROR(getgrade(Broadsheet!X16,data!$H$4:$I$9)),"#",getgrade(Broadsheet!X16,data!$H$4:$I$9))</f>
        <v/>
      </c>
      <c r="Y16" s="188" t="str">
        <f>IF(ISERROR(getgrade(Broadsheet!Y16,data!$H$4:$I$9)),"#",getgrade(Broadsheet!Y16,data!$H$4:$I$9))</f>
        <v/>
      </c>
      <c r="Z16" s="188" t="str">
        <f>IF(ISERROR(getgrade(Broadsheet!Z16,data!$H$4:$I$9)),"#",getgrade(Broadsheet!Z16,data!$H$4:$I$9))</f>
        <v/>
      </c>
      <c r="AA16" s="188" t="str">
        <f>IF(ISERROR(getgrade(Broadsheet!AA16,data!$H$4:$I$9)),"#",getgrade(Broadsheet!AA16,data!$H$4:$I$9))</f>
        <v/>
      </c>
      <c r="AB16" s="188" t="str">
        <f>IF(ISERROR(getgrade(Broadsheet!AB16,data!$H$4:$I$9)),"#",getgrade(Broadsheet!AB16,data!$H$4:$I$9))</f>
        <v/>
      </c>
      <c r="AC16" s="188" t="str">
        <f>IF(ISERROR(getgrade(Broadsheet!AC16,data!$H$4:$I$9)),"#",getgrade(Broadsheet!AC16,data!$H$4:$I$9))</f>
        <v/>
      </c>
      <c r="AD16" s="188" t="str">
        <f>IF(ISERROR(getgrade(Broadsheet!AD16,data!$H$4:$I$9)),"#",getgrade(Broadsheet!AD16,data!$H$4:$I$9))</f>
        <v/>
      </c>
      <c r="AE16" s="188" t="str">
        <f>IF(ISERROR(getgrade(Broadsheet!AE16,data!$H$4:$I$9)),"#",getgrade(Broadsheet!AE16,data!$H$4:$I$9))</f>
        <v/>
      </c>
      <c r="AF16" s="188" t="str">
        <f>IF(ISERROR(getgrade(Broadsheet!AF16,data!$H$4:$I$9)),"#",getgrade(Broadsheet!AF16,data!$H$4:$I$9))</f>
        <v/>
      </c>
      <c r="AG16" s="188" t="str">
        <f>IF(ISERROR(getgrade(Broadsheet!AG16,data!$H$4:$I$9)),"#",getgrade(Broadsheet!AG16,data!$H$4:$I$9))</f>
        <v/>
      </c>
      <c r="AH16" s="188" t="str">
        <f>IF(ISERROR(getgrade(Broadsheet!AH16,data!$H$4:$I$9)),"#",getgrade(Broadsheet!AH16,data!$H$4:$I$9))</f>
        <v/>
      </c>
      <c r="AI16" s="188" t="str">
        <f>IF(ISERROR(getgrade(Broadsheet!AI16,data!$H$4:$I$9)),"#",getgrade(Broadsheet!AI16,data!$H$4:$I$9))</f>
        <v/>
      </c>
      <c r="AJ16" s="188" t="str">
        <f>IF(ISERROR(getgrade(Broadsheet!AJ16,data!$H$4:$I$9)),"#",getgrade(Broadsheet!AJ16,data!$H$4:$I$9))</f>
        <v/>
      </c>
      <c r="AK16" s="188" t="str">
        <f>IF(ISERROR(getgrade(Broadsheet!AK16,data!$H$4:$I$9)),"#",getgrade(Broadsheet!AK16,data!$H$4:$I$9))</f>
        <v/>
      </c>
      <c r="AL16" s="188" t="str">
        <f>IF(ISERROR(getgrade(Broadsheet!AL16,data!$H$4:$I$9)),"#",getgrade(Broadsheet!AL16,data!$H$4:$I$9))</f>
        <v/>
      </c>
      <c r="AM16" s="188" t="str">
        <f>IF(ISERROR(getgrade(Broadsheet!AM16,data!$H$4:$I$9)),"#",getgrade(Broadsheet!AM16,data!$H$4:$I$9))</f>
        <v/>
      </c>
      <c r="AN16" s="188" t="str">
        <f>IF(ISERROR(getgrade(Broadsheet!AN16,data!$H$4:$I$9)),"#",getgrade(Broadsheet!AN16,data!$H$4:$I$9))</f>
        <v/>
      </c>
      <c r="AO16" s="188" t="str">
        <f>IF(ISERROR(getgrade(Broadsheet!AO16,data!$H$4:$I$9)),"#",getgrade(Broadsheet!AO16,data!$H$4:$I$9))</f>
        <v/>
      </c>
      <c r="AP16" s="188" t="str">
        <f>IF(ISERROR(getgrade(Broadsheet!AP16,data!$H$4:$I$9)),"#",getgrade(Broadsheet!AP16,data!$H$4:$I$9))</f>
        <v/>
      </c>
      <c r="AQ16" s="188" t="str">
        <f>IF(ISERROR(getgrade(Broadsheet!AQ16,data!$H$4:$I$9)),"#",getgrade(Broadsheet!AQ16,data!$H$4:$I$9))</f>
        <v/>
      </c>
      <c r="AR16" s="188" t="str">
        <f>IF(ISERROR(getgrade(Broadsheet!AR16,data!$H$4:$I$9)),"#",getgrade(Broadsheet!AR16,data!$H$4:$I$9))</f>
        <v/>
      </c>
      <c r="AS16" s="188" t="str">
        <f>IF(ISERROR(getgrade(Broadsheet!AS16,data!$H$4:$I$9)),"#",getgrade(Broadsheet!AS16,data!$H$4:$I$9))</f>
        <v/>
      </c>
      <c r="AT16" s="188" t="str">
        <f>IF(ISERROR(getgrade(Broadsheet!AT16,data!$H$4:$I$9)),"#",getgrade(Broadsheet!AT16,data!$H$4:$I$9))</f>
        <v/>
      </c>
      <c r="AU16" s="188" t="str">
        <f>IF(ISERROR(getgrade(Broadsheet!AU16,data!$H$4:$I$9)),"#",getgrade(Broadsheet!AU16,data!$H$4:$I$9))</f>
        <v/>
      </c>
      <c r="AV16" s="188" t="str">
        <f>IF(ISERROR(getgrade(Broadsheet!AV16,data!$H$4:$I$9)),"#",getgrade(Broadsheet!AV16,data!$H$4:$I$9))</f>
        <v/>
      </c>
      <c r="AW16" s="188" t="str">
        <f>IF(ISERROR(getgrade(Broadsheet!AW16,data!$H$4:$I$9)),"#",getgrade(Broadsheet!AW16,data!$H$4:$I$9))</f>
        <v/>
      </c>
      <c r="AX16" s="188" t="str">
        <f>IF(ISERROR(getgrade(Broadsheet!AX16,data!$H$4:$I$9)),"#",getgrade(Broadsheet!AX16,data!$H$4:$I$9))</f>
        <v/>
      </c>
      <c r="AY16" s="188" t="str">
        <f>IF(ISERROR(getgrade(Broadsheet!AY16,data!$H$4:$I$9)),"#",getgrade(Broadsheet!AY16,data!$H$4:$I$9))</f>
        <v/>
      </c>
      <c r="AZ16" s="188" t="str">
        <f>IF(ISERROR(getgrade(Broadsheet!AZ16,data!$H$4:$I$9)),"#",getgrade(Broadsheet!AZ16,data!$H$4:$I$9))</f>
        <v/>
      </c>
      <c r="BA16" s="188" t="str">
        <f>IF(ISERROR(getgrade(Broadsheet!BA16,data!$H$4:$I$9)),"#",getgrade(Broadsheet!BA16,data!$H$4:$I$9))</f>
        <v/>
      </c>
      <c r="BB16" s="188" t="str">
        <f>IF(ISERROR(getgrade(Broadsheet!BB16,data!$H$4:$I$9)),"#",getgrade(Broadsheet!BB16,data!$H$4:$I$9))</f>
        <v/>
      </c>
      <c r="BC16" s="188" t="str">
        <f>IF(ISERROR(getgrade(Broadsheet!BC16,data!$H$4:$I$9)),"#",getgrade(Broadsheet!BC16,data!$H$4:$I$9))</f>
        <v/>
      </c>
      <c r="BD16" s="188" t="str">
        <f>IF(ISERROR(getgrade(Broadsheet!BD16,data!$H$4:$I$9)),"#",getgrade(Broadsheet!BD16,data!$H$4:$I$9))</f>
        <v/>
      </c>
      <c r="BE16" s="188" t="str">
        <f>IF(ISERROR(getgrade(Broadsheet!BE16,data!$H$4:$I$9)),"#",getgrade(Broadsheet!BE16,data!$H$4:$I$9))</f>
        <v/>
      </c>
      <c r="BF16" s="188" t="str">
        <f>IF(ISERROR(getgrade(Broadsheet!BF16,data!$H$4:$I$9)),"#",getgrade(Broadsheet!BF16,data!$H$4:$I$9))</f>
        <v/>
      </c>
      <c r="BG16" s="188" t="str">
        <f>IF(ISERROR(getgrade(Broadsheet!BG16,data!$H$4:$I$9)),"#",getgrade(Broadsheet!BG16,data!$H$4:$I$9))</f>
        <v/>
      </c>
      <c r="BH16" s="188" t="str">
        <f>IF(ISERROR(getgrade(Broadsheet!BH16,data!$H$4:$I$9)),"#",getgrade(Broadsheet!BH16,data!$H$4:$I$9))</f>
        <v/>
      </c>
      <c r="BI16" s="188" t="str">
        <f>IF(ISERROR(getgrade(Broadsheet!BI16,data!$H$4:$I$9)),"#",getgrade(Broadsheet!BI16,data!$H$4:$I$9))</f>
        <v/>
      </c>
      <c r="BJ16" s="188" t="str">
        <f>IF(ISERROR(getgrade(Broadsheet!BJ16,data!$H$4:$I$9)),"#",getgrade(Broadsheet!BJ16,data!$H$4:$I$9))</f>
        <v/>
      </c>
      <c r="BK16" s="188"/>
      <c r="BL16" s="188"/>
      <c r="BM16" s="188"/>
      <c r="BN16" s="188"/>
      <c r="BO16" s="188"/>
      <c r="BP16" s="188"/>
      <c r="BQ16" s="188"/>
      <c r="BR16" s="188"/>
      <c r="BS16" s="188"/>
      <c r="BT16" s="188"/>
      <c r="BU16" s="188"/>
      <c r="BV16" s="188"/>
      <c r="BW16" s="188"/>
      <c r="BX16" s="188"/>
      <c r="BY16" s="188"/>
      <c r="BZ16" s="188"/>
      <c r="CA16" s="188"/>
      <c r="CB16" s="188"/>
      <c r="CC16" s="188"/>
      <c r="CD16" s="188"/>
      <c r="CE16" s="188"/>
      <c r="CF16" s="188"/>
      <c r="CG16" s="188"/>
      <c r="CH16" s="188"/>
      <c r="CI16" s="188"/>
      <c r="CJ16" s="188"/>
      <c r="CK16" s="188"/>
      <c r="CL16" s="188"/>
      <c r="CM16" s="188"/>
      <c r="CN16" s="188"/>
      <c r="CO16" s="188"/>
      <c r="CP16" s="188"/>
      <c r="CQ16" s="188"/>
      <c r="CR16" s="188"/>
      <c r="CS16" s="188"/>
      <c r="CT16" s="188"/>
      <c r="CU16" s="188"/>
      <c r="CV16" s="188"/>
      <c r="CW16" s="188"/>
      <c r="CX16" s="188"/>
      <c r="CY16" s="188"/>
      <c r="CZ16" s="188"/>
      <c r="DA16" s="188"/>
      <c r="DB16" s="188"/>
      <c r="DC16" s="188"/>
      <c r="DD16" s="188"/>
      <c r="DE16" s="188"/>
      <c r="DF16" s="188"/>
      <c r="DG16" s="188"/>
      <c r="DH16" s="188"/>
      <c r="DI16" s="188"/>
      <c r="DJ16" s="188"/>
      <c r="DK16" s="188"/>
      <c r="DL16" s="188"/>
      <c r="DM16" s="188"/>
      <c r="DN16" s="188"/>
      <c r="DO16" s="188"/>
      <c r="DP16" s="188"/>
      <c r="DQ16" s="188"/>
      <c r="DR16" s="188"/>
      <c r="DS16" s="188"/>
      <c r="DT16" s="188"/>
      <c r="DU16" s="188"/>
      <c r="DV16" s="188"/>
      <c r="DW16" s="188"/>
      <c r="DX16" s="188"/>
      <c r="DY16" s="188"/>
      <c r="DZ16" s="188"/>
      <c r="EA16" s="188"/>
    </row>
    <row r="17" spans="1:131" ht="15.75" x14ac:dyDescent="0.25">
      <c r="A17" s="12">
        <f>Broadsheet!A17</f>
        <v>0</v>
      </c>
      <c r="B17" s="204" t="str">
        <f>IF(Broadsheet!B17="","",Broadsheet!B17)</f>
        <v/>
      </c>
      <c r="C17" s="24" t="str">
        <f>IF(Broadsheet!C17="","",Broadsheet!C17)</f>
        <v xml:space="preserve"> </v>
      </c>
      <c r="D17" s="24"/>
      <c r="E17" s="24"/>
      <c r="F17" s="24"/>
      <c r="G17" s="24" t="str">
        <f t="shared" si="0"/>
        <v/>
      </c>
      <c r="H17" s="188" t="str">
        <f>IF(ISERROR(getgrade(Broadsheet!H17,data!$H$4:$I$9)),"#",getgrade(Broadsheet!H17,data!$H$4:$I$9))</f>
        <v/>
      </c>
      <c r="I17" s="188" t="str">
        <f>IF(ISERROR(getgrade(Broadsheet!I17,data!$H$4:$I$9)),"#",getgrade(Broadsheet!I17,data!$H$4:$I$9))</f>
        <v/>
      </c>
      <c r="J17" s="188" t="str">
        <f>IF(ISERROR(getgrade(Broadsheet!J17,data!$H$4:$I$9)),"#",getgrade(Broadsheet!J17,data!$H$4:$I$9))</f>
        <v/>
      </c>
      <c r="K17" s="188" t="str">
        <f>IF(ISERROR(getgrade(Broadsheet!K17,data!$H$4:$I$9)),"#",getgrade(Broadsheet!K17,data!$H$4:$I$9))</f>
        <v/>
      </c>
      <c r="L17" s="188" t="str">
        <f>IF(ISERROR(getgrade(Broadsheet!L17,data!$H$4:$I$9)),"#",getgrade(Broadsheet!L17,data!$H$4:$I$9))</f>
        <v/>
      </c>
      <c r="M17" s="188" t="str">
        <f>IF(ISERROR(getgrade(Broadsheet!M17,data!$H$4:$I$9)),"#",getgrade(Broadsheet!M17,data!$H$4:$I$9))</f>
        <v/>
      </c>
      <c r="N17" s="188" t="str">
        <f>IF(ISERROR(getgrade(Broadsheet!N17,data!$H$4:$I$9)),"#",getgrade(Broadsheet!N17,data!$H$4:$I$9))</f>
        <v/>
      </c>
      <c r="O17" s="188" t="str">
        <f>IF(ISERROR(getgrade(Broadsheet!O17,data!$H$4:$I$9)),"#",getgrade(Broadsheet!O17,data!$H$4:$I$9))</f>
        <v/>
      </c>
      <c r="P17" s="188" t="str">
        <f>IF(ISERROR(getgrade(Broadsheet!P17,data!$H$4:$I$9)),"#",getgrade(Broadsheet!P17,data!$H$4:$I$9))</f>
        <v/>
      </c>
      <c r="Q17" s="188" t="str">
        <f>IF(ISERROR(getgrade(Broadsheet!Q17,data!$H$4:$I$9)),"#",getgrade(Broadsheet!Q17,data!$H$4:$I$9))</f>
        <v/>
      </c>
      <c r="R17" s="188" t="str">
        <f>IF(ISERROR(getgrade(Broadsheet!R17,data!$H$4:$I$9)),"#",getgrade(Broadsheet!R17,data!$H$4:$I$9))</f>
        <v/>
      </c>
      <c r="S17" s="188" t="str">
        <f>IF(ISERROR(getgrade(Broadsheet!S17,data!$H$4:$I$9)),"#",getgrade(Broadsheet!S17,data!$H$4:$I$9))</f>
        <v/>
      </c>
      <c r="T17" s="188" t="str">
        <f>IF(ISERROR(getgrade(Broadsheet!T17,data!$H$4:$I$9)),"#",getgrade(Broadsheet!T17,data!$H$4:$I$9))</f>
        <v/>
      </c>
      <c r="U17" s="188" t="str">
        <f>IF(ISERROR(getgrade(Broadsheet!U17,data!$H$4:$I$9)),"#",getgrade(Broadsheet!U17,data!$H$4:$I$9))</f>
        <v/>
      </c>
      <c r="V17" s="188" t="str">
        <f>IF(ISERROR(getgrade(Broadsheet!V17,data!$H$4:$I$9)),"#",getgrade(Broadsheet!V17,data!$H$4:$I$9))</f>
        <v/>
      </c>
      <c r="W17" s="188" t="str">
        <f>IF(ISERROR(getgrade(Broadsheet!W17,data!$H$4:$I$9)),"#",getgrade(Broadsheet!W17,data!$H$4:$I$9))</f>
        <v/>
      </c>
      <c r="X17" s="188" t="str">
        <f>IF(ISERROR(getgrade(Broadsheet!X17,data!$H$4:$I$9)),"#",getgrade(Broadsheet!X17,data!$H$4:$I$9))</f>
        <v/>
      </c>
      <c r="Y17" s="188" t="str">
        <f>IF(ISERROR(getgrade(Broadsheet!Y17,data!$H$4:$I$9)),"#",getgrade(Broadsheet!Y17,data!$H$4:$I$9))</f>
        <v/>
      </c>
      <c r="Z17" s="188" t="str">
        <f>IF(ISERROR(getgrade(Broadsheet!Z17,data!$H$4:$I$9)),"#",getgrade(Broadsheet!Z17,data!$H$4:$I$9))</f>
        <v/>
      </c>
      <c r="AA17" s="188" t="str">
        <f>IF(ISERROR(getgrade(Broadsheet!AA17,data!$H$4:$I$9)),"#",getgrade(Broadsheet!AA17,data!$H$4:$I$9))</f>
        <v/>
      </c>
      <c r="AB17" s="188" t="str">
        <f>IF(ISERROR(getgrade(Broadsheet!AB17,data!$H$4:$I$9)),"#",getgrade(Broadsheet!AB17,data!$H$4:$I$9))</f>
        <v/>
      </c>
      <c r="AC17" s="188" t="str">
        <f>IF(ISERROR(getgrade(Broadsheet!AC17,data!$H$4:$I$9)),"#",getgrade(Broadsheet!AC17,data!$H$4:$I$9))</f>
        <v/>
      </c>
      <c r="AD17" s="188" t="str">
        <f>IF(ISERROR(getgrade(Broadsheet!AD17,data!$H$4:$I$9)),"#",getgrade(Broadsheet!AD17,data!$H$4:$I$9))</f>
        <v/>
      </c>
      <c r="AE17" s="188" t="str">
        <f>IF(ISERROR(getgrade(Broadsheet!AE17,data!$H$4:$I$9)),"#",getgrade(Broadsheet!AE17,data!$H$4:$I$9))</f>
        <v/>
      </c>
      <c r="AF17" s="188" t="str">
        <f>IF(ISERROR(getgrade(Broadsheet!AF17,data!$H$4:$I$9)),"#",getgrade(Broadsheet!AF17,data!$H$4:$I$9))</f>
        <v/>
      </c>
      <c r="AG17" s="188" t="str">
        <f>IF(ISERROR(getgrade(Broadsheet!AG17,data!$H$4:$I$9)),"#",getgrade(Broadsheet!AG17,data!$H$4:$I$9))</f>
        <v/>
      </c>
      <c r="AH17" s="188" t="str">
        <f>IF(ISERROR(getgrade(Broadsheet!AH17,data!$H$4:$I$9)),"#",getgrade(Broadsheet!AH17,data!$H$4:$I$9))</f>
        <v/>
      </c>
      <c r="AI17" s="188" t="str">
        <f>IF(ISERROR(getgrade(Broadsheet!AI17,data!$H$4:$I$9)),"#",getgrade(Broadsheet!AI17,data!$H$4:$I$9))</f>
        <v/>
      </c>
      <c r="AJ17" s="188" t="str">
        <f>IF(ISERROR(getgrade(Broadsheet!AJ17,data!$H$4:$I$9)),"#",getgrade(Broadsheet!AJ17,data!$H$4:$I$9))</f>
        <v/>
      </c>
      <c r="AK17" s="188" t="str">
        <f>IF(ISERROR(getgrade(Broadsheet!AK17,data!$H$4:$I$9)),"#",getgrade(Broadsheet!AK17,data!$H$4:$I$9))</f>
        <v/>
      </c>
      <c r="AL17" s="188" t="str">
        <f>IF(ISERROR(getgrade(Broadsheet!AL17,data!$H$4:$I$9)),"#",getgrade(Broadsheet!AL17,data!$H$4:$I$9))</f>
        <v/>
      </c>
      <c r="AM17" s="188" t="str">
        <f>IF(ISERROR(getgrade(Broadsheet!AM17,data!$H$4:$I$9)),"#",getgrade(Broadsheet!AM17,data!$H$4:$I$9))</f>
        <v/>
      </c>
      <c r="AN17" s="188" t="str">
        <f>IF(ISERROR(getgrade(Broadsheet!AN17,data!$H$4:$I$9)),"#",getgrade(Broadsheet!AN17,data!$H$4:$I$9))</f>
        <v/>
      </c>
      <c r="AO17" s="188" t="str">
        <f>IF(ISERROR(getgrade(Broadsheet!AO17,data!$H$4:$I$9)),"#",getgrade(Broadsheet!AO17,data!$H$4:$I$9))</f>
        <v/>
      </c>
      <c r="AP17" s="188" t="str">
        <f>IF(ISERROR(getgrade(Broadsheet!AP17,data!$H$4:$I$9)),"#",getgrade(Broadsheet!AP17,data!$H$4:$I$9))</f>
        <v/>
      </c>
      <c r="AQ17" s="188" t="str">
        <f>IF(ISERROR(getgrade(Broadsheet!AQ17,data!$H$4:$I$9)),"#",getgrade(Broadsheet!AQ17,data!$H$4:$I$9))</f>
        <v/>
      </c>
      <c r="AR17" s="188" t="str">
        <f>IF(ISERROR(getgrade(Broadsheet!AR17,data!$H$4:$I$9)),"#",getgrade(Broadsheet!AR17,data!$H$4:$I$9))</f>
        <v/>
      </c>
      <c r="AS17" s="188" t="str">
        <f>IF(ISERROR(getgrade(Broadsheet!AS17,data!$H$4:$I$9)),"#",getgrade(Broadsheet!AS17,data!$H$4:$I$9))</f>
        <v/>
      </c>
      <c r="AT17" s="188" t="str">
        <f>IF(ISERROR(getgrade(Broadsheet!AT17,data!$H$4:$I$9)),"#",getgrade(Broadsheet!AT17,data!$H$4:$I$9))</f>
        <v/>
      </c>
      <c r="AU17" s="188" t="str">
        <f>IF(ISERROR(getgrade(Broadsheet!AU17,data!$H$4:$I$9)),"#",getgrade(Broadsheet!AU17,data!$H$4:$I$9))</f>
        <v/>
      </c>
      <c r="AV17" s="188" t="str">
        <f>IF(ISERROR(getgrade(Broadsheet!AV17,data!$H$4:$I$9)),"#",getgrade(Broadsheet!AV17,data!$H$4:$I$9))</f>
        <v/>
      </c>
      <c r="AW17" s="188" t="str">
        <f>IF(ISERROR(getgrade(Broadsheet!AW17,data!$H$4:$I$9)),"#",getgrade(Broadsheet!AW17,data!$H$4:$I$9))</f>
        <v/>
      </c>
      <c r="AX17" s="188" t="str">
        <f>IF(ISERROR(getgrade(Broadsheet!AX17,data!$H$4:$I$9)),"#",getgrade(Broadsheet!AX17,data!$H$4:$I$9))</f>
        <v/>
      </c>
      <c r="AY17" s="188" t="str">
        <f>IF(ISERROR(getgrade(Broadsheet!AY17,data!$H$4:$I$9)),"#",getgrade(Broadsheet!AY17,data!$H$4:$I$9))</f>
        <v/>
      </c>
      <c r="AZ17" s="188" t="str">
        <f>IF(ISERROR(getgrade(Broadsheet!AZ17,data!$H$4:$I$9)),"#",getgrade(Broadsheet!AZ17,data!$H$4:$I$9))</f>
        <v/>
      </c>
      <c r="BA17" s="188" t="str">
        <f>IF(ISERROR(getgrade(Broadsheet!BA17,data!$H$4:$I$9)),"#",getgrade(Broadsheet!BA17,data!$H$4:$I$9))</f>
        <v/>
      </c>
      <c r="BB17" s="188" t="str">
        <f>IF(ISERROR(getgrade(Broadsheet!BB17,data!$H$4:$I$9)),"#",getgrade(Broadsheet!BB17,data!$H$4:$I$9))</f>
        <v/>
      </c>
      <c r="BC17" s="188" t="str">
        <f>IF(ISERROR(getgrade(Broadsheet!BC17,data!$H$4:$I$9)),"#",getgrade(Broadsheet!BC17,data!$H$4:$I$9))</f>
        <v/>
      </c>
      <c r="BD17" s="188" t="str">
        <f>IF(ISERROR(getgrade(Broadsheet!BD17,data!$H$4:$I$9)),"#",getgrade(Broadsheet!BD17,data!$H$4:$I$9))</f>
        <v/>
      </c>
      <c r="BE17" s="188" t="str">
        <f>IF(ISERROR(getgrade(Broadsheet!BE17,data!$H$4:$I$9)),"#",getgrade(Broadsheet!BE17,data!$H$4:$I$9))</f>
        <v/>
      </c>
      <c r="BF17" s="188" t="str">
        <f>IF(ISERROR(getgrade(Broadsheet!BF17,data!$H$4:$I$9)),"#",getgrade(Broadsheet!BF17,data!$H$4:$I$9))</f>
        <v/>
      </c>
      <c r="BG17" s="188" t="str">
        <f>IF(ISERROR(getgrade(Broadsheet!BG17,data!$H$4:$I$9)),"#",getgrade(Broadsheet!BG17,data!$H$4:$I$9))</f>
        <v/>
      </c>
      <c r="BH17" s="188" t="str">
        <f>IF(ISERROR(getgrade(Broadsheet!BH17,data!$H$4:$I$9)),"#",getgrade(Broadsheet!BH17,data!$H$4:$I$9))</f>
        <v/>
      </c>
      <c r="BI17" s="188" t="str">
        <f>IF(ISERROR(getgrade(Broadsheet!BI17,data!$H$4:$I$9)),"#",getgrade(Broadsheet!BI17,data!$H$4:$I$9))</f>
        <v/>
      </c>
      <c r="BJ17" s="188" t="str">
        <f>IF(ISERROR(getgrade(Broadsheet!BJ17,data!$H$4:$I$9)),"#",getgrade(Broadsheet!BJ17,data!$H$4:$I$9))</f>
        <v/>
      </c>
      <c r="BK17" s="188"/>
      <c r="BL17" s="188"/>
      <c r="BM17" s="188"/>
      <c r="BN17" s="188"/>
      <c r="BO17" s="188"/>
      <c r="BP17" s="188"/>
      <c r="BQ17" s="188"/>
      <c r="BR17" s="188"/>
      <c r="BS17" s="188"/>
      <c r="BT17" s="188"/>
      <c r="BU17" s="188"/>
      <c r="BV17" s="188"/>
      <c r="BW17" s="188"/>
      <c r="BX17" s="188"/>
      <c r="BY17" s="188"/>
      <c r="BZ17" s="188"/>
      <c r="CA17" s="188"/>
      <c r="CB17" s="188"/>
      <c r="CC17" s="188"/>
      <c r="CD17" s="188"/>
      <c r="CE17" s="188"/>
      <c r="CF17" s="188"/>
      <c r="CG17" s="188"/>
      <c r="CH17" s="188"/>
      <c r="CI17" s="188"/>
      <c r="CJ17" s="188"/>
      <c r="CK17" s="188"/>
      <c r="CL17" s="188"/>
      <c r="CM17" s="188"/>
      <c r="CN17" s="188"/>
      <c r="CO17" s="188"/>
      <c r="CP17" s="188"/>
      <c r="CQ17" s="188"/>
      <c r="CR17" s="188"/>
      <c r="CS17" s="188"/>
      <c r="CT17" s="188"/>
      <c r="CU17" s="188"/>
      <c r="CV17" s="188"/>
      <c r="CW17" s="188"/>
      <c r="CX17" s="188"/>
      <c r="CY17" s="188"/>
      <c r="CZ17" s="188"/>
      <c r="DA17" s="188"/>
      <c r="DB17" s="188"/>
      <c r="DC17" s="188"/>
      <c r="DD17" s="188"/>
      <c r="DE17" s="188"/>
      <c r="DF17" s="188"/>
      <c r="DG17" s="188"/>
      <c r="DH17" s="188"/>
      <c r="DI17" s="188"/>
      <c r="DJ17" s="188"/>
      <c r="DK17" s="188"/>
      <c r="DL17" s="188"/>
      <c r="DM17" s="188"/>
      <c r="DN17" s="188"/>
      <c r="DO17" s="188"/>
      <c r="DP17" s="188"/>
      <c r="DQ17" s="188"/>
      <c r="DR17" s="188"/>
      <c r="DS17" s="188"/>
      <c r="DT17" s="188"/>
      <c r="DU17" s="188"/>
      <c r="DV17" s="188"/>
      <c r="DW17" s="188"/>
      <c r="DX17" s="188"/>
      <c r="DY17" s="188"/>
      <c r="DZ17" s="188"/>
      <c r="EA17" s="188"/>
    </row>
    <row r="18" spans="1:131" ht="15.75" x14ac:dyDescent="0.25">
      <c r="A18" s="12">
        <f>Broadsheet!A18</f>
        <v>0</v>
      </c>
      <c r="B18" s="204" t="str">
        <f>IF(Broadsheet!B18="","",Broadsheet!B18)</f>
        <v/>
      </c>
      <c r="C18" s="24" t="str">
        <f>IF(Broadsheet!C18="","",Broadsheet!C18)</f>
        <v xml:space="preserve"> </v>
      </c>
      <c r="D18" s="24"/>
      <c r="E18" s="24"/>
      <c r="F18" s="24"/>
      <c r="G18" s="24" t="str">
        <f t="shared" si="0"/>
        <v/>
      </c>
      <c r="H18" s="188" t="str">
        <f>IF(ISERROR(getgrade(Broadsheet!H18,data!$H$4:$I$9)),"#",getgrade(Broadsheet!H18,data!$H$4:$I$9))</f>
        <v/>
      </c>
      <c r="I18" s="188" t="str">
        <f>IF(ISERROR(getgrade(Broadsheet!I18,data!$H$4:$I$9)),"#",getgrade(Broadsheet!I18,data!$H$4:$I$9))</f>
        <v/>
      </c>
      <c r="J18" s="188" t="str">
        <f>IF(ISERROR(getgrade(Broadsheet!J18,data!$H$4:$I$9)),"#",getgrade(Broadsheet!J18,data!$H$4:$I$9))</f>
        <v/>
      </c>
      <c r="K18" s="188" t="str">
        <f>IF(ISERROR(getgrade(Broadsheet!K18,data!$H$4:$I$9)),"#",getgrade(Broadsheet!K18,data!$H$4:$I$9))</f>
        <v/>
      </c>
      <c r="L18" s="188" t="str">
        <f>IF(ISERROR(getgrade(Broadsheet!L18,data!$H$4:$I$9)),"#",getgrade(Broadsheet!L18,data!$H$4:$I$9))</f>
        <v/>
      </c>
      <c r="M18" s="188" t="str">
        <f>IF(ISERROR(getgrade(Broadsheet!M18,data!$H$4:$I$9)),"#",getgrade(Broadsheet!M18,data!$H$4:$I$9))</f>
        <v/>
      </c>
      <c r="N18" s="188" t="str">
        <f>IF(ISERROR(getgrade(Broadsheet!N18,data!$H$4:$I$9)),"#",getgrade(Broadsheet!N18,data!$H$4:$I$9))</f>
        <v/>
      </c>
      <c r="O18" s="188" t="str">
        <f>IF(ISERROR(getgrade(Broadsheet!O18,data!$H$4:$I$9)),"#",getgrade(Broadsheet!O18,data!$H$4:$I$9))</f>
        <v/>
      </c>
      <c r="P18" s="188" t="str">
        <f>IF(ISERROR(getgrade(Broadsheet!P18,data!$H$4:$I$9)),"#",getgrade(Broadsheet!P18,data!$H$4:$I$9))</f>
        <v/>
      </c>
      <c r="Q18" s="188" t="str">
        <f>IF(ISERROR(getgrade(Broadsheet!Q18,data!$H$4:$I$9)),"#",getgrade(Broadsheet!Q18,data!$H$4:$I$9))</f>
        <v/>
      </c>
      <c r="R18" s="188" t="str">
        <f>IF(ISERROR(getgrade(Broadsheet!R18,data!$H$4:$I$9)),"#",getgrade(Broadsheet!R18,data!$H$4:$I$9))</f>
        <v/>
      </c>
      <c r="S18" s="188" t="str">
        <f>IF(ISERROR(getgrade(Broadsheet!S18,data!$H$4:$I$9)),"#",getgrade(Broadsheet!S18,data!$H$4:$I$9))</f>
        <v/>
      </c>
      <c r="T18" s="188" t="str">
        <f>IF(ISERROR(getgrade(Broadsheet!T18,data!$H$4:$I$9)),"#",getgrade(Broadsheet!T18,data!$H$4:$I$9))</f>
        <v/>
      </c>
      <c r="U18" s="188" t="str">
        <f>IF(ISERROR(getgrade(Broadsheet!U18,data!$H$4:$I$9)),"#",getgrade(Broadsheet!U18,data!$H$4:$I$9))</f>
        <v/>
      </c>
      <c r="V18" s="188" t="str">
        <f>IF(ISERROR(getgrade(Broadsheet!V18,data!$H$4:$I$9)),"#",getgrade(Broadsheet!V18,data!$H$4:$I$9))</f>
        <v/>
      </c>
      <c r="W18" s="188" t="str">
        <f>IF(ISERROR(getgrade(Broadsheet!W18,data!$H$4:$I$9)),"#",getgrade(Broadsheet!W18,data!$H$4:$I$9))</f>
        <v/>
      </c>
      <c r="X18" s="188" t="str">
        <f>IF(ISERROR(getgrade(Broadsheet!X18,data!$H$4:$I$9)),"#",getgrade(Broadsheet!X18,data!$H$4:$I$9))</f>
        <v/>
      </c>
      <c r="Y18" s="188" t="str">
        <f>IF(ISERROR(getgrade(Broadsheet!Y18,data!$H$4:$I$9)),"#",getgrade(Broadsheet!Y18,data!$H$4:$I$9))</f>
        <v/>
      </c>
      <c r="Z18" s="188" t="str">
        <f>IF(ISERROR(getgrade(Broadsheet!Z18,data!$H$4:$I$9)),"#",getgrade(Broadsheet!Z18,data!$H$4:$I$9))</f>
        <v/>
      </c>
      <c r="AA18" s="188" t="str">
        <f>IF(ISERROR(getgrade(Broadsheet!AA18,data!$H$4:$I$9)),"#",getgrade(Broadsheet!AA18,data!$H$4:$I$9))</f>
        <v/>
      </c>
      <c r="AB18" s="188" t="str">
        <f>IF(ISERROR(getgrade(Broadsheet!AB18,data!$H$4:$I$9)),"#",getgrade(Broadsheet!AB18,data!$H$4:$I$9))</f>
        <v/>
      </c>
      <c r="AC18" s="188" t="str">
        <f>IF(ISERROR(getgrade(Broadsheet!AC18,data!$H$4:$I$9)),"#",getgrade(Broadsheet!AC18,data!$H$4:$I$9))</f>
        <v/>
      </c>
      <c r="AD18" s="188" t="str">
        <f>IF(ISERROR(getgrade(Broadsheet!AD18,data!$H$4:$I$9)),"#",getgrade(Broadsheet!AD18,data!$H$4:$I$9))</f>
        <v/>
      </c>
      <c r="AE18" s="188" t="str">
        <f>IF(ISERROR(getgrade(Broadsheet!AE18,data!$H$4:$I$9)),"#",getgrade(Broadsheet!AE18,data!$H$4:$I$9))</f>
        <v/>
      </c>
      <c r="AF18" s="188" t="str">
        <f>IF(ISERROR(getgrade(Broadsheet!AF18,data!$H$4:$I$9)),"#",getgrade(Broadsheet!AF18,data!$H$4:$I$9))</f>
        <v/>
      </c>
      <c r="AG18" s="188" t="str">
        <f>IF(ISERROR(getgrade(Broadsheet!AG18,data!$H$4:$I$9)),"#",getgrade(Broadsheet!AG18,data!$H$4:$I$9))</f>
        <v/>
      </c>
      <c r="AH18" s="188" t="str">
        <f>IF(ISERROR(getgrade(Broadsheet!AH18,data!$H$4:$I$9)),"#",getgrade(Broadsheet!AH18,data!$H$4:$I$9))</f>
        <v/>
      </c>
      <c r="AI18" s="188" t="str">
        <f>IF(ISERROR(getgrade(Broadsheet!AI18,data!$H$4:$I$9)),"#",getgrade(Broadsheet!AI18,data!$H$4:$I$9))</f>
        <v/>
      </c>
      <c r="AJ18" s="188" t="str">
        <f>IF(ISERROR(getgrade(Broadsheet!AJ18,data!$H$4:$I$9)),"#",getgrade(Broadsheet!AJ18,data!$H$4:$I$9))</f>
        <v/>
      </c>
      <c r="AK18" s="188" t="str">
        <f>IF(ISERROR(getgrade(Broadsheet!AK18,data!$H$4:$I$9)),"#",getgrade(Broadsheet!AK18,data!$H$4:$I$9))</f>
        <v/>
      </c>
      <c r="AL18" s="188" t="str">
        <f>IF(ISERROR(getgrade(Broadsheet!AL18,data!$H$4:$I$9)),"#",getgrade(Broadsheet!AL18,data!$H$4:$I$9))</f>
        <v/>
      </c>
      <c r="AM18" s="188" t="str">
        <f>IF(ISERROR(getgrade(Broadsheet!AM18,data!$H$4:$I$9)),"#",getgrade(Broadsheet!AM18,data!$H$4:$I$9))</f>
        <v/>
      </c>
      <c r="AN18" s="188" t="str">
        <f>IF(ISERROR(getgrade(Broadsheet!AN18,data!$H$4:$I$9)),"#",getgrade(Broadsheet!AN18,data!$H$4:$I$9))</f>
        <v/>
      </c>
      <c r="AO18" s="188" t="str">
        <f>IF(ISERROR(getgrade(Broadsheet!AO18,data!$H$4:$I$9)),"#",getgrade(Broadsheet!AO18,data!$H$4:$I$9))</f>
        <v/>
      </c>
      <c r="AP18" s="188" t="str">
        <f>IF(ISERROR(getgrade(Broadsheet!AP18,data!$H$4:$I$9)),"#",getgrade(Broadsheet!AP18,data!$H$4:$I$9))</f>
        <v/>
      </c>
      <c r="AQ18" s="188" t="str">
        <f>IF(ISERROR(getgrade(Broadsheet!AQ18,data!$H$4:$I$9)),"#",getgrade(Broadsheet!AQ18,data!$H$4:$I$9))</f>
        <v/>
      </c>
      <c r="AR18" s="188" t="str">
        <f>IF(ISERROR(getgrade(Broadsheet!AR18,data!$H$4:$I$9)),"#",getgrade(Broadsheet!AR18,data!$H$4:$I$9))</f>
        <v/>
      </c>
      <c r="AS18" s="188" t="str">
        <f>IF(ISERROR(getgrade(Broadsheet!AS18,data!$H$4:$I$9)),"#",getgrade(Broadsheet!AS18,data!$H$4:$I$9))</f>
        <v/>
      </c>
      <c r="AT18" s="188" t="str">
        <f>IF(ISERROR(getgrade(Broadsheet!AT18,data!$H$4:$I$9)),"#",getgrade(Broadsheet!AT18,data!$H$4:$I$9))</f>
        <v/>
      </c>
      <c r="AU18" s="188" t="str">
        <f>IF(ISERROR(getgrade(Broadsheet!AU18,data!$H$4:$I$9)),"#",getgrade(Broadsheet!AU18,data!$H$4:$I$9))</f>
        <v/>
      </c>
      <c r="AV18" s="188" t="str">
        <f>IF(ISERROR(getgrade(Broadsheet!AV18,data!$H$4:$I$9)),"#",getgrade(Broadsheet!AV18,data!$H$4:$I$9))</f>
        <v/>
      </c>
      <c r="AW18" s="188" t="str">
        <f>IF(ISERROR(getgrade(Broadsheet!AW18,data!$H$4:$I$9)),"#",getgrade(Broadsheet!AW18,data!$H$4:$I$9))</f>
        <v/>
      </c>
      <c r="AX18" s="188" t="str">
        <f>IF(ISERROR(getgrade(Broadsheet!AX18,data!$H$4:$I$9)),"#",getgrade(Broadsheet!AX18,data!$H$4:$I$9))</f>
        <v/>
      </c>
      <c r="AY18" s="188" t="str">
        <f>IF(ISERROR(getgrade(Broadsheet!AY18,data!$H$4:$I$9)),"#",getgrade(Broadsheet!AY18,data!$H$4:$I$9))</f>
        <v/>
      </c>
      <c r="AZ18" s="188" t="str">
        <f>IF(ISERROR(getgrade(Broadsheet!AZ18,data!$H$4:$I$9)),"#",getgrade(Broadsheet!AZ18,data!$H$4:$I$9))</f>
        <v/>
      </c>
      <c r="BA18" s="188" t="str">
        <f>IF(ISERROR(getgrade(Broadsheet!BA18,data!$H$4:$I$9)),"#",getgrade(Broadsheet!BA18,data!$H$4:$I$9))</f>
        <v/>
      </c>
      <c r="BB18" s="188" t="str">
        <f>IF(ISERROR(getgrade(Broadsheet!BB18,data!$H$4:$I$9)),"#",getgrade(Broadsheet!BB18,data!$H$4:$I$9))</f>
        <v/>
      </c>
      <c r="BC18" s="188" t="str">
        <f>IF(ISERROR(getgrade(Broadsheet!BC18,data!$H$4:$I$9)),"#",getgrade(Broadsheet!BC18,data!$H$4:$I$9))</f>
        <v/>
      </c>
      <c r="BD18" s="188" t="str">
        <f>IF(ISERROR(getgrade(Broadsheet!BD18,data!$H$4:$I$9)),"#",getgrade(Broadsheet!BD18,data!$H$4:$I$9))</f>
        <v/>
      </c>
      <c r="BE18" s="188" t="str">
        <f>IF(ISERROR(getgrade(Broadsheet!BE18,data!$H$4:$I$9)),"#",getgrade(Broadsheet!BE18,data!$H$4:$I$9))</f>
        <v/>
      </c>
      <c r="BF18" s="188" t="str">
        <f>IF(ISERROR(getgrade(Broadsheet!BF18,data!$H$4:$I$9)),"#",getgrade(Broadsheet!BF18,data!$H$4:$I$9))</f>
        <v/>
      </c>
      <c r="BG18" s="188" t="str">
        <f>IF(ISERROR(getgrade(Broadsheet!BG18,data!$H$4:$I$9)),"#",getgrade(Broadsheet!BG18,data!$H$4:$I$9))</f>
        <v/>
      </c>
      <c r="BH18" s="188" t="str">
        <f>IF(ISERROR(getgrade(Broadsheet!BH18,data!$H$4:$I$9)),"#",getgrade(Broadsheet!BH18,data!$H$4:$I$9))</f>
        <v/>
      </c>
      <c r="BI18" s="188" t="str">
        <f>IF(ISERROR(getgrade(Broadsheet!BI18,data!$H$4:$I$9)),"#",getgrade(Broadsheet!BI18,data!$H$4:$I$9))</f>
        <v/>
      </c>
      <c r="BJ18" s="188" t="str">
        <f>IF(ISERROR(getgrade(Broadsheet!BJ18,data!$H$4:$I$9)),"#",getgrade(Broadsheet!BJ18,data!$H$4:$I$9))</f>
        <v/>
      </c>
      <c r="BK18" s="188"/>
      <c r="BL18" s="188"/>
      <c r="BM18" s="188"/>
      <c r="BN18" s="188"/>
      <c r="BO18" s="188"/>
      <c r="BP18" s="188"/>
      <c r="BQ18" s="188"/>
      <c r="BR18" s="188"/>
      <c r="BS18" s="188"/>
      <c r="BT18" s="188"/>
      <c r="BU18" s="188"/>
      <c r="BV18" s="188"/>
      <c r="BW18" s="188"/>
      <c r="BX18" s="188"/>
      <c r="BY18" s="188"/>
      <c r="BZ18" s="188"/>
      <c r="CA18" s="188"/>
      <c r="CB18" s="188"/>
      <c r="CC18" s="188"/>
      <c r="CD18" s="188"/>
      <c r="CE18" s="188"/>
      <c r="CF18" s="188"/>
      <c r="CG18" s="188"/>
      <c r="CH18" s="188"/>
      <c r="CI18" s="188"/>
      <c r="CJ18" s="188"/>
      <c r="CK18" s="188"/>
      <c r="CL18" s="188"/>
      <c r="CM18" s="188"/>
      <c r="CN18" s="188"/>
      <c r="CO18" s="188"/>
      <c r="CP18" s="188"/>
      <c r="CQ18" s="188"/>
      <c r="CR18" s="188"/>
      <c r="CS18" s="188"/>
      <c r="CT18" s="188"/>
      <c r="CU18" s="188"/>
      <c r="CV18" s="188"/>
      <c r="CW18" s="188"/>
      <c r="CX18" s="188"/>
      <c r="CY18" s="188"/>
      <c r="CZ18" s="188"/>
      <c r="DA18" s="188"/>
      <c r="DB18" s="188"/>
      <c r="DC18" s="188"/>
      <c r="DD18" s="188"/>
      <c r="DE18" s="188"/>
      <c r="DF18" s="188"/>
      <c r="DG18" s="188"/>
      <c r="DH18" s="188"/>
      <c r="DI18" s="188"/>
      <c r="DJ18" s="188"/>
      <c r="DK18" s="188"/>
      <c r="DL18" s="188"/>
      <c r="DM18" s="188"/>
      <c r="DN18" s="188"/>
      <c r="DO18" s="188"/>
      <c r="DP18" s="188"/>
      <c r="DQ18" s="188"/>
      <c r="DR18" s="188"/>
      <c r="DS18" s="188"/>
      <c r="DT18" s="188"/>
      <c r="DU18" s="188"/>
      <c r="DV18" s="188"/>
      <c r="DW18" s="188"/>
      <c r="DX18" s="188"/>
      <c r="DY18" s="188"/>
      <c r="DZ18" s="188"/>
      <c r="EA18" s="188"/>
    </row>
    <row r="19" spans="1:131" ht="15.75" x14ac:dyDescent="0.25">
      <c r="A19" s="12">
        <f>Broadsheet!A19</f>
        <v>0</v>
      </c>
      <c r="B19" s="204" t="str">
        <f>IF(Broadsheet!B19="","",Broadsheet!B19)</f>
        <v/>
      </c>
      <c r="C19" s="24" t="str">
        <f>IF(Broadsheet!C19="","",Broadsheet!C19)</f>
        <v xml:space="preserve"> </v>
      </c>
      <c r="D19" s="24"/>
      <c r="E19" s="24"/>
      <c r="F19" s="24"/>
      <c r="G19" s="24" t="str">
        <f t="shared" si="0"/>
        <v/>
      </c>
      <c r="H19" s="188" t="str">
        <f>IF(ISERROR(getgrade(Broadsheet!H19,data!$H$4:$I$9)),"#",getgrade(Broadsheet!H19,data!$H$4:$I$9))</f>
        <v/>
      </c>
      <c r="I19" s="188" t="str">
        <f>IF(ISERROR(getgrade(Broadsheet!I19,data!$H$4:$I$9)),"#",getgrade(Broadsheet!I19,data!$H$4:$I$9))</f>
        <v/>
      </c>
      <c r="J19" s="188" t="str">
        <f>IF(ISERROR(getgrade(Broadsheet!J19,data!$H$4:$I$9)),"#",getgrade(Broadsheet!J19,data!$H$4:$I$9))</f>
        <v/>
      </c>
      <c r="K19" s="188" t="str">
        <f>IF(ISERROR(getgrade(Broadsheet!K19,data!$H$4:$I$9)),"#",getgrade(Broadsheet!K19,data!$H$4:$I$9))</f>
        <v/>
      </c>
      <c r="L19" s="188" t="str">
        <f>IF(ISERROR(getgrade(Broadsheet!L19,data!$H$4:$I$9)),"#",getgrade(Broadsheet!L19,data!$H$4:$I$9))</f>
        <v/>
      </c>
      <c r="M19" s="188" t="str">
        <f>IF(ISERROR(getgrade(Broadsheet!M19,data!$H$4:$I$9)),"#",getgrade(Broadsheet!M19,data!$H$4:$I$9))</f>
        <v/>
      </c>
      <c r="N19" s="188" t="str">
        <f>IF(ISERROR(getgrade(Broadsheet!N19,data!$H$4:$I$9)),"#",getgrade(Broadsheet!N19,data!$H$4:$I$9))</f>
        <v/>
      </c>
      <c r="O19" s="188" t="str">
        <f>IF(ISERROR(getgrade(Broadsheet!O19,data!$H$4:$I$9)),"#",getgrade(Broadsheet!O19,data!$H$4:$I$9))</f>
        <v/>
      </c>
      <c r="P19" s="188" t="str">
        <f>IF(ISERROR(getgrade(Broadsheet!P19,data!$H$4:$I$9)),"#",getgrade(Broadsheet!P19,data!$H$4:$I$9))</f>
        <v/>
      </c>
      <c r="Q19" s="188" t="str">
        <f>IF(ISERROR(getgrade(Broadsheet!Q19,data!$H$4:$I$9)),"#",getgrade(Broadsheet!Q19,data!$H$4:$I$9))</f>
        <v/>
      </c>
      <c r="R19" s="188" t="str">
        <f>IF(ISERROR(getgrade(Broadsheet!R19,data!$H$4:$I$9)),"#",getgrade(Broadsheet!R19,data!$H$4:$I$9))</f>
        <v/>
      </c>
      <c r="S19" s="188" t="str">
        <f>IF(ISERROR(getgrade(Broadsheet!S19,data!$H$4:$I$9)),"#",getgrade(Broadsheet!S19,data!$H$4:$I$9))</f>
        <v/>
      </c>
      <c r="T19" s="188" t="str">
        <f>IF(ISERROR(getgrade(Broadsheet!T19,data!$H$4:$I$9)),"#",getgrade(Broadsheet!T19,data!$H$4:$I$9))</f>
        <v/>
      </c>
      <c r="U19" s="188" t="str">
        <f>IF(ISERROR(getgrade(Broadsheet!U19,data!$H$4:$I$9)),"#",getgrade(Broadsheet!U19,data!$H$4:$I$9))</f>
        <v/>
      </c>
      <c r="V19" s="188" t="str">
        <f>IF(ISERROR(getgrade(Broadsheet!V19,data!$H$4:$I$9)),"#",getgrade(Broadsheet!V19,data!$H$4:$I$9))</f>
        <v/>
      </c>
      <c r="W19" s="188" t="str">
        <f>IF(ISERROR(getgrade(Broadsheet!W19,data!$H$4:$I$9)),"#",getgrade(Broadsheet!W19,data!$H$4:$I$9))</f>
        <v/>
      </c>
      <c r="X19" s="188" t="str">
        <f>IF(ISERROR(getgrade(Broadsheet!X19,data!$H$4:$I$9)),"#",getgrade(Broadsheet!X19,data!$H$4:$I$9))</f>
        <v/>
      </c>
      <c r="Y19" s="188" t="str">
        <f>IF(ISERROR(getgrade(Broadsheet!Y19,data!$H$4:$I$9)),"#",getgrade(Broadsheet!Y19,data!$H$4:$I$9))</f>
        <v/>
      </c>
      <c r="Z19" s="188" t="str">
        <f>IF(ISERROR(getgrade(Broadsheet!Z19,data!$H$4:$I$9)),"#",getgrade(Broadsheet!Z19,data!$H$4:$I$9))</f>
        <v/>
      </c>
      <c r="AA19" s="188" t="str">
        <f>IF(ISERROR(getgrade(Broadsheet!AA19,data!$H$4:$I$9)),"#",getgrade(Broadsheet!AA19,data!$H$4:$I$9))</f>
        <v/>
      </c>
      <c r="AB19" s="188" t="str">
        <f>IF(ISERROR(getgrade(Broadsheet!AB19,data!$H$4:$I$9)),"#",getgrade(Broadsheet!AB19,data!$H$4:$I$9))</f>
        <v/>
      </c>
      <c r="AC19" s="188" t="str">
        <f>IF(ISERROR(getgrade(Broadsheet!AC19,data!$H$4:$I$9)),"#",getgrade(Broadsheet!AC19,data!$H$4:$I$9))</f>
        <v/>
      </c>
      <c r="AD19" s="188" t="str">
        <f>IF(ISERROR(getgrade(Broadsheet!AD19,data!$H$4:$I$9)),"#",getgrade(Broadsheet!AD19,data!$H$4:$I$9))</f>
        <v/>
      </c>
      <c r="AE19" s="188" t="str">
        <f>IF(ISERROR(getgrade(Broadsheet!AE19,data!$H$4:$I$9)),"#",getgrade(Broadsheet!AE19,data!$H$4:$I$9))</f>
        <v/>
      </c>
      <c r="AF19" s="188" t="str">
        <f>IF(ISERROR(getgrade(Broadsheet!AF19,data!$H$4:$I$9)),"#",getgrade(Broadsheet!AF19,data!$H$4:$I$9))</f>
        <v/>
      </c>
      <c r="AG19" s="188" t="str">
        <f>IF(ISERROR(getgrade(Broadsheet!AG19,data!$H$4:$I$9)),"#",getgrade(Broadsheet!AG19,data!$H$4:$I$9))</f>
        <v/>
      </c>
      <c r="AH19" s="188" t="str">
        <f>IF(ISERROR(getgrade(Broadsheet!AH19,data!$H$4:$I$9)),"#",getgrade(Broadsheet!AH19,data!$H$4:$I$9))</f>
        <v/>
      </c>
      <c r="AI19" s="188" t="str">
        <f>IF(ISERROR(getgrade(Broadsheet!AI19,data!$H$4:$I$9)),"#",getgrade(Broadsheet!AI19,data!$H$4:$I$9))</f>
        <v/>
      </c>
      <c r="AJ19" s="188" t="str">
        <f>IF(ISERROR(getgrade(Broadsheet!AJ19,data!$H$4:$I$9)),"#",getgrade(Broadsheet!AJ19,data!$H$4:$I$9))</f>
        <v/>
      </c>
      <c r="AK19" s="188" t="str">
        <f>IF(ISERROR(getgrade(Broadsheet!AK19,data!$H$4:$I$9)),"#",getgrade(Broadsheet!AK19,data!$H$4:$I$9))</f>
        <v/>
      </c>
      <c r="AL19" s="188" t="str">
        <f>IF(ISERROR(getgrade(Broadsheet!AL19,data!$H$4:$I$9)),"#",getgrade(Broadsheet!AL19,data!$H$4:$I$9))</f>
        <v/>
      </c>
      <c r="AM19" s="188" t="str">
        <f>IF(ISERROR(getgrade(Broadsheet!AM19,data!$H$4:$I$9)),"#",getgrade(Broadsheet!AM19,data!$H$4:$I$9))</f>
        <v/>
      </c>
      <c r="AN19" s="188" t="str">
        <f>IF(ISERROR(getgrade(Broadsheet!AN19,data!$H$4:$I$9)),"#",getgrade(Broadsheet!AN19,data!$H$4:$I$9))</f>
        <v/>
      </c>
      <c r="AO19" s="188" t="str">
        <f>IF(ISERROR(getgrade(Broadsheet!AO19,data!$H$4:$I$9)),"#",getgrade(Broadsheet!AO19,data!$H$4:$I$9))</f>
        <v/>
      </c>
      <c r="AP19" s="188" t="str">
        <f>IF(ISERROR(getgrade(Broadsheet!AP19,data!$H$4:$I$9)),"#",getgrade(Broadsheet!AP19,data!$H$4:$I$9))</f>
        <v/>
      </c>
      <c r="AQ19" s="188" t="str">
        <f>IF(ISERROR(getgrade(Broadsheet!AQ19,data!$H$4:$I$9)),"#",getgrade(Broadsheet!AQ19,data!$H$4:$I$9))</f>
        <v/>
      </c>
      <c r="AR19" s="188" t="str">
        <f>IF(ISERROR(getgrade(Broadsheet!AR19,data!$H$4:$I$9)),"#",getgrade(Broadsheet!AR19,data!$H$4:$I$9))</f>
        <v/>
      </c>
      <c r="AS19" s="188" t="str">
        <f>IF(ISERROR(getgrade(Broadsheet!AS19,data!$H$4:$I$9)),"#",getgrade(Broadsheet!AS19,data!$H$4:$I$9))</f>
        <v/>
      </c>
      <c r="AT19" s="188" t="str">
        <f>IF(ISERROR(getgrade(Broadsheet!AT19,data!$H$4:$I$9)),"#",getgrade(Broadsheet!AT19,data!$H$4:$I$9))</f>
        <v/>
      </c>
      <c r="AU19" s="188" t="str">
        <f>IF(ISERROR(getgrade(Broadsheet!AU19,data!$H$4:$I$9)),"#",getgrade(Broadsheet!AU19,data!$H$4:$I$9))</f>
        <v/>
      </c>
      <c r="AV19" s="188" t="str">
        <f>IF(ISERROR(getgrade(Broadsheet!AV19,data!$H$4:$I$9)),"#",getgrade(Broadsheet!AV19,data!$H$4:$I$9))</f>
        <v/>
      </c>
      <c r="AW19" s="188" t="str">
        <f>IF(ISERROR(getgrade(Broadsheet!AW19,data!$H$4:$I$9)),"#",getgrade(Broadsheet!AW19,data!$H$4:$I$9))</f>
        <v/>
      </c>
      <c r="AX19" s="188" t="str">
        <f>IF(ISERROR(getgrade(Broadsheet!AX19,data!$H$4:$I$9)),"#",getgrade(Broadsheet!AX19,data!$H$4:$I$9))</f>
        <v/>
      </c>
      <c r="AY19" s="188" t="str">
        <f>IF(ISERROR(getgrade(Broadsheet!AY19,data!$H$4:$I$9)),"#",getgrade(Broadsheet!AY19,data!$H$4:$I$9))</f>
        <v/>
      </c>
      <c r="AZ19" s="188" t="str">
        <f>IF(ISERROR(getgrade(Broadsheet!AZ19,data!$H$4:$I$9)),"#",getgrade(Broadsheet!AZ19,data!$H$4:$I$9))</f>
        <v/>
      </c>
      <c r="BA19" s="188" t="str">
        <f>IF(ISERROR(getgrade(Broadsheet!BA19,data!$H$4:$I$9)),"#",getgrade(Broadsheet!BA19,data!$H$4:$I$9))</f>
        <v/>
      </c>
      <c r="BB19" s="188" t="str">
        <f>IF(ISERROR(getgrade(Broadsheet!BB19,data!$H$4:$I$9)),"#",getgrade(Broadsheet!BB19,data!$H$4:$I$9))</f>
        <v/>
      </c>
      <c r="BC19" s="188" t="str">
        <f>IF(ISERROR(getgrade(Broadsheet!BC19,data!$H$4:$I$9)),"#",getgrade(Broadsheet!BC19,data!$H$4:$I$9))</f>
        <v/>
      </c>
      <c r="BD19" s="188" t="str">
        <f>IF(ISERROR(getgrade(Broadsheet!BD19,data!$H$4:$I$9)),"#",getgrade(Broadsheet!BD19,data!$H$4:$I$9))</f>
        <v/>
      </c>
      <c r="BE19" s="188" t="str">
        <f>IF(ISERROR(getgrade(Broadsheet!BE19,data!$H$4:$I$9)),"#",getgrade(Broadsheet!BE19,data!$H$4:$I$9))</f>
        <v/>
      </c>
      <c r="BF19" s="188" t="str">
        <f>IF(ISERROR(getgrade(Broadsheet!BF19,data!$H$4:$I$9)),"#",getgrade(Broadsheet!BF19,data!$H$4:$I$9))</f>
        <v/>
      </c>
      <c r="BG19" s="188" t="str">
        <f>IF(ISERROR(getgrade(Broadsheet!BG19,data!$H$4:$I$9)),"#",getgrade(Broadsheet!BG19,data!$H$4:$I$9))</f>
        <v/>
      </c>
      <c r="BH19" s="188" t="str">
        <f>IF(ISERROR(getgrade(Broadsheet!BH19,data!$H$4:$I$9)),"#",getgrade(Broadsheet!BH19,data!$H$4:$I$9))</f>
        <v/>
      </c>
      <c r="BI19" s="188" t="str">
        <f>IF(ISERROR(getgrade(Broadsheet!BI19,data!$H$4:$I$9)),"#",getgrade(Broadsheet!BI19,data!$H$4:$I$9))</f>
        <v/>
      </c>
      <c r="BJ19" s="188" t="str">
        <f>IF(ISERROR(getgrade(Broadsheet!BJ19,data!$H$4:$I$9)),"#",getgrade(Broadsheet!BJ19,data!$H$4:$I$9))</f>
        <v/>
      </c>
      <c r="BK19" s="188"/>
      <c r="BL19" s="188"/>
      <c r="BM19" s="188"/>
      <c r="BN19" s="188"/>
      <c r="BO19" s="188"/>
      <c r="BP19" s="188"/>
      <c r="BQ19" s="188"/>
      <c r="BR19" s="188"/>
      <c r="BS19" s="188"/>
      <c r="BT19" s="188"/>
      <c r="BU19" s="188"/>
      <c r="BV19" s="188"/>
      <c r="BW19" s="188"/>
      <c r="BX19" s="188"/>
      <c r="BY19" s="188"/>
      <c r="BZ19" s="188"/>
      <c r="CA19" s="188"/>
      <c r="CB19" s="188"/>
      <c r="CC19" s="188"/>
      <c r="CD19" s="188"/>
      <c r="CE19" s="188"/>
      <c r="CF19" s="188"/>
      <c r="CG19" s="188"/>
      <c r="CH19" s="188"/>
      <c r="CI19" s="188"/>
      <c r="CJ19" s="188"/>
      <c r="CK19" s="188"/>
      <c r="CL19" s="188"/>
      <c r="CM19" s="188"/>
      <c r="CN19" s="188"/>
      <c r="CO19" s="188"/>
      <c r="CP19" s="188"/>
      <c r="CQ19" s="188"/>
      <c r="CR19" s="188"/>
      <c r="CS19" s="188"/>
      <c r="CT19" s="188"/>
      <c r="CU19" s="188"/>
      <c r="CV19" s="188"/>
      <c r="CW19" s="188"/>
      <c r="CX19" s="188"/>
      <c r="CY19" s="188"/>
      <c r="CZ19" s="188"/>
      <c r="DA19" s="188"/>
      <c r="DB19" s="188"/>
      <c r="DC19" s="188"/>
      <c r="DD19" s="188"/>
      <c r="DE19" s="188"/>
      <c r="DF19" s="188"/>
      <c r="DG19" s="188"/>
      <c r="DH19" s="188"/>
      <c r="DI19" s="188"/>
      <c r="DJ19" s="188"/>
      <c r="DK19" s="188"/>
      <c r="DL19" s="188"/>
      <c r="DM19" s="188"/>
      <c r="DN19" s="188"/>
      <c r="DO19" s="188"/>
      <c r="DP19" s="188"/>
      <c r="DQ19" s="188"/>
      <c r="DR19" s="188"/>
      <c r="DS19" s="188"/>
      <c r="DT19" s="188"/>
      <c r="DU19" s="188"/>
      <c r="DV19" s="188"/>
      <c r="DW19" s="188"/>
      <c r="DX19" s="188"/>
      <c r="DY19" s="188"/>
      <c r="DZ19" s="188"/>
      <c r="EA19" s="188"/>
    </row>
    <row r="20" spans="1:131" ht="15.75" x14ac:dyDescent="0.25">
      <c r="A20" s="12">
        <f>Broadsheet!A20</f>
        <v>0</v>
      </c>
      <c r="B20" s="204" t="str">
        <f>IF(Broadsheet!B20="","",Broadsheet!B20)</f>
        <v/>
      </c>
      <c r="C20" s="24" t="str">
        <f>IF(Broadsheet!C20="","",Broadsheet!C20)</f>
        <v xml:space="preserve"> </v>
      </c>
      <c r="D20" s="24"/>
      <c r="E20" s="24"/>
      <c r="F20" s="24"/>
      <c r="G20" s="24" t="str">
        <f t="shared" si="0"/>
        <v/>
      </c>
      <c r="H20" s="188" t="str">
        <f>IF(ISERROR(getgrade(Broadsheet!H20,data!$H$4:$I$9)),"#",getgrade(Broadsheet!H20,data!$H$4:$I$9))</f>
        <v/>
      </c>
      <c r="I20" s="188" t="str">
        <f>IF(ISERROR(getgrade(Broadsheet!I20,data!$H$4:$I$9)),"#",getgrade(Broadsheet!I20,data!$H$4:$I$9))</f>
        <v/>
      </c>
      <c r="J20" s="188" t="str">
        <f>IF(ISERROR(getgrade(Broadsheet!J20,data!$H$4:$I$9)),"#",getgrade(Broadsheet!J20,data!$H$4:$I$9))</f>
        <v/>
      </c>
      <c r="K20" s="188" t="str">
        <f>IF(ISERROR(getgrade(Broadsheet!K20,data!$H$4:$I$9)),"#",getgrade(Broadsheet!K20,data!$H$4:$I$9))</f>
        <v/>
      </c>
      <c r="L20" s="188" t="str">
        <f>IF(ISERROR(getgrade(Broadsheet!L20,data!$H$4:$I$9)),"#",getgrade(Broadsheet!L20,data!$H$4:$I$9))</f>
        <v/>
      </c>
      <c r="M20" s="188" t="str">
        <f>IF(ISERROR(getgrade(Broadsheet!M20,data!$H$4:$I$9)),"#",getgrade(Broadsheet!M20,data!$H$4:$I$9))</f>
        <v/>
      </c>
      <c r="N20" s="188" t="str">
        <f>IF(ISERROR(getgrade(Broadsheet!N20,data!$H$4:$I$9)),"#",getgrade(Broadsheet!N20,data!$H$4:$I$9))</f>
        <v/>
      </c>
      <c r="O20" s="188" t="str">
        <f>IF(ISERROR(getgrade(Broadsheet!O20,data!$H$4:$I$9)),"#",getgrade(Broadsheet!O20,data!$H$4:$I$9))</f>
        <v/>
      </c>
      <c r="P20" s="188" t="str">
        <f>IF(ISERROR(getgrade(Broadsheet!P20,data!$H$4:$I$9)),"#",getgrade(Broadsheet!P20,data!$H$4:$I$9))</f>
        <v/>
      </c>
      <c r="Q20" s="188" t="str">
        <f>IF(ISERROR(getgrade(Broadsheet!Q20,data!$H$4:$I$9)),"#",getgrade(Broadsheet!Q20,data!$H$4:$I$9))</f>
        <v/>
      </c>
      <c r="R20" s="188" t="str">
        <f>IF(ISERROR(getgrade(Broadsheet!R20,data!$H$4:$I$9)),"#",getgrade(Broadsheet!R20,data!$H$4:$I$9))</f>
        <v/>
      </c>
      <c r="S20" s="188" t="str">
        <f>IF(ISERROR(getgrade(Broadsheet!S20,data!$H$4:$I$9)),"#",getgrade(Broadsheet!S20,data!$H$4:$I$9))</f>
        <v/>
      </c>
      <c r="T20" s="188" t="str">
        <f>IF(ISERROR(getgrade(Broadsheet!T20,data!$H$4:$I$9)),"#",getgrade(Broadsheet!T20,data!$H$4:$I$9))</f>
        <v/>
      </c>
      <c r="U20" s="188" t="str">
        <f>IF(ISERROR(getgrade(Broadsheet!U20,data!$H$4:$I$9)),"#",getgrade(Broadsheet!U20,data!$H$4:$I$9))</f>
        <v/>
      </c>
      <c r="V20" s="188" t="str">
        <f>IF(ISERROR(getgrade(Broadsheet!V20,data!$H$4:$I$9)),"#",getgrade(Broadsheet!V20,data!$H$4:$I$9))</f>
        <v/>
      </c>
      <c r="W20" s="188" t="str">
        <f>IF(ISERROR(getgrade(Broadsheet!W20,data!$H$4:$I$9)),"#",getgrade(Broadsheet!W20,data!$H$4:$I$9))</f>
        <v/>
      </c>
      <c r="X20" s="188" t="str">
        <f>IF(ISERROR(getgrade(Broadsheet!X20,data!$H$4:$I$9)),"#",getgrade(Broadsheet!X20,data!$H$4:$I$9))</f>
        <v/>
      </c>
      <c r="Y20" s="188" t="str">
        <f>IF(ISERROR(getgrade(Broadsheet!Y20,data!$H$4:$I$9)),"#",getgrade(Broadsheet!Y20,data!$H$4:$I$9))</f>
        <v/>
      </c>
      <c r="Z20" s="188" t="str">
        <f>IF(ISERROR(getgrade(Broadsheet!Z20,data!$H$4:$I$9)),"#",getgrade(Broadsheet!Z20,data!$H$4:$I$9))</f>
        <v/>
      </c>
      <c r="AA20" s="188" t="str">
        <f>IF(ISERROR(getgrade(Broadsheet!AA20,data!$H$4:$I$9)),"#",getgrade(Broadsheet!AA20,data!$H$4:$I$9))</f>
        <v/>
      </c>
      <c r="AB20" s="188" t="str">
        <f>IF(ISERROR(getgrade(Broadsheet!AB20,data!$H$4:$I$9)),"#",getgrade(Broadsheet!AB20,data!$H$4:$I$9))</f>
        <v/>
      </c>
      <c r="AC20" s="188" t="str">
        <f>IF(ISERROR(getgrade(Broadsheet!AC20,data!$H$4:$I$9)),"#",getgrade(Broadsheet!AC20,data!$H$4:$I$9))</f>
        <v/>
      </c>
      <c r="AD20" s="188" t="str">
        <f>IF(ISERROR(getgrade(Broadsheet!AD20,data!$H$4:$I$9)),"#",getgrade(Broadsheet!AD20,data!$H$4:$I$9))</f>
        <v/>
      </c>
      <c r="AE20" s="188" t="str">
        <f>IF(ISERROR(getgrade(Broadsheet!AE20,data!$H$4:$I$9)),"#",getgrade(Broadsheet!AE20,data!$H$4:$I$9))</f>
        <v/>
      </c>
      <c r="AF20" s="188" t="str">
        <f>IF(ISERROR(getgrade(Broadsheet!AF20,data!$H$4:$I$9)),"#",getgrade(Broadsheet!AF20,data!$H$4:$I$9))</f>
        <v/>
      </c>
      <c r="AG20" s="188" t="str">
        <f>IF(ISERROR(getgrade(Broadsheet!AG20,data!$H$4:$I$9)),"#",getgrade(Broadsheet!AG20,data!$H$4:$I$9))</f>
        <v/>
      </c>
      <c r="AH20" s="188" t="str">
        <f>IF(ISERROR(getgrade(Broadsheet!AH20,data!$H$4:$I$9)),"#",getgrade(Broadsheet!AH20,data!$H$4:$I$9))</f>
        <v/>
      </c>
      <c r="AI20" s="188" t="str">
        <f>IF(ISERROR(getgrade(Broadsheet!AI20,data!$H$4:$I$9)),"#",getgrade(Broadsheet!AI20,data!$H$4:$I$9))</f>
        <v/>
      </c>
      <c r="AJ20" s="188" t="str">
        <f>IF(ISERROR(getgrade(Broadsheet!AJ20,data!$H$4:$I$9)),"#",getgrade(Broadsheet!AJ20,data!$H$4:$I$9))</f>
        <v/>
      </c>
      <c r="AK20" s="188" t="str">
        <f>IF(ISERROR(getgrade(Broadsheet!AK20,data!$H$4:$I$9)),"#",getgrade(Broadsheet!AK20,data!$H$4:$I$9))</f>
        <v/>
      </c>
      <c r="AL20" s="188" t="str">
        <f>IF(ISERROR(getgrade(Broadsheet!AL20,data!$H$4:$I$9)),"#",getgrade(Broadsheet!AL20,data!$H$4:$I$9))</f>
        <v/>
      </c>
      <c r="AM20" s="188" t="str">
        <f>IF(ISERROR(getgrade(Broadsheet!AM20,data!$H$4:$I$9)),"#",getgrade(Broadsheet!AM20,data!$H$4:$I$9))</f>
        <v/>
      </c>
      <c r="AN20" s="188" t="str">
        <f>IF(ISERROR(getgrade(Broadsheet!AN20,data!$H$4:$I$9)),"#",getgrade(Broadsheet!AN20,data!$H$4:$I$9))</f>
        <v/>
      </c>
      <c r="AO20" s="188" t="str">
        <f>IF(ISERROR(getgrade(Broadsheet!AO20,data!$H$4:$I$9)),"#",getgrade(Broadsheet!AO20,data!$H$4:$I$9))</f>
        <v/>
      </c>
      <c r="AP20" s="188" t="str">
        <f>IF(ISERROR(getgrade(Broadsheet!AP20,data!$H$4:$I$9)),"#",getgrade(Broadsheet!AP20,data!$H$4:$I$9))</f>
        <v/>
      </c>
      <c r="AQ20" s="188" t="str">
        <f>IF(ISERROR(getgrade(Broadsheet!AQ20,data!$H$4:$I$9)),"#",getgrade(Broadsheet!AQ20,data!$H$4:$I$9))</f>
        <v/>
      </c>
      <c r="AR20" s="188" t="str">
        <f>IF(ISERROR(getgrade(Broadsheet!AR20,data!$H$4:$I$9)),"#",getgrade(Broadsheet!AR20,data!$H$4:$I$9))</f>
        <v/>
      </c>
      <c r="AS20" s="188" t="str">
        <f>IF(ISERROR(getgrade(Broadsheet!AS20,data!$H$4:$I$9)),"#",getgrade(Broadsheet!AS20,data!$H$4:$I$9))</f>
        <v/>
      </c>
      <c r="AT20" s="188" t="str">
        <f>IF(ISERROR(getgrade(Broadsheet!AT20,data!$H$4:$I$9)),"#",getgrade(Broadsheet!AT20,data!$H$4:$I$9))</f>
        <v/>
      </c>
      <c r="AU20" s="188" t="str">
        <f>IF(ISERROR(getgrade(Broadsheet!AU20,data!$H$4:$I$9)),"#",getgrade(Broadsheet!AU20,data!$H$4:$I$9))</f>
        <v/>
      </c>
      <c r="AV20" s="188" t="str">
        <f>IF(ISERROR(getgrade(Broadsheet!AV20,data!$H$4:$I$9)),"#",getgrade(Broadsheet!AV20,data!$H$4:$I$9))</f>
        <v/>
      </c>
      <c r="AW20" s="188" t="str">
        <f>IF(ISERROR(getgrade(Broadsheet!AW20,data!$H$4:$I$9)),"#",getgrade(Broadsheet!AW20,data!$H$4:$I$9))</f>
        <v/>
      </c>
      <c r="AX20" s="188" t="str">
        <f>IF(ISERROR(getgrade(Broadsheet!AX20,data!$H$4:$I$9)),"#",getgrade(Broadsheet!AX20,data!$H$4:$I$9))</f>
        <v/>
      </c>
      <c r="AY20" s="188" t="str">
        <f>IF(ISERROR(getgrade(Broadsheet!AY20,data!$H$4:$I$9)),"#",getgrade(Broadsheet!AY20,data!$H$4:$I$9))</f>
        <v/>
      </c>
      <c r="AZ20" s="188" t="str">
        <f>IF(ISERROR(getgrade(Broadsheet!AZ20,data!$H$4:$I$9)),"#",getgrade(Broadsheet!AZ20,data!$H$4:$I$9))</f>
        <v/>
      </c>
      <c r="BA20" s="188" t="str">
        <f>IF(ISERROR(getgrade(Broadsheet!BA20,data!$H$4:$I$9)),"#",getgrade(Broadsheet!BA20,data!$H$4:$I$9))</f>
        <v/>
      </c>
      <c r="BB20" s="188" t="str">
        <f>IF(ISERROR(getgrade(Broadsheet!BB20,data!$H$4:$I$9)),"#",getgrade(Broadsheet!BB20,data!$H$4:$I$9))</f>
        <v/>
      </c>
      <c r="BC20" s="188" t="str">
        <f>IF(ISERROR(getgrade(Broadsheet!BC20,data!$H$4:$I$9)),"#",getgrade(Broadsheet!BC20,data!$H$4:$I$9))</f>
        <v/>
      </c>
      <c r="BD20" s="188" t="str">
        <f>IF(ISERROR(getgrade(Broadsheet!BD20,data!$H$4:$I$9)),"#",getgrade(Broadsheet!BD20,data!$H$4:$I$9))</f>
        <v/>
      </c>
      <c r="BE20" s="188" t="str">
        <f>IF(ISERROR(getgrade(Broadsheet!BE20,data!$H$4:$I$9)),"#",getgrade(Broadsheet!BE20,data!$H$4:$I$9))</f>
        <v/>
      </c>
      <c r="BF20" s="188" t="str">
        <f>IF(ISERROR(getgrade(Broadsheet!BF20,data!$H$4:$I$9)),"#",getgrade(Broadsheet!BF20,data!$H$4:$I$9))</f>
        <v/>
      </c>
      <c r="BG20" s="188" t="str">
        <f>IF(ISERROR(getgrade(Broadsheet!BG20,data!$H$4:$I$9)),"#",getgrade(Broadsheet!BG20,data!$H$4:$I$9))</f>
        <v/>
      </c>
      <c r="BH20" s="188" t="str">
        <f>IF(ISERROR(getgrade(Broadsheet!BH20,data!$H$4:$I$9)),"#",getgrade(Broadsheet!BH20,data!$H$4:$I$9))</f>
        <v/>
      </c>
      <c r="BI20" s="188" t="str">
        <f>IF(ISERROR(getgrade(Broadsheet!BI20,data!$H$4:$I$9)),"#",getgrade(Broadsheet!BI20,data!$H$4:$I$9))</f>
        <v/>
      </c>
      <c r="BJ20" s="188" t="str">
        <f>IF(ISERROR(getgrade(Broadsheet!BJ20,data!$H$4:$I$9)),"#",getgrade(Broadsheet!BJ20,data!$H$4:$I$9))</f>
        <v/>
      </c>
      <c r="BK20" s="188"/>
      <c r="BL20" s="188"/>
      <c r="BM20" s="188"/>
      <c r="BN20" s="188"/>
      <c r="BO20" s="188"/>
      <c r="BP20" s="188"/>
      <c r="BQ20" s="188"/>
      <c r="BR20" s="188"/>
      <c r="BS20" s="188"/>
      <c r="BT20" s="188"/>
      <c r="BU20" s="188"/>
      <c r="BV20" s="188"/>
      <c r="BW20" s="188"/>
      <c r="BX20" s="188"/>
      <c r="BY20" s="188"/>
      <c r="BZ20" s="188"/>
      <c r="CA20" s="188"/>
      <c r="CB20" s="188"/>
      <c r="CC20" s="188"/>
      <c r="CD20" s="188"/>
      <c r="CE20" s="188"/>
      <c r="CF20" s="188"/>
      <c r="CG20" s="188"/>
      <c r="CH20" s="188"/>
      <c r="CI20" s="188"/>
      <c r="CJ20" s="188"/>
      <c r="CK20" s="188"/>
      <c r="CL20" s="188"/>
      <c r="CM20" s="188"/>
      <c r="CN20" s="188"/>
      <c r="CO20" s="188"/>
      <c r="CP20" s="188"/>
      <c r="CQ20" s="188"/>
      <c r="CR20" s="188"/>
      <c r="CS20" s="188"/>
      <c r="CT20" s="188"/>
      <c r="CU20" s="188"/>
      <c r="CV20" s="188"/>
      <c r="CW20" s="188"/>
      <c r="CX20" s="188"/>
      <c r="CY20" s="188"/>
      <c r="CZ20" s="188"/>
      <c r="DA20" s="188"/>
      <c r="DB20" s="188"/>
      <c r="DC20" s="188"/>
      <c r="DD20" s="188"/>
      <c r="DE20" s="188"/>
      <c r="DF20" s="188"/>
      <c r="DG20" s="188"/>
      <c r="DH20" s="188"/>
      <c r="DI20" s="188"/>
      <c r="DJ20" s="188"/>
      <c r="DK20" s="188"/>
      <c r="DL20" s="188"/>
      <c r="DM20" s="188"/>
      <c r="DN20" s="188"/>
      <c r="DO20" s="188"/>
      <c r="DP20" s="188"/>
      <c r="DQ20" s="188"/>
      <c r="DR20" s="188"/>
      <c r="DS20" s="188"/>
      <c r="DT20" s="188"/>
      <c r="DU20" s="188"/>
      <c r="DV20" s="188"/>
      <c r="DW20" s="188"/>
      <c r="DX20" s="188"/>
      <c r="DY20" s="188"/>
      <c r="DZ20" s="188"/>
      <c r="EA20" s="188"/>
    </row>
    <row r="21" spans="1:131" ht="15.75" x14ac:dyDescent="0.25">
      <c r="A21" s="12">
        <f>Broadsheet!A21</f>
        <v>0</v>
      </c>
      <c r="B21" s="204" t="str">
        <f>IF(Broadsheet!B21="","",Broadsheet!B21)</f>
        <v/>
      </c>
      <c r="C21" s="24" t="str">
        <f>IF(Broadsheet!C21="","",Broadsheet!C21)</f>
        <v xml:space="preserve"> </v>
      </c>
      <c r="D21" s="24"/>
      <c r="E21" s="24"/>
      <c r="F21" s="24"/>
      <c r="G21" s="24" t="str">
        <f t="shared" si="0"/>
        <v/>
      </c>
      <c r="H21" s="188" t="str">
        <f>IF(ISERROR(getgrade(Broadsheet!H21,data!$H$4:$I$9)),"#",getgrade(Broadsheet!H21,data!$H$4:$I$9))</f>
        <v/>
      </c>
      <c r="I21" s="188" t="str">
        <f>IF(ISERROR(getgrade(Broadsheet!I21,data!$H$4:$I$9)),"#",getgrade(Broadsheet!I21,data!$H$4:$I$9))</f>
        <v/>
      </c>
      <c r="J21" s="188" t="str">
        <f>IF(ISERROR(getgrade(Broadsheet!J21,data!$H$4:$I$9)),"#",getgrade(Broadsheet!J21,data!$H$4:$I$9))</f>
        <v/>
      </c>
      <c r="K21" s="188" t="str">
        <f>IF(ISERROR(getgrade(Broadsheet!K21,data!$H$4:$I$9)),"#",getgrade(Broadsheet!K21,data!$H$4:$I$9))</f>
        <v/>
      </c>
      <c r="L21" s="188" t="str">
        <f>IF(ISERROR(getgrade(Broadsheet!L21,data!$H$4:$I$9)),"#",getgrade(Broadsheet!L21,data!$H$4:$I$9))</f>
        <v/>
      </c>
      <c r="M21" s="188" t="str">
        <f>IF(ISERROR(getgrade(Broadsheet!M21,data!$H$4:$I$9)),"#",getgrade(Broadsheet!M21,data!$H$4:$I$9))</f>
        <v/>
      </c>
      <c r="N21" s="188" t="str">
        <f>IF(ISERROR(getgrade(Broadsheet!N21,data!$H$4:$I$9)),"#",getgrade(Broadsheet!N21,data!$H$4:$I$9))</f>
        <v/>
      </c>
      <c r="O21" s="188" t="str">
        <f>IF(ISERROR(getgrade(Broadsheet!O21,data!$H$4:$I$9)),"#",getgrade(Broadsheet!O21,data!$H$4:$I$9))</f>
        <v/>
      </c>
      <c r="P21" s="188" t="str">
        <f>IF(ISERROR(getgrade(Broadsheet!P21,data!$H$4:$I$9)),"#",getgrade(Broadsheet!P21,data!$H$4:$I$9))</f>
        <v/>
      </c>
      <c r="Q21" s="188" t="str">
        <f>IF(ISERROR(getgrade(Broadsheet!Q21,data!$H$4:$I$9)),"#",getgrade(Broadsheet!Q21,data!$H$4:$I$9))</f>
        <v/>
      </c>
      <c r="R21" s="188" t="str">
        <f>IF(ISERROR(getgrade(Broadsheet!R21,data!$H$4:$I$9)),"#",getgrade(Broadsheet!R21,data!$H$4:$I$9))</f>
        <v/>
      </c>
      <c r="S21" s="188" t="str">
        <f>IF(ISERROR(getgrade(Broadsheet!S21,data!$H$4:$I$9)),"#",getgrade(Broadsheet!S21,data!$H$4:$I$9))</f>
        <v/>
      </c>
      <c r="T21" s="188" t="str">
        <f>IF(ISERROR(getgrade(Broadsheet!T21,data!$H$4:$I$9)),"#",getgrade(Broadsheet!T21,data!$H$4:$I$9))</f>
        <v/>
      </c>
      <c r="U21" s="188" t="str">
        <f>IF(ISERROR(getgrade(Broadsheet!U21,data!$H$4:$I$9)),"#",getgrade(Broadsheet!U21,data!$H$4:$I$9))</f>
        <v/>
      </c>
      <c r="V21" s="188" t="str">
        <f>IF(ISERROR(getgrade(Broadsheet!V21,data!$H$4:$I$9)),"#",getgrade(Broadsheet!V21,data!$H$4:$I$9))</f>
        <v/>
      </c>
      <c r="W21" s="188" t="str">
        <f>IF(ISERROR(getgrade(Broadsheet!W21,data!$H$4:$I$9)),"#",getgrade(Broadsheet!W21,data!$H$4:$I$9))</f>
        <v/>
      </c>
      <c r="X21" s="188" t="str">
        <f>IF(ISERROR(getgrade(Broadsheet!X21,data!$H$4:$I$9)),"#",getgrade(Broadsheet!X21,data!$H$4:$I$9))</f>
        <v/>
      </c>
      <c r="Y21" s="188" t="str">
        <f>IF(ISERROR(getgrade(Broadsheet!Y21,data!$H$4:$I$9)),"#",getgrade(Broadsheet!Y21,data!$H$4:$I$9))</f>
        <v/>
      </c>
      <c r="Z21" s="188" t="str">
        <f>IF(ISERROR(getgrade(Broadsheet!Z21,data!$H$4:$I$9)),"#",getgrade(Broadsheet!Z21,data!$H$4:$I$9))</f>
        <v/>
      </c>
      <c r="AA21" s="188" t="str">
        <f>IF(ISERROR(getgrade(Broadsheet!AA21,data!$H$4:$I$9)),"#",getgrade(Broadsheet!AA21,data!$H$4:$I$9))</f>
        <v/>
      </c>
      <c r="AB21" s="188" t="str">
        <f>IF(ISERROR(getgrade(Broadsheet!AB21,data!$H$4:$I$9)),"#",getgrade(Broadsheet!AB21,data!$H$4:$I$9))</f>
        <v/>
      </c>
      <c r="AC21" s="188" t="str">
        <f>IF(ISERROR(getgrade(Broadsheet!AC21,data!$H$4:$I$9)),"#",getgrade(Broadsheet!AC21,data!$H$4:$I$9))</f>
        <v/>
      </c>
      <c r="AD21" s="188" t="str">
        <f>IF(ISERROR(getgrade(Broadsheet!AD21,data!$H$4:$I$9)),"#",getgrade(Broadsheet!AD21,data!$H$4:$I$9))</f>
        <v/>
      </c>
      <c r="AE21" s="188" t="str">
        <f>IF(ISERROR(getgrade(Broadsheet!AE21,data!$H$4:$I$9)),"#",getgrade(Broadsheet!AE21,data!$H$4:$I$9))</f>
        <v/>
      </c>
      <c r="AF21" s="188" t="str">
        <f>IF(ISERROR(getgrade(Broadsheet!AF21,data!$H$4:$I$9)),"#",getgrade(Broadsheet!AF21,data!$H$4:$I$9))</f>
        <v/>
      </c>
      <c r="AG21" s="188" t="str">
        <f>IF(ISERROR(getgrade(Broadsheet!AG21,data!$H$4:$I$9)),"#",getgrade(Broadsheet!AG21,data!$H$4:$I$9))</f>
        <v/>
      </c>
      <c r="AH21" s="188" t="str">
        <f>IF(ISERROR(getgrade(Broadsheet!AH21,data!$H$4:$I$9)),"#",getgrade(Broadsheet!AH21,data!$H$4:$I$9))</f>
        <v/>
      </c>
      <c r="AI21" s="188" t="str">
        <f>IF(ISERROR(getgrade(Broadsheet!AI21,data!$H$4:$I$9)),"#",getgrade(Broadsheet!AI21,data!$H$4:$I$9))</f>
        <v/>
      </c>
      <c r="AJ21" s="188" t="str">
        <f>IF(ISERROR(getgrade(Broadsheet!AJ21,data!$H$4:$I$9)),"#",getgrade(Broadsheet!AJ21,data!$H$4:$I$9))</f>
        <v/>
      </c>
      <c r="AK21" s="188" t="str">
        <f>IF(ISERROR(getgrade(Broadsheet!AK21,data!$H$4:$I$9)),"#",getgrade(Broadsheet!AK21,data!$H$4:$I$9))</f>
        <v/>
      </c>
      <c r="AL21" s="188" t="str">
        <f>IF(ISERROR(getgrade(Broadsheet!AL21,data!$H$4:$I$9)),"#",getgrade(Broadsheet!AL21,data!$H$4:$I$9))</f>
        <v/>
      </c>
      <c r="AM21" s="188" t="str">
        <f>IF(ISERROR(getgrade(Broadsheet!AM21,data!$H$4:$I$9)),"#",getgrade(Broadsheet!AM21,data!$H$4:$I$9))</f>
        <v/>
      </c>
      <c r="AN21" s="188" t="str">
        <f>IF(ISERROR(getgrade(Broadsheet!AN21,data!$H$4:$I$9)),"#",getgrade(Broadsheet!AN21,data!$H$4:$I$9))</f>
        <v/>
      </c>
      <c r="AO21" s="188" t="str">
        <f>IF(ISERROR(getgrade(Broadsheet!AO21,data!$H$4:$I$9)),"#",getgrade(Broadsheet!AO21,data!$H$4:$I$9))</f>
        <v/>
      </c>
      <c r="AP21" s="188" t="str">
        <f>IF(ISERROR(getgrade(Broadsheet!AP21,data!$H$4:$I$9)),"#",getgrade(Broadsheet!AP21,data!$H$4:$I$9))</f>
        <v/>
      </c>
      <c r="AQ21" s="188" t="str">
        <f>IF(ISERROR(getgrade(Broadsheet!AQ21,data!$H$4:$I$9)),"#",getgrade(Broadsheet!AQ21,data!$H$4:$I$9))</f>
        <v/>
      </c>
      <c r="AR21" s="188" t="str">
        <f>IF(ISERROR(getgrade(Broadsheet!AR21,data!$H$4:$I$9)),"#",getgrade(Broadsheet!AR21,data!$H$4:$I$9))</f>
        <v/>
      </c>
      <c r="AS21" s="188" t="str">
        <f>IF(ISERROR(getgrade(Broadsheet!AS21,data!$H$4:$I$9)),"#",getgrade(Broadsheet!AS21,data!$H$4:$I$9))</f>
        <v/>
      </c>
      <c r="AT21" s="188" t="str">
        <f>IF(ISERROR(getgrade(Broadsheet!AT21,data!$H$4:$I$9)),"#",getgrade(Broadsheet!AT21,data!$H$4:$I$9))</f>
        <v/>
      </c>
      <c r="AU21" s="188" t="str">
        <f>IF(ISERROR(getgrade(Broadsheet!AU21,data!$H$4:$I$9)),"#",getgrade(Broadsheet!AU21,data!$H$4:$I$9))</f>
        <v/>
      </c>
      <c r="AV21" s="188" t="str">
        <f>IF(ISERROR(getgrade(Broadsheet!AV21,data!$H$4:$I$9)),"#",getgrade(Broadsheet!AV21,data!$H$4:$I$9))</f>
        <v/>
      </c>
      <c r="AW21" s="188" t="str">
        <f>IF(ISERROR(getgrade(Broadsheet!AW21,data!$H$4:$I$9)),"#",getgrade(Broadsheet!AW21,data!$H$4:$I$9))</f>
        <v/>
      </c>
      <c r="AX21" s="188" t="str">
        <f>IF(ISERROR(getgrade(Broadsheet!AX21,data!$H$4:$I$9)),"#",getgrade(Broadsheet!AX21,data!$H$4:$I$9))</f>
        <v/>
      </c>
      <c r="AY21" s="188" t="str">
        <f>IF(ISERROR(getgrade(Broadsheet!AY21,data!$H$4:$I$9)),"#",getgrade(Broadsheet!AY21,data!$H$4:$I$9))</f>
        <v/>
      </c>
      <c r="AZ21" s="188" t="str">
        <f>IF(ISERROR(getgrade(Broadsheet!AZ21,data!$H$4:$I$9)),"#",getgrade(Broadsheet!AZ21,data!$H$4:$I$9))</f>
        <v/>
      </c>
      <c r="BA21" s="188" t="str">
        <f>IF(ISERROR(getgrade(Broadsheet!BA21,data!$H$4:$I$9)),"#",getgrade(Broadsheet!BA21,data!$H$4:$I$9))</f>
        <v/>
      </c>
      <c r="BB21" s="188" t="str">
        <f>IF(ISERROR(getgrade(Broadsheet!BB21,data!$H$4:$I$9)),"#",getgrade(Broadsheet!BB21,data!$H$4:$I$9))</f>
        <v/>
      </c>
      <c r="BC21" s="188" t="str">
        <f>IF(ISERROR(getgrade(Broadsheet!BC21,data!$H$4:$I$9)),"#",getgrade(Broadsheet!BC21,data!$H$4:$I$9))</f>
        <v/>
      </c>
      <c r="BD21" s="188" t="str">
        <f>IF(ISERROR(getgrade(Broadsheet!BD21,data!$H$4:$I$9)),"#",getgrade(Broadsheet!BD21,data!$H$4:$I$9))</f>
        <v/>
      </c>
      <c r="BE21" s="188" t="str">
        <f>IF(ISERROR(getgrade(Broadsheet!BE21,data!$H$4:$I$9)),"#",getgrade(Broadsheet!BE21,data!$H$4:$I$9))</f>
        <v/>
      </c>
      <c r="BF21" s="188" t="str">
        <f>IF(ISERROR(getgrade(Broadsheet!BF21,data!$H$4:$I$9)),"#",getgrade(Broadsheet!BF21,data!$H$4:$I$9))</f>
        <v/>
      </c>
      <c r="BG21" s="188" t="str">
        <f>IF(ISERROR(getgrade(Broadsheet!BG21,data!$H$4:$I$9)),"#",getgrade(Broadsheet!BG21,data!$H$4:$I$9))</f>
        <v/>
      </c>
      <c r="BH21" s="188" t="str">
        <f>IF(ISERROR(getgrade(Broadsheet!BH21,data!$H$4:$I$9)),"#",getgrade(Broadsheet!BH21,data!$H$4:$I$9))</f>
        <v/>
      </c>
      <c r="BI21" s="188" t="str">
        <f>IF(ISERROR(getgrade(Broadsheet!BI21,data!$H$4:$I$9)),"#",getgrade(Broadsheet!BI21,data!$H$4:$I$9))</f>
        <v/>
      </c>
      <c r="BJ21" s="188" t="str">
        <f>IF(ISERROR(getgrade(Broadsheet!BJ21,data!$H$4:$I$9)),"#",getgrade(Broadsheet!BJ21,data!$H$4:$I$9))</f>
        <v/>
      </c>
      <c r="BK21" s="188"/>
      <c r="BL21" s="188"/>
      <c r="BM21" s="188"/>
      <c r="BN21" s="188"/>
      <c r="BO21" s="188"/>
      <c r="BP21" s="188"/>
      <c r="BQ21" s="188"/>
      <c r="BR21" s="188"/>
      <c r="BS21" s="188"/>
      <c r="BT21" s="188"/>
      <c r="BU21" s="188"/>
      <c r="BV21" s="188"/>
      <c r="BW21" s="188"/>
      <c r="BX21" s="188"/>
      <c r="BY21" s="188"/>
      <c r="BZ21" s="188"/>
      <c r="CA21" s="188"/>
      <c r="CB21" s="188"/>
      <c r="CC21" s="188"/>
      <c r="CD21" s="188"/>
      <c r="CE21" s="188"/>
      <c r="CF21" s="188"/>
      <c r="CG21" s="188"/>
      <c r="CH21" s="188"/>
      <c r="CI21" s="188"/>
      <c r="CJ21" s="188"/>
      <c r="CK21" s="188"/>
      <c r="CL21" s="188"/>
      <c r="CM21" s="188"/>
      <c r="CN21" s="188"/>
      <c r="CO21" s="188"/>
      <c r="CP21" s="188"/>
      <c r="CQ21" s="188"/>
      <c r="CR21" s="188"/>
      <c r="CS21" s="188"/>
      <c r="CT21" s="188"/>
      <c r="CU21" s="188"/>
      <c r="CV21" s="188"/>
      <c r="CW21" s="188"/>
      <c r="CX21" s="188"/>
      <c r="CY21" s="188"/>
      <c r="CZ21" s="188"/>
      <c r="DA21" s="188"/>
      <c r="DB21" s="188"/>
      <c r="DC21" s="188"/>
      <c r="DD21" s="188"/>
      <c r="DE21" s="188"/>
      <c r="DF21" s="188"/>
      <c r="DG21" s="188"/>
      <c r="DH21" s="188"/>
      <c r="DI21" s="188"/>
      <c r="DJ21" s="188"/>
      <c r="DK21" s="188"/>
      <c r="DL21" s="188"/>
      <c r="DM21" s="188"/>
      <c r="DN21" s="188"/>
      <c r="DO21" s="188"/>
      <c r="DP21" s="188"/>
      <c r="DQ21" s="188"/>
      <c r="DR21" s="188"/>
      <c r="DS21" s="188"/>
      <c r="DT21" s="188"/>
      <c r="DU21" s="188"/>
      <c r="DV21" s="188"/>
      <c r="DW21" s="188"/>
      <c r="DX21" s="188"/>
      <c r="DY21" s="188"/>
      <c r="DZ21" s="188"/>
      <c r="EA21" s="188"/>
    </row>
    <row r="22" spans="1:131" ht="15.75" x14ac:dyDescent="0.25">
      <c r="A22" s="12">
        <f>Broadsheet!A22</f>
        <v>0</v>
      </c>
      <c r="B22" s="204" t="str">
        <f>IF(Broadsheet!B22="","",Broadsheet!B22)</f>
        <v/>
      </c>
      <c r="C22" s="24" t="str">
        <f>IF(Broadsheet!C22="","",Broadsheet!C22)</f>
        <v xml:space="preserve"> </v>
      </c>
      <c r="D22" s="24"/>
      <c r="E22" s="24"/>
      <c r="F22" s="24"/>
      <c r="G22" s="24" t="str">
        <f t="shared" si="0"/>
        <v/>
      </c>
      <c r="H22" s="188" t="str">
        <f>IF(ISERROR(getgrade(Broadsheet!H22,data!$H$4:$I$9)),"#",getgrade(Broadsheet!H22,data!$H$4:$I$9))</f>
        <v/>
      </c>
      <c r="I22" s="188" t="str">
        <f>IF(ISERROR(getgrade(Broadsheet!I22,data!$H$4:$I$9)),"#",getgrade(Broadsheet!I22,data!$H$4:$I$9))</f>
        <v/>
      </c>
      <c r="J22" s="188" t="str">
        <f>IF(ISERROR(getgrade(Broadsheet!J22,data!$H$4:$I$9)),"#",getgrade(Broadsheet!J22,data!$H$4:$I$9))</f>
        <v/>
      </c>
      <c r="K22" s="188" t="str">
        <f>IF(ISERROR(getgrade(Broadsheet!K22,data!$H$4:$I$9)),"#",getgrade(Broadsheet!K22,data!$H$4:$I$9))</f>
        <v/>
      </c>
      <c r="L22" s="188" t="str">
        <f>IF(ISERROR(getgrade(Broadsheet!L22,data!$H$4:$I$9)),"#",getgrade(Broadsheet!L22,data!$H$4:$I$9))</f>
        <v/>
      </c>
      <c r="M22" s="188" t="str">
        <f>IF(ISERROR(getgrade(Broadsheet!M22,data!$H$4:$I$9)),"#",getgrade(Broadsheet!M22,data!$H$4:$I$9))</f>
        <v/>
      </c>
      <c r="N22" s="188" t="str">
        <f>IF(ISERROR(getgrade(Broadsheet!N22,data!$H$4:$I$9)),"#",getgrade(Broadsheet!N22,data!$H$4:$I$9))</f>
        <v/>
      </c>
      <c r="O22" s="188" t="str">
        <f>IF(ISERROR(getgrade(Broadsheet!O22,data!$H$4:$I$9)),"#",getgrade(Broadsheet!O22,data!$H$4:$I$9))</f>
        <v/>
      </c>
      <c r="P22" s="188" t="str">
        <f>IF(ISERROR(getgrade(Broadsheet!P22,data!$H$4:$I$9)),"#",getgrade(Broadsheet!P22,data!$H$4:$I$9))</f>
        <v/>
      </c>
      <c r="Q22" s="188" t="str">
        <f>IF(ISERROR(getgrade(Broadsheet!Q22,data!$H$4:$I$9)),"#",getgrade(Broadsheet!Q22,data!$H$4:$I$9))</f>
        <v/>
      </c>
      <c r="R22" s="188" t="str">
        <f>IF(ISERROR(getgrade(Broadsheet!R22,data!$H$4:$I$9)),"#",getgrade(Broadsheet!R22,data!$H$4:$I$9))</f>
        <v/>
      </c>
      <c r="S22" s="188" t="str">
        <f>IF(ISERROR(getgrade(Broadsheet!S22,data!$H$4:$I$9)),"#",getgrade(Broadsheet!S22,data!$H$4:$I$9))</f>
        <v/>
      </c>
      <c r="T22" s="188" t="str">
        <f>IF(ISERROR(getgrade(Broadsheet!T22,data!$H$4:$I$9)),"#",getgrade(Broadsheet!T22,data!$H$4:$I$9))</f>
        <v/>
      </c>
      <c r="U22" s="188" t="str">
        <f>IF(ISERROR(getgrade(Broadsheet!U22,data!$H$4:$I$9)),"#",getgrade(Broadsheet!U22,data!$H$4:$I$9))</f>
        <v/>
      </c>
      <c r="V22" s="188" t="str">
        <f>IF(ISERROR(getgrade(Broadsheet!V22,data!$H$4:$I$9)),"#",getgrade(Broadsheet!V22,data!$H$4:$I$9))</f>
        <v/>
      </c>
      <c r="W22" s="188" t="str">
        <f>IF(ISERROR(getgrade(Broadsheet!W22,data!$H$4:$I$9)),"#",getgrade(Broadsheet!W22,data!$H$4:$I$9))</f>
        <v/>
      </c>
      <c r="X22" s="188" t="str">
        <f>IF(ISERROR(getgrade(Broadsheet!X22,data!$H$4:$I$9)),"#",getgrade(Broadsheet!X22,data!$H$4:$I$9))</f>
        <v/>
      </c>
      <c r="Y22" s="188" t="str">
        <f>IF(ISERROR(getgrade(Broadsheet!Y22,data!$H$4:$I$9)),"#",getgrade(Broadsheet!Y22,data!$H$4:$I$9))</f>
        <v/>
      </c>
      <c r="Z22" s="188" t="str">
        <f>IF(ISERROR(getgrade(Broadsheet!Z22,data!$H$4:$I$9)),"#",getgrade(Broadsheet!Z22,data!$H$4:$I$9))</f>
        <v/>
      </c>
      <c r="AA22" s="188" t="str">
        <f>IF(ISERROR(getgrade(Broadsheet!AA22,data!$H$4:$I$9)),"#",getgrade(Broadsheet!AA22,data!$H$4:$I$9))</f>
        <v/>
      </c>
      <c r="AB22" s="188" t="str">
        <f>IF(ISERROR(getgrade(Broadsheet!AB22,data!$H$4:$I$9)),"#",getgrade(Broadsheet!AB22,data!$H$4:$I$9))</f>
        <v/>
      </c>
      <c r="AC22" s="188" t="str">
        <f>IF(ISERROR(getgrade(Broadsheet!AC22,data!$H$4:$I$9)),"#",getgrade(Broadsheet!AC22,data!$H$4:$I$9))</f>
        <v/>
      </c>
      <c r="AD22" s="188" t="str">
        <f>IF(ISERROR(getgrade(Broadsheet!AD22,data!$H$4:$I$9)),"#",getgrade(Broadsheet!AD22,data!$H$4:$I$9))</f>
        <v/>
      </c>
      <c r="AE22" s="188" t="str">
        <f>IF(ISERROR(getgrade(Broadsheet!AE22,data!$H$4:$I$9)),"#",getgrade(Broadsheet!AE22,data!$H$4:$I$9))</f>
        <v/>
      </c>
      <c r="AF22" s="188" t="str">
        <f>IF(ISERROR(getgrade(Broadsheet!AF22,data!$H$4:$I$9)),"#",getgrade(Broadsheet!AF22,data!$H$4:$I$9))</f>
        <v/>
      </c>
      <c r="AG22" s="188" t="str">
        <f>IF(ISERROR(getgrade(Broadsheet!AG22,data!$H$4:$I$9)),"#",getgrade(Broadsheet!AG22,data!$H$4:$I$9))</f>
        <v/>
      </c>
      <c r="AH22" s="188" t="str">
        <f>IF(ISERROR(getgrade(Broadsheet!AH22,data!$H$4:$I$9)),"#",getgrade(Broadsheet!AH22,data!$H$4:$I$9))</f>
        <v/>
      </c>
      <c r="AI22" s="188" t="str">
        <f>IF(ISERROR(getgrade(Broadsheet!AI22,data!$H$4:$I$9)),"#",getgrade(Broadsheet!AI22,data!$H$4:$I$9))</f>
        <v/>
      </c>
      <c r="AJ22" s="188" t="str">
        <f>IF(ISERROR(getgrade(Broadsheet!AJ22,data!$H$4:$I$9)),"#",getgrade(Broadsheet!AJ22,data!$H$4:$I$9))</f>
        <v/>
      </c>
      <c r="AK22" s="188" t="str">
        <f>IF(ISERROR(getgrade(Broadsheet!AK22,data!$H$4:$I$9)),"#",getgrade(Broadsheet!AK22,data!$H$4:$I$9))</f>
        <v/>
      </c>
      <c r="AL22" s="188" t="str">
        <f>IF(ISERROR(getgrade(Broadsheet!AL22,data!$H$4:$I$9)),"#",getgrade(Broadsheet!AL22,data!$H$4:$I$9))</f>
        <v/>
      </c>
      <c r="AM22" s="188" t="str">
        <f>IF(ISERROR(getgrade(Broadsheet!AM22,data!$H$4:$I$9)),"#",getgrade(Broadsheet!AM22,data!$H$4:$I$9))</f>
        <v/>
      </c>
      <c r="AN22" s="188" t="str">
        <f>IF(ISERROR(getgrade(Broadsheet!AN22,data!$H$4:$I$9)),"#",getgrade(Broadsheet!AN22,data!$H$4:$I$9))</f>
        <v/>
      </c>
      <c r="AO22" s="188" t="str">
        <f>IF(ISERROR(getgrade(Broadsheet!AO22,data!$H$4:$I$9)),"#",getgrade(Broadsheet!AO22,data!$H$4:$I$9))</f>
        <v/>
      </c>
      <c r="AP22" s="188" t="str">
        <f>IF(ISERROR(getgrade(Broadsheet!AP22,data!$H$4:$I$9)),"#",getgrade(Broadsheet!AP22,data!$H$4:$I$9))</f>
        <v/>
      </c>
      <c r="AQ22" s="188" t="str">
        <f>IF(ISERROR(getgrade(Broadsheet!AQ22,data!$H$4:$I$9)),"#",getgrade(Broadsheet!AQ22,data!$H$4:$I$9))</f>
        <v/>
      </c>
      <c r="AR22" s="188" t="str">
        <f>IF(ISERROR(getgrade(Broadsheet!AR22,data!$H$4:$I$9)),"#",getgrade(Broadsheet!AR22,data!$H$4:$I$9))</f>
        <v/>
      </c>
      <c r="AS22" s="188" t="str">
        <f>IF(ISERROR(getgrade(Broadsheet!AS22,data!$H$4:$I$9)),"#",getgrade(Broadsheet!AS22,data!$H$4:$I$9))</f>
        <v/>
      </c>
      <c r="AT22" s="188" t="str">
        <f>IF(ISERROR(getgrade(Broadsheet!AT22,data!$H$4:$I$9)),"#",getgrade(Broadsheet!AT22,data!$H$4:$I$9))</f>
        <v/>
      </c>
      <c r="AU22" s="188" t="str">
        <f>IF(ISERROR(getgrade(Broadsheet!AU22,data!$H$4:$I$9)),"#",getgrade(Broadsheet!AU22,data!$H$4:$I$9))</f>
        <v/>
      </c>
      <c r="AV22" s="188" t="str">
        <f>IF(ISERROR(getgrade(Broadsheet!AV22,data!$H$4:$I$9)),"#",getgrade(Broadsheet!AV22,data!$H$4:$I$9))</f>
        <v/>
      </c>
      <c r="AW22" s="188" t="str">
        <f>IF(ISERROR(getgrade(Broadsheet!AW22,data!$H$4:$I$9)),"#",getgrade(Broadsheet!AW22,data!$H$4:$I$9))</f>
        <v/>
      </c>
      <c r="AX22" s="188" t="str">
        <f>IF(ISERROR(getgrade(Broadsheet!AX22,data!$H$4:$I$9)),"#",getgrade(Broadsheet!AX22,data!$H$4:$I$9))</f>
        <v/>
      </c>
      <c r="AY22" s="188" t="str">
        <f>IF(ISERROR(getgrade(Broadsheet!AY22,data!$H$4:$I$9)),"#",getgrade(Broadsheet!AY22,data!$H$4:$I$9))</f>
        <v/>
      </c>
      <c r="AZ22" s="188" t="str">
        <f>IF(ISERROR(getgrade(Broadsheet!AZ22,data!$H$4:$I$9)),"#",getgrade(Broadsheet!AZ22,data!$H$4:$I$9))</f>
        <v/>
      </c>
      <c r="BA22" s="188" t="str">
        <f>IF(ISERROR(getgrade(Broadsheet!BA22,data!$H$4:$I$9)),"#",getgrade(Broadsheet!BA22,data!$H$4:$I$9))</f>
        <v/>
      </c>
      <c r="BB22" s="188" t="str">
        <f>IF(ISERROR(getgrade(Broadsheet!BB22,data!$H$4:$I$9)),"#",getgrade(Broadsheet!BB22,data!$H$4:$I$9))</f>
        <v/>
      </c>
      <c r="BC22" s="188" t="str">
        <f>IF(ISERROR(getgrade(Broadsheet!BC22,data!$H$4:$I$9)),"#",getgrade(Broadsheet!BC22,data!$H$4:$I$9))</f>
        <v/>
      </c>
      <c r="BD22" s="188" t="str">
        <f>IF(ISERROR(getgrade(Broadsheet!BD22,data!$H$4:$I$9)),"#",getgrade(Broadsheet!BD22,data!$H$4:$I$9))</f>
        <v/>
      </c>
      <c r="BE22" s="188" t="str">
        <f>IF(ISERROR(getgrade(Broadsheet!BE22,data!$H$4:$I$9)),"#",getgrade(Broadsheet!BE22,data!$H$4:$I$9))</f>
        <v/>
      </c>
      <c r="BF22" s="188" t="str">
        <f>IF(ISERROR(getgrade(Broadsheet!BF22,data!$H$4:$I$9)),"#",getgrade(Broadsheet!BF22,data!$H$4:$I$9))</f>
        <v/>
      </c>
      <c r="BG22" s="188" t="str">
        <f>IF(ISERROR(getgrade(Broadsheet!BG22,data!$H$4:$I$9)),"#",getgrade(Broadsheet!BG22,data!$H$4:$I$9))</f>
        <v/>
      </c>
      <c r="BH22" s="188" t="str">
        <f>IF(ISERROR(getgrade(Broadsheet!BH22,data!$H$4:$I$9)),"#",getgrade(Broadsheet!BH22,data!$H$4:$I$9))</f>
        <v/>
      </c>
      <c r="BI22" s="188" t="str">
        <f>IF(ISERROR(getgrade(Broadsheet!BI22,data!$H$4:$I$9)),"#",getgrade(Broadsheet!BI22,data!$H$4:$I$9))</f>
        <v/>
      </c>
      <c r="BJ22" s="188" t="str">
        <f>IF(ISERROR(getgrade(Broadsheet!BJ22,data!$H$4:$I$9)),"#",getgrade(Broadsheet!BJ22,data!$H$4:$I$9))</f>
        <v/>
      </c>
      <c r="BK22" s="188"/>
      <c r="BL22" s="188"/>
      <c r="BM22" s="188"/>
      <c r="BN22" s="188"/>
      <c r="BO22" s="188"/>
      <c r="BP22" s="188"/>
      <c r="BQ22" s="188"/>
      <c r="BR22" s="188"/>
      <c r="BS22" s="188"/>
      <c r="BT22" s="188"/>
      <c r="BU22" s="188"/>
      <c r="BV22" s="188"/>
      <c r="BW22" s="188"/>
      <c r="BX22" s="188"/>
      <c r="BY22" s="188"/>
      <c r="BZ22" s="188"/>
      <c r="CA22" s="188"/>
      <c r="CB22" s="188"/>
      <c r="CC22" s="188"/>
      <c r="CD22" s="188"/>
      <c r="CE22" s="188"/>
      <c r="CF22" s="188"/>
      <c r="CG22" s="188"/>
      <c r="CH22" s="188"/>
      <c r="CI22" s="188"/>
      <c r="CJ22" s="188"/>
      <c r="CK22" s="188"/>
      <c r="CL22" s="188"/>
      <c r="CM22" s="188"/>
      <c r="CN22" s="188"/>
      <c r="CO22" s="188"/>
      <c r="CP22" s="188"/>
      <c r="CQ22" s="188"/>
      <c r="CR22" s="188"/>
      <c r="CS22" s="188"/>
      <c r="CT22" s="188"/>
      <c r="CU22" s="188"/>
      <c r="CV22" s="188"/>
      <c r="CW22" s="188"/>
      <c r="CX22" s="188"/>
      <c r="CY22" s="188"/>
      <c r="CZ22" s="188"/>
      <c r="DA22" s="188"/>
      <c r="DB22" s="188"/>
      <c r="DC22" s="188"/>
      <c r="DD22" s="188"/>
      <c r="DE22" s="188"/>
      <c r="DF22" s="188"/>
      <c r="DG22" s="188"/>
      <c r="DH22" s="188"/>
      <c r="DI22" s="188"/>
      <c r="DJ22" s="188"/>
      <c r="DK22" s="188"/>
      <c r="DL22" s="188"/>
      <c r="DM22" s="188"/>
      <c r="DN22" s="188"/>
      <c r="DO22" s="188"/>
      <c r="DP22" s="188"/>
      <c r="DQ22" s="188"/>
      <c r="DR22" s="188"/>
      <c r="DS22" s="188"/>
      <c r="DT22" s="188"/>
      <c r="DU22" s="188"/>
      <c r="DV22" s="188"/>
      <c r="DW22" s="188"/>
      <c r="DX22" s="188"/>
      <c r="DY22" s="188"/>
      <c r="DZ22" s="188"/>
      <c r="EA22" s="188"/>
    </row>
    <row r="23" spans="1:131" ht="15.75" x14ac:dyDescent="0.25">
      <c r="A23" s="12">
        <f>Broadsheet!A23</f>
        <v>0</v>
      </c>
      <c r="B23" s="204" t="str">
        <f>IF(Broadsheet!B23="","",Broadsheet!B23)</f>
        <v/>
      </c>
      <c r="C23" s="24" t="str">
        <f>IF(Broadsheet!C23="","",Broadsheet!C23)</f>
        <v xml:space="preserve"> </v>
      </c>
      <c r="D23" s="24"/>
      <c r="E23" s="24"/>
      <c r="F23" s="24"/>
      <c r="G23" s="24" t="str">
        <f t="shared" si="0"/>
        <v/>
      </c>
      <c r="H23" s="188" t="str">
        <f>IF(ISERROR(getgrade(Broadsheet!H23,data!$H$4:$I$9)),"#",getgrade(Broadsheet!H23,data!$H$4:$I$9))</f>
        <v/>
      </c>
      <c r="I23" s="188" t="str">
        <f>IF(ISERROR(getgrade(Broadsheet!I23,data!$H$4:$I$9)),"#",getgrade(Broadsheet!I23,data!$H$4:$I$9))</f>
        <v/>
      </c>
      <c r="J23" s="188" t="str">
        <f>IF(ISERROR(getgrade(Broadsheet!J23,data!$H$4:$I$9)),"#",getgrade(Broadsheet!J23,data!$H$4:$I$9))</f>
        <v/>
      </c>
      <c r="K23" s="188" t="str">
        <f>IF(ISERROR(getgrade(Broadsheet!K23,data!$H$4:$I$9)),"#",getgrade(Broadsheet!K23,data!$H$4:$I$9))</f>
        <v/>
      </c>
      <c r="L23" s="188" t="str">
        <f>IF(ISERROR(getgrade(Broadsheet!L23,data!$H$4:$I$9)),"#",getgrade(Broadsheet!L23,data!$H$4:$I$9))</f>
        <v/>
      </c>
      <c r="M23" s="188" t="str">
        <f>IF(ISERROR(getgrade(Broadsheet!M23,data!$H$4:$I$9)),"#",getgrade(Broadsheet!M23,data!$H$4:$I$9))</f>
        <v/>
      </c>
      <c r="N23" s="188" t="str">
        <f>IF(ISERROR(getgrade(Broadsheet!N23,data!$H$4:$I$9)),"#",getgrade(Broadsheet!N23,data!$H$4:$I$9))</f>
        <v/>
      </c>
      <c r="O23" s="188" t="str">
        <f>IF(ISERROR(getgrade(Broadsheet!O23,data!$H$4:$I$9)),"#",getgrade(Broadsheet!O23,data!$H$4:$I$9))</f>
        <v/>
      </c>
      <c r="P23" s="188" t="str">
        <f>IF(ISERROR(getgrade(Broadsheet!P23,data!$H$4:$I$9)),"#",getgrade(Broadsheet!P23,data!$H$4:$I$9))</f>
        <v/>
      </c>
      <c r="Q23" s="188" t="str">
        <f>IF(ISERROR(getgrade(Broadsheet!Q23,data!$H$4:$I$9)),"#",getgrade(Broadsheet!Q23,data!$H$4:$I$9))</f>
        <v/>
      </c>
      <c r="R23" s="188" t="str">
        <f>IF(ISERROR(getgrade(Broadsheet!R23,data!$H$4:$I$9)),"#",getgrade(Broadsheet!R23,data!$H$4:$I$9))</f>
        <v/>
      </c>
      <c r="S23" s="188" t="str">
        <f>IF(ISERROR(getgrade(Broadsheet!S23,data!$H$4:$I$9)),"#",getgrade(Broadsheet!S23,data!$H$4:$I$9))</f>
        <v/>
      </c>
      <c r="T23" s="188" t="str">
        <f>IF(ISERROR(getgrade(Broadsheet!T23,data!$H$4:$I$9)),"#",getgrade(Broadsheet!T23,data!$H$4:$I$9))</f>
        <v/>
      </c>
      <c r="U23" s="188" t="str">
        <f>IF(ISERROR(getgrade(Broadsheet!U23,data!$H$4:$I$9)),"#",getgrade(Broadsheet!U23,data!$H$4:$I$9))</f>
        <v/>
      </c>
      <c r="V23" s="188" t="str">
        <f>IF(ISERROR(getgrade(Broadsheet!V23,data!$H$4:$I$9)),"#",getgrade(Broadsheet!V23,data!$H$4:$I$9))</f>
        <v/>
      </c>
      <c r="W23" s="188" t="str">
        <f>IF(ISERROR(getgrade(Broadsheet!W23,data!$H$4:$I$9)),"#",getgrade(Broadsheet!W23,data!$H$4:$I$9))</f>
        <v/>
      </c>
      <c r="X23" s="188" t="str">
        <f>IF(ISERROR(getgrade(Broadsheet!X23,data!$H$4:$I$9)),"#",getgrade(Broadsheet!X23,data!$H$4:$I$9))</f>
        <v/>
      </c>
      <c r="Y23" s="188" t="str">
        <f>IF(ISERROR(getgrade(Broadsheet!Y23,data!$H$4:$I$9)),"#",getgrade(Broadsheet!Y23,data!$H$4:$I$9))</f>
        <v/>
      </c>
      <c r="Z23" s="188" t="str">
        <f>IF(ISERROR(getgrade(Broadsheet!Z23,data!$H$4:$I$9)),"#",getgrade(Broadsheet!Z23,data!$H$4:$I$9))</f>
        <v/>
      </c>
      <c r="AA23" s="188" t="str">
        <f>IF(ISERROR(getgrade(Broadsheet!AA23,data!$H$4:$I$9)),"#",getgrade(Broadsheet!AA23,data!$H$4:$I$9))</f>
        <v/>
      </c>
      <c r="AB23" s="188" t="str">
        <f>IF(ISERROR(getgrade(Broadsheet!AB23,data!$H$4:$I$9)),"#",getgrade(Broadsheet!AB23,data!$H$4:$I$9))</f>
        <v/>
      </c>
      <c r="AC23" s="188" t="str">
        <f>IF(ISERROR(getgrade(Broadsheet!AC23,data!$H$4:$I$9)),"#",getgrade(Broadsheet!AC23,data!$H$4:$I$9))</f>
        <v/>
      </c>
      <c r="AD23" s="188" t="str">
        <f>IF(ISERROR(getgrade(Broadsheet!AD23,data!$H$4:$I$9)),"#",getgrade(Broadsheet!AD23,data!$H$4:$I$9))</f>
        <v/>
      </c>
      <c r="AE23" s="188" t="str">
        <f>IF(ISERROR(getgrade(Broadsheet!AE23,data!$H$4:$I$9)),"#",getgrade(Broadsheet!AE23,data!$H$4:$I$9))</f>
        <v/>
      </c>
      <c r="AF23" s="188" t="str">
        <f>IF(ISERROR(getgrade(Broadsheet!AF23,data!$H$4:$I$9)),"#",getgrade(Broadsheet!AF23,data!$H$4:$I$9))</f>
        <v/>
      </c>
      <c r="AG23" s="188" t="str">
        <f>IF(ISERROR(getgrade(Broadsheet!AG23,data!$H$4:$I$9)),"#",getgrade(Broadsheet!AG23,data!$H$4:$I$9))</f>
        <v/>
      </c>
      <c r="AH23" s="188" t="str">
        <f>IF(ISERROR(getgrade(Broadsheet!AH23,data!$H$4:$I$9)),"#",getgrade(Broadsheet!AH23,data!$H$4:$I$9))</f>
        <v/>
      </c>
      <c r="AI23" s="188" t="str">
        <f>IF(ISERROR(getgrade(Broadsheet!AI23,data!$H$4:$I$9)),"#",getgrade(Broadsheet!AI23,data!$H$4:$I$9))</f>
        <v/>
      </c>
      <c r="AJ23" s="188" t="str">
        <f>IF(ISERROR(getgrade(Broadsheet!AJ23,data!$H$4:$I$9)),"#",getgrade(Broadsheet!AJ23,data!$H$4:$I$9))</f>
        <v/>
      </c>
      <c r="AK23" s="188" t="str">
        <f>IF(ISERROR(getgrade(Broadsheet!AK23,data!$H$4:$I$9)),"#",getgrade(Broadsheet!AK23,data!$H$4:$I$9))</f>
        <v/>
      </c>
      <c r="AL23" s="188" t="str">
        <f>IF(ISERROR(getgrade(Broadsheet!AL23,data!$H$4:$I$9)),"#",getgrade(Broadsheet!AL23,data!$H$4:$I$9))</f>
        <v/>
      </c>
      <c r="AM23" s="188" t="str">
        <f>IF(ISERROR(getgrade(Broadsheet!AM23,data!$H$4:$I$9)),"#",getgrade(Broadsheet!AM23,data!$H$4:$I$9))</f>
        <v/>
      </c>
      <c r="AN23" s="188" t="str">
        <f>IF(ISERROR(getgrade(Broadsheet!AN23,data!$H$4:$I$9)),"#",getgrade(Broadsheet!AN23,data!$H$4:$I$9))</f>
        <v/>
      </c>
      <c r="AO23" s="188" t="str">
        <f>IF(ISERROR(getgrade(Broadsheet!AO23,data!$H$4:$I$9)),"#",getgrade(Broadsheet!AO23,data!$H$4:$I$9))</f>
        <v/>
      </c>
      <c r="AP23" s="188" t="str">
        <f>IF(ISERROR(getgrade(Broadsheet!AP23,data!$H$4:$I$9)),"#",getgrade(Broadsheet!AP23,data!$H$4:$I$9))</f>
        <v/>
      </c>
      <c r="AQ23" s="188" t="str">
        <f>IF(ISERROR(getgrade(Broadsheet!AQ23,data!$H$4:$I$9)),"#",getgrade(Broadsheet!AQ23,data!$H$4:$I$9))</f>
        <v/>
      </c>
      <c r="AR23" s="188" t="str">
        <f>IF(ISERROR(getgrade(Broadsheet!AR23,data!$H$4:$I$9)),"#",getgrade(Broadsheet!AR23,data!$H$4:$I$9))</f>
        <v/>
      </c>
      <c r="AS23" s="188" t="str">
        <f>IF(ISERROR(getgrade(Broadsheet!AS23,data!$H$4:$I$9)),"#",getgrade(Broadsheet!AS23,data!$H$4:$I$9))</f>
        <v/>
      </c>
      <c r="AT23" s="188" t="str">
        <f>IF(ISERROR(getgrade(Broadsheet!AT23,data!$H$4:$I$9)),"#",getgrade(Broadsheet!AT23,data!$H$4:$I$9))</f>
        <v/>
      </c>
      <c r="AU23" s="188" t="str">
        <f>IF(ISERROR(getgrade(Broadsheet!AU23,data!$H$4:$I$9)),"#",getgrade(Broadsheet!AU23,data!$H$4:$I$9))</f>
        <v/>
      </c>
      <c r="AV23" s="188" t="str">
        <f>IF(ISERROR(getgrade(Broadsheet!AV23,data!$H$4:$I$9)),"#",getgrade(Broadsheet!AV23,data!$H$4:$I$9))</f>
        <v/>
      </c>
      <c r="AW23" s="188" t="str">
        <f>IF(ISERROR(getgrade(Broadsheet!AW23,data!$H$4:$I$9)),"#",getgrade(Broadsheet!AW23,data!$H$4:$I$9))</f>
        <v/>
      </c>
      <c r="AX23" s="188" t="str">
        <f>IF(ISERROR(getgrade(Broadsheet!AX23,data!$H$4:$I$9)),"#",getgrade(Broadsheet!AX23,data!$H$4:$I$9))</f>
        <v/>
      </c>
      <c r="AY23" s="188" t="str">
        <f>IF(ISERROR(getgrade(Broadsheet!AY23,data!$H$4:$I$9)),"#",getgrade(Broadsheet!AY23,data!$H$4:$I$9))</f>
        <v/>
      </c>
      <c r="AZ23" s="188" t="str">
        <f>IF(ISERROR(getgrade(Broadsheet!AZ23,data!$H$4:$I$9)),"#",getgrade(Broadsheet!AZ23,data!$H$4:$I$9))</f>
        <v/>
      </c>
      <c r="BA23" s="188" t="str">
        <f>IF(ISERROR(getgrade(Broadsheet!BA23,data!$H$4:$I$9)),"#",getgrade(Broadsheet!BA23,data!$H$4:$I$9))</f>
        <v/>
      </c>
      <c r="BB23" s="188" t="str">
        <f>IF(ISERROR(getgrade(Broadsheet!BB23,data!$H$4:$I$9)),"#",getgrade(Broadsheet!BB23,data!$H$4:$I$9))</f>
        <v/>
      </c>
      <c r="BC23" s="188" t="str">
        <f>IF(ISERROR(getgrade(Broadsheet!BC23,data!$H$4:$I$9)),"#",getgrade(Broadsheet!BC23,data!$H$4:$I$9))</f>
        <v/>
      </c>
      <c r="BD23" s="188" t="str">
        <f>IF(ISERROR(getgrade(Broadsheet!BD23,data!$H$4:$I$9)),"#",getgrade(Broadsheet!BD23,data!$H$4:$I$9))</f>
        <v/>
      </c>
      <c r="BE23" s="188" t="str">
        <f>IF(ISERROR(getgrade(Broadsheet!BE23,data!$H$4:$I$9)),"#",getgrade(Broadsheet!BE23,data!$H$4:$I$9))</f>
        <v/>
      </c>
      <c r="BF23" s="188" t="str">
        <f>IF(ISERROR(getgrade(Broadsheet!BF23,data!$H$4:$I$9)),"#",getgrade(Broadsheet!BF23,data!$H$4:$I$9))</f>
        <v/>
      </c>
      <c r="BG23" s="188" t="str">
        <f>IF(ISERROR(getgrade(Broadsheet!BG23,data!$H$4:$I$9)),"#",getgrade(Broadsheet!BG23,data!$H$4:$I$9))</f>
        <v/>
      </c>
      <c r="BH23" s="188" t="str">
        <f>IF(ISERROR(getgrade(Broadsheet!BH23,data!$H$4:$I$9)),"#",getgrade(Broadsheet!BH23,data!$H$4:$I$9))</f>
        <v/>
      </c>
      <c r="BI23" s="188" t="str">
        <f>IF(ISERROR(getgrade(Broadsheet!BI23,data!$H$4:$I$9)),"#",getgrade(Broadsheet!BI23,data!$H$4:$I$9))</f>
        <v/>
      </c>
      <c r="BJ23" s="188" t="str">
        <f>IF(ISERROR(getgrade(Broadsheet!BJ23,data!$H$4:$I$9)),"#",getgrade(Broadsheet!BJ23,data!$H$4:$I$9))</f>
        <v/>
      </c>
      <c r="BK23" s="188"/>
      <c r="BL23" s="188"/>
      <c r="BM23" s="188"/>
      <c r="BN23" s="188"/>
      <c r="BO23" s="188"/>
      <c r="BP23" s="188"/>
      <c r="BQ23" s="188"/>
      <c r="BR23" s="188"/>
      <c r="BS23" s="188"/>
      <c r="BT23" s="188"/>
      <c r="BU23" s="188"/>
      <c r="BV23" s="188"/>
      <c r="BW23" s="188"/>
      <c r="BX23" s="188"/>
      <c r="BY23" s="188"/>
      <c r="BZ23" s="188"/>
      <c r="CA23" s="188"/>
      <c r="CB23" s="188"/>
      <c r="CC23" s="188"/>
      <c r="CD23" s="188"/>
      <c r="CE23" s="188"/>
      <c r="CF23" s="188"/>
      <c r="CG23" s="188"/>
      <c r="CH23" s="188"/>
      <c r="CI23" s="188"/>
      <c r="CJ23" s="188"/>
      <c r="CK23" s="188"/>
      <c r="CL23" s="188"/>
      <c r="CM23" s="188"/>
      <c r="CN23" s="188"/>
      <c r="CO23" s="188"/>
      <c r="CP23" s="188"/>
      <c r="CQ23" s="188"/>
      <c r="CR23" s="188"/>
      <c r="CS23" s="188"/>
      <c r="CT23" s="188"/>
      <c r="CU23" s="188"/>
      <c r="CV23" s="188"/>
      <c r="CW23" s="188"/>
      <c r="CX23" s="188"/>
      <c r="CY23" s="188"/>
      <c r="CZ23" s="188"/>
      <c r="DA23" s="188"/>
      <c r="DB23" s="188"/>
      <c r="DC23" s="188"/>
      <c r="DD23" s="188"/>
      <c r="DE23" s="188"/>
      <c r="DF23" s="188"/>
      <c r="DG23" s="188"/>
      <c r="DH23" s="188"/>
      <c r="DI23" s="188"/>
      <c r="DJ23" s="188"/>
      <c r="DK23" s="188"/>
      <c r="DL23" s="188"/>
      <c r="DM23" s="188"/>
      <c r="DN23" s="188"/>
      <c r="DO23" s="188"/>
      <c r="DP23" s="188"/>
      <c r="DQ23" s="188"/>
      <c r="DR23" s="188"/>
      <c r="DS23" s="188"/>
      <c r="DT23" s="188"/>
      <c r="DU23" s="188"/>
      <c r="DV23" s="188"/>
      <c r="DW23" s="188"/>
      <c r="DX23" s="188"/>
      <c r="DY23" s="188"/>
      <c r="DZ23" s="188"/>
      <c r="EA23" s="188"/>
    </row>
    <row r="24" spans="1:131" ht="15.75" x14ac:dyDescent="0.25">
      <c r="A24" s="12">
        <f>Broadsheet!A24</f>
        <v>0</v>
      </c>
      <c r="B24" s="204" t="str">
        <f>IF(Broadsheet!B24="","",Broadsheet!B24)</f>
        <v/>
      </c>
      <c r="C24" s="24" t="str">
        <f>IF(Broadsheet!C24="","",Broadsheet!C24)</f>
        <v xml:space="preserve"> </v>
      </c>
      <c r="D24" s="24"/>
      <c r="E24" s="24"/>
      <c r="F24" s="24"/>
      <c r="G24" s="24" t="str">
        <f t="shared" si="0"/>
        <v/>
      </c>
      <c r="H24" s="188" t="str">
        <f>IF(ISERROR(getgrade(Broadsheet!H24,data!$H$4:$I$9)),"#",getgrade(Broadsheet!H24,data!$H$4:$I$9))</f>
        <v/>
      </c>
      <c r="I24" s="188" t="str">
        <f>IF(ISERROR(getgrade(Broadsheet!I24,data!$H$4:$I$9)),"#",getgrade(Broadsheet!I24,data!$H$4:$I$9))</f>
        <v/>
      </c>
      <c r="J24" s="188" t="str">
        <f>IF(ISERROR(getgrade(Broadsheet!J24,data!$H$4:$I$9)),"#",getgrade(Broadsheet!J24,data!$H$4:$I$9))</f>
        <v/>
      </c>
      <c r="K24" s="188" t="str">
        <f>IF(ISERROR(getgrade(Broadsheet!K24,data!$H$4:$I$9)),"#",getgrade(Broadsheet!K24,data!$H$4:$I$9))</f>
        <v/>
      </c>
      <c r="L24" s="188" t="str">
        <f>IF(ISERROR(getgrade(Broadsheet!L24,data!$H$4:$I$9)),"#",getgrade(Broadsheet!L24,data!$H$4:$I$9))</f>
        <v/>
      </c>
      <c r="M24" s="188" t="str">
        <f>IF(ISERROR(getgrade(Broadsheet!M24,data!$H$4:$I$9)),"#",getgrade(Broadsheet!M24,data!$H$4:$I$9))</f>
        <v/>
      </c>
      <c r="N24" s="188" t="str">
        <f>IF(ISERROR(getgrade(Broadsheet!N24,data!$H$4:$I$9)),"#",getgrade(Broadsheet!N24,data!$H$4:$I$9))</f>
        <v/>
      </c>
      <c r="O24" s="188" t="str">
        <f>IF(ISERROR(getgrade(Broadsheet!O24,data!$H$4:$I$9)),"#",getgrade(Broadsheet!O24,data!$H$4:$I$9))</f>
        <v/>
      </c>
      <c r="P24" s="188" t="str">
        <f>IF(ISERROR(getgrade(Broadsheet!P24,data!$H$4:$I$9)),"#",getgrade(Broadsheet!P24,data!$H$4:$I$9))</f>
        <v/>
      </c>
      <c r="Q24" s="188" t="str">
        <f>IF(ISERROR(getgrade(Broadsheet!Q24,data!$H$4:$I$9)),"#",getgrade(Broadsheet!Q24,data!$H$4:$I$9))</f>
        <v/>
      </c>
      <c r="R24" s="188" t="str">
        <f>IF(ISERROR(getgrade(Broadsheet!R24,data!$H$4:$I$9)),"#",getgrade(Broadsheet!R24,data!$H$4:$I$9))</f>
        <v/>
      </c>
      <c r="S24" s="188" t="str">
        <f>IF(ISERROR(getgrade(Broadsheet!S24,data!$H$4:$I$9)),"#",getgrade(Broadsheet!S24,data!$H$4:$I$9))</f>
        <v/>
      </c>
      <c r="T24" s="188" t="str">
        <f>IF(ISERROR(getgrade(Broadsheet!T24,data!$H$4:$I$9)),"#",getgrade(Broadsheet!T24,data!$H$4:$I$9))</f>
        <v/>
      </c>
      <c r="U24" s="188" t="str">
        <f>IF(ISERROR(getgrade(Broadsheet!U24,data!$H$4:$I$9)),"#",getgrade(Broadsheet!U24,data!$H$4:$I$9))</f>
        <v/>
      </c>
      <c r="V24" s="188" t="str">
        <f>IF(ISERROR(getgrade(Broadsheet!V24,data!$H$4:$I$9)),"#",getgrade(Broadsheet!V24,data!$H$4:$I$9))</f>
        <v/>
      </c>
      <c r="W24" s="188" t="str">
        <f>IF(ISERROR(getgrade(Broadsheet!W24,data!$H$4:$I$9)),"#",getgrade(Broadsheet!W24,data!$H$4:$I$9))</f>
        <v/>
      </c>
      <c r="X24" s="188" t="str">
        <f>IF(ISERROR(getgrade(Broadsheet!X24,data!$H$4:$I$9)),"#",getgrade(Broadsheet!X24,data!$H$4:$I$9))</f>
        <v/>
      </c>
      <c r="Y24" s="188" t="str">
        <f>IF(ISERROR(getgrade(Broadsheet!Y24,data!$H$4:$I$9)),"#",getgrade(Broadsheet!Y24,data!$H$4:$I$9))</f>
        <v/>
      </c>
      <c r="Z24" s="188" t="str">
        <f>IF(ISERROR(getgrade(Broadsheet!Z24,data!$H$4:$I$9)),"#",getgrade(Broadsheet!Z24,data!$H$4:$I$9))</f>
        <v/>
      </c>
      <c r="AA24" s="188" t="str">
        <f>IF(ISERROR(getgrade(Broadsheet!AA24,data!$H$4:$I$9)),"#",getgrade(Broadsheet!AA24,data!$H$4:$I$9))</f>
        <v/>
      </c>
      <c r="AB24" s="188" t="str">
        <f>IF(ISERROR(getgrade(Broadsheet!AB24,data!$H$4:$I$9)),"#",getgrade(Broadsheet!AB24,data!$H$4:$I$9))</f>
        <v/>
      </c>
      <c r="AC24" s="188" t="str">
        <f>IF(ISERROR(getgrade(Broadsheet!AC24,data!$H$4:$I$9)),"#",getgrade(Broadsheet!AC24,data!$H$4:$I$9))</f>
        <v/>
      </c>
      <c r="AD24" s="188" t="str">
        <f>IF(ISERROR(getgrade(Broadsheet!AD24,data!$H$4:$I$9)),"#",getgrade(Broadsheet!AD24,data!$H$4:$I$9))</f>
        <v/>
      </c>
      <c r="AE24" s="188" t="str">
        <f>IF(ISERROR(getgrade(Broadsheet!AE24,data!$H$4:$I$9)),"#",getgrade(Broadsheet!AE24,data!$H$4:$I$9))</f>
        <v/>
      </c>
      <c r="AF24" s="188" t="str">
        <f>IF(ISERROR(getgrade(Broadsheet!AF24,data!$H$4:$I$9)),"#",getgrade(Broadsheet!AF24,data!$H$4:$I$9))</f>
        <v/>
      </c>
      <c r="AG24" s="188" t="str">
        <f>IF(ISERROR(getgrade(Broadsheet!AG24,data!$H$4:$I$9)),"#",getgrade(Broadsheet!AG24,data!$H$4:$I$9))</f>
        <v/>
      </c>
      <c r="AH24" s="188" t="str">
        <f>IF(ISERROR(getgrade(Broadsheet!AH24,data!$H$4:$I$9)),"#",getgrade(Broadsheet!AH24,data!$H$4:$I$9))</f>
        <v/>
      </c>
      <c r="AI24" s="188" t="str">
        <f>IF(ISERROR(getgrade(Broadsheet!AI24,data!$H$4:$I$9)),"#",getgrade(Broadsheet!AI24,data!$H$4:$I$9))</f>
        <v/>
      </c>
      <c r="AJ24" s="188" t="str">
        <f>IF(ISERROR(getgrade(Broadsheet!AJ24,data!$H$4:$I$9)),"#",getgrade(Broadsheet!AJ24,data!$H$4:$I$9))</f>
        <v/>
      </c>
      <c r="AK24" s="188" t="str">
        <f>IF(ISERROR(getgrade(Broadsheet!AK24,data!$H$4:$I$9)),"#",getgrade(Broadsheet!AK24,data!$H$4:$I$9))</f>
        <v/>
      </c>
      <c r="AL24" s="188" t="str">
        <f>IF(ISERROR(getgrade(Broadsheet!AL24,data!$H$4:$I$9)),"#",getgrade(Broadsheet!AL24,data!$H$4:$I$9))</f>
        <v/>
      </c>
      <c r="AM24" s="188" t="str">
        <f>IF(ISERROR(getgrade(Broadsheet!AM24,data!$H$4:$I$9)),"#",getgrade(Broadsheet!AM24,data!$H$4:$I$9))</f>
        <v/>
      </c>
      <c r="AN24" s="188" t="str">
        <f>IF(ISERROR(getgrade(Broadsheet!AN24,data!$H$4:$I$9)),"#",getgrade(Broadsheet!AN24,data!$H$4:$I$9))</f>
        <v/>
      </c>
      <c r="AO24" s="188" t="str">
        <f>IF(ISERROR(getgrade(Broadsheet!AO24,data!$H$4:$I$9)),"#",getgrade(Broadsheet!AO24,data!$H$4:$I$9))</f>
        <v/>
      </c>
      <c r="AP24" s="188" t="str">
        <f>IF(ISERROR(getgrade(Broadsheet!AP24,data!$H$4:$I$9)),"#",getgrade(Broadsheet!AP24,data!$H$4:$I$9))</f>
        <v/>
      </c>
      <c r="AQ24" s="188" t="str">
        <f>IF(ISERROR(getgrade(Broadsheet!AQ24,data!$H$4:$I$9)),"#",getgrade(Broadsheet!AQ24,data!$H$4:$I$9))</f>
        <v/>
      </c>
      <c r="AR24" s="188" t="str">
        <f>IF(ISERROR(getgrade(Broadsheet!AR24,data!$H$4:$I$9)),"#",getgrade(Broadsheet!AR24,data!$H$4:$I$9))</f>
        <v/>
      </c>
      <c r="AS24" s="188" t="str">
        <f>IF(ISERROR(getgrade(Broadsheet!AS24,data!$H$4:$I$9)),"#",getgrade(Broadsheet!AS24,data!$H$4:$I$9))</f>
        <v/>
      </c>
      <c r="AT24" s="188" t="str">
        <f>IF(ISERROR(getgrade(Broadsheet!AT24,data!$H$4:$I$9)),"#",getgrade(Broadsheet!AT24,data!$H$4:$I$9))</f>
        <v/>
      </c>
      <c r="AU24" s="188" t="str">
        <f>IF(ISERROR(getgrade(Broadsheet!AU24,data!$H$4:$I$9)),"#",getgrade(Broadsheet!AU24,data!$H$4:$I$9))</f>
        <v/>
      </c>
      <c r="AV24" s="188" t="str">
        <f>IF(ISERROR(getgrade(Broadsheet!AV24,data!$H$4:$I$9)),"#",getgrade(Broadsheet!AV24,data!$H$4:$I$9))</f>
        <v/>
      </c>
      <c r="AW24" s="188" t="str">
        <f>IF(ISERROR(getgrade(Broadsheet!AW24,data!$H$4:$I$9)),"#",getgrade(Broadsheet!AW24,data!$H$4:$I$9))</f>
        <v/>
      </c>
      <c r="AX24" s="188" t="str">
        <f>IF(ISERROR(getgrade(Broadsheet!AX24,data!$H$4:$I$9)),"#",getgrade(Broadsheet!AX24,data!$H$4:$I$9))</f>
        <v/>
      </c>
      <c r="AY24" s="188" t="str">
        <f>IF(ISERROR(getgrade(Broadsheet!AY24,data!$H$4:$I$9)),"#",getgrade(Broadsheet!AY24,data!$H$4:$I$9))</f>
        <v/>
      </c>
      <c r="AZ24" s="188" t="str">
        <f>IF(ISERROR(getgrade(Broadsheet!AZ24,data!$H$4:$I$9)),"#",getgrade(Broadsheet!AZ24,data!$H$4:$I$9))</f>
        <v/>
      </c>
      <c r="BA24" s="188" t="str">
        <f>IF(ISERROR(getgrade(Broadsheet!BA24,data!$H$4:$I$9)),"#",getgrade(Broadsheet!BA24,data!$H$4:$I$9))</f>
        <v/>
      </c>
      <c r="BB24" s="188" t="str">
        <f>IF(ISERROR(getgrade(Broadsheet!BB24,data!$H$4:$I$9)),"#",getgrade(Broadsheet!BB24,data!$H$4:$I$9))</f>
        <v/>
      </c>
      <c r="BC24" s="188" t="str">
        <f>IF(ISERROR(getgrade(Broadsheet!BC24,data!$H$4:$I$9)),"#",getgrade(Broadsheet!BC24,data!$H$4:$I$9))</f>
        <v/>
      </c>
      <c r="BD24" s="188" t="str">
        <f>IF(ISERROR(getgrade(Broadsheet!BD24,data!$H$4:$I$9)),"#",getgrade(Broadsheet!BD24,data!$H$4:$I$9))</f>
        <v/>
      </c>
      <c r="BE24" s="188" t="str">
        <f>IF(ISERROR(getgrade(Broadsheet!BE24,data!$H$4:$I$9)),"#",getgrade(Broadsheet!BE24,data!$H$4:$I$9))</f>
        <v/>
      </c>
      <c r="BF24" s="188" t="str">
        <f>IF(ISERROR(getgrade(Broadsheet!BF24,data!$H$4:$I$9)),"#",getgrade(Broadsheet!BF24,data!$H$4:$I$9))</f>
        <v/>
      </c>
      <c r="BG24" s="188" t="str">
        <f>IF(ISERROR(getgrade(Broadsheet!BG24,data!$H$4:$I$9)),"#",getgrade(Broadsheet!BG24,data!$H$4:$I$9))</f>
        <v/>
      </c>
      <c r="BH24" s="188" t="str">
        <f>IF(ISERROR(getgrade(Broadsheet!BH24,data!$H$4:$I$9)),"#",getgrade(Broadsheet!BH24,data!$H$4:$I$9))</f>
        <v/>
      </c>
      <c r="BI24" s="188" t="str">
        <f>IF(ISERROR(getgrade(Broadsheet!BI24,data!$H$4:$I$9)),"#",getgrade(Broadsheet!BI24,data!$H$4:$I$9))</f>
        <v/>
      </c>
      <c r="BJ24" s="188" t="str">
        <f>IF(ISERROR(getgrade(Broadsheet!BJ24,data!$H$4:$I$9)),"#",getgrade(Broadsheet!BJ24,data!$H$4:$I$9))</f>
        <v/>
      </c>
      <c r="BK24" s="188"/>
      <c r="BL24" s="188"/>
      <c r="BM24" s="188"/>
      <c r="BN24" s="188"/>
      <c r="BO24" s="188"/>
      <c r="BP24" s="188"/>
      <c r="BQ24" s="188"/>
      <c r="BR24" s="188"/>
      <c r="BS24" s="188"/>
      <c r="BT24" s="188"/>
      <c r="BU24" s="188"/>
      <c r="BV24" s="188"/>
      <c r="BW24" s="188"/>
      <c r="BX24" s="188"/>
      <c r="BY24" s="188"/>
      <c r="BZ24" s="188"/>
      <c r="CA24" s="188"/>
      <c r="CB24" s="188"/>
      <c r="CC24" s="188"/>
      <c r="CD24" s="188"/>
      <c r="CE24" s="188"/>
      <c r="CF24" s="188"/>
      <c r="CG24" s="188"/>
      <c r="CH24" s="188"/>
      <c r="CI24" s="188"/>
      <c r="CJ24" s="188"/>
      <c r="CK24" s="188"/>
      <c r="CL24" s="188"/>
      <c r="CM24" s="188"/>
      <c r="CN24" s="188"/>
      <c r="CO24" s="188"/>
      <c r="CP24" s="188"/>
      <c r="CQ24" s="188"/>
      <c r="CR24" s="188"/>
      <c r="CS24" s="188"/>
      <c r="CT24" s="188"/>
      <c r="CU24" s="188"/>
      <c r="CV24" s="188"/>
      <c r="CW24" s="188"/>
      <c r="CX24" s="188"/>
      <c r="CY24" s="188"/>
      <c r="CZ24" s="188"/>
      <c r="DA24" s="188"/>
      <c r="DB24" s="188"/>
      <c r="DC24" s="188"/>
      <c r="DD24" s="188"/>
      <c r="DE24" s="188"/>
      <c r="DF24" s="188"/>
      <c r="DG24" s="188"/>
      <c r="DH24" s="188"/>
      <c r="DI24" s="188"/>
      <c r="DJ24" s="188"/>
      <c r="DK24" s="188"/>
      <c r="DL24" s="188"/>
      <c r="DM24" s="188"/>
      <c r="DN24" s="188"/>
      <c r="DO24" s="188"/>
      <c r="DP24" s="188"/>
      <c r="DQ24" s="188"/>
      <c r="DR24" s="188"/>
      <c r="DS24" s="188"/>
      <c r="DT24" s="188"/>
      <c r="DU24" s="188"/>
      <c r="DV24" s="188"/>
      <c r="DW24" s="188"/>
      <c r="DX24" s="188"/>
      <c r="DY24" s="188"/>
      <c r="DZ24" s="188"/>
      <c r="EA24" s="188"/>
    </row>
    <row r="25" spans="1:131" ht="15.75" x14ac:dyDescent="0.25">
      <c r="A25" s="12">
        <f>Broadsheet!A25</f>
        <v>0</v>
      </c>
      <c r="B25" s="204" t="str">
        <f>IF(Broadsheet!B25="","",Broadsheet!B25)</f>
        <v/>
      </c>
      <c r="C25" s="24" t="str">
        <f>IF(Broadsheet!C25="","",Broadsheet!C25)</f>
        <v xml:space="preserve"> </v>
      </c>
      <c r="D25" s="24"/>
      <c r="E25" s="24"/>
      <c r="F25" s="24"/>
      <c r="G25" s="24" t="str">
        <f t="shared" si="0"/>
        <v/>
      </c>
      <c r="H25" s="188" t="str">
        <f>IF(ISERROR(getgrade(Broadsheet!H25,data!$H$4:$I$9)),"#",getgrade(Broadsheet!H25,data!$H$4:$I$9))</f>
        <v/>
      </c>
      <c r="I25" s="188" t="str">
        <f>IF(ISERROR(getgrade(Broadsheet!I25,data!$H$4:$I$9)),"#",getgrade(Broadsheet!I25,data!$H$4:$I$9))</f>
        <v/>
      </c>
      <c r="J25" s="188" t="str">
        <f>IF(ISERROR(getgrade(Broadsheet!J25,data!$H$4:$I$9)),"#",getgrade(Broadsheet!J25,data!$H$4:$I$9))</f>
        <v/>
      </c>
      <c r="K25" s="188" t="str">
        <f>IF(ISERROR(getgrade(Broadsheet!K25,data!$H$4:$I$9)),"#",getgrade(Broadsheet!K25,data!$H$4:$I$9))</f>
        <v/>
      </c>
      <c r="L25" s="188" t="str">
        <f>IF(ISERROR(getgrade(Broadsheet!L25,data!$H$4:$I$9)),"#",getgrade(Broadsheet!L25,data!$H$4:$I$9))</f>
        <v/>
      </c>
      <c r="M25" s="188" t="str">
        <f>IF(ISERROR(getgrade(Broadsheet!M25,data!$H$4:$I$9)),"#",getgrade(Broadsheet!M25,data!$H$4:$I$9))</f>
        <v/>
      </c>
      <c r="N25" s="188" t="str">
        <f>IF(ISERROR(getgrade(Broadsheet!N25,data!$H$4:$I$9)),"#",getgrade(Broadsheet!N25,data!$H$4:$I$9))</f>
        <v/>
      </c>
      <c r="O25" s="188" t="str">
        <f>IF(ISERROR(getgrade(Broadsheet!O25,data!$H$4:$I$9)),"#",getgrade(Broadsheet!O25,data!$H$4:$I$9))</f>
        <v/>
      </c>
      <c r="P25" s="188" t="str">
        <f>IF(ISERROR(getgrade(Broadsheet!P25,data!$H$4:$I$9)),"#",getgrade(Broadsheet!P25,data!$H$4:$I$9))</f>
        <v/>
      </c>
      <c r="Q25" s="188" t="str">
        <f>IF(ISERROR(getgrade(Broadsheet!Q25,data!$H$4:$I$9)),"#",getgrade(Broadsheet!Q25,data!$H$4:$I$9))</f>
        <v/>
      </c>
      <c r="R25" s="188" t="str">
        <f>IF(ISERROR(getgrade(Broadsheet!R25,data!$H$4:$I$9)),"#",getgrade(Broadsheet!R25,data!$H$4:$I$9))</f>
        <v/>
      </c>
      <c r="S25" s="188" t="str">
        <f>IF(ISERROR(getgrade(Broadsheet!S25,data!$H$4:$I$9)),"#",getgrade(Broadsheet!S25,data!$H$4:$I$9))</f>
        <v/>
      </c>
      <c r="T25" s="188" t="str">
        <f>IF(ISERROR(getgrade(Broadsheet!T25,data!$H$4:$I$9)),"#",getgrade(Broadsheet!T25,data!$H$4:$I$9))</f>
        <v/>
      </c>
      <c r="U25" s="188" t="str">
        <f>IF(ISERROR(getgrade(Broadsheet!U25,data!$H$4:$I$9)),"#",getgrade(Broadsheet!U25,data!$H$4:$I$9))</f>
        <v/>
      </c>
      <c r="V25" s="188" t="str">
        <f>IF(ISERROR(getgrade(Broadsheet!V25,data!$H$4:$I$9)),"#",getgrade(Broadsheet!V25,data!$H$4:$I$9))</f>
        <v/>
      </c>
      <c r="W25" s="188" t="str">
        <f>IF(ISERROR(getgrade(Broadsheet!W25,data!$H$4:$I$9)),"#",getgrade(Broadsheet!W25,data!$H$4:$I$9))</f>
        <v/>
      </c>
      <c r="X25" s="188" t="str">
        <f>IF(ISERROR(getgrade(Broadsheet!X25,data!$H$4:$I$9)),"#",getgrade(Broadsheet!X25,data!$H$4:$I$9))</f>
        <v/>
      </c>
      <c r="Y25" s="188" t="str">
        <f>IF(ISERROR(getgrade(Broadsheet!Y25,data!$H$4:$I$9)),"#",getgrade(Broadsheet!Y25,data!$H$4:$I$9))</f>
        <v/>
      </c>
      <c r="Z25" s="188" t="str">
        <f>IF(ISERROR(getgrade(Broadsheet!Z25,data!$H$4:$I$9)),"#",getgrade(Broadsheet!Z25,data!$H$4:$I$9))</f>
        <v/>
      </c>
      <c r="AA25" s="188" t="str">
        <f>IF(ISERROR(getgrade(Broadsheet!AA25,data!$H$4:$I$9)),"#",getgrade(Broadsheet!AA25,data!$H$4:$I$9))</f>
        <v/>
      </c>
      <c r="AB25" s="188" t="str">
        <f>IF(ISERROR(getgrade(Broadsheet!AB25,data!$H$4:$I$9)),"#",getgrade(Broadsheet!AB25,data!$H$4:$I$9))</f>
        <v/>
      </c>
      <c r="AC25" s="188" t="str">
        <f>IF(ISERROR(getgrade(Broadsheet!AC25,data!$H$4:$I$9)),"#",getgrade(Broadsheet!AC25,data!$H$4:$I$9))</f>
        <v/>
      </c>
      <c r="AD25" s="188" t="str">
        <f>IF(ISERROR(getgrade(Broadsheet!AD25,data!$H$4:$I$9)),"#",getgrade(Broadsheet!AD25,data!$H$4:$I$9))</f>
        <v/>
      </c>
      <c r="AE25" s="188" t="str">
        <f>IF(ISERROR(getgrade(Broadsheet!AE25,data!$H$4:$I$9)),"#",getgrade(Broadsheet!AE25,data!$H$4:$I$9))</f>
        <v/>
      </c>
      <c r="AF25" s="188" t="str">
        <f>IF(ISERROR(getgrade(Broadsheet!AF25,data!$H$4:$I$9)),"#",getgrade(Broadsheet!AF25,data!$H$4:$I$9))</f>
        <v/>
      </c>
      <c r="AG25" s="188" t="str">
        <f>IF(ISERROR(getgrade(Broadsheet!AG25,data!$H$4:$I$9)),"#",getgrade(Broadsheet!AG25,data!$H$4:$I$9))</f>
        <v/>
      </c>
      <c r="AH25" s="188" t="str">
        <f>IF(ISERROR(getgrade(Broadsheet!AH25,data!$H$4:$I$9)),"#",getgrade(Broadsheet!AH25,data!$H$4:$I$9))</f>
        <v/>
      </c>
      <c r="AI25" s="188" t="str">
        <f>IF(ISERROR(getgrade(Broadsheet!AI25,data!$H$4:$I$9)),"#",getgrade(Broadsheet!AI25,data!$H$4:$I$9))</f>
        <v/>
      </c>
      <c r="AJ25" s="188" t="str">
        <f>IF(ISERROR(getgrade(Broadsheet!AJ25,data!$H$4:$I$9)),"#",getgrade(Broadsheet!AJ25,data!$H$4:$I$9))</f>
        <v/>
      </c>
      <c r="AK25" s="188" t="str">
        <f>IF(ISERROR(getgrade(Broadsheet!AK25,data!$H$4:$I$9)),"#",getgrade(Broadsheet!AK25,data!$H$4:$I$9))</f>
        <v/>
      </c>
      <c r="AL25" s="188" t="str">
        <f>IF(ISERROR(getgrade(Broadsheet!AL25,data!$H$4:$I$9)),"#",getgrade(Broadsheet!AL25,data!$H$4:$I$9))</f>
        <v/>
      </c>
      <c r="AM25" s="188" t="str">
        <f>IF(ISERROR(getgrade(Broadsheet!AM25,data!$H$4:$I$9)),"#",getgrade(Broadsheet!AM25,data!$H$4:$I$9))</f>
        <v/>
      </c>
      <c r="AN25" s="188" t="str">
        <f>IF(ISERROR(getgrade(Broadsheet!AN25,data!$H$4:$I$9)),"#",getgrade(Broadsheet!AN25,data!$H$4:$I$9))</f>
        <v/>
      </c>
      <c r="AO25" s="188" t="str">
        <f>IF(ISERROR(getgrade(Broadsheet!AO25,data!$H$4:$I$9)),"#",getgrade(Broadsheet!AO25,data!$H$4:$I$9))</f>
        <v/>
      </c>
      <c r="AP25" s="188" t="str">
        <f>IF(ISERROR(getgrade(Broadsheet!AP25,data!$H$4:$I$9)),"#",getgrade(Broadsheet!AP25,data!$H$4:$I$9))</f>
        <v/>
      </c>
      <c r="AQ25" s="188" t="str">
        <f>IF(ISERROR(getgrade(Broadsheet!AQ25,data!$H$4:$I$9)),"#",getgrade(Broadsheet!AQ25,data!$H$4:$I$9))</f>
        <v/>
      </c>
      <c r="AR25" s="188" t="str">
        <f>IF(ISERROR(getgrade(Broadsheet!AR25,data!$H$4:$I$9)),"#",getgrade(Broadsheet!AR25,data!$H$4:$I$9))</f>
        <v/>
      </c>
      <c r="AS25" s="188" t="str">
        <f>IF(ISERROR(getgrade(Broadsheet!AS25,data!$H$4:$I$9)),"#",getgrade(Broadsheet!AS25,data!$H$4:$I$9))</f>
        <v/>
      </c>
      <c r="AT25" s="188" t="str">
        <f>IF(ISERROR(getgrade(Broadsheet!AT25,data!$H$4:$I$9)),"#",getgrade(Broadsheet!AT25,data!$H$4:$I$9))</f>
        <v/>
      </c>
      <c r="AU25" s="188" t="str">
        <f>IF(ISERROR(getgrade(Broadsheet!AU25,data!$H$4:$I$9)),"#",getgrade(Broadsheet!AU25,data!$H$4:$I$9))</f>
        <v/>
      </c>
      <c r="AV25" s="188" t="str">
        <f>IF(ISERROR(getgrade(Broadsheet!AV25,data!$H$4:$I$9)),"#",getgrade(Broadsheet!AV25,data!$H$4:$I$9))</f>
        <v/>
      </c>
      <c r="AW25" s="188" t="str">
        <f>IF(ISERROR(getgrade(Broadsheet!AW25,data!$H$4:$I$9)),"#",getgrade(Broadsheet!AW25,data!$H$4:$I$9))</f>
        <v/>
      </c>
      <c r="AX25" s="188" t="str">
        <f>IF(ISERROR(getgrade(Broadsheet!AX25,data!$H$4:$I$9)),"#",getgrade(Broadsheet!AX25,data!$H$4:$I$9))</f>
        <v/>
      </c>
      <c r="AY25" s="188" t="str">
        <f>IF(ISERROR(getgrade(Broadsheet!AY25,data!$H$4:$I$9)),"#",getgrade(Broadsheet!AY25,data!$H$4:$I$9))</f>
        <v/>
      </c>
      <c r="AZ25" s="188" t="str">
        <f>IF(ISERROR(getgrade(Broadsheet!AZ25,data!$H$4:$I$9)),"#",getgrade(Broadsheet!AZ25,data!$H$4:$I$9))</f>
        <v/>
      </c>
      <c r="BA25" s="188" t="str">
        <f>IF(ISERROR(getgrade(Broadsheet!BA25,data!$H$4:$I$9)),"#",getgrade(Broadsheet!BA25,data!$H$4:$I$9))</f>
        <v/>
      </c>
      <c r="BB25" s="188" t="str">
        <f>IF(ISERROR(getgrade(Broadsheet!BB25,data!$H$4:$I$9)),"#",getgrade(Broadsheet!BB25,data!$H$4:$I$9))</f>
        <v/>
      </c>
      <c r="BC25" s="188" t="str">
        <f>IF(ISERROR(getgrade(Broadsheet!BC25,data!$H$4:$I$9)),"#",getgrade(Broadsheet!BC25,data!$H$4:$I$9))</f>
        <v/>
      </c>
      <c r="BD25" s="188" t="str">
        <f>IF(ISERROR(getgrade(Broadsheet!BD25,data!$H$4:$I$9)),"#",getgrade(Broadsheet!BD25,data!$H$4:$I$9))</f>
        <v/>
      </c>
      <c r="BE25" s="188" t="str">
        <f>IF(ISERROR(getgrade(Broadsheet!BE25,data!$H$4:$I$9)),"#",getgrade(Broadsheet!BE25,data!$H$4:$I$9))</f>
        <v/>
      </c>
      <c r="BF25" s="188" t="str">
        <f>IF(ISERROR(getgrade(Broadsheet!BF25,data!$H$4:$I$9)),"#",getgrade(Broadsheet!BF25,data!$H$4:$I$9))</f>
        <v/>
      </c>
      <c r="BG25" s="188" t="str">
        <f>IF(ISERROR(getgrade(Broadsheet!BG25,data!$H$4:$I$9)),"#",getgrade(Broadsheet!BG25,data!$H$4:$I$9))</f>
        <v/>
      </c>
      <c r="BH25" s="188" t="str">
        <f>IF(ISERROR(getgrade(Broadsheet!BH25,data!$H$4:$I$9)),"#",getgrade(Broadsheet!BH25,data!$H$4:$I$9))</f>
        <v/>
      </c>
      <c r="BI25" s="188" t="str">
        <f>IF(ISERROR(getgrade(Broadsheet!BI25,data!$H$4:$I$9)),"#",getgrade(Broadsheet!BI25,data!$H$4:$I$9))</f>
        <v/>
      </c>
      <c r="BJ25" s="188" t="str">
        <f>IF(ISERROR(getgrade(Broadsheet!BJ25,data!$H$4:$I$9)),"#",getgrade(Broadsheet!BJ25,data!$H$4:$I$9))</f>
        <v/>
      </c>
      <c r="BK25" s="188"/>
      <c r="BL25" s="188"/>
      <c r="BM25" s="188"/>
      <c r="BN25" s="188"/>
      <c r="BO25" s="188"/>
      <c r="BP25" s="188"/>
      <c r="BQ25" s="188"/>
      <c r="BR25" s="188"/>
      <c r="BS25" s="188"/>
      <c r="BT25" s="188"/>
      <c r="BU25" s="188"/>
      <c r="BV25" s="188"/>
      <c r="BW25" s="188"/>
      <c r="BX25" s="188"/>
      <c r="BY25" s="188"/>
      <c r="BZ25" s="188"/>
      <c r="CA25" s="188"/>
      <c r="CB25" s="188"/>
      <c r="CC25" s="188"/>
      <c r="CD25" s="188"/>
      <c r="CE25" s="188"/>
      <c r="CF25" s="188"/>
      <c r="CG25" s="188"/>
      <c r="CH25" s="188"/>
      <c r="CI25" s="188"/>
      <c r="CJ25" s="188"/>
      <c r="CK25" s="188"/>
      <c r="CL25" s="188"/>
      <c r="CM25" s="188"/>
      <c r="CN25" s="188"/>
      <c r="CO25" s="188"/>
      <c r="CP25" s="188"/>
      <c r="CQ25" s="188"/>
      <c r="CR25" s="188"/>
      <c r="CS25" s="188"/>
      <c r="CT25" s="188"/>
      <c r="CU25" s="188"/>
      <c r="CV25" s="188"/>
      <c r="CW25" s="188"/>
      <c r="CX25" s="188"/>
      <c r="CY25" s="188"/>
      <c r="CZ25" s="188"/>
      <c r="DA25" s="188"/>
      <c r="DB25" s="188"/>
      <c r="DC25" s="188"/>
      <c r="DD25" s="188"/>
      <c r="DE25" s="188"/>
      <c r="DF25" s="188"/>
      <c r="DG25" s="188"/>
      <c r="DH25" s="188"/>
      <c r="DI25" s="188"/>
      <c r="DJ25" s="188"/>
      <c r="DK25" s="188"/>
      <c r="DL25" s="188"/>
      <c r="DM25" s="188"/>
      <c r="DN25" s="188"/>
      <c r="DO25" s="188"/>
      <c r="DP25" s="188"/>
      <c r="DQ25" s="188"/>
      <c r="DR25" s="188"/>
      <c r="DS25" s="188"/>
      <c r="DT25" s="188"/>
      <c r="DU25" s="188"/>
      <c r="DV25" s="188"/>
      <c r="DW25" s="188"/>
      <c r="DX25" s="188"/>
      <c r="DY25" s="188"/>
      <c r="DZ25" s="188"/>
      <c r="EA25" s="188"/>
    </row>
    <row r="26" spans="1:131" ht="15.75" x14ac:dyDescent="0.25">
      <c r="A26" s="12">
        <f>Broadsheet!A26</f>
        <v>0</v>
      </c>
      <c r="B26" s="204" t="str">
        <f>IF(Broadsheet!B26="","",Broadsheet!B26)</f>
        <v/>
      </c>
      <c r="C26" s="24" t="str">
        <f>IF(Broadsheet!C26="","",Broadsheet!C26)</f>
        <v xml:space="preserve"> </v>
      </c>
      <c r="D26" s="24"/>
      <c r="E26" s="24"/>
      <c r="F26" s="24"/>
      <c r="G26" s="24" t="str">
        <f t="shared" si="0"/>
        <v/>
      </c>
      <c r="H26" s="188" t="str">
        <f>IF(ISERROR(getgrade(Broadsheet!H26,data!$H$4:$I$9)),"#",getgrade(Broadsheet!H26,data!$H$4:$I$9))</f>
        <v/>
      </c>
      <c r="I26" s="188" t="str">
        <f>IF(ISERROR(getgrade(Broadsheet!I26,data!$H$4:$I$9)),"#",getgrade(Broadsheet!I26,data!$H$4:$I$9))</f>
        <v/>
      </c>
      <c r="J26" s="188" t="str">
        <f>IF(ISERROR(getgrade(Broadsheet!J26,data!$H$4:$I$9)),"#",getgrade(Broadsheet!J26,data!$H$4:$I$9))</f>
        <v/>
      </c>
      <c r="K26" s="188" t="str">
        <f>IF(ISERROR(getgrade(Broadsheet!K26,data!$H$4:$I$9)),"#",getgrade(Broadsheet!K26,data!$H$4:$I$9))</f>
        <v/>
      </c>
      <c r="L26" s="188" t="str">
        <f>IF(ISERROR(getgrade(Broadsheet!L26,data!$H$4:$I$9)),"#",getgrade(Broadsheet!L26,data!$H$4:$I$9))</f>
        <v/>
      </c>
      <c r="M26" s="188" t="str">
        <f>IF(ISERROR(getgrade(Broadsheet!M26,data!$H$4:$I$9)),"#",getgrade(Broadsheet!M26,data!$H$4:$I$9))</f>
        <v/>
      </c>
      <c r="N26" s="188" t="str">
        <f>IF(ISERROR(getgrade(Broadsheet!N26,data!$H$4:$I$9)),"#",getgrade(Broadsheet!N26,data!$H$4:$I$9))</f>
        <v/>
      </c>
      <c r="O26" s="188" t="str">
        <f>IF(ISERROR(getgrade(Broadsheet!O26,data!$H$4:$I$9)),"#",getgrade(Broadsheet!O26,data!$H$4:$I$9))</f>
        <v/>
      </c>
      <c r="P26" s="188" t="str">
        <f>IF(ISERROR(getgrade(Broadsheet!P26,data!$H$4:$I$9)),"#",getgrade(Broadsheet!P26,data!$H$4:$I$9))</f>
        <v/>
      </c>
      <c r="Q26" s="188" t="str">
        <f>IF(ISERROR(getgrade(Broadsheet!Q26,data!$H$4:$I$9)),"#",getgrade(Broadsheet!Q26,data!$H$4:$I$9))</f>
        <v/>
      </c>
      <c r="R26" s="188" t="str">
        <f>IF(ISERROR(getgrade(Broadsheet!R26,data!$H$4:$I$9)),"#",getgrade(Broadsheet!R26,data!$H$4:$I$9))</f>
        <v/>
      </c>
      <c r="S26" s="188" t="str">
        <f>IF(ISERROR(getgrade(Broadsheet!S26,data!$H$4:$I$9)),"#",getgrade(Broadsheet!S26,data!$H$4:$I$9))</f>
        <v/>
      </c>
      <c r="T26" s="188" t="str">
        <f>IF(ISERROR(getgrade(Broadsheet!T26,data!$H$4:$I$9)),"#",getgrade(Broadsheet!T26,data!$H$4:$I$9))</f>
        <v/>
      </c>
      <c r="U26" s="188" t="str">
        <f>IF(ISERROR(getgrade(Broadsheet!U26,data!$H$4:$I$9)),"#",getgrade(Broadsheet!U26,data!$H$4:$I$9))</f>
        <v/>
      </c>
      <c r="V26" s="188" t="str">
        <f>IF(ISERROR(getgrade(Broadsheet!V26,data!$H$4:$I$9)),"#",getgrade(Broadsheet!V26,data!$H$4:$I$9))</f>
        <v/>
      </c>
      <c r="W26" s="188" t="str">
        <f>IF(ISERROR(getgrade(Broadsheet!W26,data!$H$4:$I$9)),"#",getgrade(Broadsheet!W26,data!$H$4:$I$9))</f>
        <v/>
      </c>
      <c r="X26" s="188" t="str">
        <f>IF(ISERROR(getgrade(Broadsheet!X26,data!$H$4:$I$9)),"#",getgrade(Broadsheet!X26,data!$H$4:$I$9))</f>
        <v/>
      </c>
      <c r="Y26" s="188" t="str">
        <f>IF(ISERROR(getgrade(Broadsheet!Y26,data!$H$4:$I$9)),"#",getgrade(Broadsheet!Y26,data!$H$4:$I$9))</f>
        <v/>
      </c>
      <c r="Z26" s="188" t="str">
        <f>IF(ISERROR(getgrade(Broadsheet!Z26,data!$H$4:$I$9)),"#",getgrade(Broadsheet!Z26,data!$H$4:$I$9))</f>
        <v/>
      </c>
      <c r="AA26" s="188" t="str">
        <f>IF(ISERROR(getgrade(Broadsheet!AA26,data!$H$4:$I$9)),"#",getgrade(Broadsheet!AA26,data!$H$4:$I$9))</f>
        <v/>
      </c>
      <c r="AB26" s="188" t="str">
        <f>IF(ISERROR(getgrade(Broadsheet!AB26,data!$H$4:$I$9)),"#",getgrade(Broadsheet!AB26,data!$H$4:$I$9))</f>
        <v/>
      </c>
      <c r="AC26" s="188" t="str">
        <f>IF(ISERROR(getgrade(Broadsheet!AC26,data!$H$4:$I$9)),"#",getgrade(Broadsheet!AC26,data!$H$4:$I$9))</f>
        <v/>
      </c>
      <c r="AD26" s="188" t="str">
        <f>IF(ISERROR(getgrade(Broadsheet!AD26,data!$H$4:$I$9)),"#",getgrade(Broadsheet!AD26,data!$H$4:$I$9))</f>
        <v/>
      </c>
      <c r="AE26" s="188" t="str">
        <f>IF(ISERROR(getgrade(Broadsheet!AE26,data!$H$4:$I$9)),"#",getgrade(Broadsheet!AE26,data!$H$4:$I$9))</f>
        <v/>
      </c>
      <c r="AF26" s="188" t="str">
        <f>IF(ISERROR(getgrade(Broadsheet!AF26,data!$H$4:$I$9)),"#",getgrade(Broadsheet!AF26,data!$H$4:$I$9))</f>
        <v/>
      </c>
      <c r="AG26" s="188" t="str">
        <f>IF(ISERROR(getgrade(Broadsheet!AG26,data!$H$4:$I$9)),"#",getgrade(Broadsheet!AG26,data!$H$4:$I$9))</f>
        <v/>
      </c>
      <c r="AH26" s="188" t="str">
        <f>IF(ISERROR(getgrade(Broadsheet!AH26,data!$H$4:$I$9)),"#",getgrade(Broadsheet!AH26,data!$H$4:$I$9))</f>
        <v/>
      </c>
      <c r="AI26" s="188" t="str">
        <f>IF(ISERROR(getgrade(Broadsheet!AI26,data!$H$4:$I$9)),"#",getgrade(Broadsheet!AI26,data!$H$4:$I$9))</f>
        <v/>
      </c>
      <c r="AJ26" s="188" t="str">
        <f>IF(ISERROR(getgrade(Broadsheet!AJ26,data!$H$4:$I$9)),"#",getgrade(Broadsheet!AJ26,data!$H$4:$I$9))</f>
        <v/>
      </c>
      <c r="AK26" s="188" t="str">
        <f>IF(ISERROR(getgrade(Broadsheet!AK26,data!$H$4:$I$9)),"#",getgrade(Broadsheet!AK26,data!$H$4:$I$9))</f>
        <v/>
      </c>
      <c r="AL26" s="188" t="str">
        <f>IF(ISERROR(getgrade(Broadsheet!AL26,data!$H$4:$I$9)),"#",getgrade(Broadsheet!AL26,data!$H$4:$I$9))</f>
        <v/>
      </c>
      <c r="AM26" s="188" t="str">
        <f>IF(ISERROR(getgrade(Broadsheet!AM26,data!$H$4:$I$9)),"#",getgrade(Broadsheet!AM26,data!$H$4:$I$9))</f>
        <v/>
      </c>
      <c r="AN26" s="188" t="str">
        <f>IF(ISERROR(getgrade(Broadsheet!AN26,data!$H$4:$I$9)),"#",getgrade(Broadsheet!AN26,data!$H$4:$I$9))</f>
        <v/>
      </c>
      <c r="AO26" s="188" t="str">
        <f>IF(ISERROR(getgrade(Broadsheet!AO26,data!$H$4:$I$9)),"#",getgrade(Broadsheet!AO26,data!$H$4:$I$9))</f>
        <v/>
      </c>
      <c r="AP26" s="188" t="str">
        <f>IF(ISERROR(getgrade(Broadsheet!AP26,data!$H$4:$I$9)),"#",getgrade(Broadsheet!AP26,data!$H$4:$I$9))</f>
        <v/>
      </c>
      <c r="AQ26" s="188" t="str">
        <f>IF(ISERROR(getgrade(Broadsheet!AQ26,data!$H$4:$I$9)),"#",getgrade(Broadsheet!AQ26,data!$H$4:$I$9))</f>
        <v/>
      </c>
      <c r="AR26" s="188" t="str">
        <f>IF(ISERROR(getgrade(Broadsheet!AR26,data!$H$4:$I$9)),"#",getgrade(Broadsheet!AR26,data!$H$4:$I$9))</f>
        <v/>
      </c>
      <c r="AS26" s="188" t="str">
        <f>IF(ISERROR(getgrade(Broadsheet!AS26,data!$H$4:$I$9)),"#",getgrade(Broadsheet!AS26,data!$H$4:$I$9))</f>
        <v/>
      </c>
      <c r="AT26" s="188" t="str">
        <f>IF(ISERROR(getgrade(Broadsheet!AT26,data!$H$4:$I$9)),"#",getgrade(Broadsheet!AT26,data!$H$4:$I$9))</f>
        <v/>
      </c>
      <c r="AU26" s="188" t="str">
        <f>IF(ISERROR(getgrade(Broadsheet!AU26,data!$H$4:$I$9)),"#",getgrade(Broadsheet!AU26,data!$H$4:$I$9))</f>
        <v/>
      </c>
      <c r="AV26" s="188" t="str">
        <f>IF(ISERROR(getgrade(Broadsheet!AV26,data!$H$4:$I$9)),"#",getgrade(Broadsheet!AV26,data!$H$4:$I$9))</f>
        <v/>
      </c>
      <c r="AW26" s="188" t="str">
        <f>IF(ISERROR(getgrade(Broadsheet!AW26,data!$H$4:$I$9)),"#",getgrade(Broadsheet!AW26,data!$H$4:$I$9))</f>
        <v/>
      </c>
      <c r="AX26" s="188" t="str">
        <f>IF(ISERROR(getgrade(Broadsheet!AX26,data!$H$4:$I$9)),"#",getgrade(Broadsheet!AX26,data!$H$4:$I$9))</f>
        <v/>
      </c>
      <c r="AY26" s="188" t="str">
        <f>IF(ISERROR(getgrade(Broadsheet!AY26,data!$H$4:$I$9)),"#",getgrade(Broadsheet!AY26,data!$H$4:$I$9))</f>
        <v/>
      </c>
      <c r="AZ26" s="188" t="str">
        <f>IF(ISERROR(getgrade(Broadsheet!AZ26,data!$H$4:$I$9)),"#",getgrade(Broadsheet!AZ26,data!$H$4:$I$9))</f>
        <v/>
      </c>
      <c r="BA26" s="188" t="str">
        <f>IF(ISERROR(getgrade(Broadsheet!BA26,data!$H$4:$I$9)),"#",getgrade(Broadsheet!BA26,data!$H$4:$I$9))</f>
        <v/>
      </c>
      <c r="BB26" s="188" t="str">
        <f>IF(ISERROR(getgrade(Broadsheet!BB26,data!$H$4:$I$9)),"#",getgrade(Broadsheet!BB26,data!$H$4:$I$9))</f>
        <v/>
      </c>
      <c r="BC26" s="188" t="str">
        <f>IF(ISERROR(getgrade(Broadsheet!BC26,data!$H$4:$I$9)),"#",getgrade(Broadsheet!BC26,data!$H$4:$I$9))</f>
        <v/>
      </c>
      <c r="BD26" s="188" t="str">
        <f>IF(ISERROR(getgrade(Broadsheet!BD26,data!$H$4:$I$9)),"#",getgrade(Broadsheet!BD26,data!$H$4:$I$9))</f>
        <v/>
      </c>
      <c r="BE26" s="188" t="str">
        <f>IF(ISERROR(getgrade(Broadsheet!BE26,data!$H$4:$I$9)),"#",getgrade(Broadsheet!BE26,data!$H$4:$I$9))</f>
        <v/>
      </c>
      <c r="BF26" s="188" t="str">
        <f>IF(ISERROR(getgrade(Broadsheet!BF26,data!$H$4:$I$9)),"#",getgrade(Broadsheet!BF26,data!$H$4:$I$9))</f>
        <v/>
      </c>
      <c r="BG26" s="188" t="str">
        <f>IF(ISERROR(getgrade(Broadsheet!BG26,data!$H$4:$I$9)),"#",getgrade(Broadsheet!BG26,data!$H$4:$I$9))</f>
        <v/>
      </c>
      <c r="BH26" s="188" t="str">
        <f>IF(ISERROR(getgrade(Broadsheet!BH26,data!$H$4:$I$9)),"#",getgrade(Broadsheet!BH26,data!$H$4:$I$9))</f>
        <v/>
      </c>
      <c r="BI26" s="188" t="str">
        <f>IF(ISERROR(getgrade(Broadsheet!BI26,data!$H$4:$I$9)),"#",getgrade(Broadsheet!BI26,data!$H$4:$I$9))</f>
        <v/>
      </c>
      <c r="BJ26" s="188" t="str">
        <f>IF(ISERROR(getgrade(Broadsheet!BJ26,data!$H$4:$I$9)),"#",getgrade(Broadsheet!BJ26,data!$H$4:$I$9))</f>
        <v/>
      </c>
      <c r="BK26" s="188"/>
      <c r="BL26" s="188"/>
      <c r="BM26" s="188"/>
      <c r="BN26" s="188"/>
      <c r="BO26" s="188"/>
      <c r="BP26" s="188"/>
      <c r="BQ26" s="188"/>
      <c r="BR26" s="188"/>
      <c r="BS26" s="188"/>
      <c r="BT26" s="188"/>
      <c r="BU26" s="188"/>
      <c r="BV26" s="188"/>
      <c r="BW26" s="188"/>
      <c r="BX26" s="188"/>
      <c r="BY26" s="188"/>
      <c r="BZ26" s="188"/>
      <c r="CA26" s="188"/>
      <c r="CB26" s="188"/>
      <c r="CC26" s="188"/>
      <c r="CD26" s="188"/>
      <c r="CE26" s="188"/>
      <c r="CF26" s="188"/>
      <c r="CG26" s="188"/>
      <c r="CH26" s="188"/>
      <c r="CI26" s="188"/>
      <c r="CJ26" s="188"/>
      <c r="CK26" s="188"/>
      <c r="CL26" s="188"/>
      <c r="CM26" s="188"/>
      <c r="CN26" s="188"/>
      <c r="CO26" s="188"/>
      <c r="CP26" s="188"/>
      <c r="CQ26" s="188"/>
      <c r="CR26" s="188"/>
      <c r="CS26" s="188"/>
      <c r="CT26" s="188"/>
      <c r="CU26" s="188"/>
      <c r="CV26" s="188"/>
      <c r="CW26" s="188"/>
      <c r="CX26" s="188"/>
      <c r="CY26" s="188"/>
      <c r="CZ26" s="188"/>
      <c r="DA26" s="188"/>
      <c r="DB26" s="188"/>
      <c r="DC26" s="188"/>
      <c r="DD26" s="188"/>
      <c r="DE26" s="188"/>
      <c r="DF26" s="188"/>
      <c r="DG26" s="188"/>
      <c r="DH26" s="188"/>
      <c r="DI26" s="188"/>
      <c r="DJ26" s="188"/>
      <c r="DK26" s="188"/>
      <c r="DL26" s="188"/>
      <c r="DM26" s="188"/>
      <c r="DN26" s="188"/>
      <c r="DO26" s="188"/>
      <c r="DP26" s="188"/>
      <c r="DQ26" s="188"/>
      <c r="DR26" s="188"/>
      <c r="DS26" s="188"/>
      <c r="DT26" s="188"/>
      <c r="DU26" s="188"/>
      <c r="DV26" s="188"/>
      <c r="DW26" s="188"/>
      <c r="DX26" s="188"/>
      <c r="DY26" s="188"/>
      <c r="DZ26" s="188"/>
      <c r="EA26" s="188"/>
    </row>
    <row r="27" spans="1:131" ht="15.75" x14ac:dyDescent="0.25">
      <c r="A27" s="12">
        <f>Broadsheet!A27</f>
        <v>0</v>
      </c>
      <c r="B27" s="204" t="str">
        <f>IF(Broadsheet!B27="","",Broadsheet!B27)</f>
        <v/>
      </c>
      <c r="C27" s="24" t="str">
        <f>IF(Broadsheet!C27="","",Broadsheet!C27)</f>
        <v xml:space="preserve"> </v>
      </c>
      <c r="D27" s="24"/>
      <c r="E27" s="24"/>
      <c r="F27" s="24"/>
      <c r="G27" s="24" t="str">
        <f t="shared" si="0"/>
        <v/>
      </c>
      <c r="H27" s="188" t="str">
        <f>IF(ISERROR(getgrade(Broadsheet!H27,data!$H$4:$I$9)),"#",getgrade(Broadsheet!H27,data!$H$4:$I$9))</f>
        <v/>
      </c>
      <c r="I27" s="188" t="str">
        <f>IF(ISERROR(getgrade(Broadsheet!I27,data!$H$4:$I$9)),"#",getgrade(Broadsheet!I27,data!$H$4:$I$9))</f>
        <v/>
      </c>
      <c r="J27" s="188" t="str">
        <f>IF(ISERROR(getgrade(Broadsheet!J27,data!$H$4:$I$9)),"#",getgrade(Broadsheet!J27,data!$H$4:$I$9))</f>
        <v/>
      </c>
      <c r="K27" s="188" t="str">
        <f>IF(ISERROR(getgrade(Broadsheet!K27,data!$H$4:$I$9)),"#",getgrade(Broadsheet!K27,data!$H$4:$I$9))</f>
        <v/>
      </c>
      <c r="L27" s="188" t="str">
        <f>IF(ISERROR(getgrade(Broadsheet!L27,data!$H$4:$I$9)),"#",getgrade(Broadsheet!L27,data!$H$4:$I$9))</f>
        <v/>
      </c>
      <c r="M27" s="188" t="str">
        <f>IF(ISERROR(getgrade(Broadsheet!M27,data!$H$4:$I$9)),"#",getgrade(Broadsheet!M27,data!$H$4:$I$9))</f>
        <v/>
      </c>
      <c r="N27" s="188" t="str">
        <f>IF(ISERROR(getgrade(Broadsheet!N27,data!$H$4:$I$9)),"#",getgrade(Broadsheet!N27,data!$H$4:$I$9))</f>
        <v/>
      </c>
      <c r="O27" s="188" t="str">
        <f>IF(ISERROR(getgrade(Broadsheet!O27,data!$H$4:$I$9)),"#",getgrade(Broadsheet!O27,data!$H$4:$I$9))</f>
        <v/>
      </c>
      <c r="P27" s="188" t="str">
        <f>IF(ISERROR(getgrade(Broadsheet!P27,data!$H$4:$I$9)),"#",getgrade(Broadsheet!P27,data!$H$4:$I$9))</f>
        <v/>
      </c>
      <c r="Q27" s="188" t="str">
        <f>IF(ISERROR(getgrade(Broadsheet!Q27,data!$H$4:$I$9)),"#",getgrade(Broadsheet!Q27,data!$H$4:$I$9))</f>
        <v/>
      </c>
      <c r="R27" s="188" t="str">
        <f>IF(ISERROR(getgrade(Broadsheet!R27,data!$H$4:$I$9)),"#",getgrade(Broadsheet!R27,data!$H$4:$I$9))</f>
        <v/>
      </c>
      <c r="S27" s="188" t="str">
        <f>IF(ISERROR(getgrade(Broadsheet!S27,data!$H$4:$I$9)),"#",getgrade(Broadsheet!S27,data!$H$4:$I$9))</f>
        <v/>
      </c>
      <c r="T27" s="188" t="str">
        <f>IF(ISERROR(getgrade(Broadsheet!T27,data!$H$4:$I$9)),"#",getgrade(Broadsheet!T27,data!$H$4:$I$9))</f>
        <v/>
      </c>
      <c r="U27" s="188" t="str">
        <f>IF(ISERROR(getgrade(Broadsheet!U27,data!$H$4:$I$9)),"#",getgrade(Broadsheet!U27,data!$H$4:$I$9))</f>
        <v/>
      </c>
      <c r="V27" s="188" t="str">
        <f>IF(ISERROR(getgrade(Broadsheet!V27,data!$H$4:$I$9)),"#",getgrade(Broadsheet!V27,data!$H$4:$I$9))</f>
        <v/>
      </c>
      <c r="W27" s="188" t="str">
        <f>IF(ISERROR(getgrade(Broadsheet!W27,data!$H$4:$I$9)),"#",getgrade(Broadsheet!W27,data!$H$4:$I$9))</f>
        <v/>
      </c>
      <c r="X27" s="188" t="str">
        <f>IF(ISERROR(getgrade(Broadsheet!X27,data!$H$4:$I$9)),"#",getgrade(Broadsheet!X27,data!$H$4:$I$9))</f>
        <v/>
      </c>
      <c r="Y27" s="188" t="str">
        <f>IF(ISERROR(getgrade(Broadsheet!Y27,data!$H$4:$I$9)),"#",getgrade(Broadsheet!Y27,data!$H$4:$I$9))</f>
        <v/>
      </c>
      <c r="Z27" s="188" t="str">
        <f>IF(ISERROR(getgrade(Broadsheet!Z27,data!$H$4:$I$9)),"#",getgrade(Broadsheet!Z27,data!$H$4:$I$9))</f>
        <v/>
      </c>
      <c r="AA27" s="188" t="str">
        <f>IF(ISERROR(getgrade(Broadsheet!AA27,data!$H$4:$I$9)),"#",getgrade(Broadsheet!AA27,data!$H$4:$I$9))</f>
        <v/>
      </c>
      <c r="AB27" s="188" t="str">
        <f>IF(ISERROR(getgrade(Broadsheet!AB27,data!$H$4:$I$9)),"#",getgrade(Broadsheet!AB27,data!$H$4:$I$9))</f>
        <v/>
      </c>
      <c r="AC27" s="188" t="str">
        <f>IF(ISERROR(getgrade(Broadsheet!AC27,data!$H$4:$I$9)),"#",getgrade(Broadsheet!AC27,data!$H$4:$I$9))</f>
        <v/>
      </c>
      <c r="AD27" s="188" t="str">
        <f>IF(ISERROR(getgrade(Broadsheet!AD27,data!$H$4:$I$9)),"#",getgrade(Broadsheet!AD27,data!$H$4:$I$9))</f>
        <v/>
      </c>
      <c r="AE27" s="188" t="str">
        <f>IF(ISERROR(getgrade(Broadsheet!AE27,data!$H$4:$I$9)),"#",getgrade(Broadsheet!AE27,data!$H$4:$I$9))</f>
        <v/>
      </c>
      <c r="AF27" s="188" t="str">
        <f>IF(ISERROR(getgrade(Broadsheet!AF27,data!$H$4:$I$9)),"#",getgrade(Broadsheet!AF27,data!$H$4:$I$9))</f>
        <v/>
      </c>
      <c r="AG27" s="188" t="str">
        <f>IF(ISERROR(getgrade(Broadsheet!AG27,data!$H$4:$I$9)),"#",getgrade(Broadsheet!AG27,data!$H$4:$I$9))</f>
        <v/>
      </c>
      <c r="AH27" s="188" t="str">
        <f>IF(ISERROR(getgrade(Broadsheet!AH27,data!$H$4:$I$9)),"#",getgrade(Broadsheet!AH27,data!$H$4:$I$9))</f>
        <v/>
      </c>
      <c r="AI27" s="188" t="str">
        <f>IF(ISERROR(getgrade(Broadsheet!AI27,data!$H$4:$I$9)),"#",getgrade(Broadsheet!AI27,data!$H$4:$I$9))</f>
        <v/>
      </c>
      <c r="AJ27" s="188" t="str">
        <f>IF(ISERROR(getgrade(Broadsheet!AJ27,data!$H$4:$I$9)),"#",getgrade(Broadsheet!AJ27,data!$H$4:$I$9))</f>
        <v/>
      </c>
      <c r="AK27" s="188" t="str">
        <f>IF(ISERROR(getgrade(Broadsheet!AK27,data!$H$4:$I$9)),"#",getgrade(Broadsheet!AK27,data!$H$4:$I$9))</f>
        <v/>
      </c>
      <c r="AL27" s="188" t="str">
        <f>IF(ISERROR(getgrade(Broadsheet!AL27,data!$H$4:$I$9)),"#",getgrade(Broadsheet!AL27,data!$H$4:$I$9))</f>
        <v/>
      </c>
      <c r="AM27" s="188" t="str">
        <f>IF(ISERROR(getgrade(Broadsheet!AM27,data!$H$4:$I$9)),"#",getgrade(Broadsheet!AM27,data!$H$4:$I$9))</f>
        <v/>
      </c>
      <c r="AN27" s="188" t="str">
        <f>IF(ISERROR(getgrade(Broadsheet!AN27,data!$H$4:$I$9)),"#",getgrade(Broadsheet!AN27,data!$H$4:$I$9))</f>
        <v/>
      </c>
      <c r="AO27" s="188" t="str">
        <f>IF(ISERROR(getgrade(Broadsheet!AO27,data!$H$4:$I$9)),"#",getgrade(Broadsheet!AO27,data!$H$4:$I$9))</f>
        <v/>
      </c>
      <c r="AP27" s="188" t="str">
        <f>IF(ISERROR(getgrade(Broadsheet!AP27,data!$H$4:$I$9)),"#",getgrade(Broadsheet!AP27,data!$H$4:$I$9))</f>
        <v/>
      </c>
      <c r="AQ27" s="188" t="str">
        <f>IF(ISERROR(getgrade(Broadsheet!AQ27,data!$H$4:$I$9)),"#",getgrade(Broadsheet!AQ27,data!$H$4:$I$9))</f>
        <v/>
      </c>
      <c r="AR27" s="188" t="str">
        <f>IF(ISERROR(getgrade(Broadsheet!AR27,data!$H$4:$I$9)),"#",getgrade(Broadsheet!AR27,data!$H$4:$I$9))</f>
        <v/>
      </c>
      <c r="AS27" s="188" t="str">
        <f>IF(ISERROR(getgrade(Broadsheet!AS27,data!$H$4:$I$9)),"#",getgrade(Broadsheet!AS27,data!$H$4:$I$9))</f>
        <v/>
      </c>
      <c r="AT27" s="188" t="str">
        <f>IF(ISERROR(getgrade(Broadsheet!AT27,data!$H$4:$I$9)),"#",getgrade(Broadsheet!AT27,data!$H$4:$I$9))</f>
        <v/>
      </c>
      <c r="AU27" s="188" t="str">
        <f>IF(ISERROR(getgrade(Broadsheet!AU27,data!$H$4:$I$9)),"#",getgrade(Broadsheet!AU27,data!$H$4:$I$9))</f>
        <v/>
      </c>
      <c r="AV27" s="188" t="str">
        <f>IF(ISERROR(getgrade(Broadsheet!AV27,data!$H$4:$I$9)),"#",getgrade(Broadsheet!AV27,data!$H$4:$I$9))</f>
        <v/>
      </c>
      <c r="AW27" s="188" t="str">
        <f>IF(ISERROR(getgrade(Broadsheet!AW27,data!$H$4:$I$9)),"#",getgrade(Broadsheet!AW27,data!$H$4:$I$9))</f>
        <v/>
      </c>
      <c r="AX27" s="188" t="str">
        <f>IF(ISERROR(getgrade(Broadsheet!AX27,data!$H$4:$I$9)),"#",getgrade(Broadsheet!AX27,data!$H$4:$I$9))</f>
        <v/>
      </c>
      <c r="AY27" s="188" t="str">
        <f>IF(ISERROR(getgrade(Broadsheet!AY27,data!$H$4:$I$9)),"#",getgrade(Broadsheet!AY27,data!$H$4:$I$9))</f>
        <v/>
      </c>
      <c r="AZ27" s="188" t="str">
        <f>IF(ISERROR(getgrade(Broadsheet!AZ27,data!$H$4:$I$9)),"#",getgrade(Broadsheet!AZ27,data!$H$4:$I$9))</f>
        <v/>
      </c>
      <c r="BA27" s="188" t="str">
        <f>IF(ISERROR(getgrade(Broadsheet!BA27,data!$H$4:$I$9)),"#",getgrade(Broadsheet!BA27,data!$H$4:$I$9))</f>
        <v/>
      </c>
      <c r="BB27" s="188" t="str">
        <f>IF(ISERROR(getgrade(Broadsheet!BB27,data!$H$4:$I$9)),"#",getgrade(Broadsheet!BB27,data!$H$4:$I$9))</f>
        <v/>
      </c>
      <c r="BC27" s="188" t="str">
        <f>IF(ISERROR(getgrade(Broadsheet!BC27,data!$H$4:$I$9)),"#",getgrade(Broadsheet!BC27,data!$H$4:$I$9))</f>
        <v/>
      </c>
      <c r="BD27" s="188" t="str">
        <f>IF(ISERROR(getgrade(Broadsheet!BD27,data!$H$4:$I$9)),"#",getgrade(Broadsheet!BD27,data!$H$4:$I$9))</f>
        <v/>
      </c>
      <c r="BE27" s="188" t="str">
        <f>IF(ISERROR(getgrade(Broadsheet!BE27,data!$H$4:$I$9)),"#",getgrade(Broadsheet!BE27,data!$H$4:$I$9))</f>
        <v/>
      </c>
      <c r="BF27" s="188" t="str">
        <f>IF(ISERROR(getgrade(Broadsheet!BF27,data!$H$4:$I$9)),"#",getgrade(Broadsheet!BF27,data!$H$4:$I$9))</f>
        <v/>
      </c>
      <c r="BG27" s="188" t="str">
        <f>IF(ISERROR(getgrade(Broadsheet!BG27,data!$H$4:$I$9)),"#",getgrade(Broadsheet!BG27,data!$H$4:$I$9))</f>
        <v/>
      </c>
      <c r="BH27" s="188" t="str">
        <f>IF(ISERROR(getgrade(Broadsheet!BH27,data!$H$4:$I$9)),"#",getgrade(Broadsheet!BH27,data!$H$4:$I$9))</f>
        <v/>
      </c>
      <c r="BI27" s="188" t="str">
        <f>IF(ISERROR(getgrade(Broadsheet!BI27,data!$H$4:$I$9)),"#",getgrade(Broadsheet!BI27,data!$H$4:$I$9))</f>
        <v/>
      </c>
      <c r="BJ27" s="188" t="str">
        <f>IF(ISERROR(getgrade(Broadsheet!BJ27,data!$H$4:$I$9)),"#",getgrade(Broadsheet!BJ27,data!$H$4:$I$9))</f>
        <v/>
      </c>
      <c r="BK27" s="188"/>
      <c r="BL27" s="188"/>
      <c r="BM27" s="188"/>
      <c r="BN27" s="188"/>
      <c r="BO27" s="188"/>
      <c r="BP27" s="188"/>
      <c r="BQ27" s="188"/>
      <c r="BR27" s="188"/>
      <c r="BS27" s="188"/>
      <c r="BT27" s="188"/>
      <c r="BU27" s="188"/>
      <c r="BV27" s="188"/>
      <c r="BW27" s="188"/>
      <c r="BX27" s="188"/>
      <c r="BY27" s="188"/>
      <c r="BZ27" s="188"/>
      <c r="CA27" s="188"/>
      <c r="CB27" s="188"/>
      <c r="CC27" s="188"/>
      <c r="CD27" s="188"/>
      <c r="CE27" s="188"/>
      <c r="CF27" s="188"/>
      <c r="CG27" s="188"/>
      <c r="CH27" s="188"/>
      <c r="CI27" s="188"/>
      <c r="CJ27" s="188"/>
      <c r="CK27" s="188"/>
      <c r="CL27" s="188"/>
      <c r="CM27" s="188"/>
      <c r="CN27" s="188"/>
      <c r="CO27" s="188"/>
      <c r="CP27" s="188"/>
      <c r="CQ27" s="188"/>
      <c r="CR27" s="188"/>
      <c r="CS27" s="188"/>
      <c r="CT27" s="188"/>
      <c r="CU27" s="188"/>
      <c r="CV27" s="188"/>
      <c r="CW27" s="188"/>
      <c r="CX27" s="188"/>
      <c r="CY27" s="188"/>
      <c r="CZ27" s="188"/>
      <c r="DA27" s="188"/>
      <c r="DB27" s="188"/>
      <c r="DC27" s="188"/>
      <c r="DD27" s="188"/>
      <c r="DE27" s="188"/>
      <c r="DF27" s="188"/>
      <c r="DG27" s="188"/>
      <c r="DH27" s="188"/>
      <c r="DI27" s="188"/>
      <c r="DJ27" s="188"/>
      <c r="DK27" s="188"/>
      <c r="DL27" s="188"/>
      <c r="DM27" s="188"/>
      <c r="DN27" s="188"/>
      <c r="DO27" s="188"/>
      <c r="DP27" s="188"/>
      <c r="DQ27" s="188"/>
      <c r="DR27" s="188"/>
      <c r="DS27" s="188"/>
      <c r="DT27" s="188"/>
      <c r="DU27" s="188"/>
      <c r="DV27" s="188"/>
      <c r="DW27" s="188"/>
      <c r="DX27" s="188"/>
      <c r="DY27" s="188"/>
      <c r="DZ27" s="188"/>
      <c r="EA27" s="188"/>
    </row>
    <row r="28" spans="1:131" ht="15.75" x14ac:dyDescent="0.25">
      <c r="A28" s="12">
        <f>Broadsheet!A28</f>
        <v>0</v>
      </c>
      <c r="B28" s="204" t="str">
        <f>IF(Broadsheet!B28="","",Broadsheet!B28)</f>
        <v/>
      </c>
      <c r="C28" s="24" t="str">
        <f>IF(Broadsheet!C28="","",Broadsheet!C28)</f>
        <v xml:space="preserve"> </v>
      </c>
      <c r="D28" s="24"/>
      <c r="E28" s="24"/>
      <c r="F28" s="24"/>
      <c r="G28" s="24" t="str">
        <f t="shared" si="0"/>
        <v/>
      </c>
      <c r="H28" s="188" t="str">
        <f>IF(ISERROR(getgrade(Broadsheet!H28,data!$H$4:$I$9)),"#",getgrade(Broadsheet!H28,data!$H$4:$I$9))</f>
        <v/>
      </c>
      <c r="I28" s="188" t="str">
        <f>IF(ISERROR(getgrade(Broadsheet!I28,data!$H$4:$I$9)),"#",getgrade(Broadsheet!I28,data!$H$4:$I$9))</f>
        <v/>
      </c>
      <c r="J28" s="188" t="str">
        <f>IF(ISERROR(getgrade(Broadsheet!J28,data!$H$4:$I$9)),"#",getgrade(Broadsheet!J28,data!$H$4:$I$9))</f>
        <v/>
      </c>
      <c r="K28" s="188" t="str">
        <f>IF(ISERROR(getgrade(Broadsheet!K28,data!$H$4:$I$9)),"#",getgrade(Broadsheet!K28,data!$H$4:$I$9))</f>
        <v/>
      </c>
      <c r="L28" s="188" t="str">
        <f>IF(ISERROR(getgrade(Broadsheet!L28,data!$H$4:$I$9)),"#",getgrade(Broadsheet!L28,data!$H$4:$I$9))</f>
        <v/>
      </c>
      <c r="M28" s="188" t="str">
        <f>IF(ISERROR(getgrade(Broadsheet!M28,data!$H$4:$I$9)),"#",getgrade(Broadsheet!M28,data!$H$4:$I$9))</f>
        <v/>
      </c>
      <c r="N28" s="188" t="str">
        <f>IF(ISERROR(getgrade(Broadsheet!N28,data!$H$4:$I$9)),"#",getgrade(Broadsheet!N28,data!$H$4:$I$9))</f>
        <v/>
      </c>
      <c r="O28" s="188" t="str">
        <f>IF(ISERROR(getgrade(Broadsheet!O28,data!$H$4:$I$9)),"#",getgrade(Broadsheet!O28,data!$H$4:$I$9))</f>
        <v/>
      </c>
      <c r="P28" s="188" t="str">
        <f>IF(ISERROR(getgrade(Broadsheet!P28,data!$H$4:$I$9)),"#",getgrade(Broadsheet!P28,data!$H$4:$I$9))</f>
        <v/>
      </c>
      <c r="Q28" s="188" t="str">
        <f>IF(ISERROR(getgrade(Broadsheet!Q28,data!$H$4:$I$9)),"#",getgrade(Broadsheet!Q28,data!$H$4:$I$9))</f>
        <v/>
      </c>
      <c r="R28" s="188" t="str">
        <f>IF(ISERROR(getgrade(Broadsheet!R28,data!$H$4:$I$9)),"#",getgrade(Broadsheet!R28,data!$H$4:$I$9))</f>
        <v/>
      </c>
      <c r="S28" s="188" t="str">
        <f>IF(ISERROR(getgrade(Broadsheet!S28,data!$H$4:$I$9)),"#",getgrade(Broadsheet!S28,data!$H$4:$I$9))</f>
        <v/>
      </c>
      <c r="T28" s="188" t="str">
        <f>IF(ISERROR(getgrade(Broadsheet!T28,data!$H$4:$I$9)),"#",getgrade(Broadsheet!T28,data!$H$4:$I$9))</f>
        <v/>
      </c>
      <c r="U28" s="188" t="str">
        <f>IF(ISERROR(getgrade(Broadsheet!U28,data!$H$4:$I$9)),"#",getgrade(Broadsheet!U28,data!$H$4:$I$9))</f>
        <v/>
      </c>
      <c r="V28" s="188" t="str">
        <f>IF(ISERROR(getgrade(Broadsheet!V28,data!$H$4:$I$9)),"#",getgrade(Broadsheet!V28,data!$H$4:$I$9))</f>
        <v/>
      </c>
      <c r="W28" s="188" t="str">
        <f>IF(ISERROR(getgrade(Broadsheet!W28,data!$H$4:$I$9)),"#",getgrade(Broadsheet!W28,data!$H$4:$I$9))</f>
        <v/>
      </c>
      <c r="X28" s="188" t="str">
        <f>IF(ISERROR(getgrade(Broadsheet!X28,data!$H$4:$I$9)),"#",getgrade(Broadsheet!X28,data!$H$4:$I$9))</f>
        <v/>
      </c>
      <c r="Y28" s="188" t="str">
        <f>IF(ISERROR(getgrade(Broadsheet!Y28,data!$H$4:$I$9)),"#",getgrade(Broadsheet!Y28,data!$H$4:$I$9))</f>
        <v/>
      </c>
      <c r="Z28" s="188" t="str">
        <f>IF(ISERROR(getgrade(Broadsheet!Z28,data!$H$4:$I$9)),"#",getgrade(Broadsheet!Z28,data!$H$4:$I$9))</f>
        <v/>
      </c>
      <c r="AA28" s="188" t="str">
        <f>IF(ISERROR(getgrade(Broadsheet!AA28,data!$H$4:$I$9)),"#",getgrade(Broadsheet!AA28,data!$H$4:$I$9))</f>
        <v/>
      </c>
      <c r="AB28" s="188" t="str">
        <f>IF(ISERROR(getgrade(Broadsheet!AB28,data!$H$4:$I$9)),"#",getgrade(Broadsheet!AB28,data!$H$4:$I$9))</f>
        <v/>
      </c>
      <c r="AC28" s="188" t="str">
        <f>IF(ISERROR(getgrade(Broadsheet!AC28,data!$H$4:$I$9)),"#",getgrade(Broadsheet!AC28,data!$H$4:$I$9))</f>
        <v/>
      </c>
      <c r="AD28" s="188" t="str">
        <f>IF(ISERROR(getgrade(Broadsheet!AD28,data!$H$4:$I$9)),"#",getgrade(Broadsheet!AD28,data!$H$4:$I$9))</f>
        <v/>
      </c>
      <c r="AE28" s="188" t="str">
        <f>IF(ISERROR(getgrade(Broadsheet!AE28,data!$H$4:$I$9)),"#",getgrade(Broadsheet!AE28,data!$H$4:$I$9))</f>
        <v/>
      </c>
      <c r="AF28" s="188" t="str">
        <f>IF(ISERROR(getgrade(Broadsheet!AF28,data!$H$4:$I$9)),"#",getgrade(Broadsheet!AF28,data!$H$4:$I$9))</f>
        <v/>
      </c>
      <c r="AG28" s="188" t="str">
        <f>IF(ISERROR(getgrade(Broadsheet!AG28,data!$H$4:$I$9)),"#",getgrade(Broadsheet!AG28,data!$H$4:$I$9))</f>
        <v/>
      </c>
      <c r="AH28" s="188" t="str">
        <f>IF(ISERROR(getgrade(Broadsheet!AH28,data!$H$4:$I$9)),"#",getgrade(Broadsheet!AH28,data!$H$4:$I$9))</f>
        <v/>
      </c>
      <c r="AI28" s="188" t="str">
        <f>IF(ISERROR(getgrade(Broadsheet!AI28,data!$H$4:$I$9)),"#",getgrade(Broadsheet!AI28,data!$H$4:$I$9))</f>
        <v/>
      </c>
      <c r="AJ28" s="188" t="str">
        <f>IF(ISERROR(getgrade(Broadsheet!AJ28,data!$H$4:$I$9)),"#",getgrade(Broadsheet!AJ28,data!$H$4:$I$9))</f>
        <v/>
      </c>
      <c r="AK28" s="188" t="str">
        <f>IF(ISERROR(getgrade(Broadsheet!AK28,data!$H$4:$I$9)),"#",getgrade(Broadsheet!AK28,data!$H$4:$I$9))</f>
        <v/>
      </c>
      <c r="AL28" s="188" t="str">
        <f>IF(ISERROR(getgrade(Broadsheet!AL28,data!$H$4:$I$9)),"#",getgrade(Broadsheet!AL28,data!$H$4:$I$9))</f>
        <v/>
      </c>
      <c r="AM28" s="188" t="str">
        <f>IF(ISERROR(getgrade(Broadsheet!AM28,data!$H$4:$I$9)),"#",getgrade(Broadsheet!AM28,data!$H$4:$I$9))</f>
        <v/>
      </c>
      <c r="AN28" s="188" t="str">
        <f>IF(ISERROR(getgrade(Broadsheet!AN28,data!$H$4:$I$9)),"#",getgrade(Broadsheet!AN28,data!$H$4:$I$9))</f>
        <v/>
      </c>
      <c r="AO28" s="188" t="str">
        <f>IF(ISERROR(getgrade(Broadsheet!AO28,data!$H$4:$I$9)),"#",getgrade(Broadsheet!AO28,data!$H$4:$I$9))</f>
        <v/>
      </c>
      <c r="AP28" s="188" t="str">
        <f>IF(ISERROR(getgrade(Broadsheet!AP28,data!$H$4:$I$9)),"#",getgrade(Broadsheet!AP28,data!$H$4:$I$9))</f>
        <v/>
      </c>
      <c r="AQ28" s="188" t="str">
        <f>IF(ISERROR(getgrade(Broadsheet!AQ28,data!$H$4:$I$9)),"#",getgrade(Broadsheet!AQ28,data!$H$4:$I$9))</f>
        <v/>
      </c>
      <c r="AR28" s="188" t="str">
        <f>IF(ISERROR(getgrade(Broadsheet!AR28,data!$H$4:$I$9)),"#",getgrade(Broadsheet!AR28,data!$H$4:$I$9))</f>
        <v/>
      </c>
      <c r="AS28" s="188" t="str">
        <f>IF(ISERROR(getgrade(Broadsheet!AS28,data!$H$4:$I$9)),"#",getgrade(Broadsheet!AS28,data!$H$4:$I$9))</f>
        <v/>
      </c>
      <c r="AT28" s="188" t="str">
        <f>IF(ISERROR(getgrade(Broadsheet!AT28,data!$H$4:$I$9)),"#",getgrade(Broadsheet!AT28,data!$H$4:$I$9))</f>
        <v/>
      </c>
      <c r="AU28" s="188" t="str">
        <f>IF(ISERROR(getgrade(Broadsheet!AU28,data!$H$4:$I$9)),"#",getgrade(Broadsheet!AU28,data!$H$4:$I$9))</f>
        <v/>
      </c>
      <c r="AV28" s="188" t="str">
        <f>IF(ISERROR(getgrade(Broadsheet!AV28,data!$H$4:$I$9)),"#",getgrade(Broadsheet!AV28,data!$H$4:$I$9))</f>
        <v/>
      </c>
      <c r="AW28" s="188" t="str">
        <f>IF(ISERROR(getgrade(Broadsheet!AW28,data!$H$4:$I$9)),"#",getgrade(Broadsheet!AW28,data!$H$4:$I$9))</f>
        <v/>
      </c>
      <c r="AX28" s="188" t="str">
        <f>IF(ISERROR(getgrade(Broadsheet!AX28,data!$H$4:$I$9)),"#",getgrade(Broadsheet!AX28,data!$H$4:$I$9))</f>
        <v/>
      </c>
      <c r="AY28" s="188" t="str">
        <f>IF(ISERROR(getgrade(Broadsheet!AY28,data!$H$4:$I$9)),"#",getgrade(Broadsheet!AY28,data!$H$4:$I$9))</f>
        <v/>
      </c>
      <c r="AZ28" s="188" t="str">
        <f>IF(ISERROR(getgrade(Broadsheet!AZ28,data!$H$4:$I$9)),"#",getgrade(Broadsheet!AZ28,data!$H$4:$I$9))</f>
        <v/>
      </c>
      <c r="BA28" s="188" t="str">
        <f>IF(ISERROR(getgrade(Broadsheet!BA28,data!$H$4:$I$9)),"#",getgrade(Broadsheet!BA28,data!$H$4:$I$9))</f>
        <v/>
      </c>
      <c r="BB28" s="188" t="str">
        <f>IF(ISERROR(getgrade(Broadsheet!BB28,data!$H$4:$I$9)),"#",getgrade(Broadsheet!BB28,data!$H$4:$I$9))</f>
        <v/>
      </c>
      <c r="BC28" s="188" t="str">
        <f>IF(ISERROR(getgrade(Broadsheet!BC28,data!$H$4:$I$9)),"#",getgrade(Broadsheet!BC28,data!$H$4:$I$9))</f>
        <v/>
      </c>
      <c r="BD28" s="188" t="str">
        <f>IF(ISERROR(getgrade(Broadsheet!BD28,data!$H$4:$I$9)),"#",getgrade(Broadsheet!BD28,data!$H$4:$I$9))</f>
        <v/>
      </c>
      <c r="BE28" s="188" t="str">
        <f>IF(ISERROR(getgrade(Broadsheet!BE28,data!$H$4:$I$9)),"#",getgrade(Broadsheet!BE28,data!$H$4:$I$9))</f>
        <v/>
      </c>
      <c r="BF28" s="188" t="str">
        <f>IF(ISERROR(getgrade(Broadsheet!BF28,data!$H$4:$I$9)),"#",getgrade(Broadsheet!BF28,data!$H$4:$I$9))</f>
        <v/>
      </c>
      <c r="BG28" s="188" t="str">
        <f>IF(ISERROR(getgrade(Broadsheet!BG28,data!$H$4:$I$9)),"#",getgrade(Broadsheet!BG28,data!$H$4:$I$9))</f>
        <v/>
      </c>
      <c r="BH28" s="188" t="str">
        <f>IF(ISERROR(getgrade(Broadsheet!BH28,data!$H$4:$I$9)),"#",getgrade(Broadsheet!BH28,data!$H$4:$I$9))</f>
        <v/>
      </c>
      <c r="BI28" s="188" t="str">
        <f>IF(ISERROR(getgrade(Broadsheet!BI28,data!$H$4:$I$9)),"#",getgrade(Broadsheet!BI28,data!$H$4:$I$9))</f>
        <v/>
      </c>
      <c r="BJ28" s="188" t="str">
        <f>IF(ISERROR(getgrade(Broadsheet!BJ28,data!$H$4:$I$9)),"#",getgrade(Broadsheet!BJ28,data!$H$4:$I$9))</f>
        <v/>
      </c>
      <c r="BK28" s="188"/>
      <c r="BL28" s="188"/>
      <c r="BM28" s="188"/>
      <c r="BN28" s="188"/>
      <c r="BO28" s="188"/>
      <c r="BP28" s="188"/>
      <c r="BQ28" s="188"/>
      <c r="BR28" s="188"/>
      <c r="BS28" s="188"/>
      <c r="BT28" s="188"/>
      <c r="BU28" s="188"/>
      <c r="BV28" s="188"/>
      <c r="BW28" s="188"/>
      <c r="BX28" s="188"/>
      <c r="BY28" s="188"/>
      <c r="BZ28" s="188"/>
      <c r="CA28" s="188"/>
      <c r="CB28" s="188"/>
      <c r="CC28" s="188"/>
      <c r="CD28" s="188"/>
      <c r="CE28" s="188"/>
      <c r="CF28" s="188"/>
      <c r="CG28" s="188"/>
      <c r="CH28" s="188"/>
      <c r="CI28" s="188"/>
      <c r="CJ28" s="188"/>
      <c r="CK28" s="188"/>
      <c r="CL28" s="188"/>
      <c r="CM28" s="188"/>
      <c r="CN28" s="188"/>
      <c r="CO28" s="188"/>
      <c r="CP28" s="188"/>
      <c r="CQ28" s="188"/>
      <c r="CR28" s="188"/>
      <c r="CS28" s="188"/>
      <c r="CT28" s="188"/>
      <c r="CU28" s="188"/>
      <c r="CV28" s="188"/>
      <c r="CW28" s="188"/>
      <c r="CX28" s="188"/>
      <c r="CY28" s="188"/>
      <c r="CZ28" s="188"/>
      <c r="DA28" s="188"/>
      <c r="DB28" s="188"/>
      <c r="DC28" s="188"/>
      <c r="DD28" s="188"/>
      <c r="DE28" s="188"/>
      <c r="DF28" s="188"/>
      <c r="DG28" s="188"/>
      <c r="DH28" s="188"/>
      <c r="DI28" s="188"/>
      <c r="DJ28" s="188"/>
      <c r="DK28" s="188"/>
      <c r="DL28" s="188"/>
      <c r="DM28" s="188"/>
      <c r="DN28" s="188"/>
      <c r="DO28" s="188"/>
      <c r="DP28" s="188"/>
      <c r="DQ28" s="188"/>
      <c r="DR28" s="188"/>
      <c r="DS28" s="188"/>
      <c r="DT28" s="188"/>
      <c r="DU28" s="188"/>
      <c r="DV28" s="188"/>
      <c r="DW28" s="188"/>
      <c r="DX28" s="188"/>
      <c r="DY28" s="188"/>
      <c r="DZ28" s="188"/>
      <c r="EA28" s="188"/>
    </row>
    <row r="29" spans="1:131" ht="15.75" x14ac:dyDescent="0.25">
      <c r="A29" s="12">
        <f>Broadsheet!A29</f>
        <v>0</v>
      </c>
      <c r="B29" s="204" t="str">
        <f>IF(Broadsheet!B29="","",Broadsheet!B29)</f>
        <v/>
      </c>
      <c r="C29" s="24" t="str">
        <f>IF(Broadsheet!C29="","",Broadsheet!C29)</f>
        <v xml:space="preserve"> </v>
      </c>
      <c r="D29" s="24"/>
      <c r="E29" s="24"/>
      <c r="F29" s="24"/>
      <c r="G29" s="24" t="str">
        <f t="shared" si="0"/>
        <v/>
      </c>
      <c r="H29" s="188" t="str">
        <f>IF(ISERROR(getgrade(Broadsheet!H29,data!$H$4:$I$9)),"#",getgrade(Broadsheet!H29,data!$H$4:$I$9))</f>
        <v/>
      </c>
      <c r="I29" s="188" t="str">
        <f>IF(ISERROR(getgrade(Broadsheet!I29,data!$H$4:$I$9)),"#",getgrade(Broadsheet!I29,data!$H$4:$I$9))</f>
        <v/>
      </c>
      <c r="J29" s="188" t="str">
        <f>IF(ISERROR(getgrade(Broadsheet!J29,data!$H$4:$I$9)),"#",getgrade(Broadsheet!J29,data!$H$4:$I$9))</f>
        <v/>
      </c>
      <c r="K29" s="188" t="str">
        <f>IF(ISERROR(getgrade(Broadsheet!K29,data!$H$4:$I$9)),"#",getgrade(Broadsheet!K29,data!$H$4:$I$9))</f>
        <v/>
      </c>
      <c r="L29" s="188" t="str">
        <f>IF(ISERROR(getgrade(Broadsheet!L29,data!$H$4:$I$9)),"#",getgrade(Broadsheet!L29,data!$H$4:$I$9))</f>
        <v/>
      </c>
      <c r="M29" s="188" t="str">
        <f>IF(ISERROR(getgrade(Broadsheet!M29,data!$H$4:$I$9)),"#",getgrade(Broadsheet!M29,data!$H$4:$I$9))</f>
        <v/>
      </c>
      <c r="N29" s="188" t="str">
        <f>IF(ISERROR(getgrade(Broadsheet!N29,data!$H$4:$I$9)),"#",getgrade(Broadsheet!N29,data!$H$4:$I$9))</f>
        <v/>
      </c>
      <c r="O29" s="188" t="str">
        <f>IF(ISERROR(getgrade(Broadsheet!O29,data!$H$4:$I$9)),"#",getgrade(Broadsheet!O29,data!$H$4:$I$9))</f>
        <v/>
      </c>
      <c r="P29" s="188" t="str">
        <f>IF(ISERROR(getgrade(Broadsheet!P29,data!$H$4:$I$9)),"#",getgrade(Broadsheet!P29,data!$H$4:$I$9))</f>
        <v/>
      </c>
      <c r="Q29" s="188" t="str">
        <f>IF(ISERROR(getgrade(Broadsheet!Q29,data!$H$4:$I$9)),"#",getgrade(Broadsheet!Q29,data!$H$4:$I$9))</f>
        <v/>
      </c>
      <c r="R29" s="188" t="str">
        <f>IF(ISERROR(getgrade(Broadsheet!R29,data!$H$4:$I$9)),"#",getgrade(Broadsheet!R29,data!$H$4:$I$9))</f>
        <v/>
      </c>
      <c r="S29" s="188" t="str">
        <f>IF(ISERROR(getgrade(Broadsheet!S29,data!$H$4:$I$9)),"#",getgrade(Broadsheet!S29,data!$H$4:$I$9))</f>
        <v/>
      </c>
      <c r="T29" s="188" t="str">
        <f>IF(ISERROR(getgrade(Broadsheet!T29,data!$H$4:$I$9)),"#",getgrade(Broadsheet!T29,data!$H$4:$I$9))</f>
        <v/>
      </c>
      <c r="U29" s="188" t="str">
        <f>IF(ISERROR(getgrade(Broadsheet!U29,data!$H$4:$I$9)),"#",getgrade(Broadsheet!U29,data!$H$4:$I$9))</f>
        <v/>
      </c>
      <c r="V29" s="188" t="str">
        <f>IF(ISERROR(getgrade(Broadsheet!V29,data!$H$4:$I$9)),"#",getgrade(Broadsheet!V29,data!$H$4:$I$9))</f>
        <v/>
      </c>
      <c r="W29" s="188" t="str">
        <f>IF(ISERROR(getgrade(Broadsheet!W29,data!$H$4:$I$9)),"#",getgrade(Broadsheet!W29,data!$H$4:$I$9))</f>
        <v/>
      </c>
      <c r="X29" s="188" t="str">
        <f>IF(ISERROR(getgrade(Broadsheet!X29,data!$H$4:$I$9)),"#",getgrade(Broadsheet!X29,data!$H$4:$I$9))</f>
        <v/>
      </c>
      <c r="Y29" s="188" t="str">
        <f>IF(ISERROR(getgrade(Broadsheet!Y29,data!$H$4:$I$9)),"#",getgrade(Broadsheet!Y29,data!$H$4:$I$9))</f>
        <v/>
      </c>
      <c r="Z29" s="188" t="str">
        <f>IF(ISERROR(getgrade(Broadsheet!Z29,data!$H$4:$I$9)),"#",getgrade(Broadsheet!Z29,data!$H$4:$I$9))</f>
        <v/>
      </c>
      <c r="AA29" s="188" t="str">
        <f>IF(ISERROR(getgrade(Broadsheet!AA29,data!$H$4:$I$9)),"#",getgrade(Broadsheet!AA29,data!$H$4:$I$9))</f>
        <v/>
      </c>
      <c r="AB29" s="188" t="str">
        <f>IF(ISERROR(getgrade(Broadsheet!AB29,data!$H$4:$I$9)),"#",getgrade(Broadsheet!AB29,data!$H$4:$I$9))</f>
        <v/>
      </c>
      <c r="AC29" s="188" t="str">
        <f>IF(ISERROR(getgrade(Broadsheet!AC29,data!$H$4:$I$9)),"#",getgrade(Broadsheet!AC29,data!$H$4:$I$9))</f>
        <v/>
      </c>
      <c r="AD29" s="188" t="str">
        <f>IF(ISERROR(getgrade(Broadsheet!AD29,data!$H$4:$I$9)),"#",getgrade(Broadsheet!AD29,data!$H$4:$I$9))</f>
        <v/>
      </c>
      <c r="AE29" s="188" t="str">
        <f>IF(ISERROR(getgrade(Broadsheet!AE29,data!$H$4:$I$9)),"#",getgrade(Broadsheet!AE29,data!$H$4:$I$9))</f>
        <v/>
      </c>
      <c r="AF29" s="188" t="str">
        <f>IF(ISERROR(getgrade(Broadsheet!AF29,data!$H$4:$I$9)),"#",getgrade(Broadsheet!AF29,data!$H$4:$I$9))</f>
        <v/>
      </c>
      <c r="AG29" s="188" t="str">
        <f>IF(ISERROR(getgrade(Broadsheet!AG29,data!$H$4:$I$9)),"#",getgrade(Broadsheet!AG29,data!$H$4:$I$9))</f>
        <v/>
      </c>
      <c r="AH29" s="188" t="str">
        <f>IF(ISERROR(getgrade(Broadsheet!AH29,data!$H$4:$I$9)),"#",getgrade(Broadsheet!AH29,data!$H$4:$I$9))</f>
        <v/>
      </c>
      <c r="AI29" s="188" t="str">
        <f>IF(ISERROR(getgrade(Broadsheet!AI29,data!$H$4:$I$9)),"#",getgrade(Broadsheet!AI29,data!$H$4:$I$9))</f>
        <v/>
      </c>
      <c r="AJ29" s="188" t="str">
        <f>IF(ISERROR(getgrade(Broadsheet!AJ29,data!$H$4:$I$9)),"#",getgrade(Broadsheet!AJ29,data!$H$4:$I$9))</f>
        <v/>
      </c>
      <c r="AK29" s="188" t="str">
        <f>IF(ISERROR(getgrade(Broadsheet!AK29,data!$H$4:$I$9)),"#",getgrade(Broadsheet!AK29,data!$H$4:$I$9))</f>
        <v/>
      </c>
      <c r="AL29" s="188" t="str">
        <f>IF(ISERROR(getgrade(Broadsheet!AL29,data!$H$4:$I$9)),"#",getgrade(Broadsheet!AL29,data!$H$4:$I$9))</f>
        <v/>
      </c>
      <c r="AM29" s="188" t="str">
        <f>IF(ISERROR(getgrade(Broadsheet!AM29,data!$H$4:$I$9)),"#",getgrade(Broadsheet!AM29,data!$H$4:$I$9))</f>
        <v/>
      </c>
      <c r="AN29" s="188" t="str">
        <f>IF(ISERROR(getgrade(Broadsheet!AN29,data!$H$4:$I$9)),"#",getgrade(Broadsheet!AN29,data!$H$4:$I$9))</f>
        <v/>
      </c>
      <c r="AO29" s="188" t="str">
        <f>IF(ISERROR(getgrade(Broadsheet!AO29,data!$H$4:$I$9)),"#",getgrade(Broadsheet!AO29,data!$H$4:$I$9))</f>
        <v/>
      </c>
      <c r="AP29" s="188" t="str">
        <f>IF(ISERROR(getgrade(Broadsheet!AP29,data!$H$4:$I$9)),"#",getgrade(Broadsheet!AP29,data!$H$4:$I$9))</f>
        <v/>
      </c>
      <c r="AQ29" s="188" t="str">
        <f>IF(ISERROR(getgrade(Broadsheet!AQ29,data!$H$4:$I$9)),"#",getgrade(Broadsheet!AQ29,data!$H$4:$I$9))</f>
        <v/>
      </c>
      <c r="AR29" s="188" t="str">
        <f>IF(ISERROR(getgrade(Broadsheet!AR29,data!$H$4:$I$9)),"#",getgrade(Broadsheet!AR29,data!$H$4:$I$9))</f>
        <v/>
      </c>
      <c r="AS29" s="188" t="str">
        <f>IF(ISERROR(getgrade(Broadsheet!AS29,data!$H$4:$I$9)),"#",getgrade(Broadsheet!AS29,data!$H$4:$I$9))</f>
        <v/>
      </c>
      <c r="AT29" s="188" t="str">
        <f>IF(ISERROR(getgrade(Broadsheet!AT29,data!$H$4:$I$9)),"#",getgrade(Broadsheet!AT29,data!$H$4:$I$9))</f>
        <v/>
      </c>
      <c r="AU29" s="188" t="str">
        <f>IF(ISERROR(getgrade(Broadsheet!AU29,data!$H$4:$I$9)),"#",getgrade(Broadsheet!AU29,data!$H$4:$I$9))</f>
        <v/>
      </c>
      <c r="AV29" s="188" t="str">
        <f>IF(ISERROR(getgrade(Broadsheet!AV29,data!$H$4:$I$9)),"#",getgrade(Broadsheet!AV29,data!$H$4:$I$9))</f>
        <v/>
      </c>
      <c r="AW29" s="188" t="str">
        <f>IF(ISERROR(getgrade(Broadsheet!AW29,data!$H$4:$I$9)),"#",getgrade(Broadsheet!AW29,data!$H$4:$I$9))</f>
        <v/>
      </c>
      <c r="AX29" s="188" t="str">
        <f>IF(ISERROR(getgrade(Broadsheet!AX29,data!$H$4:$I$9)),"#",getgrade(Broadsheet!AX29,data!$H$4:$I$9))</f>
        <v/>
      </c>
      <c r="AY29" s="188" t="str">
        <f>IF(ISERROR(getgrade(Broadsheet!AY29,data!$H$4:$I$9)),"#",getgrade(Broadsheet!AY29,data!$H$4:$I$9))</f>
        <v/>
      </c>
      <c r="AZ29" s="188" t="str">
        <f>IF(ISERROR(getgrade(Broadsheet!AZ29,data!$H$4:$I$9)),"#",getgrade(Broadsheet!AZ29,data!$H$4:$I$9))</f>
        <v/>
      </c>
      <c r="BA29" s="188" t="str">
        <f>IF(ISERROR(getgrade(Broadsheet!BA29,data!$H$4:$I$9)),"#",getgrade(Broadsheet!BA29,data!$H$4:$I$9))</f>
        <v/>
      </c>
      <c r="BB29" s="188" t="str">
        <f>IF(ISERROR(getgrade(Broadsheet!BB29,data!$H$4:$I$9)),"#",getgrade(Broadsheet!BB29,data!$H$4:$I$9))</f>
        <v/>
      </c>
      <c r="BC29" s="188" t="str">
        <f>IF(ISERROR(getgrade(Broadsheet!BC29,data!$H$4:$I$9)),"#",getgrade(Broadsheet!BC29,data!$H$4:$I$9))</f>
        <v/>
      </c>
      <c r="BD29" s="188" t="str">
        <f>IF(ISERROR(getgrade(Broadsheet!BD29,data!$H$4:$I$9)),"#",getgrade(Broadsheet!BD29,data!$H$4:$I$9))</f>
        <v/>
      </c>
      <c r="BE29" s="188" t="str">
        <f>IF(ISERROR(getgrade(Broadsheet!BE29,data!$H$4:$I$9)),"#",getgrade(Broadsheet!BE29,data!$H$4:$I$9))</f>
        <v/>
      </c>
      <c r="BF29" s="188" t="str">
        <f>IF(ISERROR(getgrade(Broadsheet!BF29,data!$H$4:$I$9)),"#",getgrade(Broadsheet!BF29,data!$H$4:$I$9))</f>
        <v/>
      </c>
      <c r="BG29" s="188" t="str">
        <f>IF(ISERROR(getgrade(Broadsheet!BG29,data!$H$4:$I$9)),"#",getgrade(Broadsheet!BG29,data!$H$4:$I$9))</f>
        <v/>
      </c>
      <c r="BH29" s="188" t="str">
        <f>IF(ISERROR(getgrade(Broadsheet!BH29,data!$H$4:$I$9)),"#",getgrade(Broadsheet!BH29,data!$H$4:$I$9))</f>
        <v/>
      </c>
      <c r="BI29" s="188" t="str">
        <f>IF(ISERROR(getgrade(Broadsheet!BI29,data!$H$4:$I$9)),"#",getgrade(Broadsheet!BI29,data!$H$4:$I$9))</f>
        <v/>
      </c>
      <c r="BJ29" s="188" t="str">
        <f>IF(ISERROR(getgrade(Broadsheet!BJ29,data!$H$4:$I$9)),"#",getgrade(Broadsheet!BJ29,data!$H$4:$I$9))</f>
        <v/>
      </c>
      <c r="BK29" s="188"/>
      <c r="BL29" s="188"/>
      <c r="BM29" s="188"/>
      <c r="BN29" s="188"/>
      <c r="BO29" s="188"/>
      <c r="BP29" s="188"/>
      <c r="BQ29" s="188"/>
      <c r="BR29" s="188"/>
      <c r="BS29" s="188"/>
      <c r="BT29" s="188"/>
      <c r="BU29" s="188"/>
      <c r="BV29" s="188"/>
      <c r="BW29" s="188"/>
      <c r="BX29" s="188"/>
      <c r="BY29" s="188"/>
      <c r="BZ29" s="188"/>
      <c r="CA29" s="188"/>
      <c r="CB29" s="188"/>
      <c r="CC29" s="188"/>
      <c r="CD29" s="188"/>
      <c r="CE29" s="188"/>
      <c r="CF29" s="188"/>
      <c r="CG29" s="188"/>
      <c r="CH29" s="188"/>
      <c r="CI29" s="188"/>
      <c r="CJ29" s="188"/>
      <c r="CK29" s="188"/>
      <c r="CL29" s="188"/>
      <c r="CM29" s="188"/>
      <c r="CN29" s="188"/>
      <c r="CO29" s="188"/>
      <c r="CP29" s="188"/>
      <c r="CQ29" s="188"/>
      <c r="CR29" s="188"/>
      <c r="CS29" s="188"/>
      <c r="CT29" s="188"/>
      <c r="CU29" s="188"/>
      <c r="CV29" s="188"/>
      <c r="CW29" s="188"/>
      <c r="CX29" s="188"/>
      <c r="CY29" s="188"/>
      <c r="CZ29" s="188"/>
      <c r="DA29" s="188"/>
      <c r="DB29" s="188"/>
      <c r="DC29" s="188"/>
      <c r="DD29" s="188"/>
      <c r="DE29" s="188"/>
      <c r="DF29" s="188"/>
      <c r="DG29" s="188"/>
      <c r="DH29" s="188"/>
      <c r="DI29" s="188"/>
      <c r="DJ29" s="188"/>
      <c r="DK29" s="188"/>
      <c r="DL29" s="188"/>
      <c r="DM29" s="188"/>
      <c r="DN29" s="188"/>
      <c r="DO29" s="188"/>
      <c r="DP29" s="188"/>
      <c r="DQ29" s="188"/>
      <c r="DR29" s="188"/>
      <c r="DS29" s="188"/>
      <c r="DT29" s="188"/>
      <c r="DU29" s="188"/>
      <c r="DV29" s="188"/>
      <c r="DW29" s="188"/>
      <c r="DX29" s="188"/>
      <c r="DY29" s="188"/>
      <c r="DZ29" s="188"/>
      <c r="EA29" s="188"/>
    </row>
    <row r="30" spans="1:131" ht="15.75" x14ac:dyDescent="0.25">
      <c r="A30" s="12">
        <f>Broadsheet!A30</f>
        <v>0</v>
      </c>
      <c r="B30" s="204" t="str">
        <f>IF(Broadsheet!B30="","",Broadsheet!B30)</f>
        <v/>
      </c>
      <c r="C30" s="24" t="str">
        <f>IF(Broadsheet!C30="","",Broadsheet!C30)</f>
        <v xml:space="preserve"> </v>
      </c>
      <c r="D30" s="24"/>
      <c r="E30" s="24"/>
      <c r="F30" s="24"/>
      <c r="G30" s="24" t="str">
        <f t="shared" si="0"/>
        <v/>
      </c>
      <c r="H30" s="188" t="str">
        <f>IF(ISERROR(getgrade(Broadsheet!H30,data!$H$4:$I$9)),"#",getgrade(Broadsheet!H30,data!$H$4:$I$9))</f>
        <v/>
      </c>
      <c r="I30" s="188" t="str">
        <f>IF(ISERROR(getgrade(Broadsheet!I30,data!$H$4:$I$9)),"#",getgrade(Broadsheet!I30,data!$H$4:$I$9))</f>
        <v/>
      </c>
      <c r="J30" s="188" t="str">
        <f>IF(ISERROR(getgrade(Broadsheet!J30,data!$H$4:$I$9)),"#",getgrade(Broadsheet!J30,data!$H$4:$I$9))</f>
        <v/>
      </c>
      <c r="K30" s="188" t="str">
        <f>IF(ISERROR(getgrade(Broadsheet!K30,data!$H$4:$I$9)),"#",getgrade(Broadsheet!K30,data!$H$4:$I$9))</f>
        <v/>
      </c>
      <c r="L30" s="188" t="str">
        <f>IF(ISERROR(getgrade(Broadsheet!L30,data!$H$4:$I$9)),"#",getgrade(Broadsheet!L30,data!$H$4:$I$9))</f>
        <v/>
      </c>
      <c r="M30" s="188" t="str">
        <f>IF(ISERROR(getgrade(Broadsheet!M30,data!$H$4:$I$9)),"#",getgrade(Broadsheet!M30,data!$H$4:$I$9))</f>
        <v/>
      </c>
      <c r="N30" s="188" t="str">
        <f>IF(ISERROR(getgrade(Broadsheet!N30,data!$H$4:$I$9)),"#",getgrade(Broadsheet!N30,data!$H$4:$I$9))</f>
        <v/>
      </c>
      <c r="O30" s="188" t="str">
        <f>IF(ISERROR(getgrade(Broadsheet!O30,data!$H$4:$I$9)),"#",getgrade(Broadsheet!O30,data!$H$4:$I$9))</f>
        <v/>
      </c>
      <c r="P30" s="188" t="str">
        <f>IF(ISERROR(getgrade(Broadsheet!P30,data!$H$4:$I$9)),"#",getgrade(Broadsheet!P30,data!$H$4:$I$9))</f>
        <v/>
      </c>
      <c r="Q30" s="188" t="str">
        <f>IF(ISERROR(getgrade(Broadsheet!Q30,data!$H$4:$I$9)),"#",getgrade(Broadsheet!Q30,data!$H$4:$I$9))</f>
        <v/>
      </c>
      <c r="R30" s="188" t="str">
        <f>IF(ISERROR(getgrade(Broadsheet!R30,data!$H$4:$I$9)),"#",getgrade(Broadsheet!R30,data!$H$4:$I$9))</f>
        <v/>
      </c>
      <c r="S30" s="188" t="str">
        <f>IF(ISERROR(getgrade(Broadsheet!S30,data!$H$4:$I$9)),"#",getgrade(Broadsheet!S30,data!$H$4:$I$9))</f>
        <v/>
      </c>
      <c r="T30" s="188" t="str">
        <f>IF(ISERROR(getgrade(Broadsheet!T30,data!$H$4:$I$9)),"#",getgrade(Broadsheet!T30,data!$H$4:$I$9))</f>
        <v/>
      </c>
      <c r="U30" s="188" t="str">
        <f>IF(ISERROR(getgrade(Broadsheet!U30,data!$H$4:$I$9)),"#",getgrade(Broadsheet!U30,data!$H$4:$I$9))</f>
        <v/>
      </c>
      <c r="V30" s="188" t="str">
        <f>IF(ISERROR(getgrade(Broadsheet!V30,data!$H$4:$I$9)),"#",getgrade(Broadsheet!V30,data!$H$4:$I$9))</f>
        <v/>
      </c>
      <c r="W30" s="188" t="str">
        <f>IF(ISERROR(getgrade(Broadsheet!W30,data!$H$4:$I$9)),"#",getgrade(Broadsheet!W30,data!$H$4:$I$9))</f>
        <v/>
      </c>
      <c r="X30" s="188" t="str">
        <f>IF(ISERROR(getgrade(Broadsheet!X30,data!$H$4:$I$9)),"#",getgrade(Broadsheet!X30,data!$H$4:$I$9))</f>
        <v/>
      </c>
      <c r="Y30" s="188" t="str">
        <f>IF(ISERROR(getgrade(Broadsheet!Y30,data!$H$4:$I$9)),"#",getgrade(Broadsheet!Y30,data!$H$4:$I$9))</f>
        <v/>
      </c>
      <c r="Z30" s="188" t="str">
        <f>IF(ISERROR(getgrade(Broadsheet!Z30,data!$H$4:$I$9)),"#",getgrade(Broadsheet!Z30,data!$H$4:$I$9))</f>
        <v/>
      </c>
      <c r="AA30" s="188" t="str">
        <f>IF(ISERROR(getgrade(Broadsheet!AA30,data!$H$4:$I$9)),"#",getgrade(Broadsheet!AA30,data!$H$4:$I$9))</f>
        <v/>
      </c>
      <c r="AB30" s="188" t="str">
        <f>IF(ISERROR(getgrade(Broadsheet!AB30,data!$H$4:$I$9)),"#",getgrade(Broadsheet!AB30,data!$H$4:$I$9))</f>
        <v/>
      </c>
      <c r="AC30" s="188" t="str">
        <f>IF(ISERROR(getgrade(Broadsheet!AC30,data!$H$4:$I$9)),"#",getgrade(Broadsheet!AC30,data!$H$4:$I$9))</f>
        <v/>
      </c>
      <c r="AD30" s="188" t="str">
        <f>IF(ISERROR(getgrade(Broadsheet!AD30,data!$H$4:$I$9)),"#",getgrade(Broadsheet!AD30,data!$H$4:$I$9))</f>
        <v/>
      </c>
      <c r="AE30" s="188" t="str">
        <f>IF(ISERROR(getgrade(Broadsheet!AE30,data!$H$4:$I$9)),"#",getgrade(Broadsheet!AE30,data!$H$4:$I$9))</f>
        <v/>
      </c>
      <c r="AF30" s="188" t="str">
        <f>IF(ISERROR(getgrade(Broadsheet!AF30,data!$H$4:$I$9)),"#",getgrade(Broadsheet!AF30,data!$H$4:$I$9))</f>
        <v/>
      </c>
      <c r="AG30" s="188" t="str">
        <f>IF(ISERROR(getgrade(Broadsheet!AG30,data!$H$4:$I$9)),"#",getgrade(Broadsheet!AG30,data!$H$4:$I$9))</f>
        <v/>
      </c>
      <c r="AH30" s="188" t="str">
        <f>IF(ISERROR(getgrade(Broadsheet!AH30,data!$H$4:$I$9)),"#",getgrade(Broadsheet!AH30,data!$H$4:$I$9))</f>
        <v/>
      </c>
      <c r="AI30" s="188" t="str">
        <f>IF(ISERROR(getgrade(Broadsheet!AI30,data!$H$4:$I$9)),"#",getgrade(Broadsheet!AI30,data!$H$4:$I$9))</f>
        <v/>
      </c>
      <c r="AJ30" s="188" t="str">
        <f>IF(ISERROR(getgrade(Broadsheet!AJ30,data!$H$4:$I$9)),"#",getgrade(Broadsheet!AJ30,data!$H$4:$I$9))</f>
        <v/>
      </c>
      <c r="AK30" s="188" t="str">
        <f>IF(ISERROR(getgrade(Broadsheet!AK30,data!$H$4:$I$9)),"#",getgrade(Broadsheet!AK30,data!$H$4:$I$9))</f>
        <v/>
      </c>
      <c r="AL30" s="188" t="str">
        <f>IF(ISERROR(getgrade(Broadsheet!AL30,data!$H$4:$I$9)),"#",getgrade(Broadsheet!AL30,data!$H$4:$I$9))</f>
        <v/>
      </c>
      <c r="AM30" s="188" t="str">
        <f>IF(ISERROR(getgrade(Broadsheet!AM30,data!$H$4:$I$9)),"#",getgrade(Broadsheet!AM30,data!$H$4:$I$9))</f>
        <v/>
      </c>
      <c r="AN30" s="188" t="str">
        <f>IF(ISERROR(getgrade(Broadsheet!AN30,data!$H$4:$I$9)),"#",getgrade(Broadsheet!AN30,data!$H$4:$I$9))</f>
        <v/>
      </c>
      <c r="AO30" s="188" t="str">
        <f>IF(ISERROR(getgrade(Broadsheet!AO30,data!$H$4:$I$9)),"#",getgrade(Broadsheet!AO30,data!$H$4:$I$9))</f>
        <v/>
      </c>
      <c r="AP30" s="188" t="str">
        <f>IF(ISERROR(getgrade(Broadsheet!AP30,data!$H$4:$I$9)),"#",getgrade(Broadsheet!AP30,data!$H$4:$I$9))</f>
        <v/>
      </c>
      <c r="AQ30" s="188" t="str">
        <f>IF(ISERROR(getgrade(Broadsheet!AQ30,data!$H$4:$I$9)),"#",getgrade(Broadsheet!AQ30,data!$H$4:$I$9))</f>
        <v/>
      </c>
      <c r="AR30" s="188" t="str">
        <f>IF(ISERROR(getgrade(Broadsheet!AR30,data!$H$4:$I$9)),"#",getgrade(Broadsheet!AR30,data!$H$4:$I$9))</f>
        <v/>
      </c>
      <c r="AS30" s="188" t="str">
        <f>IF(ISERROR(getgrade(Broadsheet!AS30,data!$H$4:$I$9)),"#",getgrade(Broadsheet!AS30,data!$H$4:$I$9))</f>
        <v/>
      </c>
      <c r="AT30" s="188" t="str">
        <f>IF(ISERROR(getgrade(Broadsheet!AT30,data!$H$4:$I$9)),"#",getgrade(Broadsheet!AT30,data!$H$4:$I$9))</f>
        <v/>
      </c>
      <c r="AU30" s="188" t="str">
        <f>IF(ISERROR(getgrade(Broadsheet!AU30,data!$H$4:$I$9)),"#",getgrade(Broadsheet!AU30,data!$H$4:$I$9))</f>
        <v/>
      </c>
      <c r="AV30" s="188" t="str">
        <f>IF(ISERROR(getgrade(Broadsheet!AV30,data!$H$4:$I$9)),"#",getgrade(Broadsheet!AV30,data!$H$4:$I$9))</f>
        <v/>
      </c>
      <c r="AW30" s="188" t="str">
        <f>IF(ISERROR(getgrade(Broadsheet!AW30,data!$H$4:$I$9)),"#",getgrade(Broadsheet!AW30,data!$H$4:$I$9))</f>
        <v/>
      </c>
      <c r="AX30" s="188" t="str">
        <f>IF(ISERROR(getgrade(Broadsheet!AX30,data!$H$4:$I$9)),"#",getgrade(Broadsheet!AX30,data!$H$4:$I$9))</f>
        <v/>
      </c>
      <c r="AY30" s="188" t="str">
        <f>IF(ISERROR(getgrade(Broadsheet!AY30,data!$H$4:$I$9)),"#",getgrade(Broadsheet!AY30,data!$H$4:$I$9))</f>
        <v/>
      </c>
      <c r="AZ30" s="188" t="str">
        <f>IF(ISERROR(getgrade(Broadsheet!AZ30,data!$H$4:$I$9)),"#",getgrade(Broadsheet!AZ30,data!$H$4:$I$9))</f>
        <v/>
      </c>
      <c r="BA30" s="188" t="str">
        <f>IF(ISERROR(getgrade(Broadsheet!BA30,data!$H$4:$I$9)),"#",getgrade(Broadsheet!BA30,data!$H$4:$I$9))</f>
        <v/>
      </c>
      <c r="BB30" s="188" t="str">
        <f>IF(ISERROR(getgrade(Broadsheet!BB30,data!$H$4:$I$9)),"#",getgrade(Broadsheet!BB30,data!$H$4:$I$9))</f>
        <v/>
      </c>
      <c r="BC30" s="188" t="str">
        <f>IF(ISERROR(getgrade(Broadsheet!BC30,data!$H$4:$I$9)),"#",getgrade(Broadsheet!BC30,data!$H$4:$I$9))</f>
        <v/>
      </c>
      <c r="BD30" s="188" t="str">
        <f>IF(ISERROR(getgrade(Broadsheet!BD30,data!$H$4:$I$9)),"#",getgrade(Broadsheet!BD30,data!$H$4:$I$9))</f>
        <v/>
      </c>
      <c r="BE30" s="188" t="str">
        <f>IF(ISERROR(getgrade(Broadsheet!BE30,data!$H$4:$I$9)),"#",getgrade(Broadsheet!BE30,data!$H$4:$I$9))</f>
        <v/>
      </c>
      <c r="BF30" s="188" t="str">
        <f>IF(ISERROR(getgrade(Broadsheet!BF30,data!$H$4:$I$9)),"#",getgrade(Broadsheet!BF30,data!$H$4:$I$9))</f>
        <v/>
      </c>
      <c r="BG30" s="188" t="str">
        <f>IF(ISERROR(getgrade(Broadsheet!BG30,data!$H$4:$I$9)),"#",getgrade(Broadsheet!BG30,data!$H$4:$I$9))</f>
        <v/>
      </c>
      <c r="BH30" s="188" t="str">
        <f>IF(ISERROR(getgrade(Broadsheet!BH30,data!$H$4:$I$9)),"#",getgrade(Broadsheet!BH30,data!$H$4:$I$9))</f>
        <v/>
      </c>
      <c r="BI30" s="188" t="str">
        <f>IF(ISERROR(getgrade(Broadsheet!BI30,data!$H$4:$I$9)),"#",getgrade(Broadsheet!BI30,data!$H$4:$I$9))</f>
        <v/>
      </c>
      <c r="BJ30" s="188" t="str">
        <f>IF(ISERROR(getgrade(Broadsheet!BJ30,data!$H$4:$I$9)),"#",getgrade(Broadsheet!BJ30,data!$H$4:$I$9))</f>
        <v/>
      </c>
      <c r="BK30" s="188"/>
      <c r="BL30" s="188"/>
      <c r="BM30" s="188"/>
      <c r="BN30" s="188"/>
      <c r="BO30" s="188"/>
      <c r="BP30" s="188"/>
      <c r="BQ30" s="188"/>
      <c r="BR30" s="188"/>
      <c r="BS30" s="188"/>
      <c r="BT30" s="188"/>
      <c r="BU30" s="188"/>
      <c r="BV30" s="188"/>
      <c r="BW30" s="188"/>
      <c r="BX30" s="188"/>
      <c r="BY30" s="188"/>
      <c r="BZ30" s="188"/>
      <c r="CA30" s="188"/>
      <c r="CB30" s="188"/>
      <c r="CC30" s="188"/>
      <c r="CD30" s="188"/>
      <c r="CE30" s="188"/>
      <c r="CF30" s="188"/>
      <c r="CG30" s="188"/>
      <c r="CH30" s="188"/>
      <c r="CI30" s="188"/>
      <c r="CJ30" s="188"/>
      <c r="CK30" s="188"/>
      <c r="CL30" s="188"/>
      <c r="CM30" s="188"/>
      <c r="CN30" s="188"/>
      <c r="CO30" s="188"/>
      <c r="CP30" s="188"/>
      <c r="CQ30" s="188"/>
      <c r="CR30" s="188"/>
      <c r="CS30" s="188"/>
      <c r="CT30" s="188"/>
      <c r="CU30" s="188"/>
      <c r="CV30" s="188"/>
      <c r="CW30" s="188"/>
      <c r="CX30" s="188"/>
      <c r="CY30" s="188"/>
      <c r="CZ30" s="188"/>
      <c r="DA30" s="188"/>
      <c r="DB30" s="188"/>
      <c r="DC30" s="188"/>
      <c r="DD30" s="188"/>
      <c r="DE30" s="188"/>
      <c r="DF30" s="188"/>
      <c r="DG30" s="188"/>
      <c r="DH30" s="188"/>
      <c r="DI30" s="188"/>
      <c r="DJ30" s="188"/>
      <c r="DK30" s="188"/>
      <c r="DL30" s="188"/>
      <c r="DM30" s="188"/>
      <c r="DN30" s="188"/>
      <c r="DO30" s="188"/>
      <c r="DP30" s="188"/>
      <c r="DQ30" s="188"/>
      <c r="DR30" s="188"/>
      <c r="DS30" s="188"/>
      <c r="DT30" s="188"/>
      <c r="DU30" s="188"/>
      <c r="DV30" s="188"/>
      <c r="DW30" s="188"/>
      <c r="DX30" s="188"/>
      <c r="DY30" s="188"/>
      <c r="DZ30" s="188"/>
      <c r="EA30" s="188"/>
    </row>
    <row r="31" spans="1:131" ht="15.75" x14ac:dyDescent="0.25">
      <c r="A31" s="12">
        <f>Broadsheet!A31</f>
        <v>0</v>
      </c>
      <c r="B31" s="204" t="str">
        <f>IF(Broadsheet!B31="","",Broadsheet!B31)</f>
        <v/>
      </c>
      <c r="C31" s="24" t="str">
        <f>IF(Broadsheet!C31="","",Broadsheet!C31)</f>
        <v xml:space="preserve"> </v>
      </c>
      <c r="D31" s="24"/>
      <c r="E31" s="24"/>
      <c r="F31" s="24"/>
      <c r="G31" s="24" t="str">
        <f t="shared" si="0"/>
        <v/>
      </c>
      <c r="H31" s="188" t="str">
        <f>IF(ISERROR(getgrade(Broadsheet!H31,data!$H$4:$I$9)),"#",getgrade(Broadsheet!H31,data!$H$4:$I$9))</f>
        <v/>
      </c>
      <c r="I31" s="188" t="str">
        <f>IF(ISERROR(getgrade(Broadsheet!I31,data!$H$4:$I$9)),"#",getgrade(Broadsheet!I31,data!$H$4:$I$9))</f>
        <v/>
      </c>
      <c r="J31" s="188" t="str">
        <f>IF(ISERROR(getgrade(Broadsheet!J31,data!$H$4:$I$9)),"#",getgrade(Broadsheet!J31,data!$H$4:$I$9))</f>
        <v/>
      </c>
      <c r="K31" s="188" t="str">
        <f>IF(ISERROR(getgrade(Broadsheet!K31,data!$H$4:$I$9)),"#",getgrade(Broadsheet!K31,data!$H$4:$I$9))</f>
        <v/>
      </c>
      <c r="L31" s="188" t="str">
        <f>IF(ISERROR(getgrade(Broadsheet!L31,data!$H$4:$I$9)),"#",getgrade(Broadsheet!L31,data!$H$4:$I$9))</f>
        <v/>
      </c>
      <c r="M31" s="188" t="str">
        <f>IF(ISERROR(getgrade(Broadsheet!M31,data!$H$4:$I$9)),"#",getgrade(Broadsheet!M31,data!$H$4:$I$9))</f>
        <v/>
      </c>
      <c r="N31" s="188" t="str">
        <f>IF(ISERROR(getgrade(Broadsheet!N31,data!$H$4:$I$9)),"#",getgrade(Broadsheet!N31,data!$H$4:$I$9))</f>
        <v/>
      </c>
      <c r="O31" s="188" t="str">
        <f>IF(ISERROR(getgrade(Broadsheet!O31,data!$H$4:$I$9)),"#",getgrade(Broadsheet!O31,data!$H$4:$I$9))</f>
        <v/>
      </c>
      <c r="P31" s="188" t="str">
        <f>IF(ISERROR(getgrade(Broadsheet!P31,data!$H$4:$I$9)),"#",getgrade(Broadsheet!P31,data!$H$4:$I$9))</f>
        <v/>
      </c>
      <c r="Q31" s="188" t="str">
        <f>IF(ISERROR(getgrade(Broadsheet!Q31,data!$H$4:$I$9)),"#",getgrade(Broadsheet!Q31,data!$H$4:$I$9))</f>
        <v/>
      </c>
      <c r="R31" s="188" t="str">
        <f>IF(ISERROR(getgrade(Broadsheet!R31,data!$H$4:$I$9)),"#",getgrade(Broadsheet!R31,data!$H$4:$I$9))</f>
        <v/>
      </c>
      <c r="S31" s="188" t="str">
        <f>IF(ISERROR(getgrade(Broadsheet!S31,data!$H$4:$I$9)),"#",getgrade(Broadsheet!S31,data!$H$4:$I$9))</f>
        <v/>
      </c>
      <c r="T31" s="188" t="str">
        <f>IF(ISERROR(getgrade(Broadsheet!T31,data!$H$4:$I$9)),"#",getgrade(Broadsheet!T31,data!$H$4:$I$9))</f>
        <v/>
      </c>
      <c r="U31" s="188" t="str">
        <f>IF(ISERROR(getgrade(Broadsheet!U31,data!$H$4:$I$9)),"#",getgrade(Broadsheet!U31,data!$H$4:$I$9))</f>
        <v/>
      </c>
      <c r="V31" s="188" t="str">
        <f>IF(ISERROR(getgrade(Broadsheet!V31,data!$H$4:$I$9)),"#",getgrade(Broadsheet!V31,data!$H$4:$I$9))</f>
        <v/>
      </c>
      <c r="W31" s="188" t="str">
        <f>IF(ISERROR(getgrade(Broadsheet!W31,data!$H$4:$I$9)),"#",getgrade(Broadsheet!W31,data!$H$4:$I$9))</f>
        <v/>
      </c>
      <c r="X31" s="188" t="str">
        <f>IF(ISERROR(getgrade(Broadsheet!X31,data!$H$4:$I$9)),"#",getgrade(Broadsheet!X31,data!$H$4:$I$9))</f>
        <v/>
      </c>
      <c r="Y31" s="188" t="str">
        <f>IF(ISERROR(getgrade(Broadsheet!Y31,data!$H$4:$I$9)),"#",getgrade(Broadsheet!Y31,data!$H$4:$I$9))</f>
        <v/>
      </c>
      <c r="Z31" s="188" t="str">
        <f>IF(ISERROR(getgrade(Broadsheet!Z31,data!$H$4:$I$9)),"#",getgrade(Broadsheet!Z31,data!$H$4:$I$9))</f>
        <v/>
      </c>
      <c r="AA31" s="188" t="str">
        <f>IF(ISERROR(getgrade(Broadsheet!AA31,data!$H$4:$I$9)),"#",getgrade(Broadsheet!AA31,data!$H$4:$I$9))</f>
        <v/>
      </c>
      <c r="AB31" s="188" t="str">
        <f>IF(ISERROR(getgrade(Broadsheet!AB31,data!$H$4:$I$9)),"#",getgrade(Broadsheet!AB31,data!$H$4:$I$9))</f>
        <v/>
      </c>
      <c r="AC31" s="188" t="str">
        <f>IF(ISERROR(getgrade(Broadsheet!AC31,data!$H$4:$I$9)),"#",getgrade(Broadsheet!AC31,data!$H$4:$I$9))</f>
        <v/>
      </c>
      <c r="AD31" s="188" t="str">
        <f>IF(ISERROR(getgrade(Broadsheet!AD31,data!$H$4:$I$9)),"#",getgrade(Broadsheet!AD31,data!$H$4:$I$9))</f>
        <v/>
      </c>
      <c r="AE31" s="188" t="str">
        <f>IF(ISERROR(getgrade(Broadsheet!AE31,data!$H$4:$I$9)),"#",getgrade(Broadsheet!AE31,data!$H$4:$I$9))</f>
        <v/>
      </c>
      <c r="AF31" s="188" t="str">
        <f>IF(ISERROR(getgrade(Broadsheet!AF31,data!$H$4:$I$9)),"#",getgrade(Broadsheet!AF31,data!$H$4:$I$9))</f>
        <v/>
      </c>
      <c r="AG31" s="188" t="str">
        <f>IF(ISERROR(getgrade(Broadsheet!AG31,data!$H$4:$I$9)),"#",getgrade(Broadsheet!AG31,data!$H$4:$I$9))</f>
        <v/>
      </c>
      <c r="AH31" s="188" t="str">
        <f>IF(ISERROR(getgrade(Broadsheet!AH31,data!$H$4:$I$9)),"#",getgrade(Broadsheet!AH31,data!$H$4:$I$9))</f>
        <v/>
      </c>
      <c r="AI31" s="188" t="str">
        <f>IF(ISERROR(getgrade(Broadsheet!AI31,data!$H$4:$I$9)),"#",getgrade(Broadsheet!AI31,data!$H$4:$I$9))</f>
        <v/>
      </c>
      <c r="AJ31" s="188" t="str">
        <f>IF(ISERROR(getgrade(Broadsheet!AJ31,data!$H$4:$I$9)),"#",getgrade(Broadsheet!AJ31,data!$H$4:$I$9))</f>
        <v/>
      </c>
      <c r="AK31" s="188" t="str">
        <f>IF(ISERROR(getgrade(Broadsheet!AK31,data!$H$4:$I$9)),"#",getgrade(Broadsheet!AK31,data!$H$4:$I$9))</f>
        <v/>
      </c>
      <c r="AL31" s="188" t="str">
        <f>IF(ISERROR(getgrade(Broadsheet!AL31,data!$H$4:$I$9)),"#",getgrade(Broadsheet!AL31,data!$H$4:$I$9))</f>
        <v/>
      </c>
      <c r="AM31" s="188" t="str">
        <f>IF(ISERROR(getgrade(Broadsheet!AM31,data!$H$4:$I$9)),"#",getgrade(Broadsheet!AM31,data!$H$4:$I$9))</f>
        <v/>
      </c>
      <c r="AN31" s="188" t="str">
        <f>IF(ISERROR(getgrade(Broadsheet!AN31,data!$H$4:$I$9)),"#",getgrade(Broadsheet!AN31,data!$H$4:$I$9))</f>
        <v/>
      </c>
      <c r="AO31" s="188" t="str">
        <f>IF(ISERROR(getgrade(Broadsheet!AO31,data!$H$4:$I$9)),"#",getgrade(Broadsheet!AO31,data!$H$4:$I$9))</f>
        <v/>
      </c>
      <c r="AP31" s="188" t="str">
        <f>IF(ISERROR(getgrade(Broadsheet!AP31,data!$H$4:$I$9)),"#",getgrade(Broadsheet!AP31,data!$H$4:$I$9))</f>
        <v/>
      </c>
      <c r="AQ31" s="188" t="str">
        <f>IF(ISERROR(getgrade(Broadsheet!AQ31,data!$H$4:$I$9)),"#",getgrade(Broadsheet!AQ31,data!$H$4:$I$9))</f>
        <v/>
      </c>
      <c r="AR31" s="188" t="str">
        <f>IF(ISERROR(getgrade(Broadsheet!AR31,data!$H$4:$I$9)),"#",getgrade(Broadsheet!AR31,data!$H$4:$I$9))</f>
        <v/>
      </c>
      <c r="AS31" s="188" t="str">
        <f>IF(ISERROR(getgrade(Broadsheet!AS31,data!$H$4:$I$9)),"#",getgrade(Broadsheet!AS31,data!$H$4:$I$9))</f>
        <v/>
      </c>
      <c r="AT31" s="188" t="str">
        <f>IF(ISERROR(getgrade(Broadsheet!AT31,data!$H$4:$I$9)),"#",getgrade(Broadsheet!AT31,data!$H$4:$I$9))</f>
        <v/>
      </c>
      <c r="AU31" s="188" t="str">
        <f>IF(ISERROR(getgrade(Broadsheet!AU31,data!$H$4:$I$9)),"#",getgrade(Broadsheet!AU31,data!$H$4:$I$9))</f>
        <v/>
      </c>
      <c r="AV31" s="188" t="str">
        <f>IF(ISERROR(getgrade(Broadsheet!AV31,data!$H$4:$I$9)),"#",getgrade(Broadsheet!AV31,data!$H$4:$I$9))</f>
        <v/>
      </c>
      <c r="AW31" s="188" t="str">
        <f>IF(ISERROR(getgrade(Broadsheet!AW31,data!$H$4:$I$9)),"#",getgrade(Broadsheet!AW31,data!$H$4:$I$9))</f>
        <v/>
      </c>
      <c r="AX31" s="188" t="str">
        <f>IF(ISERROR(getgrade(Broadsheet!AX31,data!$H$4:$I$9)),"#",getgrade(Broadsheet!AX31,data!$H$4:$I$9))</f>
        <v/>
      </c>
      <c r="AY31" s="188" t="str">
        <f>IF(ISERROR(getgrade(Broadsheet!AY31,data!$H$4:$I$9)),"#",getgrade(Broadsheet!AY31,data!$H$4:$I$9))</f>
        <v/>
      </c>
      <c r="AZ31" s="188" t="str">
        <f>IF(ISERROR(getgrade(Broadsheet!AZ31,data!$H$4:$I$9)),"#",getgrade(Broadsheet!AZ31,data!$H$4:$I$9))</f>
        <v/>
      </c>
      <c r="BA31" s="188" t="str">
        <f>IF(ISERROR(getgrade(Broadsheet!BA31,data!$H$4:$I$9)),"#",getgrade(Broadsheet!BA31,data!$H$4:$I$9))</f>
        <v/>
      </c>
      <c r="BB31" s="188" t="str">
        <f>IF(ISERROR(getgrade(Broadsheet!BB31,data!$H$4:$I$9)),"#",getgrade(Broadsheet!BB31,data!$H$4:$I$9))</f>
        <v/>
      </c>
      <c r="BC31" s="188" t="str">
        <f>IF(ISERROR(getgrade(Broadsheet!BC31,data!$H$4:$I$9)),"#",getgrade(Broadsheet!BC31,data!$H$4:$I$9))</f>
        <v/>
      </c>
      <c r="BD31" s="188" t="str">
        <f>IF(ISERROR(getgrade(Broadsheet!BD31,data!$H$4:$I$9)),"#",getgrade(Broadsheet!BD31,data!$H$4:$I$9))</f>
        <v/>
      </c>
      <c r="BE31" s="188" t="str">
        <f>IF(ISERROR(getgrade(Broadsheet!BE31,data!$H$4:$I$9)),"#",getgrade(Broadsheet!BE31,data!$H$4:$I$9))</f>
        <v/>
      </c>
      <c r="BF31" s="188" t="str">
        <f>IF(ISERROR(getgrade(Broadsheet!BF31,data!$H$4:$I$9)),"#",getgrade(Broadsheet!BF31,data!$H$4:$I$9))</f>
        <v/>
      </c>
      <c r="BG31" s="188" t="str">
        <f>IF(ISERROR(getgrade(Broadsheet!BG31,data!$H$4:$I$9)),"#",getgrade(Broadsheet!BG31,data!$H$4:$I$9))</f>
        <v/>
      </c>
      <c r="BH31" s="188" t="str">
        <f>IF(ISERROR(getgrade(Broadsheet!BH31,data!$H$4:$I$9)),"#",getgrade(Broadsheet!BH31,data!$H$4:$I$9))</f>
        <v/>
      </c>
      <c r="BI31" s="188" t="str">
        <f>IF(ISERROR(getgrade(Broadsheet!BI31,data!$H$4:$I$9)),"#",getgrade(Broadsheet!BI31,data!$H$4:$I$9))</f>
        <v/>
      </c>
      <c r="BJ31" s="188" t="str">
        <f>IF(ISERROR(getgrade(Broadsheet!BJ31,data!$H$4:$I$9)),"#",getgrade(Broadsheet!BJ31,data!$H$4:$I$9))</f>
        <v/>
      </c>
      <c r="BK31" s="188"/>
      <c r="BL31" s="188"/>
      <c r="BM31" s="188"/>
      <c r="BN31" s="188"/>
      <c r="BO31" s="188"/>
      <c r="BP31" s="188"/>
      <c r="BQ31" s="188"/>
      <c r="BR31" s="188"/>
      <c r="BS31" s="188"/>
      <c r="BT31" s="188"/>
      <c r="BU31" s="188"/>
      <c r="BV31" s="188"/>
      <c r="BW31" s="188"/>
      <c r="BX31" s="188"/>
      <c r="BY31" s="188"/>
      <c r="BZ31" s="188"/>
      <c r="CA31" s="188"/>
      <c r="CB31" s="188"/>
      <c r="CC31" s="188"/>
      <c r="CD31" s="188"/>
      <c r="CE31" s="188"/>
      <c r="CF31" s="188"/>
      <c r="CG31" s="188"/>
      <c r="CH31" s="188"/>
      <c r="CI31" s="188"/>
      <c r="CJ31" s="188"/>
      <c r="CK31" s="188"/>
      <c r="CL31" s="188"/>
      <c r="CM31" s="188"/>
      <c r="CN31" s="188"/>
      <c r="CO31" s="188"/>
      <c r="CP31" s="188"/>
      <c r="CQ31" s="188"/>
      <c r="CR31" s="188"/>
      <c r="CS31" s="188"/>
      <c r="CT31" s="188"/>
      <c r="CU31" s="188"/>
      <c r="CV31" s="188"/>
      <c r="CW31" s="188"/>
      <c r="CX31" s="188"/>
      <c r="CY31" s="188"/>
      <c r="CZ31" s="188"/>
      <c r="DA31" s="188"/>
      <c r="DB31" s="188"/>
      <c r="DC31" s="188"/>
      <c r="DD31" s="188"/>
      <c r="DE31" s="188"/>
      <c r="DF31" s="188"/>
      <c r="DG31" s="188"/>
      <c r="DH31" s="188"/>
      <c r="DI31" s="188"/>
      <c r="DJ31" s="188"/>
      <c r="DK31" s="188"/>
      <c r="DL31" s="188"/>
      <c r="DM31" s="188"/>
      <c r="DN31" s="188"/>
      <c r="DO31" s="188"/>
      <c r="DP31" s="188"/>
      <c r="DQ31" s="188"/>
      <c r="DR31" s="188"/>
      <c r="DS31" s="188"/>
      <c r="DT31" s="188"/>
      <c r="DU31" s="188"/>
      <c r="DV31" s="188"/>
      <c r="DW31" s="188"/>
      <c r="DX31" s="188"/>
      <c r="DY31" s="188"/>
      <c r="DZ31" s="188"/>
      <c r="EA31" s="188"/>
    </row>
    <row r="32" spans="1:131" ht="15.75" x14ac:dyDescent="0.25">
      <c r="A32" s="12">
        <f>Broadsheet!A32</f>
        <v>0</v>
      </c>
      <c r="B32" s="204" t="str">
        <f>IF(Broadsheet!B32="","",Broadsheet!B32)</f>
        <v/>
      </c>
      <c r="C32" s="24" t="str">
        <f>IF(Broadsheet!C32="","",Broadsheet!C32)</f>
        <v xml:space="preserve"> </v>
      </c>
      <c r="D32" s="24"/>
      <c r="E32" s="24"/>
      <c r="F32" s="24"/>
      <c r="G32" s="24" t="str">
        <f t="shared" si="0"/>
        <v/>
      </c>
      <c r="H32" s="188" t="str">
        <f>IF(ISERROR(getgrade(Broadsheet!H32,data!$H$4:$I$9)),"#",getgrade(Broadsheet!H32,data!$H$4:$I$9))</f>
        <v/>
      </c>
      <c r="I32" s="188" t="str">
        <f>IF(ISERROR(getgrade(Broadsheet!I32,data!$H$4:$I$9)),"#",getgrade(Broadsheet!I32,data!$H$4:$I$9))</f>
        <v/>
      </c>
      <c r="J32" s="188" t="str">
        <f>IF(ISERROR(getgrade(Broadsheet!J32,data!$H$4:$I$9)),"#",getgrade(Broadsheet!J32,data!$H$4:$I$9))</f>
        <v/>
      </c>
      <c r="K32" s="188" t="str">
        <f>IF(ISERROR(getgrade(Broadsheet!K32,data!$H$4:$I$9)),"#",getgrade(Broadsheet!K32,data!$H$4:$I$9))</f>
        <v/>
      </c>
      <c r="L32" s="188" t="str">
        <f>IF(ISERROR(getgrade(Broadsheet!L32,data!$H$4:$I$9)),"#",getgrade(Broadsheet!L32,data!$H$4:$I$9))</f>
        <v/>
      </c>
      <c r="M32" s="188" t="str">
        <f>IF(ISERROR(getgrade(Broadsheet!M32,data!$H$4:$I$9)),"#",getgrade(Broadsheet!M32,data!$H$4:$I$9))</f>
        <v/>
      </c>
      <c r="N32" s="188" t="str">
        <f>IF(ISERROR(getgrade(Broadsheet!N32,data!$H$4:$I$9)),"#",getgrade(Broadsheet!N32,data!$H$4:$I$9))</f>
        <v/>
      </c>
      <c r="O32" s="188" t="str">
        <f>IF(ISERROR(getgrade(Broadsheet!O32,data!$H$4:$I$9)),"#",getgrade(Broadsheet!O32,data!$H$4:$I$9))</f>
        <v/>
      </c>
      <c r="P32" s="188" t="str">
        <f>IF(ISERROR(getgrade(Broadsheet!P32,data!$H$4:$I$9)),"#",getgrade(Broadsheet!P32,data!$H$4:$I$9))</f>
        <v/>
      </c>
      <c r="Q32" s="188" t="str">
        <f>IF(ISERROR(getgrade(Broadsheet!Q32,data!$H$4:$I$9)),"#",getgrade(Broadsheet!Q32,data!$H$4:$I$9))</f>
        <v/>
      </c>
      <c r="R32" s="188" t="str">
        <f>IF(ISERROR(getgrade(Broadsheet!R32,data!$H$4:$I$9)),"#",getgrade(Broadsheet!R32,data!$H$4:$I$9))</f>
        <v/>
      </c>
      <c r="S32" s="188" t="str">
        <f>IF(ISERROR(getgrade(Broadsheet!S32,data!$H$4:$I$9)),"#",getgrade(Broadsheet!S32,data!$H$4:$I$9))</f>
        <v/>
      </c>
      <c r="T32" s="188" t="str">
        <f>IF(ISERROR(getgrade(Broadsheet!T32,data!$H$4:$I$9)),"#",getgrade(Broadsheet!T32,data!$H$4:$I$9))</f>
        <v/>
      </c>
      <c r="U32" s="188" t="str">
        <f>IF(ISERROR(getgrade(Broadsheet!U32,data!$H$4:$I$9)),"#",getgrade(Broadsheet!U32,data!$H$4:$I$9))</f>
        <v/>
      </c>
      <c r="V32" s="188" t="str">
        <f>IF(ISERROR(getgrade(Broadsheet!V32,data!$H$4:$I$9)),"#",getgrade(Broadsheet!V32,data!$H$4:$I$9))</f>
        <v/>
      </c>
      <c r="W32" s="188" t="str">
        <f>IF(ISERROR(getgrade(Broadsheet!W32,data!$H$4:$I$9)),"#",getgrade(Broadsheet!W32,data!$H$4:$I$9))</f>
        <v/>
      </c>
      <c r="X32" s="188" t="str">
        <f>IF(ISERROR(getgrade(Broadsheet!X32,data!$H$4:$I$9)),"#",getgrade(Broadsheet!X32,data!$H$4:$I$9))</f>
        <v/>
      </c>
      <c r="Y32" s="188" t="str">
        <f>IF(ISERROR(getgrade(Broadsheet!Y32,data!$H$4:$I$9)),"#",getgrade(Broadsheet!Y32,data!$H$4:$I$9))</f>
        <v/>
      </c>
      <c r="Z32" s="188" t="str">
        <f>IF(ISERROR(getgrade(Broadsheet!Z32,data!$H$4:$I$9)),"#",getgrade(Broadsheet!Z32,data!$H$4:$I$9))</f>
        <v/>
      </c>
      <c r="AA32" s="188" t="str">
        <f>IF(ISERROR(getgrade(Broadsheet!AA32,data!$H$4:$I$9)),"#",getgrade(Broadsheet!AA32,data!$H$4:$I$9))</f>
        <v/>
      </c>
      <c r="AB32" s="188" t="str">
        <f>IF(ISERROR(getgrade(Broadsheet!AB32,data!$H$4:$I$9)),"#",getgrade(Broadsheet!AB32,data!$H$4:$I$9))</f>
        <v/>
      </c>
      <c r="AC32" s="188" t="str">
        <f>IF(ISERROR(getgrade(Broadsheet!AC32,data!$H$4:$I$9)),"#",getgrade(Broadsheet!AC32,data!$H$4:$I$9))</f>
        <v/>
      </c>
      <c r="AD32" s="188" t="str">
        <f>IF(ISERROR(getgrade(Broadsheet!AD32,data!$H$4:$I$9)),"#",getgrade(Broadsheet!AD32,data!$H$4:$I$9))</f>
        <v/>
      </c>
      <c r="AE32" s="188" t="str">
        <f>IF(ISERROR(getgrade(Broadsheet!AE32,data!$H$4:$I$9)),"#",getgrade(Broadsheet!AE32,data!$H$4:$I$9))</f>
        <v/>
      </c>
      <c r="AF32" s="188" t="str">
        <f>IF(ISERROR(getgrade(Broadsheet!AF32,data!$H$4:$I$9)),"#",getgrade(Broadsheet!AF32,data!$H$4:$I$9))</f>
        <v/>
      </c>
      <c r="AG32" s="188" t="str">
        <f>IF(ISERROR(getgrade(Broadsheet!AG32,data!$H$4:$I$9)),"#",getgrade(Broadsheet!AG32,data!$H$4:$I$9))</f>
        <v/>
      </c>
      <c r="AH32" s="188" t="str">
        <f>IF(ISERROR(getgrade(Broadsheet!AH32,data!$H$4:$I$9)),"#",getgrade(Broadsheet!AH32,data!$H$4:$I$9))</f>
        <v/>
      </c>
      <c r="AI32" s="188" t="str">
        <f>IF(ISERROR(getgrade(Broadsheet!AI32,data!$H$4:$I$9)),"#",getgrade(Broadsheet!AI32,data!$H$4:$I$9))</f>
        <v/>
      </c>
      <c r="AJ32" s="188" t="str">
        <f>IF(ISERROR(getgrade(Broadsheet!AJ32,data!$H$4:$I$9)),"#",getgrade(Broadsheet!AJ32,data!$H$4:$I$9))</f>
        <v/>
      </c>
      <c r="AK32" s="188" t="str">
        <f>IF(ISERROR(getgrade(Broadsheet!AK32,data!$H$4:$I$9)),"#",getgrade(Broadsheet!AK32,data!$H$4:$I$9))</f>
        <v/>
      </c>
      <c r="AL32" s="188" t="str">
        <f>IF(ISERROR(getgrade(Broadsheet!AL32,data!$H$4:$I$9)),"#",getgrade(Broadsheet!AL32,data!$H$4:$I$9))</f>
        <v/>
      </c>
      <c r="AM32" s="188" t="str">
        <f>IF(ISERROR(getgrade(Broadsheet!AM32,data!$H$4:$I$9)),"#",getgrade(Broadsheet!AM32,data!$H$4:$I$9))</f>
        <v/>
      </c>
      <c r="AN32" s="188" t="str">
        <f>IF(ISERROR(getgrade(Broadsheet!AN32,data!$H$4:$I$9)),"#",getgrade(Broadsheet!AN32,data!$H$4:$I$9))</f>
        <v/>
      </c>
      <c r="AO32" s="188" t="str">
        <f>IF(ISERROR(getgrade(Broadsheet!AO32,data!$H$4:$I$9)),"#",getgrade(Broadsheet!AO32,data!$H$4:$I$9))</f>
        <v/>
      </c>
      <c r="AP32" s="188" t="str">
        <f>IF(ISERROR(getgrade(Broadsheet!AP32,data!$H$4:$I$9)),"#",getgrade(Broadsheet!AP32,data!$H$4:$I$9))</f>
        <v/>
      </c>
      <c r="AQ32" s="188" t="str">
        <f>IF(ISERROR(getgrade(Broadsheet!AQ32,data!$H$4:$I$9)),"#",getgrade(Broadsheet!AQ32,data!$H$4:$I$9))</f>
        <v/>
      </c>
      <c r="AR32" s="188" t="str">
        <f>IF(ISERROR(getgrade(Broadsheet!AR32,data!$H$4:$I$9)),"#",getgrade(Broadsheet!AR32,data!$H$4:$I$9))</f>
        <v/>
      </c>
      <c r="AS32" s="188" t="str">
        <f>IF(ISERROR(getgrade(Broadsheet!AS32,data!$H$4:$I$9)),"#",getgrade(Broadsheet!AS32,data!$H$4:$I$9))</f>
        <v/>
      </c>
      <c r="AT32" s="188" t="str">
        <f>IF(ISERROR(getgrade(Broadsheet!AT32,data!$H$4:$I$9)),"#",getgrade(Broadsheet!AT32,data!$H$4:$I$9))</f>
        <v/>
      </c>
      <c r="AU32" s="188" t="str">
        <f>IF(ISERROR(getgrade(Broadsheet!AU32,data!$H$4:$I$9)),"#",getgrade(Broadsheet!AU32,data!$H$4:$I$9))</f>
        <v/>
      </c>
      <c r="AV32" s="188" t="str">
        <f>IF(ISERROR(getgrade(Broadsheet!AV32,data!$H$4:$I$9)),"#",getgrade(Broadsheet!AV32,data!$H$4:$I$9))</f>
        <v/>
      </c>
      <c r="AW32" s="188" t="str">
        <f>IF(ISERROR(getgrade(Broadsheet!AW32,data!$H$4:$I$9)),"#",getgrade(Broadsheet!AW32,data!$H$4:$I$9))</f>
        <v/>
      </c>
      <c r="AX32" s="188" t="str">
        <f>IF(ISERROR(getgrade(Broadsheet!AX32,data!$H$4:$I$9)),"#",getgrade(Broadsheet!AX32,data!$H$4:$I$9))</f>
        <v/>
      </c>
      <c r="AY32" s="188" t="str">
        <f>IF(ISERROR(getgrade(Broadsheet!AY32,data!$H$4:$I$9)),"#",getgrade(Broadsheet!AY32,data!$H$4:$I$9))</f>
        <v/>
      </c>
      <c r="AZ32" s="188" t="str">
        <f>IF(ISERROR(getgrade(Broadsheet!AZ32,data!$H$4:$I$9)),"#",getgrade(Broadsheet!AZ32,data!$H$4:$I$9))</f>
        <v/>
      </c>
      <c r="BA32" s="188" t="str">
        <f>IF(ISERROR(getgrade(Broadsheet!BA32,data!$H$4:$I$9)),"#",getgrade(Broadsheet!BA32,data!$H$4:$I$9))</f>
        <v/>
      </c>
      <c r="BB32" s="188" t="str">
        <f>IF(ISERROR(getgrade(Broadsheet!BB32,data!$H$4:$I$9)),"#",getgrade(Broadsheet!BB32,data!$H$4:$I$9))</f>
        <v/>
      </c>
      <c r="BC32" s="188" t="str">
        <f>IF(ISERROR(getgrade(Broadsheet!BC32,data!$H$4:$I$9)),"#",getgrade(Broadsheet!BC32,data!$H$4:$I$9))</f>
        <v/>
      </c>
      <c r="BD32" s="188" t="str">
        <f>IF(ISERROR(getgrade(Broadsheet!BD32,data!$H$4:$I$9)),"#",getgrade(Broadsheet!BD32,data!$H$4:$I$9))</f>
        <v/>
      </c>
      <c r="BE32" s="188" t="str">
        <f>IF(ISERROR(getgrade(Broadsheet!BE32,data!$H$4:$I$9)),"#",getgrade(Broadsheet!BE32,data!$H$4:$I$9))</f>
        <v/>
      </c>
      <c r="BF32" s="188" t="str">
        <f>IF(ISERROR(getgrade(Broadsheet!BF32,data!$H$4:$I$9)),"#",getgrade(Broadsheet!BF32,data!$H$4:$I$9))</f>
        <v/>
      </c>
      <c r="BG32" s="188" t="str">
        <f>IF(ISERROR(getgrade(Broadsheet!BG32,data!$H$4:$I$9)),"#",getgrade(Broadsheet!BG32,data!$H$4:$I$9))</f>
        <v/>
      </c>
      <c r="BH32" s="188" t="str">
        <f>IF(ISERROR(getgrade(Broadsheet!BH32,data!$H$4:$I$9)),"#",getgrade(Broadsheet!BH32,data!$H$4:$I$9))</f>
        <v/>
      </c>
      <c r="BI32" s="188" t="str">
        <f>IF(ISERROR(getgrade(Broadsheet!BI32,data!$H$4:$I$9)),"#",getgrade(Broadsheet!BI32,data!$H$4:$I$9))</f>
        <v/>
      </c>
      <c r="BJ32" s="188" t="str">
        <f>IF(ISERROR(getgrade(Broadsheet!BJ32,data!$H$4:$I$9)),"#",getgrade(Broadsheet!BJ32,data!$H$4:$I$9))</f>
        <v/>
      </c>
      <c r="BK32" s="188"/>
      <c r="BL32" s="188"/>
      <c r="BM32" s="188"/>
      <c r="BN32" s="188"/>
      <c r="BO32" s="188"/>
      <c r="BP32" s="188"/>
      <c r="BQ32" s="188"/>
      <c r="BR32" s="188"/>
      <c r="BS32" s="188"/>
      <c r="BT32" s="188"/>
      <c r="BU32" s="188"/>
      <c r="BV32" s="188"/>
      <c r="BW32" s="188"/>
      <c r="BX32" s="188"/>
      <c r="BY32" s="188"/>
      <c r="BZ32" s="188"/>
      <c r="CA32" s="188"/>
      <c r="CB32" s="188"/>
      <c r="CC32" s="188"/>
      <c r="CD32" s="188"/>
      <c r="CE32" s="188"/>
      <c r="CF32" s="188"/>
      <c r="CG32" s="188"/>
      <c r="CH32" s="188"/>
      <c r="CI32" s="188"/>
      <c r="CJ32" s="188"/>
      <c r="CK32" s="188"/>
      <c r="CL32" s="188"/>
      <c r="CM32" s="188"/>
      <c r="CN32" s="188"/>
      <c r="CO32" s="188"/>
      <c r="CP32" s="188"/>
      <c r="CQ32" s="188"/>
      <c r="CR32" s="188"/>
      <c r="CS32" s="188"/>
      <c r="CT32" s="188"/>
      <c r="CU32" s="188"/>
      <c r="CV32" s="188"/>
      <c r="CW32" s="188"/>
      <c r="CX32" s="188"/>
      <c r="CY32" s="188"/>
      <c r="CZ32" s="188"/>
      <c r="DA32" s="188"/>
      <c r="DB32" s="188"/>
      <c r="DC32" s="188"/>
      <c r="DD32" s="188"/>
      <c r="DE32" s="188"/>
      <c r="DF32" s="188"/>
      <c r="DG32" s="188"/>
      <c r="DH32" s="188"/>
      <c r="DI32" s="188"/>
      <c r="DJ32" s="188"/>
      <c r="DK32" s="188"/>
      <c r="DL32" s="188"/>
      <c r="DM32" s="188"/>
      <c r="DN32" s="188"/>
      <c r="DO32" s="188"/>
      <c r="DP32" s="188"/>
      <c r="DQ32" s="188"/>
      <c r="DR32" s="188"/>
      <c r="DS32" s="188"/>
      <c r="DT32" s="188"/>
      <c r="DU32" s="188"/>
      <c r="DV32" s="188"/>
      <c r="DW32" s="188"/>
      <c r="DX32" s="188"/>
      <c r="DY32" s="188"/>
      <c r="DZ32" s="188"/>
      <c r="EA32" s="188"/>
    </row>
    <row r="33" spans="1:131" ht="15.75" x14ac:dyDescent="0.25">
      <c r="A33" s="12">
        <f>Broadsheet!A33</f>
        <v>0</v>
      </c>
      <c r="B33" s="204" t="str">
        <f>IF(Broadsheet!B33="","",Broadsheet!B33)</f>
        <v/>
      </c>
      <c r="C33" s="24" t="str">
        <f>IF(Broadsheet!C33="","",Broadsheet!C33)</f>
        <v xml:space="preserve"> </v>
      </c>
      <c r="D33" s="24"/>
      <c r="E33" s="24"/>
      <c r="F33" s="24"/>
      <c r="G33" s="24" t="str">
        <f t="shared" si="0"/>
        <v/>
      </c>
      <c r="H33" s="188" t="str">
        <f>IF(ISERROR(getgrade(Broadsheet!H33,data!$H$4:$I$9)),"#",getgrade(Broadsheet!H33,data!$H$4:$I$9))</f>
        <v/>
      </c>
      <c r="I33" s="188" t="str">
        <f>IF(ISERROR(getgrade(Broadsheet!I33,data!$H$4:$I$9)),"#",getgrade(Broadsheet!I33,data!$H$4:$I$9))</f>
        <v/>
      </c>
      <c r="J33" s="188" t="str">
        <f>IF(ISERROR(getgrade(Broadsheet!J33,data!$H$4:$I$9)),"#",getgrade(Broadsheet!J33,data!$H$4:$I$9))</f>
        <v/>
      </c>
      <c r="K33" s="188" t="str">
        <f>IF(ISERROR(getgrade(Broadsheet!K33,data!$H$4:$I$9)),"#",getgrade(Broadsheet!K33,data!$H$4:$I$9))</f>
        <v/>
      </c>
      <c r="L33" s="188" t="str">
        <f>IF(ISERROR(getgrade(Broadsheet!L33,data!$H$4:$I$9)),"#",getgrade(Broadsheet!L33,data!$H$4:$I$9))</f>
        <v/>
      </c>
      <c r="M33" s="188" t="str">
        <f>IF(ISERROR(getgrade(Broadsheet!M33,data!$H$4:$I$9)),"#",getgrade(Broadsheet!M33,data!$H$4:$I$9))</f>
        <v/>
      </c>
      <c r="N33" s="188" t="str">
        <f>IF(ISERROR(getgrade(Broadsheet!N33,data!$H$4:$I$9)),"#",getgrade(Broadsheet!N33,data!$H$4:$I$9))</f>
        <v/>
      </c>
      <c r="O33" s="188" t="str">
        <f>IF(ISERROR(getgrade(Broadsheet!O33,data!$H$4:$I$9)),"#",getgrade(Broadsheet!O33,data!$H$4:$I$9))</f>
        <v/>
      </c>
      <c r="P33" s="188" t="str">
        <f>IF(ISERROR(getgrade(Broadsheet!P33,data!$H$4:$I$9)),"#",getgrade(Broadsheet!P33,data!$H$4:$I$9))</f>
        <v/>
      </c>
      <c r="Q33" s="188" t="str">
        <f>IF(ISERROR(getgrade(Broadsheet!Q33,data!$H$4:$I$9)),"#",getgrade(Broadsheet!Q33,data!$H$4:$I$9))</f>
        <v/>
      </c>
      <c r="R33" s="188" t="str">
        <f>IF(ISERROR(getgrade(Broadsheet!R33,data!$H$4:$I$9)),"#",getgrade(Broadsheet!R33,data!$H$4:$I$9))</f>
        <v/>
      </c>
      <c r="S33" s="188" t="str">
        <f>IF(ISERROR(getgrade(Broadsheet!S33,data!$H$4:$I$9)),"#",getgrade(Broadsheet!S33,data!$H$4:$I$9))</f>
        <v/>
      </c>
      <c r="T33" s="188" t="str">
        <f>IF(ISERROR(getgrade(Broadsheet!T33,data!$H$4:$I$9)),"#",getgrade(Broadsheet!T33,data!$H$4:$I$9))</f>
        <v/>
      </c>
      <c r="U33" s="188" t="str">
        <f>IF(ISERROR(getgrade(Broadsheet!U33,data!$H$4:$I$9)),"#",getgrade(Broadsheet!U33,data!$H$4:$I$9))</f>
        <v/>
      </c>
      <c r="V33" s="188" t="str">
        <f>IF(ISERROR(getgrade(Broadsheet!V33,data!$H$4:$I$9)),"#",getgrade(Broadsheet!V33,data!$H$4:$I$9))</f>
        <v/>
      </c>
      <c r="W33" s="188" t="str">
        <f>IF(ISERROR(getgrade(Broadsheet!W33,data!$H$4:$I$9)),"#",getgrade(Broadsheet!W33,data!$H$4:$I$9))</f>
        <v/>
      </c>
      <c r="X33" s="188" t="str">
        <f>IF(ISERROR(getgrade(Broadsheet!X33,data!$H$4:$I$9)),"#",getgrade(Broadsheet!X33,data!$H$4:$I$9))</f>
        <v/>
      </c>
      <c r="Y33" s="188" t="str">
        <f>IF(ISERROR(getgrade(Broadsheet!Y33,data!$H$4:$I$9)),"#",getgrade(Broadsheet!Y33,data!$H$4:$I$9))</f>
        <v/>
      </c>
      <c r="Z33" s="188" t="str">
        <f>IF(ISERROR(getgrade(Broadsheet!Z33,data!$H$4:$I$9)),"#",getgrade(Broadsheet!Z33,data!$H$4:$I$9))</f>
        <v/>
      </c>
      <c r="AA33" s="188" t="str">
        <f>IF(ISERROR(getgrade(Broadsheet!AA33,data!$H$4:$I$9)),"#",getgrade(Broadsheet!AA33,data!$H$4:$I$9))</f>
        <v/>
      </c>
      <c r="AB33" s="188" t="str">
        <f>IF(ISERROR(getgrade(Broadsheet!AB33,data!$H$4:$I$9)),"#",getgrade(Broadsheet!AB33,data!$H$4:$I$9))</f>
        <v/>
      </c>
      <c r="AC33" s="188" t="str">
        <f>IF(ISERROR(getgrade(Broadsheet!AC33,data!$H$4:$I$9)),"#",getgrade(Broadsheet!AC33,data!$H$4:$I$9))</f>
        <v/>
      </c>
      <c r="AD33" s="188" t="str">
        <f>IF(ISERROR(getgrade(Broadsheet!AD33,data!$H$4:$I$9)),"#",getgrade(Broadsheet!AD33,data!$H$4:$I$9))</f>
        <v/>
      </c>
      <c r="AE33" s="188" t="str">
        <f>IF(ISERROR(getgrade(Broadsheet!AE33,data!$H$4:$I$9)),"#",getgrade(Broadsheet!AE33,data!$H$4:$I$9))</f>
        <v/>
      </c>
      <c r="AF33" s="188" t="str">
        <f>IF(ISERROR(getgrade(Broadsheet!AF33,data!$H$4:$I$9)),"#",getgrade(Broadsheet!AF33,data!$H$4:$I$9))</f>
        <v/>
      </c>
      <c r="AG33" s="188" t="str">
        <f>IF(ISERROR(getgrade(Broadsheet!AG33,data!$H$4:$I$9)),"#",getgrade(Broadsheet!AG33,data!$H$4:$I$9))</f>
        <v/>
      </c>
      <c r="AH33" s="188" t="str">
        <f>IF(ISERROR(getgrade(Broadsheet!AH33,data!$H$4:$I$9)),"#",getgrade(Broadsheet!AH33,data!$H$4:$I$9))</f>
        <v/>
      </c>
      <c r="AI33" s="188" t="str">
        <f>IF(ISERROR(getgrade(Broadsheet!AI33,data!$H$4:$I$9)),"#",getgrade(Broadsheet!AI33,data!$H$4:$I$9))</f>
        <v/>
      </c>
      <c r="AJ33" s="188" t="str">
        <f>IF(ISERROR(getgrade(Broadsheet!AJ33,data!$H$4:$I$9)),"#",getgrade(Broadsheet!AJ33,data!$H$4:$I$9))</f>
        <v/>
      </c>
      <c r="AK33" s="188" t="str">
        <f>IF(ISERROR(getgrade(Broadsheet!AK33,data!$H$4:$I$9)),"#",getgrade(Broadsheet!AK33,data!$H$4:$I$9))</f>
        <v/>
      </c>
      <c r="AL33" s="188" t="str">
        <f>IF(ISERROR(getgrade(Broadsheet!AL33,data!$H$4:$I$9)),"#",getgrade(Broadsheet!AL33,data!$H$4:$I$9))</f>
        <v/>
      </c>
      <c r="AM33" s="188" t="str">
        <f>IF(ISERROR(getgrade(Broadsheet!AM33,data!$H$4:$I$9)),"#",getgrade(Broadsheet!AM33,data!$H$4:$I$9))</f>
        <v/>
      </c>
      <c r="AN33" s="188" t="str">
        <f>IF(ISERROR(getgrade(Broadsheet!AN33,data!$H$4:$I$9)),"#",getgrade(Broadsheet!AN33,data!$H$4:$I$9))</f>
        <v/>
      </c>
      <c r="AO33" s="188" t="str">
        <f>IF(ISERROR(getgrade(Broadsheet!AO33,data!$H$4:$I$9)),"#",getgrade(Broadsheet!AO33,data!$H$4:$I$9))</f>
        <v/>
      </c>
      <c r="AP33" s="188" t="str">
        <f>IF(ISERROR(getgrade(Broadsheet!AP33,data!$H$4:$I$9)),"#",getgrade(Broadsheet!AP33,data!$H$4:$I$9))</f>
        <v/>
      </c>
      <c r="AQ33" s="188" t="str">
        <f>IF(ISERROR(getgrade(Broadsheet!AQ33,data!$H$4:$I$9)),"#",getgrade(Broadsheet!AQ33,data!$H$4:$I$9))</f>
        <v/>
      </c>
      <c r="AR33" s="188" t="str">
        <f>IF(ISERROR(getgrade(Broadsheet!AR33,data!$H$4:$I$9)),"#",getgrade(Broadsheet!AR33,data!$H$4:$I$9))</f>
        <v/>
      </c>
      <c r="AS33" s="188" t="str">
        <f>IF(ISERROR(getgrade(Broadsheet!AS33,data!$H$4:$I$9)),"#",getgrade(Broadsheet!AS33,data!$H$4:$I$9))</f>
        <v/>
      </c>
      <c r="AT33" s="188" t="str">
        <f>IF(ISERROR(getgrade(Broadsheet!AT33,data!$H$4:$I$9)),"#",getgrade(Broadsheet!AT33,data!$H$4:$I$9))</f>
        <v/>
      </c>
      <c r="AU33" s="188" t="str">
        <f>IF(ISERROR(getgrade(Broadsheet!AU33,data!$H$4:$I$9)),"#",getgrade(Broadsheet!AU33,data!$H$4:$I$9))</f>
        <v/>
      </c>
      <c r="AV33" s="188" t="str">
        <f>IF(ISERROR(getgrade(Broadsheet!AV33,data!$H$4:$I$9)),"#",getgrade(Broadsheet!AV33,data!$H$4:$I$9))</f>
        <v/>
      </c>
      <c r="AW33" s="188" t="str">
        <f>IF(ISERROR(getgrade(Broadsheet!AW33,data!$H$4:$I$9)),"#",getgrade(Broadsheet!AW33,data!$H$4:$I$9))</f>
        <v/>
      </c>
      <c r="AX33" s="188" t="str">
        <f>IF(ISERROR(getgrade(Broadsheet!AX33,data!$H$4:$I$9)),"#",getgrade(Broadsheet!AX33,data!$H$4:$I$9))</f>
        <v/>
      </c>
      <c r="AY33" s="188" t="str">
        <f>IF(ISERROR(getgrade(Broadsheet!AY33,data!$H$4:$I$9)),"#",getgrade(Broadsheet!AY33,data!$H$4:$I$9))</f>
        <v/>
      </c>
      <c r="AZ33" s="188" t="str">
        <f>IF(ISERROR(getgrade(Broadsheet!AZ33,data!$H$4:$I$9)),"#",getgrade(Broadsheet!AZ33,data!$H$4:$I$9))</f>
        <v/>
      </c>
      <c r="BA33" s="188" t="str">
        <f>IF(ISERROR(getgrade(Broadsheet!BA33,data!$H$4:$I$9)),"#",getgrade(Broadsheet!BA33,data!$H$4:$I$9))</f>
        <v/>
      </c>
      <c r="BB33" s="188" t="str">
        <f>IF(ISERROR(getgrade(Broadsheet!BB33,data!$H$4:$I$9)),"#",getgrade(Broadsheet!BB33,data!$H$4:$I$9))</f>
        <v/>
      </c>
      <c r="BC33" s="188" t="str">
        <f>IF(ISERROR(getgrade(Broadsheet!BC33,data!$H$4:$I$9)),"#",getgrade(Broadsheet!BC33,data!$H$4:$I$9))</f>
        <v/>
      </c>
      <c r="BD33" s="188" t="str">
        <f>IF(ISERROR(getgrade(Broadsheet!BD33,data!$H$4:$I$9)),"#",getgrade(Broadsheet!BD33,data!$H$4:$I$9))</f>
        <v/>
      </c>
      <c r="BE33" s="188" t="str">
        <f>IF(ISERROR(getgrade(Broadsheet!BE33,data!$H$4:$I$9)),"#",getgrade(Broadsheet!BE33,data!$H$4:$I$9))</f>
        <v/>
      </c>
      <c r="BF33" s="188" t="str">
        <f>IF(ISERROR(getgrade(Broadsheet!BF33,data!$H$4:$I$9)),"#",getgrade(Broadsheet!BF33,data!$H$4:$I$9))</f>
        <v/>
      </c>
      <c r="BG33" s="188" t="str">
        <f>IF(ISERROR(getgrade(Broadsheet!BG33,data!$H$4:$I$9)),"#",getgrade(Broadsheet!BG33,data!$H$4:$I$9))</f>
        <v/>
      </c>
      <c r="BH33" s="188" t="str">
        <f>IF(ISERROR(getgrade(Broadsheet!BH33,data!$H$4:$I$9)),"#",getgrade(Broadsheet!BH33,data!$H$4:$I$9))</f>
        <v/>
      </c>
      <c r="BI33" s="188" t="str">
        <f>IF(ISERROR(getgrade(Broadsheet!BI33,data!$H$4:$I$9)),"#",getgrade(Broadsheet!BI33,data!$H$4:$I$9))</f>
        <v/>
      </c>
      <c r="BJ33" s="188" t="str">
        <f>IF(ISERROR(getgrade(Broadsheet!BJ33,data!$H$4:$I$9)),"#",getgrade(Broadsheet!BJ33,data!$H$4:$I$9))</f>
        <v/>
      </c>
      <c r="BK33" s="188"/>
      <c r="BL33" s="188"/>
      <c r="BM33" s="188"/>
      <c r="BN33" s="188"/>
      <c r="BO33" s="188"/>
      <c r="BP33" s="188"/>
      <c r="BQ33" s="188"/>
      <c r="BR33" s="188"/>
      <c r="BS33" s="188"/>
      <c r="BT33" s="188"/>
      <c r="BU33" s="188"/>
      <c r="BV33" s="188"/>
      <c r="BW33" s="188"/>
      <c r="BX33" s="188"/>
      <c r="BY33" s="188"/>
      <c r="BZ33" s="188"/>
      <c r="CA33" s="188"/>
      <c r="CB33" s="188"/>
      <c r="CC33" s="188"/>
      <c r="CD33" s="188"/>
      <c r="CE33" s="188"/>
      <c r="CF33" s="188"/>
      <c r="CG33" s="188"/>
      <c r="CH33" s="188"/>
      <c r="CI33" s="188"/>
      <c r="CJ33" s="188"/>
      <c r="CK33" s="188"/>
      <c r="CL33" s="188"/>
      <c r="CM33" s="188"/>
      <c r="CN33" s="188"/>
      <c r="CO33" s="188"/>
      <c r="CP33" s="188"/>
      <c r="CQ33" s="188"/>
      <c r="CR33" s="188"/>
      <c r="CS33" s="188"/>
      <c r="CT33" s="188"/>
      <c r="CU33" s="188"/>
      <c r="CV33" s="188"/>
      <c r="CW33" s="188"/>
      <c r="CX33" s="188"/>
      <c r="CY33" s="188"/>
      <c r="CZ33" s="188"/>
      <c r="DA33" s="188"/>
      <c r="DB33" s="188"/>
      <c r="DC33" s="188"/>
      <c r="DD33" s="188"/>
      <c r="DE33" s="188"/>
      <c r="DF33" s="188"/>
      <c r="DG33" s="188"/>
      <c r="DH33" s="188"/>
      <c r="DI33" s="188"/>
      <c r="DJ33" s="188"/>
      <c r="DK33" s="188"/>
      <c r="DL33" s="188"/>
      <c r="DM33" s="188"/>
      <c r="DN33" s="188"/>
      <c r="DO33" s="188"/>
      <c r="DP33" s="188"/>
      <c r="DQ33" s="188"/>
      <c r="DR33" s="188"/>
      <c r="DS33" s="188"/>
      <c r="DT33" s="188"/>
      <c r="DU33" s="188"/>
      <c r="DV33" s="188"/>
      <c r="DW33" s="188"/>
      <c r="DX33" s="188"/>
      <c r="DY33" s="188"/>
      <c r="DZ33" s="188"/>
      <c r="EA33" s="188"/>
    </row>
    <row r="34" spans="1:131" ht="15.75" x14ac:dyDescent="0.25">
      <c r="A34" s="12">
        <f>Broadsheet!A34</f>
        <v>0</v>
      </c>
      <c r="B34" s="204" t="str">
        <f>IF(Broadsheet!B34="","",Broadsheet!B34)</f>
        <v/>
      </c>
      <c r="C34" s="24" t="str">
        <f>IF(Broadsheet!C34="","",Broadsheet!C34)</f>
        <v xml:space="preserve"> </v>
      </c>
      <c r="D34" s="24"/>
      <c r="E34" s="24"/>
      <c r="F34" s="24"/>
      <c r="G34" s="24" t="str">
        <f t="shared" si="0"/>
        <v/>
      </c>
      <c r="H34" s="188" t="str">
        <f>IF(ISERROR(getgrade(Broadsheet!H34,data!$H$4:$I$9)),"#",getgrade(Broadsheet!H34,data!$H$4:$I$9))</f>
        <v/>
      </c>
      <c r="I34" s="188" t="str">
        <f>IF(ISERROR(getgrade(Broadsheet!I34,data!$H$4:$I$9)),"#",getgrade(Broadsheet!I34,data!$H$4:$I$9))</f>
        <v/>
      </c>
      <c r="J34" s="188" t="str">
        <f>IF(ISERROR(getgrade(Broadsheet!J34,data!$H$4:$I$9)),"#",getgrade(Broadsheet!J34,data!$H$4:$I$9))</f>
        <v/>
      </c>
      <c r="K34" s="188" t="str">
        <f>IF(ISERROR(getgrade(Broadsheet!K34,data!$H$4:$I$9)),"#",getgrade(Broadsheet!K34,data!$H$4:$I$9))</f>
        <v/>
      </c>
      <c r="L34" s="188" t="str">
        <f>IF(ISERROR(getgrade(Broadsheet!L34,data!$H$4:$I$9)),"#",getgrade(Broadsheet!L34,data!$H$4:$I$9))</f>
        <v/>
      </c>
      <c r="M34" s="188" t="str">
        <f>IF(ISERROR(getgrade(Broadsheet!M34,data!$H$4:$I$9)),"#",getgrade(Broadsheet!M34,data!$H$4:$I$9))</f>
        <v/>
      </c>
      <c r="N34" s="188" t="str">
        <f>IF(ISERROR(getgrade(Broadsheet!N34,data!$H$4:$I$9)),"#",getgrade(Broadsheet!N34,data!$H$4:$I$9))</f>
        <v/>
      </c>
      <c r="O34" s="188" t="str">
        <f>IF(ISERROR(getgrade(Broadsheet!O34,data!$H$4:$I$9)),"#",getgrade(Broadsheet!O34,data!$H$4:$I$9))</f>
        <v/>
      </c>
      <c r="P34" s="188" t="str">
        <f>IF(ISERROR(getgrade(Broadsheet!P34,data!$H$4:$I$9)),"#",getgrade(Broadsheet!P34,data!$H$4:$I$9))</f>
        <v/>
      </c>
      <c r="Q34" s="188" t="str">
        <f>IF(ISERROR(getgrade(Broadsheet!Q34,data!$H$4:$I$9)),"#",getgrade(Broadsheet!Q34,data!$H$4:$I$9))</f>
        <v/>
      </c>
      <c r="R34" s="188" t="str">
        <f>IF(ISERROR(getgrade(Broadsheet!R34,data!$H$4:$I$9)),"#",getgrade(Broadsheet!R34,data!$H$4:$I$9))</f>
        <v/>
      </c>
      <c r="S34" s="188" t="str">
        <f>IF(ISERROR(getgrade(Broadsheet!S34,data!$H$4:$I$9)),"#",getgrade(Broadsheet!S34,data!$H$4:$I$9))</f>
        <v/>
      </c>
      <c r="T34" s="188" t="str">
        <f>IF(ISERROR(getgrade(Broadsheet!T34,data!$H$4:$I$9)),"#",getgrade(Broadsheet!T34,data!$H$4:$I$9))</f>
        <v/>
      </c>
      <c r="U34" s="188" t="str">
        <f>IF(ISERROR(getgrade(Broadsheet!U34,data!$H$4:$I$9)),"#",getgrade(Broadsheet!U34,data!$H$4:$I$9))</f>
        <v/>
      </c>
      <c r="V34" s="188" t="str">
        <f>IF(ISERROR(getgrade(Broadsheet!V34,data!$H$4:$I$9)),"#",getgrade(Broadsheet!V34,data!$H$4:$I$9))</f>
        <v/>
      </c>
      <c r="W34" s="188" t="str">
        <f>IF(ISERROR(getgrade(Broadsheet!W34,data!$H$4:$I$9)),"#",getgrade(Broadsheet!W34,data!$H$4:$I$9))</f>
        <v/>
      </c>
      <c r="X34" s="188" t="str">
        <f>IF(ISERROR(getgrade(Broadsheet!X34,data!$H$4:$I$9)),"#",getgrade(Broadsheet!X34,data!$H$4:$I$9))</f>
        <v/>
      </c>
      <c r="Y34" s="188" t="str">
        <f>IF(ISERROR(getgrade(Broadsheet!Y34,data!$H$4:$I$9)),"#",getgrade(Broadsheet!Y34,data!$H$4:$I$9))</f>
        <v/>
      </c>
      <c r="Z34" s="188" t="str">
        <f>IF(ISERROR(getgrade(Broadsheet!Z34,data!$H$4:$I$9)),"#",getgrade(Broadsheet!Z34,data!$H$4:$I$9))</f>
        <v/>
      </c>
      <c r="AA34" s="188" t="str">
        <f>IF(ISERROR(getgrade(Broadsheet!AA34,data!$H$4:$I$9)),"#",getgrade(Broadsheet!AA34,data!$H$4:$I$9))</f>
        <v/>
      </c>
      <c r="AB34" s="188" t="str">
        <f>IF(ISERROR(getgrade(Broadsheet!AB34,data!$H$4:$I$9)),"#",getgrade(Broadsheet!AB34,data!$H$4:$I$9))</f>
        <v/>
      </c>
      <c r="AC34" s="188" t="str">
        <f>IF(ISERROR(getgrade(Broadsheet!AC34,data!$H$4:$I$9)),"#",getgrade(Broadsheet!AC34,data!$H$4:$I$9))</f>
        <v/>
      </c>
      <c r="AD34" s="188" t="str">
        <f>IF(ISERROR(getgrade(Broadsheet!AD34,data!$H$4:$I$9)),"#",getgrade(Broadsheet!AD34,data!$H$4:$I$9))</f>
        <v/>
      </c>
      <c r="AE34" s="188" t="str">
        <f>IF(ISERROR(getgrade(Broadsheet!AE34,data!$H$4:$I$9)),"#",getgrade(Broadsheet!AE34,data!$H$4:$I$9))</f>
        <v/>
      </c>
      <c r="AF34" s="188" t="str">
        <f>IF(ISERROR(getgrade(Broadsheet!AF34,data!$H$4:$I$9)),"#",getgrade(Broadsheet!AF34,data!$H$4:$I$9))</f>
        <v/>
      </c>
      <c r="AG34" s="188" t="str">
        <f>IF(ISERROR(getgrade(Broadsheet!AG34,data!$H$4:$I$9)),"#",getgrade(Broadsheet!AG34,data!$H$4:$I$9))</f>
        <v/>
      </c>
      <c r="AH34" s="188" t="str">
        <f>IF(ISERROR(getgrade(Broadsheet!AH34,data!$H$4:$I$9)),"#",getgrade(Broadsheet!AH34,data!$H$4:$I$9))</f>
        <v/>
      </c>
      <c r="AI34" s="188" t="str">
        <f>IF(ISERROR(getgrade(Broadsheet!AI34,data!$H$4:$I$9)),"#",getgrade(Broadsheet!AI34,data!$H$4:$I$9))</f>
        <v/>
      </c>
      <c r="AJ34" s="188" t="str">
        <f>IF(ISERROR(getgrade(Broadsheet!AJ34,data!$H$4:$I$9)),"#",getgrade(Broadsheet!AJ34,data!$H$4:$I$9))</f>
        <v/>
      </c>
      <c r="AK34" s="188" t="str">
        <f>IF(ISERROR(getgrade(Broadsheet!AK34,data!$H$4:$I$9)),"#",getgrade(Broadsheet!AK34,data!$H$4:$I$9))</f>
        <v/>
      </c>
      <c r="AL34" s="188" t="str">
        <f>IF(ISERROR(getgrade(Broadsheet!AL34,data!$H$4:$I$9)),"#",getgrade(Broadsheet!AL34,data!$H$4:$I$9))</f>
        <v/>
      </c>
      <c r="AM34" s="188" t="str">
        <f>IF(ISERROR(getgrade(Broadsheet!AM34,data!$H$4:$I$9)),"#",getgrade(Broadsheet!AM34,data!$H$4:$I$9))</f>
        <v/>
      </c>
      <c r="AN34" s="188" t="str">
        <f>IF(ISERROR(getgrade(Broadsheet!AN34,data!$H$4:$I$9)),"#",getgrade(Broadsheet!AN34,data!$H$4:$I$9))</f>
        <v/>
      </c>
      <c r="AO34" s="188" t="str">
        <f>IF(ISERROR(getgrade(Broadsheet!AO34,data!$H$4:$I$9)),"#",getgrade(Broadsheet!AO34,data!$H$4:$I$9))</f>
        <v/>
      </c>
      <c r="AP34" s="188" t="str">
        <f>IF(ISERROR(getgrade(Broadsheet!AP34,data!$H$4:$I$9)),"#",getgrade(Broadsheet!AP34,data!$H$4:$I$9))</f>
        <v/>
      </c>
      <c r="AQ34" s="188" t="str">
        <f>IF(ISERROR(getgrade(Broadsheet!AQ34,data!$H$4:$I$9)),"#",getgrade(Broadsheet!AQ34,data!$H$4:$I$9))</f>
        <v/>
      </c>
      <c r="AR34" s="188" t="str">
        <f>IF(ISERROR(getgrade(Broadsheet!AR34,data!$H$4:$I$9)),"#",getgrade(Broadsheet!AR34,data!$H$4:$I$9))</f>
        <v/>
      </c>
      <c r="AS34" s="188" t="str">
        <f>IF(ISERROR(getgrade(Broadsheet!AS34,data!$H$4:$I$9)),"#",getgrade(Broadsheet!AS34,data!$H$4:$I$9))</f>
        <v/>
      </c>
      <c r="AT34" s="188" t="str">
        <f>IF(ISERROR(getgrade(Broadsheet!AT34,data!$H$4:$I$9)),"#",getgrade(Broadsheet!AT34,data!$H$4:$I$9))</f>
        <v/>
      </c>
      <c r="AU34" s="188" t="str">
        <f>IF(ISERROR(getgrade(Broadsheet!AU34,data!$H$4:$I$9)),"#",getgrade(Broadsheet!AU34,data!$H$4:$I$9))</f>
        <v/>
      </c>
      <c r="AV34" s="188" t="str">
        <f>IF(ISERROR(getgrade(Broadsheet!AV34,data!$H$4:$I$9)),"#",getgrade(Broadsheet!AV34,data!$H$4:$I$9))</f>
        <v/>
      </c>
      <c r="AW34" s="188" t="str">
        <f>IF(ISERROR(getgrade(Broadsheet!AW34,data!$H$4:$I$9)),"#",getgrade(Broadsheet!AW34,data!$H$4:$I$9))</f>
        <v/>
      </c>
      <c r="AX34" s="188" t="str">
        <f>IF(ISERROR(getgrade(Broadsheet!AX34,data!$H$4:$I$9)),"#",getgrade(Broadsheet!AX34,data!$H$4:$I$9))</f>
        <v/>
      </c>
      <c r="AY34" s="188" t="str">
        <f>IF(ISERROR(getgrade(Broadsheet!AY34,data!$H$4:$I$9)),"#",getgrade(Broadsheet!AY34,data!$H$4:$I$9))</f>
        <v/>
      </c>
      <c r="AZ34" s="188" t="str">
        <f>IF(ISERROR(getgrade(Broadsheet!AZ34,data!$H$4:$I$9)),"#",getgrade(Broadsheet!AZ34,data!$H$4:$I$9))</f>
        <v/>
      </c>
      <c r="BA34" s="188" t="str">
        <f>IF(ISERROR(getgrade(Broadsheet!BA34,data!$H$4:$I$9)),"#",getgrade(Broadsheet!BA34,data!$H$4:$I$9))</f>
        <v/>
      </c>
      <c r="BB34" s="188" t="str">
        <f>IF(ISERROR(getgrade(Broadsheet!BB34,data!$H$4:$I$9)),"#",getgrade(Broadsheet!BB34,data!$H$4:$I$9))</f>
        <v/>
      </c>
      <c r="BC34" s="188" t="str">
        <f>IF(ISERROR(getgrade(Broadsheet!BC34,data!$H$4:$I$9)),"#",getgrade(Broadsheet!BC34,data!$H$4:$I$9))</f>
        <v/>
      </c>
      <c r="BD34" s="188" t="str">
        <f>IF(ISERROR(getgrade(Broadsheet!BD34,data!$H$4:$I$9)),"#",getgrade(Broadsheet!BD34,data!$H$4:$I$9))</f>
        <v/>
      </c>
      <c r="BE34" s="188" t="str">
        <f>IF(ISERROR(getgrade(Broadsheet!BE34,data!$H$4:$I$9)),"#",getgrade(Broadsheet!BE34,data!$H$4:$I$9))</f>
        <v/>
      </c>
      <c r="BF34" s="188" t="str">
        <f>IF(ISERROR(getgrade(Broadsheet!BF34,data!$H$4:$I$9)),"#",getgrade(Broadsheet!BF34,data!$H$4:$I$9))</f>
        <v/>
      </c>
      <c r="BG34" s="188" t="str">
        <f>IF(ISERROR(getgrade(Broadsheet!BG34,data!$H$4:$I$9)),"#",getgrade(Broadsheet!BG34,data!$H$4:$I$9))</f>
        <v/>
      </c>
      <c r="BH34" s="188" t="str">
        <f>IF(ISERROR(getgrade(Broadsheet!BH34,data!$H$4:$I$9)),"#",getgrade(Broadsheet!BH34,data!$H$4:$I$9))</f>
        <v/>
      </c>
      <c r="BI34" s="188" t="str">
        <f>IF(ISERROR(getgrade(Broadsheet!BI34,data!$H$4:$I$9)),"#",getgrade(Broadsheet!BI34,data!$H$4:$I$9))</f>
        <v/>
      </c>
      <c r="BJ34" s="188" t="str">
        <f>IF(ISERROR(getgrade(Broadsheet!BJ34,data!$H$4:$I$9)),"#",getgrade(Broadsheet!BJ34,data!$H$4:$I$9))</f>
        <v/>
      </c>
      <c r="BK34" s="188"/>
      <c r="BL34" s="188"/>
      <c r="BM34" s="188"/>
      <c r="BN34" s="188"/>
      <c r="BO34" s="188"/>
      <c r="BP34" s="188"/>
      <c r="BQ34" s="188"/>
      <c r="BR34" s="188"/>
      <c r="BS34" s="188"/>
      <c r="BT34" s="188"/>
      <c r="BU34" s="188"/>
      <c r="BV34" s="188"/>
      <c r="BW34" s="188"/>
      <c r="BX34" s="188"/>
      <c r="BY34" s="188"/>
      <c r="BZ34" s="188"/>
      <c r="CA34" s="188"/>
      <c r="CB34" s="188"/>
      <c r="CC34" s="188"/>
      <c r="CD34" s="188"/>
      <c r="CE34" s="188"/>
      <c r="CF34" s="188"/>
      <c r="CG34" s="188"/>
      <c r="CH34" s="188"/>
      <c r="CI34" s="188"/>
      <c r="CJ34" s="188"/>
      <c r="CK34" s="188"/>
      <c r="CL34" s="188"/>
      <c r="CM34" s="188"/>
      <c r="CN34" s="188"/>
      <c r="CO34" s="188"/>
      <c r="CP34" s="188"/>
      <c r="CQ34" s="188"/>
      <c r="CR34" s="188"/>
      <c r="CS34" s="188"/>
      <c r="CT34" s="188"/>
      <c r="CU34" s="188"/>
      <c r="CV34" s="188"/>
      <c r="CW34" s="188"/>
      <c r="CX34" s="188"/>
      <c r="CY34" s="188"/>
      <c r="CZ34" s="188"/>
      <c r="DA34" s="188"/>
      <c r="DB34" s="188"/>
      <c r="DC34" s="188"/>
      <c r="DD34" s="188"/>
      <c r="DE34" s="188"/>
      <c r="DF34" s="188"/>
      <c r="DG34" s="188"/>
      <c r="DH34" s="188"/>
      <c r="DI34" s="188"/>
      <c r="DJ34" s="188"/>
      <c r="DK34" s="188"/>
      <c r="DL34" s="188"/>
      <c r="DM34" s="188"/>
      <c r="DN34" s="188"/>
      <c r="DO34" s="188"/>
      <c r="DP34" s="188"/>
      <c r="DQ34" s="188"/>
      <c r="DR34" s="188"/>
      <c r="DS34" s="188"/>
      <c r="DT34" s="188"/>
      <c r="DU34" s="188"/>
      <c r="DV34" s="188"/>
      <c r="DW34" s="188"/>
      <c r="DX34" s="188"/>
      <c r="DY34" s="188"/>
      <c r="DZ34" s="188"/>
      <c r="EA34" s="188"/>
    </row>
    <row r="35" spans="1:131" ht="15.75" x14ac:dyDescent="0.25">
      <c r="A35" s="12">
        <f>Broadsheet!A35</f>
        <v>0</v>
      </c>
      <c r="B35" s="204" t="str">
        <f>IF(Broadsheet!B35="","",Broadsheet!B35)</f>
        <v/>
      </c>
      <c r="C35" s="24" t="str">
        <f>IF(Broadsheet!C35="","",Broadsheet!C35)</f>
        <v xml:space="preserve"> </v>
      </c>
      <c r="D35" s="24"/>
      <c r="E35" s="24"/>
      <c r="F35" s="24"/>
      <c r="G35" s="24" t="str">
        <f t="shared" si="0"/>
        <v/>
      </c>
      <c r="H35" s="188" t="str">
        <f>IF(ISERROR(getgrade(Broadsheet!H35,data!$H$4:$I$9)),"#",getgrade(Broadsheet!H35,data!$H$4:$I$9))</f>
        <v/>
      </c>
      <c r="I35" s="188" t="str">
        <f>IF(ISERROR(getgrade(Broadsheet!I35,data!$H$4:$I$9)),"#",getgrade(Broadsheet!I35,data!$H$4:$I$9))</f>
        <v/>
      </c>
      <c r="J35" s="188" t="str">
        <f>IF(ISERROR(getgrade(Broadsheet!J35,data!$H$4:$I$9)),"#",getgrade(Broadsheet!J35,data!$H$4:$I$9))</f>
        <v/>
      </c>
      <c r="K35" s="188" t="str">
        <f>IF(ISERROR(getgrade(Broadsheet!K35,data!$H$4:$I$9)),"#",getgrade(Broadsheet!K35,data!$H$4:$I$9))</f>
        <v/>
      </c>
      <c r="L35" s="188" t="str">
        <f>IF(ISERROR(getgrade(Broadsheet!L35,data!$H$4:$I$9)),"#",getgrade(Broadsheet!L35,data!$H$4:$I$9))</f>
        <v/>
      </c>
      <c r="M35" s="188" t="str">
        <f>IF(ISERROR(getgrade(Broadsheet!M35,data!$H$4:$I$9)),"#",getgrade(Broadsheet!M35,data!$H$4:$I$9))</f>
        <v/>
      </c>
      <c r="N35" s="188" t="str">
        <f>IF(ISERROR(getgrade(Broadsheet!N35,data!$H$4:$I$9)),"#",getgrade(Broadsheet!N35,data!$H$4:$I$9))</f>
        <v/>
      </c>
      <c r="O35" s="188" t="str">
        <f>IF(ISERROR(getgrade(Broadsheet!O35,data!$H$4:$I$9)),"#",getgrade(Broadsheet!O35,data!$H$4:$I$9))</f>
        <v/>
      </c>
      <c r="P35" s="188" t="str">
        <f>IF(ISERROR(getgrade(Broadsheet!P35,data!$H$4:$I$9)),"#",getgrade(Broadsheet!P35,data!$H$4:$I$9))</f>
        <v/>
      </c>
      <c r="Q35" s="188" t="str">
        <f>IF(ISERROR(getgrade(Broadsheet!Q35,data!$H$4:$I$9)),"#",getgrade(Broadsheet!Q35,data!$H$4:$I$9))</f>
        <v/>
      </c>
      <c r="R35" s="188" t="str">
        <f>IF(ISERROR(getgrade(Broadsheet!R35,data!$H$4:$I$9)),"#",getgrade(Broadsheet!R35,data!$H$4:$I$9))</f>
        <v/>
      </c>
      <c r="S35" s="188" t="str">
        <f>IF(ISERROR(getgrade(Broadsheet!S35,data!$H$4:$I$9)),"#",getgrade(Broadsheet!S35,data!$H$4:$I$9))</f>
        <v/>
      </c>
      <c r="T35" s="188" t="str">
        <f>IF(ISERROR(getgrade(Broadsheet!T35,data!$H$4:$I$9)),"#",getgrade(Broadsheet!T35,data!$H$4:$I$9))</f>
        <v/>
      </c>
      <c r="U35" s="188" t="str">
        <f>IF(ISERROR(getgrade(Broadsheet!U35,data!$H$4:$I$9)),"#",getgrade(Broadsheet!U35,data!$H$4:$I$9))</f>
        <v/>
      </c>
      <c r="V35" s="188" t="str">
        <f>IF(ISERROR(getgrade(Broadsheet!V35,data!$H$4:$I$9)),"#",getgrade(Broadsheet!V35,data!$H$4:$I$9))</f>
        <v/>
      </c>
      <c r="W35" s="188" t="str">
        <f>IF(ISERROR(getgrade(Broadsheet!W35,data!$H$4:$I$9)),"#",getgrade(Broadsheet!W35,data!$H$4:$I$9))</f>
        <v/>
      </c>
      <c r="X35" s="188" t="str">
        <f>IF(ISERROR(getgrade(Broadsheet!X35,data!$H$4:$I$9)),"#",getgrade(Broadsheet!X35,data!$H$4:$I$9))</f>
        <v/>
      </c>
      <c r="Y35" s="188" t="str">
        <f>IF(ISERROR(getgrade(Broadsheet!Y35,data!$H$4:$I$9)),"#",getgrade(Broadsheet!Y35,data!$H$4:$I$9))</f>
        <v/>
      </c>
      <c r="Z35" s="188" t="str">
        <f>IF(ISERROR(getgrade(Broadsheet!Z35,data!$H$4:$I$9)),"#",getgrade(Broadsheet!Z35,data!$H$4:$I$9))</f>
        <v/>
      </c>
      <c r="AA35" s="188" t="str">
        <f>IF(ISERROR(getgrade(Broadsheet!AA35,data!$H$4:$I$9)),"#",getgrade(Broadsheet!AA35,data!$H$4:$I$9))</f>
        <v/>
      </c>
      <c r="AB35" s="188" t="str">
        <f>IF(ISERROR(getgrade(Broadsheet!AB35,data!$H$4:$I$9)),"#",getgrade(Broadsheet!AB35,data!$H$4:$I$9))</f>
        <v/>
      </c>
      <c r="AC35" s="188" t="str">
        <f>IF(ISERROR(getgrade(Broadsheet!AC35,data!$H$4:$I$9)),"#",getgrade(Broadsheet!AC35,data!$H$4:$I$9))</f>
        <v/>
      </c>
      <c r="AD35" s="188" t="str">
        <f>IF(ISERROR(getgrade(Broadsheet!AD35,data!$H$4:$I$9)),"#",getgrade(Broadsheet!AD35,data!$H$4:$I$9))</f>
        <v/>
      </c>
      <c r="AE35" s="188" t="str">
        <f>IF(ISERROR(getgrade(Broadsheet!AE35,data!$H$4:$I$9)),"#",getgrade(Broadsheet!AE35,data!$H$4:$I$9))</f>
        <v/>
      </c>
      <c r="AF35" s="188" t="str">
        <f>IF(ISERROR(getgrade(Broadsheet!AF35,data!$H$4:$I$9)),"#",getgrade(Broadsheet!AF35,data!$H$4:$I$9))</f>
        <v/>
      </c>
      <c r="AG35" s="188" t="str">
        <f>IF(ISERROR(getgrade(Broadsheet!AG35,data!$H$4:$I$9)),"#",getgrade(Broadsheet!AG35,data!$H$4:$I$9))</f>
        <v/>
      </c>
      <c r="AH35" s="188" t="str">
        <f>IF(ISERROR(getgrade(Broadsheet!AH35,data!$H$4:$I$9)),"#",getgrade(Broadsheet!AH35,data!$H$4:$I$9))</f>
        <v/>
      </c>
      <c r="AI35" s="188" t="str">
        <f>IF(ISERROR(getgrade(Broadsheet!AI35,data!$H$4:$I$9)),"#",getgrade(Broadsheet!AI35,data!$H$4:$I$9))</f>
        <v/>
      </c>
      <c r="AJ35" s="188" t="str">
        <f>IF(ISERROR(getgrade(Broadsheet!AJ35,data!$H$4:$I$9)),"#",getgrade(Broadsheet!AJ35,data!$H$4:$I$9))</f>
        <v/>
      </c>
      <c r="AK35" s="188" t="str">
        <f>IF(ISERROR(getgrade(Broadsheet!AK35,data!$H$4:$I$9)),"#",getgrade(Broadsheet!AK35,data!$H$4:$I$9))</f>
        <v/>
      </c>
      <c r="AL35" s="188" t="str">
        <f>IF(ISERROR(getgrade(Broadsheet!AL35,data!$H$4:$I$9)),"#",getgrade(Broadsheet!AL35,data!$H$4:$I$9))</f>
        <v/>
      </c>
      <c r="AM35" s="188" t="str">
        <f>IF(ISERROR(getgrade(Broadsheet!AM35,data!$H$4:$I$9)),"#",getgrade(Broadsheet!AM35,data!$H$4:$I$9))</f>
        <v/>
      </c>
      <c r="AN35" s="188" t="str">
        <f>IF(ISERROR(getgrade(Broadsheet!AN35,data!$H$4:$I$9)),"#",getgrade(Broadsheet!AN35,data!$H$4:$I$9))</f>
        <v/>
      </c>
      <c r="AO35" s="188" t="str">
        <f>IF(ISERROR(getgrade(Broadsheet!AO35,data!$H$4:$I$9)),"#",getgrade(Broadsheet!AO35,data!$H$4:$I$9))</f>
        <v/>
      </c>
      <c r="AP35" s="188" t="str">
        <f>IF(ISERROR(getgrade(Broadsheet!AP35,data!$H$4:$I$9)),"#",getgrade(Broadsheet!AP35,data!$H$4:$I$9))</f>
        <v/>
      </c>
      <c r="AQ35" s="188" t="str">
        <f>IF(ISERROR(getgrade(Broadsheet!AQ35,data!$H$4:$I$9)),"#",getgrade(Broadsheet!AQ35,data!$H$4:$I$9))</f>
        <v/>
      </c>
      <c r="AR35" s="188" t="str">
        <f>IF(ISERROR(getgrade(Broadsheet!AR35,data!$H$4:$I$9)),"#",getgrade(Broadsheet!AR35,data!$H$4:$I$9))</f>
        <v/>
      </c>
      <c r="AS35" s="188" t="str">
        <f>IF(ISERROR(getgrade(Broadsheet!AS35,data!$H$4:$I$9)),"#",getgrade(Broadsheet!AS35,data!$H$4:$I$9))</f>
        <v/>
      </c>
      <c r="AT35" s="188" t="str">
        <f>IF(ISERROR(getgrade(Broadsheet!AT35,data!$H$4:$I$9)),"#",getgrade(Broadsheet!AT35,data!$H$4:$I$9))</f>
        <v/>
      </c>
      <c r="AU35" s="188" t="str">
        <f>IF(ISERROR(getgrade(Broadsheet!AU35,data!$H$4:$I$9)),"#",getgrade(Broadsheet!AU35,data!$H$4:$I$9))</f>
        <v/>
      </c>
      <c r="AV35" s="188" t="str">
        <f>IF(ISERROR(getgrade(Broadsheet!AV35,data!$H$4:$I$9)),"#",getgrade(Broadsheet!AV35,data!$H$4:$I$9))</f>
        <v/>
      </c>
      <c r="AW35" s="188" t="str">
        <f>IF(ISERROR(getgrade(Broadsheet!AW35,data!$H$4:$I$9)),"#",getgrade(Broadsheet!AW35,data!$H$4:$I$9))</f>
        <v/>
      </c>
      <c r="AX35" s="188" t="str">
        <f>IF(ISERROR(getgrade(Broadsheet!AX35,data!$H$4:$I$9)),"#",getgrade(Broadsheet!AX35,data!$H$4:$I$9))</f>
        <v/>
      </c>
      <c r="AY35" s="188" t="str">
        <f>IF(ISERROR(getgrade(Broadsheet!AY35,data!$H$4:$I$9)),"#",getgrade(Broadsheet!AY35,data!$H$4:$I$9))</f>
        <v/>
      </c>
      <c r="AZ35" s="188" t="str">
        <f>IF(ISERROR(getgrade(Broadsheet!AZ35,data!$H$4:$I$9)),"#",getgrade(Broadsheet!AZ35,data!$H$4:$I$9))</f>
        <v/>
      </c>
      <c r="BA35" s="188" t="str">
        <f>IF(ISERROR(getgrade(Broadsheet!BA35,data!$H$4:$I$9)),"#",getgrade(Broadsheet!BA35,data!$H$4:$I$9))</f>
        <v/>
      </c>
      <c r="BB35" s="188" t="str">
        <f>IF(ISERROR(getgrade(Broadsheet!BB35,data!$H$4:$I$9)),"#",getgrade(Broadsheet!BB35,data!$H$4:$I$9))</f>
        <v/>
      </c>
      <c r="BC35" s="188" t="str">
        <f>IF(ISERROR(getgrade(Broadsheet!BC35,data!$H$4:$I$9)),"#",getgrade(Broadsheet!BC35,data!$H$4:$I$9))</f>
        <v/>
      </c>
      <c r="BD35" s="188" t="str">
        <f>IF(ISERROR(getgrade(Broadsheet!BD35,data!$H$4:$I$9)),"#",getgrade(Broadsheet!BD35,data!$H$4:$I$9))</f>
        <v/>
      </c>
      <c r="BE35" s="188" t="str">
        <f>IF(ISERROR(getgrade(Broadsheet!BE35,data!$H$4:$I$9)),"#",getgrade(Broadsheet!BE35,data!$H$4:$I$9))</f>
        <v/>
      </c>
      <c r="BF35" s="188" t="str">
        <f>IF(ISERROR(getgrade(Broadsheet!BF35,data!$H$4:$I$9)),"#",getgrade(Broadsheet!BF35,data!$H$4:$I$9))</f>
        <v/>
      </c>
      <c r="BG35" s="188" t="str">
        <f>IF(ISERROR(getgrade(Broadsheet!BG35,data!$H$4:$I$9)),"#",getgrade(Broadsheet!BG35,data!$H$4:$I$9))</f>
        <v/>
      </c>
      <c r="BH35" s="188" t="str">
        <f>IF(ISERROR(getgrade(Broadsheet!BH35,data!$H$4:$I$9)),"#",getgrade(Broadsheet!BH35,data!$H$4:$I$9))</f>
        <v/>
      </c>
      <c r="BI35" s="188" t="str">
        <f>IF(ISERROR(getgrade(Broadsheet!BI35,data!$H$4:$I$9)),"#",getgrade(Broadsheet!BI35,data!$H$4:$I$9))</f>
        <v/>
      </c>
      <c r="BJ35" s="188" t="str">
        <f>IF(ISERROR(getgrade(Broadsheet!BJ35,data!$H$4:$I$9)),"#",getgrade(Broadsheet!BJ35,data!$H$4:$I$9))</f>
        <v/>
      </c>
      <c r="BK35" s="188"/>
      <c r="BL35" s="188"/>
      <c r="BM35" s="188"/>
      <c r="BN35" s="188"/>
      <c r="BO35" s="188"/>
      <c r="BP35" s="188"/>
      <c r="BQ35" s="188"/>
      <c r="BR35" s="188"/>
      <c r="BS35" s="188"/>
      <c r="BT35" s="188"/>
      <c r="BU35" s="188"/>
      <c r="BV35" s="188"/>
      <c r="BW35" s="188"/>
      <c r="BX35" s="188"/>
      <c r="BY35" s="188"/>
      <c r="BZ35" s="188"/>
      <c r="CA35" s="188"/>
      <c r="CB35" s="188"/>
      <c r="CC35" s="188"/>
      <c r="CD35" s="188"/>
      <c r="CE35" s="188"/>
      <c r="CF35" s="188"/>
      <c r="CG35" s="188"/>
      <c r="CH35" s="188"/>
      <c r="CI35" s="188"/>
      <c r="CJ35" s="188"/>
      <c r="CK35" s="188"/>
      <c r="CL35" s="188"/>
      <c r="CM35" s="188"/>
      <c r="CN35" s="188"/>
      <c r="CO35" s="188"/>
      <c r="CP35" s="188"/>
      <c r="CQ35" s="188"/>
      <c r="CR35" s="188"/>
      <c r="CS35" s="188"/>
      <c r="CT35" s="188"/>
      <c r="CU35" s="188"/>
      <c r="CV35" s="188"/>
      <c r="CW35" s="188"/>
      <c r="CX35" s="188"/>
      <c r="CY35" s="188"/>
      <c r="CZ35" s="188"/>
      <c r="DA35" s="188"/>
      <c r="DB35" s="188"/>
      <c r="DC35" s="188"/>
      <c r="DD35" s="188"/>
      <c r="DE35" s="188"/>
      <c r="DF35" s="188"/>
      <c r="DG35" s="188"/>
      <c r="DH35" s="188"/>
      <c r="DI35" s="188"/>
      <c r="DJ35" s="188"/>
      <c r="DK35" s="188"/>
      <c r="DL35" s="188"/>
      <c r="DM35" s="188"/>
      <c r="DN35" s="188"/>
      <c r="DO35" s="188"/>
      <c r="DP35" s="188"/>
      <c r="DQ35" s="188"/>
      <c r="DR35" s="188"/>
      <c r="DS35" s="188"/>
      <c r="DT35" s="188"/>
      <c r="DU35" s="188"/>
      <c r="DV35" s="188"/>
      <c r="DW35" s="188"/>
      <c r="DX35" s="188"/>
      <c r="DY35" s="188"/>
      <c r="DZ35" s="188"/>
      <c r="EA35" s="188"/>
    </row>
    <row r="36" spans="1:131" ht="15.75" x14ac:dyDescent="0.25">
      <c r="A36" s="12">
        <f>Broadsheet!A36</f>
        <v>0</v>
      </c>
      <c r="B36" s="204" t="str">
        <f>IF(Broadsheet!B36="","",Broadsheet!B36)</f>
        <v/>
      </c>
      <c r="C36" s="24" t="str">
        <f>IF(Broadsheet!C36="","",Broadsheet!C36)</f>
        <v xml:space="preserve"> </v>
      </c>
      <c r="D36" s="24"/>
      <c r="E36" s="24"/>
      <c r="F36" s="24"/>
      <c r="G36" s="24" t="str">
        <f t="shared" si="0"/>
        <v/>
      </c>
      <c r="H36" s="188" t="str">
        <f>IF(ISERROR(getgrade(Broadsheet!H36,data!$H$4:$I$9)),"#",getgrade(Broadsheet!H36,data!$H$4:$I$9))</f>
        <v/>
      </c>
      <c r="I36" s="188" t="str">
        <f>IF(ISERROR(getgrade(Broadsheet!I36,data!$H$4:$I$9)),"#",getgrade(Broadsheet!I36,data!$H$4:$I$9))</f>
        <v/>
      </c>
      <c r="J36" s="188" t="str">
        <f>IF(ISERROR(getgrade(Broadsheet!J36,data!$H$4:$I$9)),"#",getgrade(Broadsheet!J36,data!$H$4:$I$9))</f>
        <v/>
      </c>
      <c r="K36" s="188" t="str">
        <f>IF(ISERROR(getgrade(Broadsheet!K36,data!$H$4:$I$9)),"#",getgrade(Broadsheet!K36,data!$H$4:$I$9))</f>
        <v/>
      </c>
      <c r="L36" s="188" t="str">
        <f>IF(ISERROR(getgrade(Broadsheet!L36,data!$H$4:$I$9)),"#",getgrade(Broadsheet!L36,data!$H$4:$I$9))</f>
        <v/>
      </c>
      <c r="M36" s="188" t="str">
        <f>IF(ISERROR(getgrade(Broadsheet!M36,data!$H$4:$I$9)),"#",getgrade(Broadsheet!M36,data!$H$4:$I$9))</f>
        <v/>
      </c>
      <c r="N36" s="188" t="str">
        <f>IF(ISERROR(getgrade(Broadsheet!N36,data!$H$4:$I$9)),"#",getgrade(Broadsheet!N36,data!$H$4:$I$9))</f>
        <v/>
      </c>
      <c r="O36" s="188" t="str">
        <f>IF(ISERROR(getgrade(Broadsheet!O36,data!$H$4:$I$9)),"#",getgrade(Broadsheet!O36,data!$H$4:$I$9))</f>
        <v/>
      </c>
      <c r="P36" s="188" t="str">
        <f>IF(ISERROR(getgrade(Broadsheet!P36,data!$H$4:$I$9)),"#",getgrade(Broadsheet!P36,data!$H$4:$I$9))</f>
        <v/>
      </c>
      <c r="Q36" s="188" t="str">
        <f>IF(ISERROR(getgrade(Broadsheet!Q36,data!$H$4:$I$9)),"#",getgrade(Broadsheet!Q36,data!$H$4:$I$9))</f>
        <v/>
      </c>
      <c r="R36" s="188" t="str">
        <f>IF(ISERROR(getgrade(Broadsheet!R36,data!$H$4:$I$9)),"#",getgrade(Broadsheet!R36,data!$H$4:$I$9))</f>
        <v/>
      </c>
      <c r="S36" s="188" t="str">
        <f>IF(ISERROR(getgrade(Broadsheet!S36,data!$H$4:$I$9)),"#",getgrade(Broadsheet!S36,data!$H$4:$I$9))</f>
        <v/>
      </c>
      <c r="T36" s="188" t="str">
        <f>IF(ISERROR(getgrade(Broadsheet!T36,data!$H$4:$I$9)),"#",getgrade(Broadsheet!T36,data!$H$4:$I$9))</f>
        <v/>
      </c>
      <c r="U36" s="188" t="str">
        <f>IF(ISERROR(getgrade(Broadsheet!U36,data!$H$4:$I$9)),"#",getgrade(Broadsheet!U36,data!$H$4:$I$9))</f>
        <v/>
      </c>
      <c r="V36" s="188" t="str">
        <f>IF(ISERROR(getgrade(Broadsheet!V36,data!$H$4:$I$9)),"#",getgrade(Broadsheet!V36,data!$H$4:$I$9))</f>
        <v/>
      </c>
      <c r="W36" s="188" t="str">
        <f>IF(ISERROR(getgrade(Broadsheet!W36,data!$H$4:$I$9)),"#",getgrade(Broadsheet!W36,data!$H$4:$I$9))</f>
        <v/>
      </c>
      <c r="X36" s="188" t="str">
        <f>IF(ISERROR(getgrade(Broadsheet!X36,data!$H$4:$I$9)),"#",getgrade(Broadsheet!X36,data!$H$4:$I$9))</f>
        <v/>
      </c>
      <c r="Y36" s="188" t="str">
        <f>IF(ISERROR(getgrade(Broadsheet!Y36,data!$H$4:$I$9)),"#",getgrade(Broadsheet!Y36,data!$H$4:$I$9))</f>
        <v/>
      </c>
      <c r="Z36" s="188" t="str">
        <f>IF(ISERROR(getgrade(Broadsheet!Z36,data!$H$4:$I$9)),"#",getgrade(Broadsheet!Z36,data!$H$4:$I$9))</f>
        <v/>
      </c>
      <c r="AA36" s="188" t="str">
        <f>IF(ISERROR(getgrade(Broadsheet!AA36,data!$H$4:$I$9)),"#",getgrade(Broadsheet!AA36,data!$H$4:$I$9))</f>
        <v/>
      </c>
      <c r="AB36" s="188" t="str">
        <f>IF(ISERROR(getgrade(Broadsheet!AB36,data!$H$4:$I$9)),"#",getgrade(Broadsheet!AB36,data!$H$4:$I$9))</f>
        <v/>
      </c>
      <c r="AC36" s="188" t="str">
        <f>IF(ISERROR(getgrade(Broadsheet!AC36,data!$H$4:$I$9)),"#",getgrade(Broadsheet!AC36,data!$H$4:$I$9))</f>
        <v/>
      </c>
      <c r="AD36" s="188" t="str">
        <f>IF(ISERROR(getgrade(Broadsheet!AD36,data!$H$4:$I$9)),"#",getgrade(Broadsheet!AD36,data!$H$4:$I$9))</f>
        <v/>
      </c>
      <c r="AE36" s="188" t="str">
        <f>IF(ISERROR(getgrade(Broadsheet!AE36,data!$H$4:$I$9)),"#",getgrade(Broadsheet!AE36,data!$H$4:$I$9))</f>
        <v/>
      </c>
      <c r="AF36" s="188" t="str">
        <f>IF(ISERROR(getgrade(Broadsheet!AF36,data!$H$4:$I$9)),"#",getgrade(Broadsheet!AF36,data!$H$4:$I$9))</f>
        <v/>
      </c>
      <c r="AG36" s="188" t="str">
        <f>IF(ISERROR(getgrade(Broadsheet!AG36,data!$H$4:$I$9)),"#",getgrade(Broadsheet!AG36,data!$H$4:$I$9))</f>
        <v/>
      </c>
      <c r="AH36" s="188" t="str">
        <f>IF(ISERROR(getgrade(Broadsheet!AH36,data!$H$4:$I$9)),"#",getgrade(Broadsheet!AH36,data!$H$4:$I$9))</f>
        <v/>
      </c>
      <c r="AI36" s="188" t="str">
        <f>IF(ISERROR(getgrade(Broadsheet!AI36,data!$H$4:$I$9)),"#",getgrade(Broadsheet!AI36,data!$H$4:$I$9))</f>
        <v/>
      </c>
      <c r="AJ36" s="188" t="str">
        <f>IF(ISERROR(getgrade(Broadsheet!AJ36,data!$H$4:$I$9)),"#",getgrade(Broadsheet!AJ36,data!$H$4:$I$9))</f>
        <v/>
      </c>
      <c r="AK36" s="188" t="str">
        <f>IF(ISERROR(getgrade(Broadsheet!AK36,data!$H$4:$I$9)),"#",getgrade(Broadsheet!AK36,data!$H$4:$I$9))</f>
        <v/>
      </c>
      <c r="AL36" s="188" t="str">
        <f>IF(ISERROR(getgrade(Broadsheet!AL36,data!$H$4:$I$9)),"#",getgrade(Broadsheet!AL36,data!$H$4:$I$9))</f>
        <v/>
      </c>
      <c r="AM36" s="188" t="str">
        <f>IF(ISERROR(getgrade(Broadsheet!AM36,data!$H$4:$I$9)),"#",getgrade(Broadsheet!AM36,data!$H$4:$I$9))</f>
        <v/>
      </c>
      <c r="AN36" s="188" t="str">
        <f>IF(ISERROR(getgrade(Broadsheet!AN36,data!$H$4:$I$9)),"#",getgrade(Broadsheet!AN36,data!$H$4:$I$9))</f>
        <v/>
      </c>
      <c r="AO36" s="188" t="str">
        <f>IF(ISERROR(getgrade(Broadsheet!AO36,data!$H$4:$I$9)),"#",getgrade(Broadsheet!AO36,data!$H$4:$I$9))</f>
        <v/>
      </c>
      <c r="AP36" s="188" t="str">
        <f>IF(ISERROR(getgrade(Broadsheet!AP36,data!$H$4:$I$9)),"#",getgrade(Broadsheet!AP36,data!$H$4:$I$9))</f>
        <v/>
      </c>
      <c r="AQ36" s="188" t="str">
        <f>IF(ISERROR(getgrade(Broadsheet!AQ36,data!$H$4:$I$9)),"#",getgrade(Broadsheet!AQ36,data!$H$4:$I$9))</f>
        <v/>
      </c>
      <c r="AR36" s="188" t="str">
        <f>IF(ISERROR(getgrade(Broadsheet!AR36,data!$H$4:$I$9)),"#",getgrade(Broadsheet!AR36,data!$H$4:$I$9))</f>
        <v/>
      </c>
      <c r="AS36" s="188" t="str">
        <f>IF(ISERROR(getgrade(Broadsheet!AS36,data!$H$4:$I$9)),"#",getgrade(Broadsheet!AS36,data!$H$4:$I$9))</f>
        <v/>
      </c>
      <c r="AT36" s="188" t="str">
        <f>IF(ISERROR(getgrade(Broadsheet!AT36,data!$H$4:$I$9)),"#",getgrade(Broadsheet!AT36,data!$H$4:$I$9))</f>
        <v/>
      </c>
      <c r="AU36" s="188" t="str">
        <f>IF(ISERROR(getgrade(Broadsheet!AU36,data!$H$4:$I$9)),"#",getgrade(Broadsheet!AU36,data!$H$4:$I$9))</f>
        <v/>
      </c>
      <c r="AV36" s="188" t="str">
        <f>IF(ISERROR(getgrade(Broadsheet!AV36,data!$H$4:$I$9)),"#",getgrade(Broadsheet!AV36,data!$H$4:$I$9))</f>
        <v/>
      </c>
      <c r="AW36" s="188" t="str">
        <f>IF(ISERROR(getgrade(Broadsheet!AW36,data!$H$4:$I$9)),"#",getgrade(Broadsheet!AW36,data!$H$4:$I$9))</f>
        <v/>
      </c>
      <c r="AX36" s="188" t="str">
        <f>IF(ISERROR(getgrade(Broadsheet!AX36,data!$H$4:$I$9)),"#",getgrade(Broadsheet!AX36,data!$H$4:$I$9))</f>
        <v/>
      </c>
      <c r="AY36" s="188" t="str">
        <f>IF(ISERROR(getgrade(Broadsheet!AY36,data!$H$4:$I$9)),"#",getgrade(Broadsheet!AY36,data!$H$4:$I$9))</f>
        <v/>
      </c>
      <c r="AZ36" s="188" t="str">
        <f>IF(ISERROR(getgrade(Broadsheet!AZ36,data!$H$4:$I$9)),"#",getgrade(Broadsheet!AZ36,data!$H$4:$I$9))</f>
        <v/>
      </c>
      <c r="BA36" s="188" t="str">
        <f>IF(ISERROR(getgrade(Broadsheet!BA36,data!$H$4:$I$9)),"#",getgrade(Broadsheet!BA36,data!$H$4:$I$9))</f>
        <v/>
      </c>
      <c r="BB36" s="188" t="str">
        <f>IF(ISERROR(getgrade(Broadsheet!BB36,data!$H$4:$I$9)),"#",getgrade(Broadsheet!BB36,data!$H$4:$I$9))</f>
        <v/>
      </c>
      <c r="BC36" s="188" t="str">
        <f>IF(ISERROR(getgrade(Broadsheet!BC36,data!$H$4:$I$9)),"#",getgrade(Broadsheet!BC36,data!$H$4:$I$9))</f>
        <v/>
      </c>
      <c r="BD36" s="188" t="str">
        <f>IF(ISERROR(getgrade(Broadsheet!BD36,data!$H$4:$I$9)),"#",getgrade(Broadsheet!BD36,data!$H$4:$I$9))</f>
        <v/>
      </c>
      <c r="BE36" s="188" t="str">
        <f>IF(ISERROR(getgrade(Broadsheet!BE36,data!$H$4:$I$9)),"#",getgrade(Broadsheet!BE36,data!$H$4:$I$9))</f>
        <v/>
      </c>
      <c r="BF36" s="188" t="str">
        <f>IF(ISERROR(getgrade(Broadsheet!BF36,data!$H$4:$I$9)),"#",getgrade(Broadsheet!BF36,data!$H$4:$I$9))</f>
        <v/>
      </c>
      <c r="BG36" s="188" t="str">
        <f>IF(ISERROR(getgrade(Broadsheet!BG36,data!$H$4:$I$9)),"#",getgrade(Broadsheet!BG36,data!$H$4:$I$9))</f>
        <v/>
      </c>
      <c r="BH36" s="188" t="str">
        <f>IF(ISERROR(getgrade(Broadsheet!BH36,data!$H$4:$I$9)),"#",getgrade(Broadsheet!BH36,data!$H$4:$I$9))</f>
        <v/>
      </c>
      <c r="BI36" s="188" t="str">
        <f>IF(ISERROR(getgrade(Broadsheet!BI36,data!$H$4:$I$9)),"#",getgrade(Broadsheet!BI36,data!$H$4:$I$9))</f>
        <v/>
      </c>
      <c r="BJ36" s="188" t="str">
        <f>IF(ISERROR(getgrade(Broadsheet!BJ36,data!$H$4:$I$9)),"#",getgrade(Broadsheet!BJ36,data!$H$4:$I$9))</f>
        <v/>
      </c>
      <c r="BK36" s="188"/>
      <c r="BL36" s="188"/>
      <c r="BM36" s="188"/>
      <c r="BN36" s="188"/>
      <c r="BO36" s="188"/>
      <c r="BP36" s="188"/>
      <c r="BQ36" s="188"/>
      <c r="BR36" s="188"/>
      <c r="BS36" s="188"/>
      <c r="BT36" s="188"/>
      <c r="BU36" s="188"/>
      <c r="BV36" s="188"/>
      <c r="BW36" s="188"/>
      <c r="BX36" s="188"/>
      <c r="BY36" s="188"/>
      <c r="BZ36" s="188"/>
      <c r="CA36" s="188"/>
      <c r="CB36" s="188"/>
      <c r="CC36" s="188"/>
      <c r="CD36" s="188"/>
      <c r="CE36" s="188"/>
      <c r="CF36" s="188"/>
      <c r="CG36" s="188"/>
      <c r="CH36" s="188"/>
      <c r="CI36" s="188"/>
      <c r="CJ36" s="188"/>
      <c r="CK36" s="188"/>
      <c r="CL36" s="188"/>
      <c r="CM36" s="188"/>
      <c r="CN36" s="188"/>
      <c r="CO36" s="188"/>
      <c r="CP36" s="188"/>
      <c r="CQ36" s="188"/>
      <c r="CR36" s="188"/>
      <c r="CS36" s="188"/>
      <c r="CT36" s="188"/>
      <c r="CU36" s="188"/>
      <c r="CV36" s="188"/>
      <c r="CW36" s="188"/>
      <c r="CX36" s="188"/>
      <c r="CY36" s="188"/>
      <c r="CZ36" s="188"/>
      <c r="DA36" s="188"/>
      <c r="DB36" s="188"/>
      <c r="DC36" s="188"/>
      <c r="DD36" s="188"/>
      <c r="DE36" s="188"/>
      <c r="DF36" s="188"/>
      <c r="DG36" s="188"/>
      <c r="DH36" s="188"/>
      <c r="DI36" s="188"/>
      <c r="DJ36" s="188"/>
      <c r="DK36" s="188"/>
      <c r="DL36" s="188"/>
      <c r="DM36" s="188"/>
      <c r="DN36" s="188"/>
      <c r="DO36" s="188"/>
      <c r="DP36" s="188"/>
      <c r="DQ36" s="188"/>
      <c r="DR36" s="188"/>
      <c r="DS36" s="188"/>
      <c r="DT36" s="188"/>
      <c r="DU36" s="188"/>
      <c r="DV36" s="188"/>
      <c r="DW36" s="188"/>
      <c r="DX36" s="188"/>
      <c r="DY36" s="188"/>
      <c r="DZ36" s="188"/>
      <c r="EA36" s="188"/>
    </row>
    <row r="37" spans="1:131" ht="15.75" x14ac:dyDescent="0.25">
      <c r="A37" s="12">
        <f>Broadsheet!A37</f>
        <v>0</v>
      </c>
      <c r="B37" s="204" t="str">
        <f>IF(Broadsheet!B37="","",Broadsheet!B37)</f>
        <v/>
      </c>
      <c r="C37" s="24" t="str">
        <f>IF(Broadsheet!C37="","",Broadsheet!C37)</f>
        <v xml:space="preserve"> </v>
      </c>
      <c r="D37" s="24"/>
      <c r="E37" s="24"/>
      <c r="F37" s="24"/>
      <c r="G37" s="24" t="str">
        <f t="shared" si="0"/>
        <v/>
      </c>
      <c r="H37" s="188" t="str">
        <f>IF(ISERROR(getgrade(Broadsheet!H37,data!$H$4:$I$9)),"#",getgrade(Broadsheet!H37,data!$H$4:$I$9))</f>
        <v/>
      </c>
      <c r="I37" s="188" t="str">
        <f>IF(ISERROR(getgrade(Broadsheet!I37,data!$H$4:$I$9)),"#",getgrade(Broadsheet!I37,data!$H$4:$I$9))</f>
        <v/>
      </c>
      <c r="J37" s="188" t="str">
        <f>IF(ISERROR(getgrade(Broadsheet!J37,data!$H$4:$I$9)),"#",getgrade(Broadsheet!J37,data!$H$4:$I$9))</f>
        <v/>
      </c>
      <c r="K37" s="188" t="str">
        <f>IF(ISERROR(getgrade(Broadsheet!K37,data!$H$4:$I$9)),"#",getgrade(Broadsheet!K37,data!$H$4:$I$9))</f>
        <v/>
      </c>
      <c r="L37" s="188" t="str">
        <f>IF(ISERROR(getgrade(Broadsheet!L37,data!$H$4:$I$9)),"#",getgrade(Broadsheet!L37,data!$H$4:$I$9))</f>
        <v/>
      </c>
      <c r="M37" s="188" t="str">
        <f>IF(ISERROR(getgrade(Broadsheet!M37,data!$H$4:$I$9)),"#",getgrade(Broadsheet!M37,data!$H$4:$I$9))</f>
        <v/>
      </c>
      <c r="N37" s="188" t="str">
        <f>IF(ISERROR(getgrade(Broadsheet!N37,data!$H$4:$I$9)),"#",getgrade(Broadsheet!N37,data!$H$4:$I$9))</f>
        <v/>
      </c>
      <c r="O37" s="188" t="str">
        <f>IF(ISERROR(getgrade(Broadsheet!O37,data!$H$4:$I$9)),"#",getgrade(Broadsheet!O37,data!$H$4:$I$9))</f>
        <v/>
      </c>
      <c r="P37" s="188" t="str">
        <f>IF(ISERROR(getgrade(Broadsheet!P37,data!$H$4:$I$9)),"#",getgrade(Broadsheet!P37,data!$H$4:$I$9))</f>
        <v/>
      </c>
      <c r="Q37" s="188" t="str">
        <f>IF(ISERROR(getgrade(Broadsheet!Q37,data!$H$4:$I$9)),"#",getgrade(Broadsheet!Q37,data!$H$4:$I$9))</f>
        <v/>
      </c>
      <c r="R37" s="188" t="str">
        <f>IF(ISERROR(getgrade(Broadsheet!R37,data!$H$4:$I$9)),"#",getgrade(Broadsheet!R37,data!$H$4:$I$9))</f>
        <v/>
      </c>
      <c r="S37" s="188" t="str">
        <f>IF(ISERROR(getgrade(Broadsheet!S37,data!$H$4:$I$9)),"#",getgrade(Broadsheet!S37,data!$H$4:$I$9))</f>
        <v/>
      </c>
      <c r="T37" s="188" t="str">
        <f>IF(ISERROR(getgrade(Broadsheet!T37,data!$H$4:$I$9)),"#",getgrade(Broadsheet!T37,data!$H$4:$I$9))</f>
        <v/>
      </c>
      <c r="U37" s="188" t="str">
        <f>IF(ISERROR(getgrade(Broadsheet!U37,data!$H$4:$I$9)),"#",getgrade(Broadsheet!U37,data!$H$4:$I$9))</f>
        <v/>
      </c>
      <c r="V37" s="188" t="str">
        <f>IF(ISERROR(getgrade(Broadsheet!V37,data!$H$4:$I$9)),"#",getgrade(Broadsheet!V37,data!$H$4:$I$9))</f>
        <v/>
      </c>
      <c r="W37" s="188" t="str">
        <f>IF(ISERROR(getgrade(Broadsheet!W37,data!$H$4:$I$9)),"#",getgrade(Broadsheet!W37,data!$H$4:$I$9))</f>
        <v/>
      </c>
      <c r="X37" s="188" t="str">
        <f>IF(ISERROR(getgrade(Broadsheet!X37,data!$H$4:$I$9)),"#",getgrade(Broadsheet!X37,data!$H$4:$I$9))</f>
        <v/>
      </c>
      <c r="Y37" s="188" t="str">
        <f>IF(ISERROR(getgrade(Broadsheet!Y37,data!$H$4:$I$9)),"#",getgrade(Broadsheet!Y37,data!$H$4:$I$9))</f>
        <v/>
      </c>
      <c r="Z37" s="188" t="str">
        <f>IF(ISERROR(getgrade(Broadsheet!Z37,data!$H$4:$I$9)),"#",getgrade(Broadsheet!Z37,data!$H$4:$I$9))</f>
        <v/>
      </c>
      <c r="AA37" s="188" t="str">
        <f>IF(ISERROR(getgrade(Broadsheet!AA37,data!$H$4:$I$9)),"#",getgrade(Broadsheet!AA37,data!$H$4:$I$9))</f>
        <v/>
      </c>
      <c r="AB37" s="188" t="str">
        <f>IF(ISERROR(getgrade(Broadsheet!AB37,data!$H$4:$I$9)),"#",getgrade(Broadsheet!AB37,data!$H$4:$I$9))</f>
        <v/>
      </c>
      <c r="AC37" s="188" t="str">
        <f>IF(ISERROR(getgrade(Broadsheet!AC37,data!$H$4:$I$9)),"#",getgrade(Broadsheet!AC37,data!$H$4:$I$9))</f>
        <v/>
      </c>
      <c r="AD37" s="188" t="str">
        <f>IF(ISERROR(getgrade(Broadsheet!AD37,data!$H$4:$I$9)),"#",getgrade(Broadsheet!AD37,data!$H$4:$I$9))</f>
        <v/>
      </c>
      <c r="AE37" s="188" t="str">
        <f>IF(ISERROR(getgrade(Broadsheet!AE37,data!$H$4:$I$9)),"#",getgrade(Broadsheet!AE37,data!$H$4:$I$9))</f>
        <v/>
      </c>
      <c r="AF37" s="188" t="str">
        <f>IF(ISERROR(getgrade(Broadsheet!AF37,data!$H$4:$I$9)),"#",getgrade(Broadsheet!AF37,data!$H$4:$I$9))</f>
        <v/>
      </c>
      <c r="AG37" s="188" t="str">
        <f>IF(ISERROR(getgrade(Broadsheet!AG37,data!$H$4:$I$9)),"#",getgrade(Broadsheet!AG37,data!$H$4:$I$9))</f>
        <v/>
      </c>
      <c r="AH37" s="188" t="str">
        <f>IF(ISERROR(getgrade(Broadsheet!AH37,data!$H$4:$I$9)),"#",getgrade(Broadsheet!AH37,data!$H$4:$I$9))</f>
        <v/>
      </c>
      <c r="AI37" s="188" t="str">
        <f>IF(ISERROR(getgrade(Broadsheet!AI37,data!$H$4:$I$9)),"#",getgrade(Broadsheet!AI37,data!$H$4:$I$9))</f>
        <v/>
      </c>
      <c r="AJ37" s="188" t="str">
        <f>IF(ISERROR(getgrade(Broadsheet!AJ37,data!$H$4:$I$9)),"#",getgrade(Broadsheet!AJ37,data!$H$4:$I$9))</f>
        <v/>
      </c>
      <c r="AK37" s="188" t="str">
        <f>IF(ISERROR(getgrade(Broadsheet!AK37,data!$H$4:$I$9)),"#",getgrade(Broadsheet!AK37,data!$H$4:$I$9))</f>
        <v/>
      </c>
      <c r="AL37" s="188" t="str">
        <f>IF(ISERROR(getgrade(Broadsheet!AL37,data!$H$4:$I$9)),"#",getgrade(Broadsheet!AL37,data!$H$4:$I$9))</f>
        <v/>
      </c>
      <c r="AM37" s="188" t="str">
        <f>IF(ISERROR(getgrade(Broadsheet!AM37,data!$H$4:$I$9)),"#",getgrade(Broadsheet!AM37,data!$H$4:$I$9))</f>
        <v/>
      </c>
      <c r="AN37" s="188" t="str">
        <f>IF(ISERROR(getgrade(Broadsheet!AN37,data!$H$4:$I$9)),"#",getgrade(Broadsheet!AN37,data!$H$4:$I$9))</f>
        <v/>
      </c>
      <c r="AO37" s="188" t="str">
        <f>IF(ISERROR(getgrade(Broadsheet!AO37,data!$H$4:$I$9)),"#",getgrade(Broadsheet!AO37,data!$H$4:$I$9))</f>
        <v/>
      </c>
      <c r="AP37" s="188" t="str">
        <f>IF(ISERROR(getgrade(Broadsheet!AP37,data!$H$4:$I$9)),"#",getgrade(Broadsheet!AP37,data!$H$4:$I$9))</f>
        <v/>
      </c>
      <c r="AQ37" s="188" t="str">
        <f>IF(ISERROR(getgrade(Broadsheet!AQ37,data!$H$4:$I$9)),"#",getgrade(Broadsheet!AQ37,data!$H$4:$I$9))</f>
        <v/>
      </c>
      <c r="AR37" s="188" t="str">
        <f>IF(ISERROR(getgrade(Broadsheet!AR37,data!$H$4:$I$9)),"#",getgrade(Broadsheet!AR37,data!$H$4:$I$9))</f>
        <v/>
      </c>
      <c r="AS37" s="188" t="str">
        <f>IF(ISERROR(getgrade(Broadsheet!AS37,data!$H$4:$I$9)),"#",getgrade(Broadsheet!AS37,data!$H$4:$I$9))</f>
        <v/>
      </c>
      <c r="AT37" s="188" t="str">
        <f>IF(ISERROR(getgrade(Broadsheet!AT37,data!$H$4:$I$9)),"#",getgrade(Broadsheet!AT37,data!$H$4:$I$9))</f>
        <v/>
      </c>
      <c r="AU37" s="188" t="str">
        <f>IF(ISERROR(getgrade(Broadsheet!AU37,data!$H$4:$I$9)),"#",getgrade(Broadsheet!AU37,data!$H$4:$I$9))</f>
        <v/>
      </c>
      <c r="AV37" s="188" t="str">
        <f>IF(ISERROR(getgrade(Broadsheet!AV37,data!$H$4:$I$9)),"#",getgrade(Broadsheet!AV37,data!$H$4:$I$9))</f>
        <v/>
      </c>
      <c r="AW37" s="188" t="str">
        <f>IF(ISERROR(getgrade(Broadsheet!AW37,data!$H$4:$I$9)),"#",getgrade(Broadsheet!AW37,data!$H$4:$I$9))</f>
        <v/>
      </c>
      <c r="AX37" s="188" t="str">
        <f>IF(ISERROR(getgrade(Broadsheet!AX37,data!$H$4:$I$9)),"#",getgrade(Broadsheet!AX37,data!$H$4:$I$9))</f>
        <v/>
      </c>
      <c r="AY37" s="188" t="str">
        <f>IF(ISERROR(getgrade(Broadsheet!AY37,data!$H$4:$I$9)),"#",getgrade(Broadsheet!AY37,data!$H$4:$I$9))</f>
        <v/>
      </c>
      <c r="AZ37" s="188" t="str">
        <f>IF(ISERROR(getgrade(Broadsheet!AZ37,data!$H$4:$I$9)),"#",getgrade(Broadsheet!AZ37,data!$H$4:$I$9))</f>
        <v/>
      </c>
      <c r="BA37" s="188" t="str">
        <f>IF(ISERROR(getgrade(Broadsheet!BA37,data!$H$4:$I$9)),"#",getgrade(Broadsheet!BA37,data!$H$4:$I$9))</f>
        <v/>
      </c>
      <c r="BB37" s="188" t="str">
        <f>IF(ISERROR(getgrade(Broadsheet!BB37,data!$H$4:$I$9)),"#",getgrade(Broadsheet!BB37,data!$H$4:$I$9))</f>
        <v/>
      </c>
      <c r="BC37" s="188" t="str">
        <f>IF(ISERROR(getgrade(Broadsheet!BC37,data!$H$4:$I$9)),"#",getgrade(Broadsheet!BC37,data!$H$4:$I$9))</f>
        <v/>
      </c>
      <c r="BD37" s="188" t="str">
        <f>IF(ISERROR(getgrade(Broadsheet!BD37,data!$H$4:$I$9)),"#",getgrade(Broadsheet!BD37,data!$H$4:$I$9))</f>
        <v/>
      </c>
      <c r="BE37" s="188" t="str">
        <f>IF(ISERROR(getgrade(Broadsheet!BE37,data!$H$4:$I$9)),"#",getgrade(Broadsheet!BE37,data!$H$4:$I$9))</f>
        <v/>
      </c>
      <c r="BF37" s="188" t="str">
        <f>IF(ISERROR(getgrade(Broadsheet!BF37,data!$H$4:$I$9)),"#",getgrade(Broadsheet!BF37,data!$H$4:$I$9))</f>
        <v/>
      </c>
      <c r="BG37" s="188" t="str">
        <f>IF(ISERROR(getgrade(Broadsheet!BG37,data!$H$4:$I$9)),"#",getgrade(Broadsheet!BG37,data!$H$4:$I$9))</f>
        <v/>
      </c>
      <c r="BH37" s="188" t="str">
        <f>IF(ISERROR(getgrade(Broadsheet!BH37,data!$H$4:$I$9)),"#",getgrade(Broadsheet!BH37,data!$H$4:$I$9))</f>
        <v/>
      </c>
      <c r="BI37" s="188" t="str">
        <f>IF(ISERROR(getgrade(Broadsheet!BI37,data!$H$4:$I$9)),"#",getgrade(Broadsheet!BI37,data!$H$4:$I$9))</f>
        <v/>
      </c>
      <c r="BJ37" s="188" t="str">
        <f>IF(ISERROR(getgrade(Broadsheet!BJ37,data!$H$4:$I$9)),"#",getgrade(Broadsheet!BJ37,data!$H$4:$I$9))</f>
        <v/>
      </c>
      <c r="BK37" s="188"/>
      <c r="BL37" s="188"/>
      <c r="BM37" s="188"/>
      <c r="BN37" s="188"/>
      <c r="BO37" s="188"/>
      <c r="BP37" s="188"/>
      <c r="BQ37" s="188"/>
      <c r="BR37" s="188"/>
      <c r="BS37" s="188"/>
      <c r="BT37" s="188"/>
      <c r="BU37" s="188"/>
      <c r="BV37" s="188"/>
      <c r="BW37" s="188"/>
      <c r="BX37" s="188"/>
      <c r="BY37" s="188"/>
      <c r="BZ37" s="188"/>
      <c r="CA37" s="188"/>
      <c r="CB37" s="188"/>
      <c r="CC37" s="188"/>
      <c r="CD37" s="188"/>
      <c r="CE37" s="188"/>
      <c r="CF37" s="188"/>
      <c r="CG37" s="188"/>
      <c r="CH37" s="188"/>
      <c r="CI37" s="188"/>
      <c r="CJ37" s="188"/>
      <c r="CK37" s="188"/>
      <c r="CL37" s="188"/>
      <c r="CM37" s="188"/>
      <c r="CN37" s="188"/>
      <c r="CO37" s="188"/>
      <c r="CP37" s="188"/>
      <c r="CQ37" s="188"/>
      <c r="CR37" s="188"/>
      <c r="CS37" s="188"/>
      <c r="CT37" s="188"/>
      <c r="CU37" s="188"/>
      <c r="CV37" s="188"/>
      <c r="CW37" s="188"/>
      <c r="CX37" s="188"/>
      <c r="CY37" s="188"/>
      <c r="CZ37" s="188"/>
      <c r="DA37" s="188"/>
      <c r="DB37" s="188"/>
      <c r="DC37" s="188"/>
      <c r="DD37" s="188"/>
      <c r="DE37" s="188"/>
      <c r="DF37" s="188"/>
      <c r="DG37" s="188"/>
      <c r="DH37" s="188"/>
      <c r="DI37" s="188"/>
      <c r="DJ37" s="188"/>
      <c r="DK37" s="188"/>
      <c r="DL37" s="188"/>
      <c r="DM37" s="188"/>
      <c r="DN37" s="188"/>
      <c r="DO37" s="188"/>
      <c r="DP37" s="188"/>
      <c r="DQ37" s="188"/>
      <c r="DR37" s="188"/>
      <c r="DS37" s="188"/>
      <c r="DT37" s="188"/>
      <c r="DU37" s="188"/>
      <c r="DV37" s="188"/>
      <c r="DW37" s="188"/>
      <c r="DX37" s="188"/>
      <c r="DY37" s="188"/>
      <c r="DZ37" s="188"/>
      <c r="EA37" s="188"/>
    </row>
    <row r="38" spans="1:131" ht="15.75" x14ac:dyDescent="0.25">
      <c r="A38" s="12">
        <f>Broadsheet!A38</f>
        <v>0</v>
      </c>
      <c r="B38" s="204" t="str">
        <f>IF(Broadsheet!B38="","",Broadsheet!B38)</f>
        <v/>
      </c>
      <c r="C38" s="24" t="str">
        <f>IF(Broadsheet!C38="","",Broadsheet!C38)</f>
        <v xml:space="preserve"> </v>
      </c>
      <c r="D38" s="24"/>
      <c r="E38" s="24"/>
      <c r="F38" s="24"/>
      <c r="G38" s="24" t="str">
        <f t="shared" si="0"/>
        <v/>
      </c>
      <c r="H38" s="188" t="str">
        <f>IF(ISERROR(getgrade(Broadsheet!H38,data!$H$4:$I$9)),"#",getgrade(Broadsheet!H38,data!$H$4:$I$9))</f>
        <v/>
      </c>
      <c r="I38" s="188" t="str">
        <f>IF(ISERROR(getgrade(Broadsheet!I38,data!$H$4:$I$9)),"#",getgrade(Broadsheet!I38,data!$H$4:$I$9))</f>
        <v/>
      </c>
      <c r="J38" s="188" t="str">
        <f>IF(ISERROR(getgrade(Broadsheet!J38,data!$H$4:$I$9)),"#",getgrade(Broadsheet!J38,data!$H$4:$I$9))</f>
        <v/>
      </c>
      <c r="K38" s="188" t="str">
        <f>IF(ISERROR(getgrade(Broadsheet!K38,data!$H$4:$I$9)),"#",getgrade(Broadsheet!K38,data!$H$4:$I$9))</f>
        <v/>
      </c>
      <c r="L38" s="188" t="str">
        <f>IF(ISERROR(getgrade(Broadsheet!L38,data!$H$4:$I$9)),"#",getgrade(Broadsheet!L38,data!$H$4:$I$9))</f>
        <v/>
      </c>
      <c r="M38" s="188" t="str">
        <f>IF(ISERROR(getgrade(Broadsheet!M38,data!$H$4:$I$9)),"#",getgrade(Broadsheet!M38,data!$H$4:$I$9))</f>
        <v/>
      </c>
      <c r="N38" s="188" t="str">
        <f>IF(ISERROR(getgrade(Broadsheet!N38,data!$H$4:$I$9)),"#",getgrade(Broadsheet!N38,data!$H$4:$I$9))</f>
        <v/>
      </c>
      <c r="O38" s="188" t="str">
        <f>IF(ISERROR(getgrade(Broadsheet!O38,data!$H$4:$I$9)),"#",getgrade(Broadsheet!O38,data!$H$4:$I$9))</f>
        <v/>
      </c>
      <c r="P38" s="188" t="str">
        <f>IF(ISERROR(getgrade(Broadsheet!P38,data!$H$4:$I$9)),"#",getgrade(Broadsheet!P38,data!$H$4:$I$9))</f>
        <v/>
      </c>
      <c r="Q38" s="188" t="str">
        <f>IF(ISERROR(getgrade(Broadsheet!Q38,data!$H$4:$I$9)),"#",getgrade(Broadsheet!Q38,data!$H$4:$I$9))</f>
        <v/>
      </c>
      <c r="R38" s="188" t="str">
        <f>IF(ISERROR(getgrade(Broadsheet!R38,data!$H$4:$I$9)),"#",getgrade(Broadsheet!R38,data!$H$4:$I$9))</f>
        <v/>
      </c>
      <c r="S38" s="188" t="str">
        <f>IF(ISERROR(getgrade(Broadsheet!S38,data!$H$4:$I$9)),"#",getgrade(Broadsheet!S38,data!$H$4:$I$9))</f>
        <v/>
      </c>
      <c r="T38" s="188" t="str">
        <f>IF(ISERROR(getgrade(Broadsheet!T38,data!$H$4:$I$9)),"#",getgrade(Broadsheet!T38,data!$H$4:$I$9))</f>
        <v/>
      </c>
      <c r="U38" s="188" t="str">
        <f>IF(ISERROR(getgrade(Broadsheet!U38,data!$H$4:$I$9)),"#",getgrade(Broadsheet!U38,data!$H$4:$I$9))</f>
        <v/>
      </c>
      <c r="V38" s="188" t="str">
        <f>IF(ISERROR(getgrade(Broadsheet!V38,data!$H$4:$I$9)),"#",getgrade(Broadsheet!V38,data!$H$4:$I$9))</f>
        <v/>
      </c>
      <c r="W38" s="188" t="str">
        <f>IF(ISERROR(getgrade(Broadsheet!W38,data!$H$4:$I$9)),"#",getgrade(Broadsheet!W38,data!$H$4:$I$9))</f>
        <v/>
      </c>
      <c r="X38" s="188" t="str">
        <f>IF(ISERROR(getgrade(Broadsheet!X38,data!$H$4:$I$9)),"#",getgrade(Broadsheet!X38,data!$H$4:$I$9))</f>
        <v/>
      </c>
      <c r="Y38" s="188" t="str">
        <f>IF(ISERROR(getgrade(Broadsheet!Y38,data!$H$4:$I$9)),"#",getgrade(Broadsheet!Y38,data!$H$4:$I$9))</f>
        <v/>
      </c>
      <c r="Z38" s="188" t="str">
        <f>IF(ISERROR(getgrade(Broadsheet!Z38,data!$H$4:$I$9)),"#",getgrade(Broadsheet!Z38,data!$H$4:$I$9))</f>
        <v/>
      </c>
      <c r="AA38" s="188" t="str">
        <f>IF(ISERROR(getgrade(Broadsheet!AA38,data!$H$4:$I$9)),"#",getgrade(Broadsheet!AA38,data!$H$4:$I$9))</f>
        <v/>
      </c>
      <c r="AB38" s="188" t="str">
        <f>IF(ISERROR(getgrade(Broadsheet!AB38,data!$H$4:$I$9)),"#",getgrade(Broadsheet!AB38,data!$H$4:$I$9))</f>
        <v/>
      </c>
      <c r="AC38" s="188" t="str">
        <f>IF(ISERROR(getgrade(Broadsheet!AC38,data!$H$4:$I$9)),"#",getgrade(Broadsheet!AC38,data!$H$4:$I$9))</f>
        <v/>
      </c>
      <c r="AD38" s="188" t="str">
        <f>IF(ISERROR(getgrade(Broadsheet!AD38,data!$H$4:$I$9)),"#",getgrade(Broadsheet!AD38,data!$H$4:$I$9))</f>
        <v/>
      </c>
      <c r="AE38" s="188" t="str">
        <f>IF(ISERROR(getgrade(Broadsheet!AE38,data!$H$4:$I$9)),"#",getgrade(Broadsheet!AE38,data!$H$4:$I$9))</f>
        <v/>
      </c>
      <c r="AF38" s="188" t="str">
        <f>IF(ISERROR(getgrade(Broadsheet!AF38,data!$H$4:$I$9)),"#",getgrade(Broadsheet!AF38,data!$H$4:$I$9))</f>
        <v/>
      </c>
      <c r="AG38" s="188" t="str">
        <f>IF(ISERROR(getgrade(Broadsheet!AG38,data!$H$4:$I$9)),"#",getgrade(Broadsheet!AG38,data!$H$4:$I$9))</f>
        <v/>
      </c>
      <c r="AH38" s="188" t="str">
        <f>IF(ISERROR(getgrade(Broadsheet!AH38,data!$H$4:$I$9)),"#",getgrade(Broadsheet!AH38,data!$H$4:$I$9))</f>
        <v/>
      </c>
      <c r="AI38" s="188" t="str">
        <f>IF(ISERROR(getgrade(Broadsheet!AI38,data!$H$4:$I$9)),"#",getgrade(Broadsheet!AI38,data!$H$4:$I$9))</f>
        <v/>
      </c>
      <c r="AJ38" s="188" t="str">
        <f>IF(ISERROR(getgrade(Broadsheet!AJ38,data!$H$4:$I$9)),"#",getgrade(Broadsheet!AJ38,data!$H$4:$I$9))</f>
        <v/>
      </c>
      <c r="AK38" s="188" t="str">
        <f>IF(ISERROR(getgrade(Broadsheet!AK38,data!$H$4:$I$9)),"#",getgrade(Broadsheet!AK38,data!$H$4:$I$9))</f>
        <v/>
      </c>
      <c r="AL38" s="188" t="str">
        <f>IF(ISERROR(getgrade(Broadsheet!AL38,data!$H$4:$I$9)),"#",getgrade(Broadsheet!AL38,data!$H$4:$I$9))</f>
        <v/>
      </c>
      <c r="AM38" s="188" t="str">
        <f>IF(ISERROR(getgrade(Broadsheet!AM38,data!$H$4:$I$9)),"#",getgrade(Broadsheet!AM38,data!$H$4:$I$9))</f>
        <v/>
      </c>
      <c r="AN38" s="188" t="str">
        <f>IF(ISERROR(getgrade(Broadsheet!AN38,data!$H$4:$I$9)),"#",getgrade(Broadsheet!AN38,data!$H$4:$I$9))</f>
        <v/>
      </c>
      <c r="AO38" s="188" t="str">
        <f>IF(ISERROR(getgrade(Broadsheet!AO38,data!$H$4:$I$9)),"#",getgrade(Broadsheet!AO38,data!$H$4:$I$9))</f>
        <v/>
      </c>
      <c r="AP38" s="188" t="str">
        <f>IF(ISERROR(getgrade(Broadsheet!AP38,data!$H$4:$I$9)),"#",getgrade(Broadsheet!AP38,data!$H$4:$I$9))</f>
        <v/>
      </c>
      <c r="AQ38" s="188" t="str">
        <f>IF(ISERROR(getgrade(Broadsheet!AQ38,data!$H$4:$I$9)),"#",getgrade(Broadsheet!AQ38,data!$H$4:$I$9))</f>
        <v/>
      </c>
      <c r="AR38" s="188" t="str">
        <f>IF(ISERROR(getgrade(Broadsheet!AR38,data!$H$4:$I$9)),"#",getgrade(Broadsheet!AR38,data!$H$4:$I$9))</f>
        <v/>
      </c>
      <c r="AS38" s="188" t="str">
        <f>IF(ISERROR(getgrade(Broadsheet!AS38,data!$H$4:$I$9)),"#",getgrade(Broadsheet!AS38,data!$H$4:$I$9))</f>
        <v/>
      </c>
      <c r="AT38" s="188" t="str">
        <f>IF(ISERROR(getgrade(Broadsheet!AT38,data!$H$4:$I$9)),"#",getgrade(Broadsheet!AT38,data!$H$4:$I$9))</f>
        <v/>
      </c>
      <c r="AU38" s="188" t="str">
        <f>IF(ISERROR(getgrade(Broadsheet!AU38,data!$H$4:$I$9)),"#",getgrade(Broadsheet!AU38,data!$H$4:$I$9))</f>
        <v/>
      </c>
      <c r="AV38" s="188" t="str">
        <f>IF(ISERROR(getgrade(Broadsheet!AV38,data!$H$4:$I$9)),"#",getgrade(Broadsheet!AV38,data!$H$4:$I$9))</f>
        <v/>
      </c>
      <c r="AW38" s="188" t="str">
        <f>IF(ISERROR(getgrade(Broadsheet!AW38,data!$H$4:$I$9)),"#",getgrade(Broadsheet!AW38,data!$H$4:$I$9))</f>
        <v/>
      </c>
      <c r="AX38" s="188" t="str">
        <f>IF(ISERROR(getgrade(Broadsheet!AX38,data!$H$4:$I$9)),"#",getgrade(Broadsheet!AX38,data!$H$4:$I$9))</f>
        <v/>
      </c>
      <c r="AY38" s="188" t="str">
        <f>IF(ISERROR(getgrade(Broadsheet!AY38,data!$H$4:$I$9)),"#",getgrade(Broadsheet!AY38,data!$H$4:$I$9))</f>
        <v/>
      </c>
      <c r="AZ38" s="188" t="str">
        <f>IF(ISERROR(getgrade(Broadsheet!AZ38,data!$H$4:$I$9)),"#",getgrade(Broadsheet!AZ38,data!$H$4:$I$9))</f>
        <v/>
      </c>
      <c r="BA38" s="188" t="str">
        <f>IF(ISERROR(getgrade(Broadsheet!BA38,data!$H$4:$I$9)),"#",getgrade(Broadsheet!BA38,data!$H$4:$I$9))</f>
        <v/>
      </c>
      <c r="BB38" s="188" t="str">
        <f>IF(ISERROR(getgrade(Broadsheet!BB38,data!$H$4:$I$9)),"#",getgrade(Broadsheet!BB38,data!$H$4:$I$9))</f>
        <v/>
      </c>
      <c r="BC38" s="188" t="str">
        <f>IF(ISERROR(getgrade(Broadsheet!BC38,data!$H$4:$I$9)),"#",getgrade(Broadsheet!BC38,data!$H$4:$I$9))</f>
        <v/>
      </c>
      <c r="BD38" s="188" t="str">
        <f>IF(ISERROR(getgrade(Broadsheet!BD38,data!$H$4:$I$9)),"#",getgrade(Broadsheet!BD38,data!$H$4:$I$9))</f>
        <v/>
      </c>
      <c r="BE38" s="188" t="str">
        <f>IF(ISERROR(getgrade(Broadsheet!BE38,data!$H$4:$I$9)),"#",getgrade(Broadsheet!BE38,data!$H$4:$I$9))</f>
        <v/>
      </c>
      <c r="BF38" s="188" t="str">
        <f>IF(ISERROR(getgrade(Broadsheet!BF38,data!$H$4:$I$9)),"#",getgrade(Broadsheet!BF38,data!$H$4:$I$9))</f>
        <v/>
      </c>
      <c r="BG38" s="188" t="str">
        <f>IF(ISERROR(getgrade(Broadsheet!BG38,data!$H$4:$I$9)),"#",getgrade(Broadsheet!BG38,data!$H$4:$I$9))</f>
        <v/>
      </c>
      <c r="BH38" s="188" t="str">
        <f>IF(ISERROR(getgrade(Broadsheet!BH38,data!$H$4:$I$9)),"#",getgrade(Broadsheet!BH38,data!$H$4:$I$9))</f>
        <v/>
      </c>
      <c r="BI38" s="188" t="str">
        <f>IF(ISERROR(getgrade(Broadsheet!BI38,data!$H$4:$I$9)),"#",getgrade(Broadsheet!BI38,data!$H$4:$I$9))</f>
        <v/>
      </c>
      <c r="BJ38" s="188" t="str">
        <f>IF(ISERROR(getgrade(Broadsheet!BJ38,data!$H$4:$I$9)),"#",getgrade(Broadsheet!BJ38,data!$H$4:$I$9))</f>
        <v/>
      </c>
      <c r="BK38" s="188"/>
      <c r="BL38" s="188"/>
      <c r="BM38" s="188"/>
      <c r="BN38" s="188"/>
      <c r="BO38" s="188"/>
      <c r="BP38" s="188"/>
      <c r="BQ38" s="188"/>
      <c r="BR38" s="188"/>
      <c r="BS38" s="188"/>
      <c r="BT38" s="188"/>
      <c r="BU38" s="188"/>
      <c r="BV38" s="188"/>
      <c r="BW38" s="188"/>
      <c r="BX38" s="188"/>
      <c r="BY38" s="188"/>
      <c r="BZ38" s="188"/>
      <c r="CA38" s="188"/>
      <c r="CB38" s="188"/>
      <c r="CC38" s="188"/>
      <c r="CD38" s="188"/>
      <c r="CE38" s="188"/>
      <c r="CF38" s="188"/>
      <c r="CG38" s="188"/>
      <c r="CH38" s="188"/>
      <c r="CI38" s="188"/>
      <c r="CJ38" s="188"/>
      <c r="CK38" s="188"/>
      <c r="CL38" s="188"/>
      <c r="CM38" s="188"/>
      <c r="CN38" s="188"/>
      <c r="CO38" s="188"/>
      <c r="CP38" s="188"/>
      <c r="CQ38" s="188"/>
      <c r="CR38" s="188"/>
      <c r="CS38" s="188"/>
      <c r="CT38" s="188"/>
      <c r="CU38" s="188"/>
      <c r="CV38" s="188"/>
      <c r="CW38" s="188"/>
      <c r="CX38" s="188"/>
      <c r="CY38" s="188"/>
      <c r="CZ38" s="188"/>
      <c r="DA38" s="188"/>
      <c r="DB38" s="188"/>
      <c r="DC38" s="188"/>
      <c r="DD38" s="188"/>
      <c r="DE38" s="188"/>
      <c r="DF38" s="188"/>
      <c r="DG38" s="188"/>
      <c r="DH38" s="188"/>
      <c r="DI38" s="188"/>
      <c r="DJ38" s="188"/>
      <c r="DK38" s="188"/>
      <c r="DL38" s="188"/>
      <c r="DM38" s="188"/>
      <c r="DN38" s="188"/>
      <c r="DO38" s="188"/>
      <c r="DP38" s="188"/>
      <c r="DQ38" s="188"/>
      <c r="DR38" s="188"/>
      <c r="DS38" s="188"/>
      <c r="DT38" s="188"/>
      <c r="DU38" s="188"/>
      <c r="DV38" s="188"/>
      <c r="DW38" s="188"/>
      <c r="DX38" s="188"/>
      <c r="DY38" s="188"/>
      <c r="DZ38" s="188"/>
      <c r="EA38" s="188"/>
    </row>
    <row r="39" spans="1:131" ht="15.75" x14ac:dyDescent="0.25">
      <c r="A39" s="12">
        <f>Broadsheet!A39</f>
        <v>0</v>
      </c>
      <c r="B39" s="204" t="str">
        <f>IF(Broadsheet!B39="","",Broadsheet!B39)</f>
        <v/>
      </c>
      <c r="C39" s="24" t="str">
        <f>IF(Broadsheet!C39="","",Broadsheet!C39)</f>
        <v xml:space="preserve"> </v>
      </c>
      <c r="D39" s="24"/>
      <c r="E39" s="24"/>
      <c r="F39" s="24"/>
      <c r="G39" s="24" t="str">
        <f t="shared" si="0"/>
        <v/>
      </c>
      <c r="H39" s="188" t="str">
        <f>IF(ISERROR(getgrade(Broadsheet!H39,data!$H$4:$I$9)),"#",getgrade(Broadsheet!H39,data!$H$4:$I$9))</f>
        <v/>
      </c>
      <c r="I39" s="188" t="str">
        <f>IF(ISERROR(getgrade(Broadsheet!I39,data!$H$4:$I$9)),"#",getgrade(Broadsheet!I39,data!$H$4:$I$9))</f>
        <v/>
      </c>
      <c r="J39" s="188" t="str">
        <f>IF(ISERROR(getgrade(Broadsheet!J39,data!$H$4:$I$9)),"#",getgrade(Broadsheet!J39,data!$H$4:$I$9))</f>
        <v/>
      </c>
      <c r="K39" s="188" t="str">
        <f>IF(ISERROR(getgrade(Broadsheet!K39,data!$H$4:$I$9)),"#",getgrade(Broadsheet!K39,data!$H$4:$I$9))</f>
        <v/>
      </c>
      <c r="L39" s="188" t="str">
        <f>IF(ISERROR(getgrade(Broadsheet!L39,data!$H$4:$I$9)),"#",getgrade(Broadsheet!L39,data!$H$4:$I$9))</f>
        <v/>
      </c>
      <c r="M39" s="188" t="str">
        <f>IF(ISERROR(getgrade(Broadsheet!M39,data!$H$4:$I$9)),"#",getgrade(Broadsheet!M39,data!$H$4:$I$9))</f>
        <v/>
      </c>
      <c r="N39" s="188" t="str">
        <f>IF(ISERROR(getgrade(Broadsheet!N39,data!$H$4:$I$9)),"#",getgrade(Broadsheet!N39,data!$H$4:$I$9))</f>
        <v/>
      </c>
      <c r="O39" s="188" t="str">
        <f>IF(ISERROR(getgrade(Broadsheet!O39,data!$H$4:$I$9)),"#",getgrade(Broadsheet!O39,data!$H$4:$I$9))</f>
        <v/>
      </c>
      <c r="P39" s="188" t="str">
        <f>IF(ISERROR(getgrade(Broadsheet!P39,data!$H$4:$I$9)),"#",getgrade(Broadsheet!P39,data!$H$4:$I$9))</f>
        <v/>
      </c>
      <c r="Q39" s="188" t="str">
        <f>IF(ISERROR(getgrade(Broadsheet!Q39,data!$H$4:$I$9)),"#",getgrade(Broadsheet!Q39,data!$H$4:$I$9))</f>
        <v/>
      </c>
      <c r="R39" s="188" t="str">
        <f>IF(ISERROR(getgrade(Broadsheet!R39,data!$H$4:$I$9)),"#",getgrade(Broadsheet!R39,data!$H$4:$I$9))</f>
        <v/>
      </c>
      <c r="S39" s="188" t="str">
        <f>IF(ISERROR(getgrade(Broadsheet!S39,data!$H$4:$I$9)),"#",getgrade(Broadsheet!S39,data!$H$4:$I$9))</f>
        <v/>
      </c>
      <c r="T39" s="188" t="str">
        <f>IF(ISERROR(getgrade(Broadsheet!T39,data!$H$4:$I$9)),"#",getgrade(Broadsheet!T39,data!$H$4:$I$9))</f>
        <v/>
      </c>
      <c r="U39" s="188" t="str">
        <f>IF(ISERROR(getgrade(Broadsheet!U39,data!$H$4:$I$9)),"#",getgrade(Broadsheet!U39,data!$H$4:$I$9))</f>
        <v/>
      </c>
      <c r="V39" s="188" t="str">
        <f>IF(ISERROR(getgrade(Broadsheet!V39,data!$H$4:$I$9)),"#",getgrade(Broadsheet!V39,data!$H$4:$I$9))</f>
        <v/>
      </c>
      <c r="W39" s="188" t="str">
        <f>IF(ISERROR(getgrade(Broadsheet!W39,data!$H$4:$I$9)),"#",getgrade(Broadsheet!W39,data!$H$4:$I$9))</f>
        <v/>
      </c>
      <c r="X39" s="188" t="str">
        <f>IF(ISERROR(getgrade(Broadsheet!X39,data!$H$4:$I$9)),"#",getgrade(Broadsheet!X39,data!$H$4:$I$9))</f>
        <v/>
      </c>
      <c r="Y39" s="188" t="str">
        <f>IF(ISERROR(getgrade(Broadsheet!Y39,data!$H$4:$I$9)),"#",getgrade(Broadsheet!Y39,data!$H$4:$I$9))</f>
        <v/>
      </c>
      <c r="Z39" s="188" t="str">
        <f>IF(ISERROR(getgrade(Broadsheet!Z39,data!$H$4:$I$9)),"#",getgrade(Broadsheet!Z39,data!$H$4:$I$9))</f>
        <v/>
      </c>
      <c r="AA39" s="188" t="str">
        <f>IF(ISERROR(getgrade(Broadsheet!AA39,data!$H$4:$I$9)),"#",getgrade(Broadsheet!AA39,data!$H$4:$I$9))</f>
        <v/>
      </c>
      <c r="AB39" s="188" t="str">
        <f>IF(ISERROR(getgrade(Broadsheet!AB39,data!$H$4:$I$9)),"#",getgrade(Broadsheet!AB39,data!$H$4:$I$9))</f>
        <v/>
      </c>
      <c r="AC39" s="188" t="str">
        <f>IF(ISERROR(getgrade(Broadsheet!AC39,data!$H$4:$I$9)),"#",getgrade(Broadsheet!AC39,data!$H$4:$I$9))</f>
        <v/>
      </c>
      <c r="AD39" s="188" t="str">
        <f>IF(ISERROR(getgrade(Broadsheet!AD39,data!$H$4:$I$9)),"#",getgrade(Broadsheet!AD39,data!$H$4:$I$9))</f>
        <v/>
      </c>
      <c r="AE39" s="188" t="str">
        <f>IF(ISERROR(getgrade(Broadsheet!AE39,data!$H$4:$I$9)),"#",getgrade(Broadsheet!AE39,data!$H$4:$I$9))</f>
        <v/>
      </c>
      <c r="AF39" s="188" t="str">
        <f>IF(ISERROR(getgrade(Broadsheet!AF39,data!$H$4:$I$9)),"#",getgrade(Broadsheet!AF39,data!$H$4:$I$9))</f>
        <v/>
      </c>
      <c r="AG39" s="188" t="str">
        <f>IF(ISERROR(getgrade(Broadsheet!AG39,data!$H$4:$I$9)),"#",getgrade(Broadsheet!AG39,data!$H$4:$I$9))</f>
        <v/>
      </c>
      <c r="AH39" s="188" t="str">
        <f>IF(ISERROR(getgrade(Broadsheet!AH39,data!$H$4:$I$9)),"#",getgrade(Broadsheet!AH39,data!$H$4:$I$9))</f>
        <v/>
      </c>
      <c r="AI39" s="188" t="str">
        <f>IF(ISERROR(getgrade(Broadsheet!AI39,data!$H$4:$I$9)),"#",getgrade(Broadsheet!AI39,data!$H$4:$I$9))</f>
        <v/>
      </c>
      <c r="AJ39" s="188" t="str">
        <f>IF(ISERROR(getgrade(Broadsheet!AJ39,data!$H$4:$I$9)),"#",getgrade(Broadsheet!AJ39,data!$H$4:$I$9))</f>
        <v/>
      </c>
      <c r="AK39" s="188" t="str">
        <f>IF(ISERROR(getgrade(Broadsheet!AK39,data!$H$4:$I$9)),"#",getgrade(Broadsheet!AK39,data!$H$4:$I$9))</f>
        <v/>
      </c>
      <c r="AL39" s="188" t="str">
        <f>IF(ISERROR(getgrade(Broadsheet!AL39,data!$H$4:$I$9)),"#",getgrade(Broadsheet!AL39,data!$H$4:$I$9))</f>
        <v/>
      </c>
      <c r="AM39" s="188" t="str">
        <f>IF(ISERROR(getgrade(Broadsheet!AM39,data!$H$4:$I$9)),"#",getgrade(Broadsheet!AM39,data!$H$4:$I$9))</f>
        <v/>
      </c>
      <c r="AN39" s="188" t="str">
        <f>IF(ISERROR(getgrade(Broadsheet!AN39,data!$H$4:$I$9)),"#",getgrade(Broadsheet!AN39,data!$H$4:$I$9))</f>
        <v/>
      </c>
      <c r="AO39" s="188" t="str">
        <f>IF(ISERROR(getgrade(Broadsheet!AO39,data!$H$4:$I$9)),"#",getgrade(Broadsheet!AO39,data!$H$4:$I$9))</f>
        <v/>
      </c>
      <c r="AP39" s="188" t="str">
        <f>IF(ISERROR(getgrade(Broadsheet!AP39,data!$H$4:$I$9)),"#",getgrade(Broadsheet!AP39,data!$H$4:$I$9))</f>
        <v/>
      </c>
      <c r="AQ39" s="188" t="str">
        <f>IF(ISERROR(getgrade(Broadsheet!AQ39,data!$H$4:$I$9)),"#",getgrade(Broadsheet!AQ39,data!$H$4:$I$9))</f>
        <v/>
      </c>
      <c r="AR39" s="188" t="str">
        <f>IF(ISERROR(getgrade(Broadsheet!AR39,data!$H$4:$I$9)),"#",getgrade(Broadsheet!AR39,data!$H$4:$I$9))</f>
        <v/>
      </c>
      <c r="AS39" s="188" t="str">
        <f>IF(ISERROR(getgrade(Broadsheet!AS39,data!$H$4:$I$9)),"#",getgrade(Broadsheet!AS39,data!$H$4:$I$9))</f>
        <v/>
      </c>
      <c r="AT39" s="188" t="str">
        <f>IF(ISERROR(getgrade(Broadsheet!AT39,data!$H$4:$I$9)),"#",getgrade(Broadsheet!AT39,data!$H$4:$I$9))</f>
        <v/>
      </c>
      <c r="AU39" s="188" t="str">
        <f>IF(ISERROR(getgrade(Broadsheet!AU39,data!$H$4:$I$9)),"#",getgrade(Broadsheet!AU39,data!$H$4:$I$9))</f>
        <v/>
      </c>
      <c r="AV39" s="188" t="str">
        <f>IF(ISERROR(getgrade(Broadsheet!AV39,data!$H$4:$I$9)),"#",getgrade(Broadsheet!AV39,data!$H$4:$I$9))</f>
        <v/>
      </c>
      <c r="AW39" s="188" t="str">
        <f>IF(ISERROR(getgrade(Broadsheet!AW39,data!$H$4:$I$9)),"#",getgrade(Broadsheet!AW39,data!$H$4:$I$9))</f>
        <v/>
      </c>
      <c r="AX39" s="188" t="str">
        <f>IF(ISERROR(getgrade(Broadsheet!AX39,data!$H$4:$I$9)),"#",getgrade(Broadsheet!AX39,data!$H$4:$I$9))</f>
        <v/>
      </c>
      <c r="AY39" s="188" t="str">
        <f>IF(ISERROR(getgrade(Broadsheet!AY39,data!$H$4:$I$9)),"#",getgrade(Broadsheet!AY39,data!$H$4:$I$9))</f>
        <v/>
      </c>
      <c r="AZ39" s="188" t="str">
        <f>IF(ISERROR(getgrade(Broadsheet!AZ39,data!$H$4:$I$9)),"#",getgrade(Broadsheet!AZ39,data!$H$4:$I$9))</f>
        <v/>
      </c>
      <c r="BA39" s="188" t="str">
        <f>IF(ISERROR(getgrade(Broadsheet!BA39,data!$H$4:$I$9)),"#",getgrade(Broadsheet!BA39,data!$H$4:$I$9))</f>
        <v/>
      </c>
      <c r="BB39" s="188" t="str">
        <f>IF(ISERROR(getgrade(Broadsheet!BB39,data!$H$4:$I$9)),"#",getgrade(Broadsheet!BB39,data!$H$4:$I$9))</f>
        <v/>
      </c>
      <c r="BC39" s="188" t="str">
        <f>IF(ISERROR(getgrade(Broadsheet!BC39,data!$H$4:$I$9)),"#",getgrade(Broadsheet!BC39,data!$H$4:$I$9))</f>
        <v/>
      </c>
      <c r="BD39" s="188" t="str">
        <f>IF(ISERROR(getgrade(Broadsheet!BD39,data!$H$4:$I$9)),"#",getgrade(Broadsheet!BD39,data!$H$4:$I$9))</f>
        <v/>
      </c>
      <c r="BE39" s="188" t="str">
        <f>IF(ISERROR(getgrade(Broadsheet!BE39,data!$H$4:$I$9)),"#",getgrade(Broadsheet!BE39,data!$H$4:$I$9))</f>
        <v/>
      </c>
      <c r="BF39" s="188" t="str">
        <f>IF(ISERROR(getgrade(Broadsheet!BF39,data!$H$4:$I$9)),"#",getgrade(Broadsheet!BF39,data!$H$4:$I$9))</f>
        <v/>
      </c>
      <c r="BG39" s="188" t="str">
        <f>IF(ISERROR(getgrade(Broadsheet!BG39,data!$H$4:$I$9)),"#",getgrade(Broadsheet!BG39,data!$H$4:$I$9))</f>
        <v/>
      </c>
      <c r="BH39" s="188" t="str">
        <f>IF(ISERROR(getgrade(Broadsheet!BH39,data!$H$4:$I$9)),"#",getgrade(Broadsheet!BH39,data!$H$4:$I$9))</f>
        <v/>
      </c>
      <c r="BI39" s="188" t="str">
        <f>IF(ISERROR(getgrade(Broadsheet!BI39,data!$H$4:$I$9)),"#",getgrade(Broadsheet!BI39,data!$H$4:$I$9))</f>
        <v/>
      </c>
      <c r="BJ39" s="188" t="str">
        <f>IF(ISERROR(getgrade(Broadsheet!BJ39,data!$H$4:$I$9)),"#",getgrade(Broadsheet!BJ39,data!$H$4:$I$9))</f>
        <v/>
      </c>
      <c r="BK39" s="188"/>
      <c r="BL39" s="188"/>
      <c r="BM39" s="188"/>
      <c r="BN39" s="188"/>
      <c r="BO39" s="188"/>
      <c r="BP39" s="188"/>
      <c r="BQ39" s="188"/>
      <c r="BR39" s="188"/>
      <c r="BS39" s="188"/>
      <c r="BT39" s="188"/>
      <c r="BU39" s="188"/>
      <c r="BV39" s="188"/>
      <c r="BW39" s="188"/>
      <c r="BX39" s="188"/>
      <c r="BY39" s="188"/>
      <c r="BZ39" s="188"/>
      <c r="CA39" s="188"/>
      <c r="CB39" s="188"/>
      <c r="CC39" s="188"/>
      <c r="CD39" s="188"/>
      <c r="CE39" s="188"/>
      <c r="CF39" s="188"/>
      <c r="CG39" s="188"/>
      <c r="CH39" s="188"/>
      <c r="CI39" s="188"/>
      <c r="CJ39" s="188"/>
      <c r="CK39" s="188"/>
      <c r="CL39" s="188"/>
      <c r="CM39" s="188"/>
      <c r="CN39" s="188"/>
      <c r="CO39" s="188"/>
      <c r="CP39" s="188"/>
      <c r="CQ39" s="188"/>
      <c r="CR39" s="188"/>
      <c r="CS39" s="188"/>
      <c r="CT39" s="188"/>
      <c r="CU39" s="188"/>
      <c r="CV39" s="188"/>
      <c r="CW39" s="188"/>
      <c r="CX39" s="188"/>
      <c r="CY39" s="188"/>
      <c r="CZ39" s="188"/>
      <c r="DA39" s="188"/>
      <c r="DB39" s="188"/>
      <c r="DC39" s="188"/>
      <c r="DD39" s="188"/>
      <c r="DE39" s="188"/>
      <c r="DF39" s="188"/>
      <c r="DG39" s="188"/>
      <c r="DH39" s="188"/>
      <c r="DI39" s="188"/>
      <c r="DJ39" s="188"/>
      <c r="DK39" s="188"/>
      <c r="DL39" s="188"/>
      <c r="DM39" s="188"/>
      <c r="DN39" s="188"/>
      <c r="DO39" s="188"/>
      <c r="DP39" s="188"/>
      <c r="DQ39" s="188"/>
      <c r="DR39" s="188"/>
      <c r="DS39" s="188"/>
      <c r="DT39" s="188"/>
      <c r="DU39" s="188"/>
      <c r="DV39" s="188"/>
      <c r="DW39" s="188"/>
      <c r="DX39" s="188"/>
      <c r="DY39" s="188"/>
      <c r="DZ39" s="188"/>
      <c r="EA39" s="188"/>
    </row>
    <row r="40" spans="1:131" ht="15.75" x14ac:dyDescent="0.25">
      <c r="A40" s="12">
        <f>Broadsheet!A40</f>
        <v>0</v>
      </c>
      <c r="B40" s="204" t="str">
        <f>IF(Broadsheet!B40="","",Broadsheet!B40)</f>
        <v/>
      </c>
      <c r="C40" s="24" t="str">
        <f>IF(Broadsheet!C40="","",Broadsheet!C40)</f>
        <v xml:space="preserve"> </v>
      </c>
      <c r="D40" s="24"/>
      <c r="E40" s="24"/>
      <c r="F40" s="24"/>
      <c r="G40" s="24" t="str">
        <f t="shared" si="0"/>
        <v/>
      </c>
      <c r="H40" s="188" t="str">
        <f>IF(ISERROR(getgrade(Broadsheet!H40,data!$H$4:$I$9)),"#",getgrade(Broadsheet!H40,data!$H$4:$I$9))</f>
        <v/>
      </c>
      <c r="I40" s="188" t="str">
        <f>IF(ISERROR(getgrade(Broadsheet!I40,data!$H$4:$I$9)),"#",getgrade(Broadsheet!I40,data!$H$4:$I$9))</f>
        <v/>
      </c>
      <c r="J40" s="188" t="str">
        <f>IF(ISERROR(getgrade(Broadsheet!J40,data!$H$4:$I$9)),"#",getgrade(Broadsheet!J40,data!$H$4:$I$9))</f>
        <v/>
      </c>
      <c r="K40" s="188" t="str">
        <f>IF(ISERROR(getgrade(Broadsheet!K40,data!$H$4:$I$9)),"#",getgrade(Broadsheet!K40,data!$H$4:$I$9))</f>
        <v/>
      </c>
      <c r="L40" s="188" t="str">
        <f>IF(ISERROR(getgrade(Broadsheet!L40,data!$H$4:$I$9)),"#",getgrade(Broadsheet!L40,data!$H$4:$I$9))</f>
        <v/>
      </c>
      <c r="M40" s="188" t="str">
        <f>IF(ISERROR(getgrade(Broadsheet!M40,data!$H$4:$I$9)),"#",getgrade(Broadsheet!M40,data!$H$4:$I$9))</f>
        <v/>
      </c>
      <c r="N40" s="188" t="str">
        <f>IF(ISERROR(getgrade(Broadsheet!N40,data!$H$4:$I$9)),"#",getgrade(Broadsheet!N40,data!$H$4:$I$9))</f>
        <v/>
      </c>
      <c r="O40" s="188" t="str">
        <f>IF(ISERROR(getgrade(Broadsheet!O40,data!$H$4:$I$9)),"#",getgrade(Broadsheet!O40,data!$H$4:$I$9))</f>
        <v/>
      </c>
      <c r="P40" s="188" t="str">
        <f>IF(ISERROR(getgrade(Broadsheet!P40,data!$H$4:$I$9)),"#",getgrade(Broadsheet!P40,data!$H$4:$I$9))</f>
        <v/>
      </c>
      <c r="Q40" s="188" t="str">
        <f>IF(ISERROR(getgrade(Broadsheet!Q40,data!$H$4:$I$9)),"#",getgrade(Broadsheet!Q40,data!$H$4:$I$9))</f>
        <v/>
      </c>
      <c r="R40" s="188" t="str">
        <f>IF(ISERROR(getgrade(Broadsheet!R40,data!$H$4:$I$9)),"#",getgrade(Broadsheet!R40,data!$H$4:$I$9))</f>
        <v/>
      </c>
      <c r="S40" s="188" t="str">
        <f>IF(ISERROR(getgrade(Broadsheet!S40,data!$H$4:$I$9)),"#",getgrade(Broadsheet!S40,data!$H$4:$I$9))</f>
        <v/>
      </c>
      <c r="T40" s="188" t="str">
        <f>IF(ISERROR(getgrade(Broadsheet!T40,data!$H$4:$I$9)),"#",getgrade(Broadsheet!T40,data!$H$4:$I$9))</f>
        <v/>
      </c>
      <c r="U40" s="188" t="str">
        <f>IF(ISERROR(getgrade(Broadsheet!U40,data!$H$4:$I$9)),"#",getgrade(Broadsheet!U40,data!$H$4:$I$9))</f>
        <v/>
      </c>
      <c r="V40" s="188" t="str">
        <f>IF(ISERROR(getgrade(Broadsheet!V40,data!$H$4:$I$9)),"#",getgrade(Broadsheet!V40,data!$H$4:$I$9))</f>
        <v/>
      </c>
      <c r="W40" s="188" t="str">
        <f>IF(ISERROR(getgrade(Broadsheet!W40,data!$H$4:$I$9)),"#",getgrade(Broadsheet!W40,data!$H$4:$I$9))</f>
        <v/>
      </c>
      <c r="X40" s="188" t="str">
        <f>IF(ISERROR(getgrade(Broadsheet!X40,data!$H$4:$I$9)),"#",getgrade(Broadsheet!X40,data!$H$4:$I$9))</f>
        <v/>
      </c>
      <c r="Y40" s="188" t="str">
        <f>IF(ISERROR(getgrade(Broadsheet!Y40,data!$H$4:$I$9)),"#",getgrade(Broadsheet!Y40,data!$H$4:$I$9))</f>
        <v/>
      </c>
      <c r="Z40" s="188" t="str">
        <f>IF(ISERROR(getgrade(Broadsheet!Z40,data!$H$4:$I$9)),"#",getgrade(Broadsheet!Z40,data!$H$4:$I$9))</f>
        <v/>
      </c>
      <c r="AA40" s="188" t="str">
        <f>IF(ISERROR(getgrade(Broadsheet!AA40,data!$H$4:$I$9)),"#",getgrade(Broadsheet!AA40,data!$H$4:$I$9))</f>
        <v/>
      </c>
      <c r="AB40" s="188" t="str">
        <f>IF(ISERROR(getgrade(Broadsheet!AB40,data!$H$4:$I$9)),"#",getgrade(Broadsheet!AB40,data!$H$4:$I$9))</f>
        <v/>
      </c>
      <c r="AC40" s="188" t="str">
        <f>IF(ISERROR(getgrade(Broadsheet!AC40,data!$H$4:$I$9)),"#",getgrade(Broadsheet!AC40,data!$H$4:$I$9))</f>
        <v/>
      </c>
      <c r="AD40" s="188" t="str">
        <f>IF(ISERROR(getgrade(Broadsheet!AD40,data!$H$4:$I$9)),"#",getgrade(Broadsheet!AD40,data!$H$4:$I$9))</f>
        <v/>
      </c>
      <c r="AE40" s="188" t="str">
        <f>IF(ISERROR(getgrade(Broadsheet!AE40,data!$H$4:$I$9)),"#",getgrade(Broadsheet!AE40,data!$H$4:$I$9))</f>
        <v/>
      </c>
      <c r="AF40" s="188" t="str">
        <f>IF(ISERROR(getgrade(Broadsheet!AF40,data!$H$4:$I$9)),"#",getgrade(Broadsheet!AF40,data!$H$4:$I$9))</f>
        <v/>
      </c>
      <c r="AG40" s="188" t="str">
        <f>IF(ISERROR(getgrade(Broadsheet!AG40,data!$H$4:$I$9)),"#",getgrade(Broadsheet!AG40,data!$H$4:$I$9))</f>
        <v/>
      </c>
      <c r="AH40" s="188" t="str">
        <f>IF(ISERROR(getgrade(Broadsheet!AH40,data!$H$4:$I$9)),"#",getgrade(Broadsheet!AH40,data!$H$4:$I$9))</f>
        <v/>
      </c>
      <c r="AI40" s="188" t="str">
        <f>IF(ISERROR(getgrade(Broadsheet!AI40,data!$H$4:$I$9)),"#",getgrade(Broadsheet!AI40,data!$H$4:$I$9))</f>
        <v/>
      </c>
      <c r="AJ40" s="188" t="str">
        <f>IF(ISERROR(getgrade(Broadsheet!AJ40,data!$H$4:$I$9)),"#",getgrade(Broadsheet!AJ40,data!$H$4:$I$9))</f>
        <v/>
      </c>
      <c r="AK40" s="188" t="str">
        <f>IF(ISERROR(getgrade(Broadsheet!AK40,data!$H$4:$I$9)),"#",getgrade(Broadsheet!AK40,data!$H$4:$I$9))</f>
        <v/>
      </c>
      <c r="AL40" s="188" t="str">
        <f>IF(ISERROR(getgrade(Broadsheet!AL40,data!$H$4:$I$9)),"#",getgrade(Broadsheet!AL40,data!$H$4:$I$9))</f>
        <v/>
      </c>
      <c r="AM40" s="188" t="str">
        <f>IF(ISERROR(getgrade(Broadsheet!AM40,data!$H$4:$I$9)),"#",getgrade(Broadsheet!AM40,data!$H$4:$I$9))</f>
        <v/>
      </c>
      <c r="AN40" s="188" t="str">
        <f>IF(ISERROR(getgrade(Broadsheet!AN40,data!$H$4:$I$9)),"#",getgrade(Broadsheet!AN40,data!$H$4:$I$9))</f>
        <v/>
      </c>
      <c r="AO40" s="188" t="str">
        <f>IF(ISERROR(getgrade(Broadsheet!AO40,data!$H$4:$I$9)),"#",getgrade(Broadsheet!AO40,data!$H$4:$I$9))</f>
        <v/>
      </c>
      <c r="AP40" s="188" t="str">
        <f>IF(ISERROR(getgrade(Broadsheet!AP40,data!$H$4:$I$9)),"#",getgrade(Broadsheet!AP40,data!$H$4:$I$9))</f>
        <v/>
      </c>
      <c r="AQ40" s="188" t="str">
        <f>IF(ISERROR(getgrade(Broadsheet!AQ40,data!$H$4:$I$9)),"#",getgrade(Broadsheet!AQ40,data!$H$4:$I$9))</f>
        <v/>
      </c>
      <c r="AR40" s="188" t="str">
        <f>IF(ISERROR(getgrade(Broadsheet!AR40,data!$H$4:$I$9)),"#",getgrade(Broadsheet!AR40,data!$H$4:$I$9))</f>
        <v/>
      </c>
      <c r="AS40" s="188" t="str">
        <f>IF(ISERROR(getgrade(Broadsheet!AS40,data!$H$4:$I$9)),"#",getgrade(Broadsheet!AS40,data!$H$4:$I$9))</f>
        <v/>
      </c>
      <c r="AT40" s="188" t="str">
        <f>IF(ISERROR(getgrade(Broadsheet!AT40,data!$H$4:$I$9)),"#",getgrade(Broadsheet!AT40,data!$H$4:$I$9))</f>
        <v/>
      </c>
      <c r="AU40" s="188" t="str">
        <f>IF(ISERROR(getgrade(Broadsheet!AU40,data!$H$4:$I$9)),"#",getgrade(Broadsheet!AU40,data!$H$4:$I$9))</f>
        <v/>
      </c>
      <c r="AV40" s="188" t="str">
        <f>IF(ISERROR(getgrade(Broadsheet!AV40,data!$H$4:$I$9)),"#",getgrade(Broadsheet!AV40,data!$H$4:$I$9))</f>
        <v/>
      </c>
      <c r="AW40" s="188" t="str">
        <f>IF(ISERROR(getgrade(Broadsheet!AW40,data!$H$4:$I$9)),"#",getgrade(Broadsheet!AW40,data!$H$4:$I$9))</f>
        <v/>
      </c>
      <c r="AX40" s="188" t="str">
        <f>IF(ISERROR(getgrade(Broadsheet!AX40,data!$H$4:$I$9)),"#",getgrade(Broadsheet!AX40,data!$H$4:$I$9))</f>
        <v/>
      </c>
      <c r="AY40" s="188" t="str">
        <f>IF(ISERROR(getgrade(Broadsheet!AY40,data!$H$4:$I$9)),"#",getgrade(Broadsheet!AY40,data!$H$4:$I$9))</f>
        <v/>
      </c>
      <c r="AZ40" s="188" t="str">
        <f>IF(ISERROR(getgrade(Broadsheet!AZ40,data!$H$4:$I$9)),"#",getgrade(Broadsheet!AZ40,data!$H$4:$I$9))</f>
        <v/>
      </c>
      <c r="BA40" s="188" t="str">
        <f>IF(ISERROR(getgrade(Broadsheet!BA40,data!$H$4:$I$9)),"#",getgrade(Broadsheet!BA40,data!$H$4:$I$9))</f>
        <v/>
      </c>
      <c r="BB40" s="188" t="str">
        <f>IF(ISERROR(getgrade(Broadsheet!BB40,data!$H$4:$I$9)),"#",getgrade(Broadsheet!BB40,data!$H$4:$I$9))</f>
        <v/>
      </c>
      <c r="BC40" s="188" t="str">
        <f>IF(ISERROR(getgrade(Broadsheet!BC40,data!$H$4:$I$9)),"#",getgrade(Broadsheet!BC40,data!$H$4:$I$9))</f>
        <v/>
      </c>
      <c r="BD40" s="188" t="str">
        <f>IF(ISERROR(getgrade(Broadsheet!BD40,data!$H$4:$I$9)),"#",getgrade(Broadsheet!BD40,data!$H$4:$I$9))</f>
        <v/>
      </c>
      <c r="BE40" s="188" t="str">
        <f>IF(ISERROR(getgrade(Broadsheet!BE40,data!$H$4:$I$9)),"#",getgrade(Broadsheet!BE40,data!$H$4:$I$9))</f>
        <v/>
      </c>
      <c r="BF40" s="188" t="str">
        <f>IF(ISERROR(getgrade(Broadsheet!BF40,data!$H$4:$I$9)),"#",getgrade(Broadsheet!BF40,data!$H$4:$I$9))</f>
        <v/>
      </c>
      <c r="BG40" s="188" t="str">
        <f>IF(ISERROR(getgrade(Broadsheet!BG40,data!$H$4:$I$9)),"#",getgrade(Broadsheet!BG40,data!$H$4:$I$9))</f>
        <v/>
      </c>
      <c r="BH40" s="188" t="str">
        <f>IF(ISERROR(getgrade(Broadsheet!BH40,data!$H$4:$I$9)),"#",getgrade(Broadsheet!BH40,data!$H$4:$I$9))</f>
        <v/>
      </c>
      <c r="BI40" s="188" t="str">
        <f>IF(ISERROR(getgrade(Broadsheet!BI40,data!$H$4:$I$9)),"#",getgrade(Broadsheet!BI40,data!$H$4:$I$9))</f>
        <v/>
      </c>
      <c r="BJ40" s="188" t="str">
        <f>IF(ISERROR(getgrade(Broadsheet!BJ40,data!$H$4:$I$9)),"#",getgrade(Broadsheet!BJ40,data!$H$4:$I$9))</f>
        <v/>
      </c>
      <c r="BK40" s="188"/>
      <c r="BL40" s="188"/>
      <c r="BM40" s="188"/>
      <c r="BN40" s="188"/>
      <c r="BO40" s="188"/>
      <c r="BP40" s="188"/>
      <c r="BQ40" s="188"/>
      <c r="BR40" s="188"/>
      <c r="BS40" s="188"/>
      <c r="BT40" s="188"/>
      <c r="BU40" s="188"/>
      <c r="BV40" s="188"/>
      <c r="BW40" s="188"/>
      <c r="BX40" s="188"/>
      <c r="BY40" s="188"/>
      <c r="BZ40" s="188"/>
      <c r="CA40" s="188"/>
      <c r="CB40" s="188"/>
      <c r="CC40" s="188"/>
      <c r="CD40" s="188"/>
      <c r="CE40" s="188"/>
      <c r="CF40" s="188"/>
      <c r="CG40" s="188"/>
      <c r="CH40" s="188"/>
      <c r="CI40" s="188"/>
      <c r="CJ40" s="188"/>
      <c r="CK40" s="188"/>
      <c r="CL40" s="188"/>
      <c r="CM40" s="188"/>
      <c r="CN40" s="188"/>
      <c r="CO40" s="188"/>
      <c r="CP40" s="188"/>
      <c r="CQ40" s="188"/>
      <c r="CR40" s="188"/>
      <c r="CS40" s="188"/>
      <c r="CT40" s="188"/>
      <c r="CU40" s="188"/>
      <c r="CV40" s="188"/>
      <c r="CW40" s="188"/>
      <c r="CX40" s="188"/>
      <c r="CY40" s="188"/>
      <c r="CZ40" s="188"/>
      <c r="DA40" s="188"/>
      <c r="DB40" s="188"/>
      <c r="DC40" s="188"/>
      <c r="DD40" s="188"/>
      <c r="DE40" s="188"/>
      <c r="DF40" s="188"/>
      <c r="DG40" s="188"/>
      <c r="DH40" s="188"/>
      <c r="DI40" s="188"/>
      <c r="DJ40" s="188"/>
      <c r="DK40" s="188"/>
      <c r="DL40" s="188"/>
      <c r="DM40" s="188"/>
      <c r="DN40" s="188"/>
      <c r="DO40" s="188"/>
      <c r="DP40" s="188"/>
      <c r="DQ40" s="188"/>
      <c r="DR40" s="188"/>
      <c r="DS40" s="188"/>
      <c r="DT40" s="188"/>
      <c r="DU40" s="188"/>
      <c r="DV40" s="188"/>
      <c r="DW40" s="188"/>
      <c r="DX40" s="188"/>
      <c r="DY40" s="188"/>
      <c r="DZ40" s="188"/>
      <c r="EA40" s="188"/>
    </row>
    <row r="41" spans="1:131" ht="15.75" x14ac:dyDescent="0.25">
      <c r="A41" s="12">
        <f>Broadsheet!A41</f>
        <v>0</v>
      </c>
      <c r="B41" s="204" t="str">
        <f>IF(Broadsheet!B41="","",Broadsheet!B41)</f>
        <v/>
      </c>
      <c r="C41" s="24" t="str">
        <f>IF(Broadsheet!C41="","",Broadsheet!C41)</f>
        <v xml:space="preserve"> </v>
      </c>
      <c r="D41" s="24"/>
      <c r="E41" s="24"/>
      <c r="F41" s="24"/>
      <c r="G41" s="24" t="str">
        <f t="shared" si="0"/>
        <v/>
      </c>
      <c r="H41" s="188" t="str">
        <f>IF(ISERROR(getgrade(Broadsheet!H41,data!$H$4:$I$9)),"#",getgrade(Broadsheet!H41,data!$H$4:$I$9))</f>
        <v/>
      </c>
      <c r="I41" s="188" t="str">
        <f>IF(ISERROR(getgrade(Broadsheet!I41,data!$H$4:$I$9)),"#",getgrade(Broadsheet!I41,data!$H$4:$I$9))</f>
        <v/>
      </c>
      <c r="J41" s="188" t="str">
        <f>IF(ISERROR(getgrade(Broadsheet!J41,data!$H$4:$I$9)),"#",getgrade(Broadsheet!J41,data!$H$4:$I$9))</f>
        <v/>
      </c>
      <c r="K41" s="188" t="str">
        <f>IF(ISERROR(getgrade(Broadsheet!K41,data!$H$4:$I$9)),"#",getgrade(Broadsheet!K41,data!$H$4:$I$9))</f>
        <v/>
      </c>
      <c r="L41" s="188" t="str">
        <f>IF(ISERROR(getgrade(Broadsheet!L41,data!$H$4:$I$9)),"#",getgrade(Broadsheet!L41,data!$H$4:$I$9))</f>
        <v/>
      </c>
      <c r="M41" s="188" t="str">
        <f>IF(ISERROR(getgrade(Broadsheet!M41,data!$H$4:$I$9)),"#",getgrade(Broadsheet!M41,data!$H$4:$I$9))</f>
        <v/>
      </c>
      <c r="N41" s="188" t="str">
        <f>IF(ISERROR(getgrade(Broadsheet!N41,data!$H$4:$I$9)),"#",getgrade(Broadsheet!N41,data!$H$4:$I$9))</f>
        <v/>
      </c>
      <c r="O41" s="188" t="str">
        <f>IF(ISERROR(getgrade(Broadsheet!O41,data!$H$4:$I$9)),"#",getgrade(Broadsheet!O41,data!$H$4:$I$9))</f>
        <v/>
      </c>
      <c r="P41" s="188" t="str">
        <f>IF(ISERROR(getgrade(Broadsheet!P41,data!$H$4:$I$9)),"#",getgrade(Broadsheet!P41,data!$H$4:$I$9))</f>
        <v/>
      </c>
      <c r="Q41" s="188" t="str">
        <f>IF(ISERROR(getgrade(Broadsheet!Q41,data!$H$4:$I$9)),"#",getgrade(Broadsheet!Q41,data!$H$4:$I$9))</f>
        <v/>
      </c>
      <c r="R41" s="188" t="str">
        <f>IF(ISERROR(getgrade(Broadsheet!R41,data!$H$4:$I$9)),"#",getgrade(Broadsheet!R41,data!$H$4:$I$9))</f>
        <v/>
      </c>
      <c r="S41" s="188" t="str">
        <f>IF(ISERROR(getgrade(Broadsheet!S41,data!$H$4:$I$9)),"#",getgrade(Broadsheet!S41,data!$H$4:$I$9))</f>
        <v/>
      </c>
      <c r="T41" s="188" t="str">
        <f>IF(ISERROR(getgrade(Broadsheet!T41,data!$H$4:$I$9)),"#",getgrade(Broadsheet!T41,data!$H$4:$I$9))</f>
        <v/>
      </c>
      <c r="U41" s="188" t="str">
        <f>IF(ISERROR(getgrade(Broadsheet!U41,data!$H$4:$I$9)),"#",getgrade(Broadsheet!U41,data!$H$4:$I$9))</f>
        <v/>
      </c>
      <c r="V41" s="188" t="str">
        <f>IF(ISERROR(getgrade(Broadsheet!V41,data!$H$4:$I$9)),"#",getgrade(Broadsheet!V41,data!$H$4:$I$9))</f>
        <v/>
      </c>
      <c r="W41" s="188" t="str">
        <f>IF(ISERROR(getgrade(Broadsheet!W41,data!$H$4:$I$9)),"#",getgrade(Broadsheet!W41,data!$H$4:$I$9))</f>
        <v/>
      </c>
      <c r="X41" s="188" t="str">
        <f>IF(ISERROR(getgrade(Broadsheet!X41,data!$H$4:$I$9)),"#",getgrade(Broadsheet!X41,data!$H$4:$I$9))</f>
        <v/>
      </c>
      <c r="Y41" s="188" t="str">
        <f>IF(ISERROR(getgrade(Broadsheet!Y41,data!$H$4:$I$9)),"#",getgrade(Broadsheet!Y41,data!$H$4:$I$9))</f>
        <v/>
      </c>
      <c r="Z41" s="188" t="str">
        <f>IF(ISERROR(getgrade(Broadsheet!Z41,data!$H$4:$I$9)),"#",getgrade(Broadsheet!Z41,data!$H$4:$I$9))</f>
        <v/>
      </c>
      <c r="AA41" s="188" t="str">
        <f>IF(ISERROR(getgrade(Broadsheet!AA41,data!$H$4:$I$9)),"#",getgrade(Broadsheet!AA41,data!$H$4:$I$9))</f>
        <v/>
      </c>
      <c r="AB41" s="188" t="str">
        <f>IF(ISERROR(getgrade(Broadsheet!AB41,data!$H$4:$I$9)),"#",getgrade(Broadsheet!AB41,data!$H$4:$I$9))</f>
        <v/>
      </c>
      <c r="AC41" s="188" t="str">
        <f>IF(ISERROR(getgrade(Broadsheet!AC41,data!$H$4:$I$9)),"#",getgrade(Broadsheet!AC41,data!$H$4:$I$9))</f>
        <v/>
      </c>
      <c r="AD41" s="188" t="str">
        <f>IF(ISERROR(getgrade(Broadsheet!AD41,data!$H$4:$I$9)),"#",getgrade(Broadsheet!AD41,data!$H$4:$I$9))</f>
        <v/>
      </c>
      <c r="AE41" s="188" t="str">
        <f>IF(ISERROR(getgrade(Broadsheet!AE41,data!$H$4:$I$9)),"#",getgrade(Broadsheet!AE41,data!$H$4:$I$9))</f>
        <v/>
      </c>
      <c r="AF41" s="188" t="str">
        <f>IF(ISERROR(getgrade(Broadsheet!AF41,data!$H$4:$I$9)),"#",getgrade(Broadsheet!AF41,data!$H$4:$I$9))</f>
        <v/>
      </c>
      <c r="AG41" s="188" t="str">
        <f>IF(ISERROR(getgrade(Broadsheet!AG41,data!$H$4:$I$9)),"#",getgrade(Broadsheet!AG41,data!$H$4:$I$9))</f>
        <v/>
      </c>
      <c r="AH41" s="188" t="str">
        <f>IF(ISERROR(getgrade(Broadsheet!AH41,data!$H$4:$I$9)),"#",getgrade(Broadsheet!AH41,data!$H$4:$I$9))</f>
        <v/>
      </c>
      <c r="AI41" s="188" t="str">
        <f>IF(ISERROR(getgrade(Broadsheet!AI41,data!$H$4:$I$9)),"#",getgrade(Broadsheet!AI41,data!$H$4:$I$9))</f>
        <v/>
      </c>
      <c r="AJ41" s="188" t="str">
        <f>IF(ISERROR(getgrade(Broadsheet!AJ41,data!$H$4:$I$9)),"#",getgrade(Broadsheet!AJ41,data!$H$4:$I$9))</f>
        <v/>
      </c>
      <c r="AK41" s="188" t="str">
        <f>IF(ISERROR(getgrade(Broadsheet!AK41,data!$H$4:$I$9)),"#",getgrade(Broadsheet!AK41,data!$H$4:$I$9))</f>
        <v/>
      </c>
      <c r="AL41" s="188" t="str">
        <f>IF(ISERROR(getgrade(Broadsheet!AL41,data!$H$4:$I$9)),"#",getgrade(Broadsheet!AL41,data!$H$4:$I$9))</f>
        <v/>
      </c>
      <c r="AM41" s="188" t="str">
        <f>IF(ISERROR(getgrade(Broadsheet!AM41,data!$H$4:$I$9)),"#",getgrade(Broadsheet!AM41,data!$H$4:$I$9))</f>
        <v/>
      </c>
      <c r="AN41" s="188" t="str">
        <f>IF(ISERROR(getgrade(Broadsheet!AN41,data!$H$4:$I$9)),"#",getgrade(Broadsheet!AN41,data!$H$4:$I$9))</f>
        <v/>
      </c>
      <c r="AO41" s="188" t="str">
        <f>IF(ISERROR(getgrade(Broadsheet!AO41,data!$H$4:$I$9)),"#",getgrade(Broadsheet!AO41,data!$H$4:$I$9))</f>
        <v/>
      </c>
      <c r="AP41" s="188" t="str">
        <f>IF(ISERROR(getgrade(Broadsheet!AP41,data!$H$4:$I$9)),"#",getgrade(Broadsheet!AP41,data!$H$4:$I$9))</f>
        <v/>
      </c>
      <c r="AQ41" s="188" t="str">
        <f>IF(ISERROR(getgrade(Broadsheet!AQ41,data!$H$4:$I$9)),"#",getgrade(Broadsheet!AQ41,data!$H$4:$I$9))</f>
        <v/>
      </c>
      <c r="AR41" s="188" t="str">
        <f>IF(ISERROR(getgrade(Broadsheet!AR41,data!$H$4:$I$9)),"#",getgrade(Broadsheet!AR41,data!$H$4:$I$9))</f>
        <v/>
      </c>
      <c r="AS41" s="188" t="str">
        <f>IF(ISERROR(getgrade(Broadsheet!AS41,data!$H$4:$I$9)),"#",getgrade(Broadsheet!AS41,data!$H$4:$I$9))</f>
        <v/>
      </c>
      <c r="AT41" s="188" t="str">
        <f>IF(ISERROR(getgrade(Broadsheet!AT41,data!$H$4:$I$9)),"#",getgrade(Broadsheet!AT41,data!$H$4:$I$9))</f>
        <v/>
      </c>
      <c r="AU41" s="188" t="str">
        <f>IF(ISERROR(getgrade(Broadsheet!AU41,data!$H$4:$I$9)),"#",getgrade(Broadsheet!AU41,data!$H$4:$I$9))</f>
        <v/>
      </c>
      <c r="AV41" s="188" t="str">
        <f>IF(ISERROR(getgrade(Broadsheet!AV41,data!$H$4:$I$9)),"#",getgrade(Broadsheet!AV41,data!$H$4:$I$9))</f>
        <v/>
      </c>
      <c r="AW41" s="188" t="str">
        <f>IF(ISERROR(getgrade(Broadsheet!AW41,data!$H$4:$I$9)),"#",getgrade(Broadsheet!AW41,data!$H$4:$I$9))</f>
        <v/>
      </c>
      <c r="AX41" s="188" t="str">
        <f>IF(ISERROR(getgrade(Broadsheet!AX41,data!$H$4:$I$9)),"#",getgrade(Broadsheet!AX41,data!$H$4:$I$9))</f>
        <v/>
      </c>
      <c r="AY41" s="188" t="str">
        <f>IF(ISERROR(getgrade(Broadsheet!AY41,data!$H$4:$I$9)),"#",getgrade(Broadsheet!AY41,data!$H$4:$I$9))</f>
        <v/>
      </c>
      <c r="AZ41" s="188" t="str">
        <f>IF(ISERROR(getgrade(Broadsheet!AZ41,data!$H$4:$I$9)),"#",getgrade(Broadsheet!AZ41,data!$H$4:$I$9))</f>
        <v/>
      </c>
      <c r="BA41" s="188" t="str">
        <f>IF(ISERROR(getgrade(Broadsheet!BA41,data!$H$4:$I$9)),"#",getgrade(Broadsheet!BA41,data!$H$4:$I$9))</f>
        <v/>
      </c>
      <c r="BB41" s="188" t="str">
        <f>IF(ISERROR(getgrade(Broadsheet!BB41,data!$H$4:$I$9)),"#",getgrade(Broadsheet!BB41,data!$H$4:$I$9))</f>
        <v/>
      </c>
      <c r="BC41" s="188" t="str">
        <f>IF(ISERROR(getgrade(Broadsheet!BC41,data!$H$4:$I$9)),"#",getgrade(Broadsheet!BC41,data!$H$4:$I$9))</f>
        <v/>
      </c>
      <c r="BD41" s="188" t="str">
        <f>IF(ISERROR(getgrade(Broadsheet!BD41,data!$H$4:$I$9)),"#",getgrade(Broadsheet!BD41,data!$H$4:$I$9))</f>
        <v/>
      </c>
      <c r="BE41" s="188" t="str">
        <f>IF(ISERROR(getgrade(Broadsheet!BE41,data!$H$4:$I$9)),"#",getgrade(Broadsheet!BE41,data!$H$4:$I$9))</f>
        <v/>
      </c>
      <c r="BF41" s="188" t="str">
        <f>IF(ISERROR(getgrade(Broadsheet!BF41,data!$H$4:$I$9)),"#",getgrade(Broadsheet!BF41,data!$H$4:$I$9))</f>
        <v/>
      </c>
      <c r="BG41" s="188" t="str">
        <f>IF(ISERROR(getgrade(Broadsheet!BG41,data!$H$4:$I$9)),"#",getgrade(Broadsheet!BG41,data!$H$4:$I$9))</f>
        <v/>
      </c>
      <c r="BH41" s="188" t="str">
        <f>IF(ISERROR(getgrade(Broadsheet!BH41,data!$H$4:$I$9)),"#",getgrade(Broadsheet!BH41,data!$H$4:$I$9))</f>
        <v/>
      </c>
      <c r="BI41" s="188" t="str">
        <f>IF(ISERROR(getgrade(Broadsheet!BI41,data!$H$4:$I$9)),"#",getgrade(Broadsheet!BI41,data!$H$4:$I$9))</f>
        <v/>
      </c>
      <c r="BJ41" s="188" t="str">
        <f>IF(ISERROR(getgrade(Broadsheet!BJ41,data!$H$4:$I$9)),"#",getgrade(Broadsheet!BJ41,data!$H$4:$I$9))</f>
        <v/>
      </c>
      <c r="BK41" s="188"/>
      <c r="BL41" s="188"/>
      <c r="BM41" s="188"/>
      <c r="BN41" s="188"/>
      <c r="BO41" s="188"/>
      <c r="BP41" s="188"/>
      <c r="BQ41" s="188"/>
      <c r="BR41" s="188"/>
      <c r="BS41" s="188"/>
      <c r="BT41" s="188"/>
      <c r="BU41" s="188"/>
      <c r="BV41" s="188"/>
      <c r="BW41" s="188"/>
      <c r="BX41" s="188"/>
      <c r="BY41" s="188"/>
      <c r="BZ41" s="188"/>
      <c r="CA41" s="188"/>
      <c r="CB41" s="188"/>
      <c r="CC41" s="188"/>
      <c r="CD41" s="188"/>
      <c r="CE41" s="188"/>
      <c r="CF41" s="188"/>
      <c r="CG41" s="188"/>
      <c r="CH41" s="188"/>
      <c r="CI41" s="188"/>
      <c r="CJ41" s="188"/>
      <c r="CK41" s="188"/>
      <c r="CL41" s="188"/>
      <c r="CM41" s="188"/>
      <c r="CN41" s="188"/>
      <c r="CO41" s="188"/>
      <c r="CP41" s="188"/>
      <c r="CQ41" s="188"/>
      <c r="CR41" s="188"/>
      <c r="CS41" s="188"/>
      <c r="CT41" s="188"/>
      <c r="CU41" s="188"/>
      <c r="CV41" s="188"/>
      <c r="CW41" s="188"/>
      <c r="CX41" s="188"/>
      <c r="CY41" s="188"/>
      <c r="CZ41" s="188"/>
      <c r="DA41" s="188"/>
      <c r="DB41" s="188"/>
      <c r="DC41" s="188"/>
      <c r="DD41" s="188"/>
      <c r="DE41" s="188"/>
      <c r="DF41" s="188"/>
      <c r="DG41" s="188"/>
      <c r="DH41" s="188"/>
      <c r="DI41" s="188"/>
      <c r="DJ41" s="188"/>
      <c r="DK41" s="188"/>
      <c r="DL41" s="188"/>
      <c r="DM41" s="188"/>
      <c r="DN41" s="188"/>
      <c r="DO41" s="188"/>
      <c r="DP41" s="188"/>
      <c r="DQ41" s="188"/>
      <c r="DR41" s="188"/>
      <c r="DS41" s="188"/>
      <c r="DT41" s="188"/>
      <c r="DU41" s="188"/>
      <c r="DV41" s="188"/>
      <c r="DW41" s="188"/>
      <c r="DX41" s="188"/>
      <c r="DY41" s="188"/>
      <c r="DZ41" s="188"/>
      <c r="EA41" s="188"/>
    </row>
    <row r="42" spans="1:131" ht="15.75" x14ac:dyDescent="0.25">
      <c r="A42" s="12">
        <f>Broadsheet!A42</f>
        <v>0</v>
      </c>
      <c r="B42" s="204" t="str">
        <f>IF(Broadsheet!B42="","",Broadsheet!B42)</f>
        <v/>
      </c>
      <c r="C42" s="24" t="str">
        <f>IF(Broadsheet!C42="","",Broadsheet!C42)</f>
        <v xml:space="preserve"> </v>
      </c>
      <c r="D42" s="24"/>
      <c r="E42" s="24"/>
      <c r="F42" s="24"/>
      <c r="G42" s="24" t="str">
        <f t="shared" si="0"/>
        <v/>
      </c>
      <c r="H42" s="188" t="str">
        <f>IF(ISERROR(getgrade(Broadsheet!H42,data!$H$4:$I$9)),"#",getgrade(Broadsheet!H42,data!$H$4:$I$9))</f>
        <v/>
      </c>
      <c r="I42" s="188" t="str">
        <f>IF(ISERROR(getgrade(Broadsheet!I42,data!$H$4:$I$9)),"#",getgrade(Broadsheet!I42,data!$H$4:$I$9))</f>
        <v/>
      </c>
      <c r="J42" s="188" t="str">
        <f>IF(ISERROR(getgrade(Broadsheet!J42,data!$H$4:$I$9)),"#",getgrade(Broadsheet!J42,data!$H$4:$I$9))</f>
        <v/>
      </c>
      <c r="K42" s="188" t="str">
        <f>IF(ISERROR(getgrade(Broadsheet!K42,data!$H$4:$I$9)),"#",getgrade(Broadsheet!K42,data!$H$4:$I$9))</f>
        <v/>
      </c>
      <c r="L42" s="188" t="str">
        <f>IF(ISERROR(getgrade(Broadsheet!L42,data!$H$4:$I$9)),"#",getgrade(Broadsheet!L42,data!$H$4:$I$9))</f>
        <v/>
      </c>
      <c r="M42" s="188" t="str">
        <f>IF(ISERROR(getgrade(Broadsheet!M42,data!$H$4:$I$9)),"#",getgrade(Broadsheet!M42,data!$H$4:$I$9))</f>
        <v/>
      </c>
      <c r="N42" s="188" t="str">
        <f>IF(ISERROR(getgrade(Broadsheet!N42,data!$H$4:$I$9)),"#",getgrade(Broadsheet!N42,data!$H$4:$I$9))</f>
        <v/>
      </c>
      <c r="O42" s="188" t="str">
        <f>IF(ISERROR(getgrade(Broadsheet!O42,data!$H$4:$I$9)),"#",getgrade(Broadsheet!O42,data!$H$4:$I$9))</f>
        <v/>
      </c>
      <c r="P42" s="188" t="str">
        <f>IF(ISERROR(getgrade(Broadsheet!P42,data!$H$4:$I$9)),"#",getgrade(Broadsheet!P42,data!$H$4:$I$9))</f>
        <v/>
      </c>
      <c r="Q42" s="188" t="str">
        <f>IF(ISERROR(getgrade(Broadsheet!Q42,data!$H$4:$I$9)),"#",getgrade(Broadsheet!Q42,data!$H$4:$I$9))</f>
        <v/>
      </c>
      <c r="R42" s="188" t="str">
        <f>IF(ISERROR(getgrade(Broadsheet!R42,data!$H$4:$I$9)),"#",getgrade(Broadsheet!R42,data!$H$4:$I$9))</f>
        <v/>
      </c>
      <c r="S42" s="188" t="str">
        <f>IF(ISERROR(getgrade(Broadsheet!S42,data!$H$4:$I$9)),"#",getgrade(Broadsheet!S42,data!$H$4:$I$9))</f>
        <v/>
      </c>
      <c r="T42" s="188" t="str">
        <f>IF(ISERROR(getgrade(Broadsheet!T42,data!$H$4:$I$9)),"#",getgrade(Broadsheet!T42,data!$H$4:$I$9))</f>
        <v/>
      </c>
      <c r="U42" s="188" t="str">
        <f>IF(ISERROR(getgrade(Broadsheet!U42,data!$H$4:$I$9)),"#",getgrade(Broadsheet!U42,data!$H$4:$I$9))</f>
        <v/>
      </c>
      <c r="V42" s="188" t="str">
        <f>IF(ISERROR(getgrade(Broadsheet!V42,data!$H$4:$I$9)),"#",getgrade(Broadsheet!V42,data!$H$4:$I$9))</f>
        <v/>
      </c>
      <c r="W42" s="188" t="str">
        <f>IF(ISERROR(getgrade(Broadsheet!W42,data!$H$4:$I$9)),"#",getgrade(Broadsheet!W42,data!$H$4:$I$9))</f>
        <v/>
      </c>
      <c r="X42" s="188" t="str">
        <f>IF(ISERROR(getgrade(Broadsheet!X42,data!$H$4:$I$9)),"#",getgrade(Broadsheet!X42,data!$H$4:$I$9))</f>
        <v/>
      </c>
      <c r="Y42" s="188" t="str">
        <f>IF(ISERROR(getgrade(Broadsheet!Y42,data!$H$4:$I$9)),"#",getgrade(Broadsheet!Y42,data!$H$4:$I$9))</f>
        <v/>
      </c>
      <c r="Z42" s="188" t="str">
        <f>IF(ISERROR(getgrade(Broadsheet!Z42,data!$H$4:$I$9)),"#",getgrade(Broadsheet!Z42,data!$H$4:$I$9))</f>
        <v/>
      </c>
      <c r="AA42" s="188" t="str">
        <f>IF(ISERROR(getgrade(Broadsheet!AA42,data!$H$4:$I$9)),"#",getgrade(Broadsheet!AA42,data!$H$4:$I$9))</f>
        <v/>
      </c>
      <c r="AB42" s="188" t="str">
        <f>IF(ISERROR(getgrade(Broadsheet!AB42,data!$H$4:$I$9)),"#",getgrade(Broadsheet!AB42,data!$H$4:$I$9))</f>
        <v/>
      </c>
      <c r="AC42" s="188" t="str">
        <f>IF(ISERROR(getgrade(Broadsheet!AC42,data!$H$4:$I$9)),"#",getgrade(Broadsheet!AC42,data!$H$4:$I$9))</f>
        <v/>
      </c>
      <c r="AD42" s="188" t="str">
        <f>IF(ISERROR(getgrade(Broadsheet!AD42,data!$H$4:$I$9)),"#",getgrade(Broadsheet!AD42,data!$H$4:$I$9))</f>
        <v/>
      </c>
      <c r="AE42" s="188" t="str">
        <f>IF(ISERROR(getgrade(Broadsheet!AE42,data!$H$4:$I$9)),"#",getgrade(Broadsheet!AE42,data!$H$4:$I$9))</f>
        <v/>
      </c>
      <c r="AF42" s="188" t="str">
        <f>IF(ISERROR(getgrade(Broadsheet!AF42,data!$H$4:$I$9)),"#",getgrade(Broadsheet!AF42,data!$H$4:$I$9))</f>
        <v/>
      </c>
      <c r="AG42" s="188" t="str">
        <f>IF(ISERROR(getgrade(Broadsheet!AG42,data!$H$4:$I$9)),"#",getgrade(Broadsheet!AG42,data!$H$4:$I$9))</f>
        <v/>
      </c>
      <c r="AH42" s="188" t="str">
        <f>IF(ISERROR(getgrade(Broadsheet!AH42,data!$H$4:$I$9)),"#",getgrade(Broadsheet!AH42,data!$H$4:$I$9))</f>
        <v/>
      </c>
      <c r="AI42" s="188" t="str">
        <f>IF(ISERROR(getgrade(Broadsheet!AI42,data!$H$4:$I$9)),"#",getgrade(Broadsheet!AI42,data!$H$4:$I$9))</f>
        <v/>
      </c>
      <c r="AJ42" s="188" t="str">
        <f>IF(ISERROR(getgrade(Broadsheet!AJ42,data!$H$4:$I$9)),"#",getgrade(Broadsheet!AJ42,data!$H$4:$I$9))</f>
        <v/>
      </c>
      <c r="AK42" s="188" t="str">
        <f>IF(ISERROR(getgrade(Broadsheet!AK42,data!$H$4:$I$9)),"#",getgrade(Broadsheet!AK42,data!$H$4:$I$9))</f>
        <v/>
      </c>
      <c r="AL42" s="188" t="str">
        <f>IF(ISERROR(getgrade(Broadsheet!AL42,data!$H$4:$I$9)),"#",getgrade(Broadsheet!AL42,data!$H$4:$I$9))</f>
        <v/>
      </c>
      <c r="AM42" s="188" t="str">
        <f>IF(ISERROR(getgrade(Broadsheet!AM42,data!$H$4:$I$9)),"#",getgrade(Broadsheet!AM42,data!$H$4:$I$9))</f>
        <v/>
      </c>
      <c r="AN42" s="188" t="str">
        <f>IF(ISERROR(getgrade(Broadsheet!AN42,data!$H$4:$I$9)),"#",getgrade(Broadsheet!AN42,data!$H$4:$I$9))</f>
        <v/>
      </c>
      <c r="AO42" s="188" t="str">
        <f>IF(ISERROR(getgrade(Broadsheet!AO42,data!$H$4:$I$9)),"#",getgrade(Broadsheet!AO42,data!$H$4:$I$9))</f>
        <v/>
      </c>
      <c r="AP42" s="188" t="str">
        <f>IF(ISERROR(getgrade(Broadsheet!AP42,data!$H$4:$I$9)),"#",getgrade(Broadsheet!AP42,data!$H$4:$I$9))</f>
        <v/>
      </c>
      <c r="AQ42" s="188" t="str">
        <f>IF(ISERROR(getgrade(Broadsheet!AQ42,data!$H$4:$I$9)),"#",getgrade(Broadsheet!AQ42,data!$H$4:$I$9))</f>
        <v/>
      </c>
      <c r="AR42" s="188" t="str">
        <f>IF(ISERROR(getgrade(Broadsheet!AR42,data!$H$4:$I$9)),"#",getgrade(Broadsheet!AR42,data!$H$4:$I$9))</f>
        <v/>
      </c>
      <c r="AS42" s="188" t="str">
        <f>IF(ISERROR(getgrade(Broadsheet!AS42,data!$H$4:$I$9)),"#",getgrade(Broadsheet!AS42,data!$H$4:$I$9))</f>
        <v/>
      </c>
      <c r="AT42" s="188" t="str">
        <f>IF(ISERROR(getgrade(Broadsheet!AT42,data!$H$4:$I$9)),"#",getgrade(Broadsheet!AT42,data!$H$4:$I$9))</f>
        <v/>
      </c>
      <c r="AU42" s="188" t="str">
        <f>IF(ISERROR(getgrade(Broadsheet!AU42,data!$H$4:$I$9)),"#",getgrade(Broadsheet!AU42,data!$H$4:$I$9))</f>
        <v/>
      </c>
      <c r="AV42" s="188" t="str">
        <f>IF(ISERROR(getgrade(Broadsheet!AV42,data!$H$4:$I$9)),"#",getgrade(Broadsheet!AV42,data!$H$4:$I$9))</f>
        <v/>
      </c>
      <c r="AW42" s="188" t="str">
        <f>IF(ISERROR(getgrade(Broadsheet!AW42,data!$H$4:$I$9)),"#",getgrade(Broadsheet!AW42,data!$H$4:$I$9))</f>
        <v/>
      </c>
      <c r="AX42" s="188" t="str">
        <f>IF(ISERROR(getgrade(Broadsheet!AX42,data!$H$4:$I$9)),"#",getgrade(Broadsheet!AX42,data!$H$4:$I$9))</f>
        <v/>
      </c>
      <c r="AY42" s="188" t="str">
        <f>IF(ISERROR(getgrade(Broadsheet!AY42,data!$H$4:$I$9)),"#",getgrade(Broadsheet!AY42,data!$H$4:$I$9))</f>
        <v/>
      </c>
      <c r="AZ42" s="188" t="str">
        <f>IF(ISERROR(getgrade(Broadsheet!AZ42,data!$H$4:$I$9)),"#",getgrade(Broadsheet!AZ42,data!$H$4:$I$9))</f>
        <v/>
      </c>
      <c r="BA42" s="188" t="str">
        <f>IF(ISERROR(getgrade(Broadsheet!BA42,data!$H$4:$I$9)),"#",getgrade(Broadsheet!BA42,data!$H$4:$I$9))</f>
        <v/>
      </c>
      <c r="BB42" s="188" t="str">
        <f>IF(ISERROR(getgrade(Broadsheet!BB42,data!$H$4:$I$9)),"#",getgrade(Broadsheet!BB42,data!$H$4:$I$9))</f>
        <v/>
      </c>
      <c r="BC42" s="188" t="str">
        <f>IF(ISERROR(getgrade(Broadsheet!BC42,data!$H$4:$I$9)),"#",getgrade(Broadsheet!BC42,data!$H$4:$I$9))</f>
        <v/>
      </c>
      <c r="BD42" s="188" t="str">
        <f>IF(ISERROR(getgrade(Broadsheet!BD42,data!$H$4:$I$9)),"#",getgrade(Broadsheet!BD42,data!$H$4:$I$9))</f>
        <v/>
      </c>
      <c r="BE42" s="188" t="str">
        <f>IF(ISERROR(getgrade(Broadsheet!BE42,data!$H$4:$I$9)),"#",getgrade(Broadsheet!BE42,data!$H$4:$I$9))</f>
        <v/>
      </c>
      <c r="BF42" s="188" t="str">
        <f>IF(ISERROR(getgrade(Broadsheet!BF42,data!$H$4:$I$9)),"#",getgrade(Broadsheet!BF42,data!$H$4:$I$9))</f>
        <v/>
      </c>
      <c r="BG42" s="188" t="str">
        <f>IF(ISERROR(getgrade(Broadsheet!BG42,data!$H$4:$I$9)),"#",getgrade(Broadsheet!BG42,data!$H$4:$I$9))</f>
        <v/>
      </c>
      <c r="BH42" s="188" t="str">
        <f>IF(ISERROR(getgrade(Broadsheet!BH42,data!$H$4:$I$9)),"#",getgrade(Broadsheet!BH42,data!$H$4:$I$9))</f>
        <v/>
      </c>
      <c r="BI42" s="188" t="str">
        <f>IF(ISERROR(getgrade(Broadsheet!BI42,data!$H$4:$I$9)),"#",getgrade(Broadsheet!BI42,data!$H$4:$I$9))</f>
        <v/>
      </c>
      <c r="BJ42" s="188" t="str">
        <f>IF(ISERROR(getgrade(Broadsheet!BJ42,data!$H$4:$I$9)),"#",getgrade(Broadsheet!BJ42,data!$H$4:$I$9))</f>
        <v/>
      </c>
      <c r="BK42" s="188"/>
      <c r="BL42" s="188"/>
      <c r="BM42" s="188"/>
      <c r="BN42" s="188"/>
      <c r="BO42" s="188"/>
      <c r="BP42" s="188"/>
      <c r="BQ42" s="188"/>
      <c r="BR42" s="188"/>
      <c r="BS42" s="188"/>
      <c r="BT42" s="188"/>
      <c r="BU42" s="188"/>
      <c r="BV42" s="188"/>
      <c r="BW42" s="188"/>
      <c r="BX42" s="188"/>
      <c r="BY42" s="188"/>
      <c r="BZ42" s="188"/>
      <c r="CA42" s="188"/>
      <c r="CB42" s="188"/>
      <c r="CC42" s="188"/>
      <c r="CD42" s="188"/>
      <c r="CE42" s="188"/>
      <c r="CF42" s="188"/>
      <c r="CG42" s="188"/>
      <c r="CH42" s="188"/>
      <c r="CI42" s="188"/>
      <c r="CJ42" s="188"/>
      <c r="CK42" s="188"/>
      <c r="CL42" s="188"/>
      <c r="CM42" s="188"/>
      <c r="CN42" s="188"/>
      <c r="CO42" s="188"/>
      <c r="CP42" s="188"/>
      <c r="CQ42" s="188"/>
      <c r="CR42" s="188"/>
      <c r="CS42" s="188"/>
      <c r="CT42" s="188"/>
      <c r="CU42" s="188"/>
      <c r="CV42" s="188"/>
      <c r="CW42" s="188"/>
      <c r="CX42" s="188"/>
      <c r="CY42" s="188"/>
      <c r="CZ42" s="188"/>
      <c r="DA42" s="188"/>
      <c r="DB42" s="188"/>
      <c r="DC42" s="188"/>
      <c r="DD42" s="188"/>
      <c r="DE42" s="188"/>
      <c r="DF42" s="188"/>
      <c r="DG42" s="188"/>
      <c r="DH42" s="188"/>
      <c r="DI42" s="188"/>
      <c r="DJ42" s="188"/>
      <c r="DK42" s="188"/>
      <c r="DL42" s="188"/>
      <c r="DM42" s="188"/>
      <c r="DN42" s="188"/>
      <c r="DO42" s="188"/>
      <c r="DP42" s="188"/>
      <c r="DQ42" s="188"/>
      <c r="DR42" s="188"/>
      <c r="DS42" s="188"/>
      <c r="DT42" s="188"/>
      <c r="DU42" s="188"/>
      <c r="DV42" s="188"/>
      <c r="DW42" s="188"/>
      <c r="DX42" s="188"/>
      <c r="DY42" s="188"/>
      <c r="DZ42" s="188"/>
      <c r="EA42" s="188"/>
    </row>
    <row r="43" spans="1:131" ht="15.75" x14ac:dyDescent="0.25">
      <c r="A43" s="12">
        <f>Broadsheet!A43</f>
        <v>0</v>
      </c>
      <c r="B43" s="204" t="str">
        <f>IF(Broadsheet!B43="","",Broadsheet!B43)</f>
        <v/>
      </c>
      <c r="C43" s="24" t="str">
        <f>IF(Broadsheet!C43="","",Broadsheet!C43)</f>
        <v xml:space="preserve"> </v>
      </c>
      <c r="D43" s="24"/>
      <c r="E43" s="24"/>
      <c r="F43" s="24"/>
      <c r="G43" s="24" t="str">
        <f t="shared" si="0"/>
        <v/>
      </c>
      <c r="H43" s="188" t="str">
        <f>IF(ISERROR(getgrade(Broadsheet!H43,data!$H$4:$I$9)),"#",getgrade(Broadsheet!H43,data!$H$4:$I$9))</f>
        <v/>
      </c>
      <c r="I43" s="188" t="str">
        <f>IF(ISERROR(getgrade(Broadsheet!I43,data!$H$4:$I$9)),"#",getgrade(Broadsheet!I43,data!$H$4:$I$9))</f>
        <v/>
      </c>
      <c r="J43" s="188" t="str">
        <f>IF(ISERROR(getgrade(Broadsheet!J43,data!$H$4:$I$9)),"#",getgrade(Broadsheet!J43,data!$H$4:$I$9))</f>
        <v/>
      </c>
      <c r="K43" s="188" t="str">
        <f>IF(ISERROR(getgrade(Broadsheet!K43,data!$H$4:$I$9)),"#",getgrade(Broadsheet!K43,data!$H$4:$I$9))</f>
        <v/>
      </c>
      <c r="L43" s="188" t="str">
        <f>IF(ISERROR(getgrade(Broadsheet!L43,data!$H$4:$I$9)),"#",getgrade(Broadsheet!L43,data!$H$4:$I$9))</f>
        <v/>
      </c>
      <c r="M43" s="188" t="str">
        <f>IF(ISERROR(getgrade(Broadsheet!M43,data!$H$4:$I$9)),"#",getgrade(Broadsheet!M43,data!$H$4:$I$9))</f>
        <v/>
      </c>
      <c r="N43" s="188" t="str">
        <f>IF(ISERROR(getgrade(Broadsheet!N43,data!$H$4:$I$9)),"#",getgrade(Broadsheet!N43,data!$H$4:$I$9))</f>
        <v/>
      </c>
      <c r="O43" s="188" t="str">
        <f>IF(ISERROR(getgrade(Broadsheet!O43,data!$H$4:$I$9)),"#",getgrade(Broadsheet!O43,data!$H$4:$I$9))</f>
        <v/>
      </c>
      <c r="P43" s="188" t="str">
        <f>IF(ISERROR(getgrade(Broadsheet!P43,data!$H$4:$I$9)),"#",getgrade(Broadsheet!P43,data!$H$4:$I$9))</f>
        <v/>
      </c>
      <c r="Q43" s="188" t="str">
        <f>IF(ISERROR(getgrade(Broadsheet!Q43,data!$H$4:$I$9)),"#",getgrade(Broadsheet!Q43,data!$H$4:$I$9))</f>
        <v/>
      </c>
      <c r="R43" s="188" t="str">
        <f>IF(ISERROR(getgrade(Broadsheet!R43,data!$H$4:$I$9)),"#",getgrade(Broadsheet!R43,data!$H$4:$I$9))</f>
        <v/>
      </c>
      <c r="S43" s="188" t="str">
        <f>IF(ISERROR(getgrade(Broadsheet!S43,data!$H$4:$I$9)),"#",getgrade(Broadsheet!S43,data!$H$4:$I$9))</f>
        <v/>
      </c>
      <c r="T43" s="188" t="str">
        <f>IF(ISERROR(getgrade(Broadsheet!T43,data!$H$4:$I$9)),"#",getgrade(Broadsheet!T43,data!$H$4:$I$9))</f>
        <v/>
      </c>
      <c r="U43" s="188" t="str">
        <f>IF(ISERROR(getgrade(Broadsheet!U43,data!$H$4:$I$9)),"#",getgrade(Broadsheet!U43,data!$H$4:$I$9))</f>
        <v/>
      </c>
      <c r="V43" s="188" t="str">
        <f>IF(ISERROR(getgrade(Broadsheet!V43,data!$H$4:$I$9)),"#",getgrade(Broadsheet!V43,data!$H$4:$I$9))</f>
        <v/>
      </c>
      <c r="W43" s="188" t="str">
        <f>IF(ISERROR(getgrade(Broadsheet!W43,data!$H$4:$I$9)),"#",getgrade(Broadsheet!W43,data!$H$4:$I$9))</f>
        <v/>
      </c>
      <c r="X43" s="188" t="str">
        <f>IF(ISERROR(getgrade(Broadsheet!X43,data!$H$4:$I$9)),"#",getgrade(Broadsheet!X43,data!$H$4:$I$9))</f>
        <v/>
      </c>
      <c r="Y43" s="188" t="str">
        <f>IF(ISERROR(getgrade(Broadsheet!Y43,data!$H$4:$I$9)),"#",getgrade(Broadsheet!Y43,data!$H$4:$I$9))</f>
        <v/>
      </c>
      <c r="Z43" s="188" t="str">
        <f>IF(ISERROR(getgrade(Broadsheet!Z43,data!$H$4:$I$9)),"#",getgrade(Broadsheet!Z43,data!$H$4:$I$9))</f>
        <v/>
      </c>
      <c r="AA43" s="188" t="str">
        <f>IF(ISERROR(getgrade(Broadsheet!AA43,data!$H$4:$I$9)),"#",getgrade(Broadsheet!AA43,data!$H$4:$I$9))</f>
        <v/>
      </c>
      <c r="AB43" s="188" t="str">
        <f>IF(ISERROR(getgrade(Broadsheet!AB43,data!$H$4:$I$9)),"#",getgrade(Broadsheet!AB43,data!$H$4:$I$9))</f>
        <v/>
      </c>
      <c r="AC43" s="188" t="str">
        <f>IF(ISERROR(getgrade(Broadsheet!AC43,data!$H$4:$I$9)),"#",getgrade(Broadsheet!AC43,data!$H$4:$I$9))</f>
        <v/>
      </c>
      <c r="AD43" s="188" t="str">
        <f>IF(ISERROR(getgrade(Broadsheet!AD43,data!$H$4:$I$9)),"#",getgrade(Broadsheet!AD43,data!$H$4:$I$9))</f>
        <v/>
      </c>
      <c r="AE43" s="188" t="str">
        <f>IF(ISERROR(getgrade(Broadsheet!AE43,data!$H$4:$I$9)),"#",getgrade(Broadsheet!AE43,data!$H$4:$I$9))</f>
        <v/>
      </c>
      <c r="AF43" s="188" t="str">
        <f>IF(ISERROR(getgrade(Broadsheet!AF43,data!$H$4:$I$9)),"#",getgrade(Broadsheet!AF43,data!$H$4:$I$9))</f>
        <v/>
      </c>
      <c r="AG43" s="188" t="str">
        <f>IF(ISERROR(getgrade(Broadsheet!AG43,data!$H$4:$I$9)),"#",getgrade(Broadsheet!AG43,data!$H$4:$I$9))</f>
        <v/>
      </c>
      <c r="AH43" s="188" t="str">
        <f>IF(ISERROR(getgrade(Broadsheet!AH43,data!$H$4:$I$9)),"#",getgrade(Broadsheet!AH43,data!$H$4:$I$9))</f>
        <v/>
      </c>
      <c r="AI43" s="188" t="str">
        <f>IF(ISERROR(getgrade(Broadsheet!AI43,data!$H$4:$I$9)),"#",getgrade(Broadsheet!AI43,data!$H$4:$I$9))</f>
        <v/>
      </c>
      <c r="AJ43" s="188" t="str">
        <f>IF(ISERROR(getgrade(Broadsheet!AJ43,data!$H$4:$I$9)),"#",getgrade(Broadsheet!AJ43,data!$H$4:$I$9))</f>
        <v/>
      </c>
      <c r="AK43" s="188" t="str">
        <f>IF(ISERROR(getgrade(Broadsheet!AK43,data!$H$4:$I$9)),"#",getgrade(Broadsheet!AK43,data!$H$4:$I$9))</f>
        <v/>
      </c>
      <c r="AL43" s="188" t="str">
        <f>IF(ISERROR(getgrade(Broadsheet!AL43,data!$H$4:$I$9)),"#",getgrade(Broadsheet!AL43,data!$H$4:$I$9))</f>
        <v/>
      </c>
      <c r="AM43" s="188" t="str">
        <f>IF(ISERROR(getgrade(Broadsheet!AM43,data!$H$4:$I$9)),"#",getgrade(Broadsheet!AM43,data!$H$4:$I$9))</f>
        <v/>
      </c>
      <c r="AN43" s="188" t="str">
        <f>IF(ISERROR(getgrade(Broadsheet!AN43,data!$H$4:$I$9)),"#",getgrade(Broadsheet!AN43,data!$H$4:$I$9))</f>
        <v/>
      </c>
      <c r="AO43" s="188" t="str">
        <f>IF(ISERROR(getgrade(Broadsheet!AO43,data!$H$4:$I$9)),"#",getgrade(Broadsheet!AO43,data!$H$4:$I$9))</f>
        <v/>
      </c>
      <c r="AP43" s="188" t="str">
        <f>IF(ISERROR(getgrade(Broadsheet!AP43,data!$H$4:$I$9)),"#",getgrade(Broadsheet!AP43,data!$H$4:$I$9))</f>
        <v/>
      </c>
      <c r="AQ43" s="188" t="str">
        <f>IF(ISERROR(getgrade(Broadsheet!AQ43,data!$H$4:$I$9)),"#",getgrade(Broadsheet!AQ43,data!$H$4:$I$9))</f>
        <v/>
      </c>
      <c r="AR43" s="188" t="str">
        <f>IF(ISERROR(getgrade(Broadsheet!AR43,data!$H$4:$I$9)),"#",getgrade(Broadsheet!AR43,data!$H$4:$I$9))</f>
        <v/>
      </c>
      <c r="AS43" s="188" t="str">
        <f>IF(ISERROR(getgrade(Broadsheet!AS43,data!$H$4:$I$9)),"#",getgrade(Broadsheet!AS43,data!$H$4:$I$9))</f>
        <v/>
      </c>
      <c r="AT43" s="188" t="str">
        <f>IF(ISERROR(getgrade(Broadsheet!AT43,data!$H$4:$I$9)),"#",getgrade(Broadsheet!AT43,data!$H$4:$I$9))</f>
        <v/>
      </c>
      <c r="AU43" s="188" t="str">
        <f>IF(ISERROR(getgrade(Broadsheet!AU43,data!$H$4:$I$9)),"#",getgrade(Broadsheet!AU43,data!$H$4:$I$9))</f>
        <v/>
      </c>
      <c r="AV43" s="188" t="str">
        <f>IF(ISERROR(getgrade(Broadsheet!AV43,data!$H$4:$I$9)),"#",getgrade(Broadsheet!AV43,data!$H$4:$I$9))</f>
        <v/>
      </c>
      <c r="AW43" s="188" t="str">
        <f>IF(ISERROR(getgrade(Broadsheet!AW43,data!$H$4:$I$9)),"#",getgrade(Broadsheet!AW43,data!$H$4:$I$9))</f>
        <v/>
      </c>
      <c r="AX43" s="188" t="str">
        <f>IF(ISERROR(getgrade(Broadsheet!AX43,data!$H$4:$I$9)),"#",getgrade(Broadsheet!AX43,data!$H$4:$I$9))</f>
        <v/>
      </c>
      <c r="AY43" s="188" t="str">
        <f>IF(ISERROR(getgrade(Broadsheet!AY43,data!$H$4:$I$9)),"#",getgrade(Broadsheet!AY43,data!$H$4:$I$9))</f>
        <v/>
      </c>
      <c r="AZ43" s="188" t="str">
        <f>IF(ISERROR(getgrade(Broadsheet!AZ43,data!$H$4:$I$9)),"#",getgrade(Broadsheet!AZ43,data!$H$4:$I$9))</f>
        <v/>
      </c>
      <c r="BA43" s="188" t="str">
        <f>IF(ISERROR(getgrade(Broadsheet!BA43,data!$H$4:$I$9)),"#",getgrade(Broadsheet!BA43,data!$H$4:$I$9))</f>
        <v/>
      </c>
      <c r="BB43" s="188" t="str">
        <f>IF(ISERROR(getgrade(Broadsheet!BB43,data!$H$4:$I$9)),"#",getgrade(Broadsheet!BB43,data!$H$4:$I$9))</f>
        <v/>
      </c>
      <c r="BC43" s="188" t="str">
        <f>IF(ISERROR(getgrade(Broadsheet!BC43,data!$H$4:$I$9)),"#",getgrade(Broadsheet!BC43,data!$H$4:$I$9))</f>
        <v/>
      </c>
      <c r="BD43" s="188" t="str">
        <f>IF(ISERROR(getgrade(Broadsheet!BD43,data!$H$4:$I$9)),"#",getgrade(Broadsheet!BD43,data!$H$4:$I$9))</f>
        <v/>
      </c>
      <c r="BE43" s="188" t="str">
        <f>IF(ISERROR(getgrade(Broadsheet!BE43,data!$H$4:$I$9)),"#",getgrade(Broadsheet!BE43,data!$H$4:$I$9))</f>
        <v/>
      </c>
      <c r="BF43" s="188" t="str">
        <f>IF(ISERROR(getgrade(Broadsheet!BF43,data!$H$4:$I$9)),"#",getgrade(Broadsheet!BF43,data!$H$4:$I$9))</f>
        <v/>
      </c>
      <c r="BG43" s="188" t="str">
        <f>IF(ISERROR(getgrade(Broadsheet!BG43,data!$H$4:$I$9)),"#",getgrade(Broadsheet!BG43,data!$H$4:$I$9))</f>
        <v/>
      </c>
      <c r="BH43" s="188" t="str">
        <f>IF(ISERROR(getgrade(Broadsheet!BH43,data!$H$4:$I$9)),"#",getgrade(Broadsheet!BH43,data!$H$4:$I$9))</f>
        <v/>
      </c>
      <c r="BI43" s="188" t="str">
        <f>IF(ISERROR(getgrade(Broadsheet!BI43,data!$H$4:$I$9)),"#",getgrade(Broadsheet!BI43,data!$H$4:$I$9))</f>
        <v/>
      </c>
      <c r="BJ43" s="188" t="str">
        <f>IF(ISERROR(getgrade(Broadsheet!BJ43,data!$H$4:$I$9)),"#",getgrade(Broadsheet!BJ43,data!$H$4:$I$9))</f>
        <v/>
      </c>
      <c r="BK43" s="188"/>
      <c r="BL43" s="188"/>
      <c r="BM43" s="188"/>
      <c r="BN43" s="188"/>
      <c r="BO43" s="188"/>
      <c r="BP43" s="188"/>
      <c r="BQ43" s="188"/>
      <c r="BR43" s="188"/>
      <c r="BS43" s="188"/>
      <c r="BT43" s="188"/>
      <c r="BU43" s="188"/>
      <c r="BV43" s="188"/>
      <c r="BW43" s="188"/>
      <c r="BX43" s="188"/>
      <c r="BY43" s="188"/>
      <c r="BZ43" s="188"/>
      <c r="CA43" s="188"/>
      <c r="CB43" s="188"/>
      <c r="CC43" s="188"/>
      <c r="CD43" s="188"/>
      <c r="CE43" s="188"/>
      <c r="CF43" s="188"/>
      <c r="CG43" s="188"/>
      <c r="CH43" s="188"/>
      <c r="CI43" s="188"/>
      <c r="CJ43" s="188"/>
      <c r="CK43" s="188"/>
      <c r="CL43" s="188"/>
      <c r="CM43" s="188"/>
      <c r="CN43" s="188"/>
      <c r="CO43" s="188"/>
      <c r="CP43" s="188"/>
      <c r="CQ43" s="188"/>
      <c r="CR43" s="188"/>
      <c r="CS43" s="188"/>
      <c r="CT43" s="188"/>
      <c r="CU43" s="188"/>
      <c r="CV43" s="188"/>
      <c r="CW43" s="188"/>
      <c r="CX43" s="188"/>
      <c r="CY43" s="188"/>
      <c r="CZ43" s="188"/>
      <c r="DA43" s="188"/>
      <c r="DB43" s="188"/>
      <c r="DC43" s="188"/>
      <c r="DD43" s="188"/>
      <c r="DE43" s="188"/>
      <c r="DF43" s="188"/>
      <c r="DG43" s="188"/>
      <c r="DH43" s="188"/>
      <c r="DI43" s="188"/>
      <c r="DJ43" s="188"/>
      <c r="DK43" s="188"/>
      <c r="DL43" s="188"/>
      <c r="DM43" s="188"/>
      <c r="DN43" s="188"/>
      <c r="DO43" s="188"/>
      <c r="DP43" s="188"/>
      <c r="DQ43" s="188"/>
      <c r="DR43" s="188"/>
      <c r="DS43" s="188"/>
      <c r="DT43" s="188"/>
      <c r="DU43" s="188"/>
      <c r="DV43" s="188"/>
      <c r="DW43" s="188"/>
      <c r="DX43" s="188"/>
      <c r="DY43" s="188"/>
      <c r="DZ43" s="188"/>
      <c r="EA43" s="188"/>
    </row>
    <row r="44" spans="1:131" ht="15.75" x14ac:dyDescent="0.25">
      <c r="A44" s="12">
        <f>Broadsheet!A44</f>
        <v>0</v>
      </c>
      <c r="B44" s="204" t="str">
        <f>IF(Broadsheet!B44="","",Broadsheet!B44)</f>
        <v/>
      </c>
      <c r="C44" s="24" t="str">
        <f>IF(Broadsheet!C44="","",Broadsheet!C44)</f>
        <v xml:space="preserve"> </v>
      </c>
      <c r="D44" s="24"/>
      <c r="E44" s="24"/>
      <c r="F44" s="24"/>
      <c r="G44" s="24" t="str">
        <f t="shared" si="0"/>
        <v/>
      </c>
      <c r="H44" s="188" t="str">
        <f>IF(ISERROR(getgrade(Broadsheet!H44,data!$H$4:$I$9)),"#",getgrade(Broadsheet!H44,data!$H$4:$I$9))</f>
        <v/>
      </c>
      <c r="I44" s="188" t="str">
        <f>IF(ISERROR(getgrade(Broadsheet!I44,data!$H$4:$I$9)),"#",getgrade(Broadsheet!I44,data!$H$4:$I$9))</f>
        <v/>
      </c>
      <c r="J44" s="188" t="str">
        <f>IF(ISERROR(getgrade(Broadsheet!J44,data!$H$4:$I$9)),"#",getgrade(Broadsheet!J44,data!$H$4:$I$9))</f>
        <v/>
      </c>
      <c r="K44" s="188" t="str">
        <f>IF(ISERROR(getgrade(Broadsheet!K44,data!$H$4:$I$9)),"#",getgrade(Broadsheet!K44,data!$H$4:$I$9))</f>
        <v/>
      </c>
      <c r="L44" s="188" t="str">
        <f>IF(ISERROR(getgrade(Broadsheet!L44,data!$H$4:$I$9)),"#",getgrade(Broadsheet!L44,data!$H$4:$I$9))</f>
        <v/>
      </c>
      <c r="M44" s="188" t="str">
        <f>IF(ISERROR(getgrade(Broadsheet!M44,data!$H$4:$I$9)),"#",getgrade(Broadsheet!M44,data!$H$4:$I$9))</f>
        <v/>
      </c>
      <c r="N44" s="188" t="str">
        <f>IF(ISERROR(getgrade(Broadsheet!N44,data!$H$4:$I$9)),"#",getgrade(Broadsheet!N44,data!$H$4:$I$9))</f>
        <v/>
      </c>
      <c r="O44" s="188" t="str">
        <f>IF(ISERROR(getgrade(Broadsheet!O44,data!$H$4:$I$9)),"#",getgrade(Broadsheet!O44,data!$H$4:$I$9))</f>
        <v/>
      </c>
      <c r="P44" s="188" t="str">
        <f>IF(ISERROR(getgrade(Broadsheet!P44,data!$H$4:$I$9)),"#",getgrade(Broadsheet!P44,data!$H$4:$I$9))</f>
        <v/>
      </c>
      <c r="Q44" s="188" t="str">
        <f>IF(ISERROR(getgrade(Broadsheet!Q44,data!$H$4:$I$9)),"#",getgrade(Broadsheet!Q44,data!$H$4:$I$9))</f>
        <v/>
      </c>
      <c r="R44" s="188" t="str">
        <f>IF(ISERROR(getgrade(Broadsheet!R44,data!$H$4:$I$9)),"#",getgrade(Broadsheet!R44,data!$H$4:$I$9))</f>
        <v/>
      </c>
      <c r="S44" s="188" t="str">
        <f>IF(ISERROR(getgrade(Broadsheet!S44,data!$H$4:$I$9)),"#",getgrade(Broadsheet!S44,data!$H$4:$I$9))</f>
        <v/>
      </c>
      <c r="T44" s="188" t="str">
        <f>IF(ISERROR(getgrade(Broadsheet!T44,data!$H$4:$I$9)),"#",getgrade(Broadsheet!T44,data!$H$4:$I$9))</f>
        <v/>
      </c>
      <c r="U44" s="188" t="str">
        <f>IF(ISERROR(getgrade(Broadsheet!U44,data!$H$4:$I$9)),"#",getgrade(Broadsheet!U44,data!$H$4:$I$9))</f>
        <v/>
      </c>
      <c r="V44" s="188" t="str">
        <f>IF(ISERROR(getgrade(Broadsheet!V44,data!$H$4:$I$9)),"#",getgrade(Broadsheet!V44,data!$H$4:$I$9))</f>
        <v/>
      </c>
      <c r="W44" s="188" t="str">
        <f>IF(ISERROR(getgrade(Broadsheet!W44,data!$H$4:$I$9)),"#",getgrade(Broadsheet!W44,data!$H$4:$I$9))</f>
        <v/>
      </c>
      <c r="X44" s="188" t="str">
        <f>IF(ISERROR(getgrade(Broadsheet!X44,data!$H$4:$I$9)),"#",getgrade(Broadsheet!X44,data!$H$4:$I$9))</f>
        <v/>
      </c>
      <c r="Y44" s="188" t="str">
        <f>IF(ISERROR(getgrade(Broadsheet!Y44,data!$H$4:$I$9)),"#",getgrade(Broadsheet!Y44,data!$H$4:$I$9))</f>
        <v/>
      </c>
      <c r="Z44" s="188" t="str">
        <f>IF(ISERROR(getgrade(Broadsheet!Z44,data!$H$4:$I$9)),"#",getgrade(Broadsheet!Z44,data!$H$4:$I$9))</f>
        <v/>
      </c>
      <c r="AA44" s="188" t="str">
        <f>IF(ISERROR(getgrade(Broadsheet!AA44,data!$H$4:$I$9)),"#",getgrade(Broadsheet!AA44,data!$H$4:$I$9))</f>
        <v/>
      </c>
      <c r="AB44" s="188" t="str">
        <f>IF(ISERROR(getgrade(Broadsheet!AB44,data!$H$4:$I$9)),"#",getgrade(Broadsheet!AB44,data!$H$4:$I$9))</f>
        <v/>
      </c>
      <c r="AC44" s="188" t="str">
        <f>IF(ISERROR(getgrade(Broadsheet!AC44,data!$H$4:$I$9)),"#",getgrade(Broadsheet!AC44,data!$H$4:$I$9))</f>
        <v/>
      </c>
      <c r="AD44" s="188" t="str">
        <f>IF(ISERROR(getgrade(Broadsheet!AD44,data!$H$4:$I$9)),"#",getgrade(Broadsheet!AD44,data!$H$4:$I$9))</f>
        <v/>
      </c>
      <c r="AE44" s="188" t="str">
        <f>IF(ISERROR(getgrade(Broadsheet!AE44,data!$H$4:$I$9)),"#",getgrade(Broadsheet!AE44,data!$H$4:$I$9))</f>
        <v/>
      </c>
      <c r="AF44" s="188" t="str">
        <f>IF(ISERROR(getgrade(Broadsheet!AF44,data!$H$4:$I$9)),"#",getgrade(Broadsheet!AF44,data!$H$4:$I$9))</f>
        <v/>
      </c>
      <c r="AG44" s="188" t="str">
        <f>IF(ISERROR(getgrade(Broadsheet!AG44,data!$H$4:$I$9)),"#",getgrade(Broadsheet!AG44,data!$H$4:$I$9))</f>
        <v/>
      </c>
      <c r="AH44" s="188" t="str">
        <f>IF(ISERROR(getgrade(Broadsheet!AH44,data!$H$4:$I$9)),"#",getgrade(Broadsheet!AH44,data!$H$4:$I$9))</f>
        <v/>
      </c>
      <c r="AI44" s="188" t="str">
        <f>IF(ISERROR(getgrade(Broadsheet!AI44,data!$H$4:$I$9)),"#",getgrade(Broadsheet!AI44,data!$H$4:$I$9))</f>
        <v/>
      </c>
      <c r="AJ44" s="188" t="str">
        <f>IF(ISERROR(getgrade(Broadsheet!AJ44,data!$H$4:$I$9)),"#",getgrade(Broadsheet!AJ44,data!$H$4:$I$9))</f>
        <v/>
      </c>
      <c r="AK44" s="188" t="str">
        <f>IF(ISERROR(getgrade(Broadsheet!AK44,data!$H$4:$I$9)),"#",getgrade(Broadsheet!AK44,data!$H$4:$I$9))</f>
        <v/>
      </c>
      <c r="AL44" s="188" t="str">
        <f>IF(ISERROR(getgrade(Broadsheet!AL44,data!$H$4:$I$9)),"#",getgrade(Broadsheet!AL44,data!$H$4:$I$9))</f>
        <v/>
      </c>
      <c r="AM44" s="188" t="str">
        <f>IF(ISERROR(getgrade(Broadsheet!AM44,data!$H$4:$I$9)),"#",getgrade(Broadsheet!AM44,data!$H$4:$I$9))</f>
        <v/>
      </c>
      <c r="AN44" s="188" t="str">
        <f>IF(ISERROR(getgrade(Broadsheet!AN44,data!$H$4:$I$9)),"#",getgrade(Broadsheet!AN44,data!$H$4:$I$9))</f>
        <v/>
      </c>
      <c r="AO44" s="188" t="str">
        <f>IF(ISERROR(getgrade(Broadsheet!AO44,data!$H$4:$I$9)),"#",getgrade(Broadsheet!AO44,data!$H$4:$I$9))</f>
        <v/>
      </c>
      <c r="AP44" s="188" t="str">
        <f>IF(ISERROR(getgrade(Broadsheet!AP44,data!$H$4:$I$9)),"#",getgrade(Broadsheet!AP44,data!$H$4:$I$9))</f>
        <v/>
      </c>
      <c r="AQ44" s="188" t="str">
        <f>IF(ISERROR(getgrade(Broadsheet!AQ44,data!$H$4:$I$9)),"#",getgrade(Broadsheet!AQ44,data!$H$4:$I$9))</f>
        <v/>
      </c>
      <c r="AR44" s="188" t="str">
        <f>IF(ISERROR(getgrade(Broadsheet!AR44,data!$H$4:$I$9)),"#",getgrade(Broadsheet!AR44,data!$H$4:$I$9))</f>
        <v/>
      </c>
      <c r="AS44" s="188" t="str">
        <f>IF(ISERROR(getgrade(Broadsheet!AS44,data!$H$4:$I$9)),"#",getgrade(Broadsheet!AS44,data!$H$4:$I$9))</f>
        <v/>
      </c>
      <c r="AT44" s="188" t="str">
        <f>IF(ISERROR(getgrade(Broadsheet!AT44,data!$H$4:$I$9)),"#",getgrade(Broadsheet!AT44,data!$H$4:$I$9))</f>
        <v/>
      </c>
      <c r="AU44" s="188" t="str">
        <f>IF(ISERROR(getgrade(Broadsheet!AU44,data!$H$4:$I$9)),"#",getgrade(Broadsheet!AU44,data!$H$4:$I$9))</f>
        <v/>
      </c>
      <c r="AV44" s="188" t="str">
        <f>IF(ISERROR(getgrade(Broadsheet!AV44,data!$H$4:$I$9)),"#",getgrade(Broadsheet!AV44,data!$H$4:$I$9))</f>
        <v/>
      </c>
      <c r="AW44" s="188" t="str">
        <f>IF(ISERROR(getgrade(Broadsheet!AW44,data!$H$4:$I$9)),"#",getgrade(Broadsheet!AW44,data!$H$4:$I$9))</f>
        <v/>
      </c>
      <c r="AX44" s="188" t="str">
        <f>IF(ISERROR(getgrade(Broadsheet!AX44,data!$H$4:$I$9)),"#",getgrade(Broadsheet!AX44,data!$H$4:$I$9))</f>
        <v/>
      </c>
      <c r="AY44" s="188" t="str">
        <f>IF(ISERROR(getgrade(Broadsheet!AY44,data!$H$4:$I$9)),"#",getgrade(Broadsheet!AY44,data!$H$4:$I$9))</f>
        <v/>
      </c>
      <c r="AZ44" s="188" t="str">
        <f>IF(ISERROR(getgrade(Broadsheet!AZ44,data!$H$4:$I$9)),"#",getgrade(Broadsheet!AZ44,data!$H$4:$I$9))</f>
        <v/>
      </c>
      <c r="BA44" s="188" t="str">
        <f>IF(ISERROR(getgrade(Broadsheet!BA44,data!$H$4:$I$9)),"#",getgrade(Broadsheet!BA44,data!$H$4:$I$9))</f>
        <v/>
      </c>
      <c r="BB44" s="188" t="str">
        <f>IF(ISERROR(getgrade(Broadsheet!BB44,data!$H$4:$I$9)),"#",getgrade(Broadsheet!BB44,data!$H$4:$I$9))</f>
        <v/>
      </c>
      <c r="BC44" s="188" t="str">
        <f>IF(ISERROR(getgrade(Broadsheet!BC44,data!$H$4:$I$9)),"#",getgrade(Broadsheet!BC44,data!$H$4:$I$9))</f>
        <v/>
      </c>
      <c r="BD44" s="188" t="str">
        <f>IF(ISERROR(getgrade(Broadsheet!BD44,data!$H$4:$I$9)),"#",getgrade(Broadsheet!BD44,data!$H$4:$I$9))</f>
        <v/>
      </c>
      <c r="BE44" s="188" t="str">
        <f>IF(ISERROR(getgrade(Broadsheet!BE44,data!$H$4:$I$9)),"#",getgrade(Broadsheet!BE44,data!$H$4:$I$9))</f>
        <v/>
      </c>
      <c r="BF44" s="188" t="str">
        <f>IF(ISERROR(getgrade(Broadsheet!BF44,data!$H$4:$I$9)),"#",getgrade(Broadsheet!BF44,data!$H$4:$I$9))</f>
        <v/>
      </c>
      <c r="BG44" s="188" t="str">
        <f>IF(ISERROR(getgrade(Broadsheet!BG44,data!$H$4:$I$9)),"#",getgrade(Broadsheet!BG44,data!$H$4:$I$9))</f>
        <v/>
      </c>
      <c r="BH44" s="188" t="str">
        <f>IF(ISERROR(getgrade(Broadsheet!BH44,data!$H$4:$I$9)),"#",getgrade(Broadsheet!BH44,data!$H$4:$I$9))</f>
        <v/>
      </c>
      <c r="BI44" s="188" t="str">
        <f>IF(ISERROR(getgrade(Broadsheet!BI44,data!$H$4:$I$9)),"#",getgrade(Broadsheet!BI44,data!$H$4:$I$9))</f>
        <v/>
      </c>
      <c r="BJ44" s="188" t="str">
        <f>IF(ISERROR(getgrade(Broadsheet!BJ44,data!$H$4:$I$9)),"#",getgrade(Broadsheet!BJ44,data!$H$4:$I$9))</f>
        <v/>
      </c>
      <c r="BK44" s="188"/>
      <c r="BL44" s="188"/>
      <c r="BM44" s="188"/>
      <c r="BN44" s="188"/>
      <c r="BO44" s="188"/>
      <c r="BP44" s="188"/>
      <c r="BQ44" s="188"/>
      <c r="BR44" s="188"/>
      <c r="BS44" s="188"/>
      <c r="BT44" s="188"/>
      <c r="BU44" s="188"/>
      <c r="BV44" s="188"/>
      <c r="BW44" s="188"/>
      <c r="BX44" s="188"/>
      <c r="BY44" s="188"/>
      <c r="BZ44" s="188"/>
      <c r="CA44" s="188"/>
      <c r="CB44" s="188"/>
      <c r="CC44" s="188"/>
      <c r="CD44" s="188"/>
      <c r="CE44" s="188"/>
      <c r="CF44" s="188"/>
      <c r="CG44" s="188"/>
      <c r="CH44" s="188"/>
      <c r="CI44" s="188"/>
      <c r="CJ44" s="188"/>
      <c r="CK44" s="188"/>
      <c r="CL44" s="188"/>
      <c r="CM44" s="188"/>
      <c r="CN44" s="188"/>
      <c r="CO44" s="188"/>
      <c r="CP44" s="188"/>
      <c r="CQ44" s="188"/>
      <c r="CR44" s="188"/>
      <c r="CS44" s="188"/>
      <c r="CT44" s="188"/>
      <c r="CU44" s="188"/>
      <c r="CV44" s="188"/>
      <c r="CW44" s="188"/>
      <c r="CX44" s="188"/>
      <c r="CY44" s="188"/>
      <c r="CZ44" s="188"/>
      <c r="DA44" s="188"/>
      <c r="DB44" s="188"/>
      <c r="DC44" s="188"/>
      <c r="DD44" s="188"/>
      <c r="DE44" s="188"/>
      <c r="DF44" s="188"/>
      <c r="DG44" s="188"/>
      <c r="DH44" s="188"/>
      <c r="DI44" s="188"/>
      <c r="DJ44" s="188"/>
      <c r="DK44" s="188"/>
      <c r="DL44" s="188"/>
      <c r="DM44" s="188"/>
      <c r="DN44" s="188"/>
      <c r="DO44" s="188"/>
      <c r="DP44" s="188"/>
      <c r="DQ44" s="188"/>
      <c r="DR44" s="188"/>
      <c r="DS44" s="188"/>
      <c r="DT44" s="188"/>
      <c r="DU44" s="188"/>
      <c r="DV44" s="188"/>
      <c r="DW44" s="188"/>
      <c r="DX44" s="188"/>
      <c r="DY44" s="188"/>
      <c r="DZ44" s="188"/>
      <c r="EA44" s="188"/>
    </row>
    <row r="45" spans="1:131" ht="15.75" x14ac:dyDescent="0.25">
      <c r="A45" s="12">
        <f>Broadsheet!A45</f>
        <v>0</v>
      </c>
      <c r="B45" s="204" t="str">
        <f>IF(Broadsheet!B45="","",Broadsheet!B45)</f>
        <v/>
      </c>
      <c r="C45" s="24" t="str">
        <f>IF(Broadsheet!C45="","",Broadsheet!C45)</f>
        <v xml:space="preserve"> </v>
      </c>
      <c r="D45" s="24"/>
      <c r="E45" s="24"/>
      <c r="F45" s="24"/>
      <c r="G45" s="24" t="str">
        <f t="shared" si="0"/>
        <v/>
      </c>
      <c r="H45" s="188" t="str">
        <f>IF(ISERROR(getgrade(Broadsheet!H45,data!$H$4:$I$9)),"#",getgrade(Broadsheet!H45,data!$H$4:$I$9))</f>
        <v/>
      </c>
      <c r="I45" s="188" t="str">
        <f>IF(ISERROR(getgrade(Broadsheet!I45,data!$H$4:$I$9)),"#",getgrade(Broadsheet!I45,data!$H$4:$I$9))</f>
        <v/>
      </c>
      <c r="J45" s="188" t="str">
        <f>IF(ISERROR(getgrade(Broadsheet!J45,data!$H$4:$I$9)),"#",getgrade(Broadsheet!J45,data!$H$4:$I$9))</f>
        <v/>
      </c>
      <c r="K45" s="188" t="str">
        <f>IF(ISERROR(getgrade(Broadsheet!K45,data!$H$4:$I$9)),"#",getgrade(Broadsheet!K45,data!$H$4:$I$9))</f>
        <v/>
      </c>
      <c r="L45" s="188" t="str">
        <f>IF(ISERROR(getgrade(Broadsheet!L45,data!$H$4:$I$9)),"#",getgrade(Broadsheet!L45,data!$H$4:$I$9))</f>
        <v/>
      </c>
      <c r="M45" s="188" t="str">
        <f>IF(ISERROR(getgrade(Broadsheet!M45,data!$H$4:$I$9)),"#",getgrade(Broadsheet!M45,data!$H$4:$I$9))</f>
        <v/>
      </c>
      <c r="N45" s="188" t="str">
        <f>IF(ISERROR(getgrade(Broadsheet!N45,data!$H$4:$I$9)),"#",getgrade(Broadsheet!N45,data!$H$4:$I$9))</f>
        <v/>
      </c>
      <c r="O45" s="188" t="str">
        <f>IF(ISERROR(getgrade(Broadsheet!O45,data!$H$4:$I$9)),"#",getgrade(Broadsheet!O45,data!$H$4:$I$9))</f>
        <v/>
      </c>
      <c r="P45" s="188" t="str">
        <f>IF(ISERROR(getgrade(Broadsheet!P45,data!$H$4:$I$9)),"#",getgrade(Broadsheet!P45,data!$H$4:$I$9))</f>
        <v/>
      </c>
      <c r="Q45" s="188" t="str">
        <f>IF(ISERROR(getgrade(Broadsheet!Q45,data!$H$4:$I$9)),"#",getgrade(Broadsheet!Q45,data!$H$4:$I$9))</f>
        <v/>
      </c>
      <c r="R45" s="188" t="str">
        <f>IF(ISERROR(getgrade(Broadsheet!R45,data!$H$4:$I$9)),"#",getgrade(Broadsheet!R45,data!$H$4:$I$9))</f>
        <v/>
      </c>
      <c r="S45" s="188" t="str">
        <f>IF(ISERROR(getgrade(Broadsheet!S45,data!$H$4:$I$9)),"#",getgrade(Broadsheet!S45,data!$H$4:$I$9))</f>
        <v/>
      </c>
      <c r="T45" s="188" t="str">
        <f>IF(ISERROR(getgrade(Broadsheet!T45,data!$H$4:$I$9)),"#",getgrade(Broadsheet!T45,data!$H$4:$I$9))</f>
        <v/>
      </c>
      <c r="U45" s="188" t="str">
        <f>IF(ISERROR(getgrade(Broadsheet!U45,data!$H$4:$I$9)),"#",getgrade(Broadsheet!U45,data!$H$4:$I$9))</f>
        <v/>
      </c>
      <c r="V45" s="188" t="str">
        <f>IF(ISERROR(getgrade(Broadsheet!V45,data!$H$4:$I$9)),"#",getgrade(Broadsheet!V45,data!$H$4:$I$9))</f>
        <v/>
      </c>
      <c r="W45" s="188" t="str">
        <f>IF(ISERROR(getgrade(Broadsheet!W45,data!$H$4:$I$9)),"#",getgrade(Broadsheet!W45,data!$H$4:$I$9))</f>
        <v/>
      </c>
      <c r="X45" s="188" t="str">
        <f>IF(ISERROR(getgrade(Broadsheet!X45,data!$H$4:$I$9)),"#",getgrade(Broadsheet!X45,data!$H$4:$I$9))</f>
        <v/>
      </c>
      <c r="Y45" s="188" t="str">
        <f>IF(ISERROR(getgrade(Broadsheet!Y45,data!$H$4:$I$9)),"#",getgrade(Broadsheet!Y45,data!$H$4:$I$9))</f>
        <v/>
      </c>
      <c r="Z45" s="188" t="str">
        <f>IF(ISERROR(getgrade(Broadsheet!Z45,data!$H$4:$I$9)),"#",getgrade(Broadsheet!Z45,data!$H$4:$I$9))</f>
        <v/>
      </c>
      <c r="AA45" s="188" t="str">
        <f>IF(ISERROR(getgrade(Broadsheet!AA45,data!$H$4:$I$9)),"#",getgrade(Broadsheet!AA45,data!$H$4:$I$9))</f>
        <v/>
      </c>
      <c r="AB45" s="188" t="str">
        <f>IF(ISERROR(getgrade(Broadsheet!AB45,data!$H$4:$I$9)),"#",getgrade(Broadsheet!AB45,data!$H$4:$I$9))</f>
        <v/>
      </c>
      <c r="AC45" s="188" t="str">
        <f>IF(ISERROR(getgrade(Broadsheet!AC45,data!$H$4:$I$9)),"#",getgrade(Broadsheet!AC45,data!$H$4:$I$9))</f>
        <v/>
      </c>
      <c r="AD45" s="188" t="str">
        <f>IF(ISERROR(getgrade(Broadsheet!AD45,data!$H$4:$I$9)),"#",getgrade(Broadsheet!AD45,data!$H$4:$I$9))</f>
        <v/>
      </c>
      <c r="AE45" s="188" t="str">
        <f>IF(ISERROR(getgrade(Broadsheet!AE45,data!$H$4:$I$9)),"#",getgrade(Broadsheet!AE45,data!$H$4:$I$9))</f>
        <v/>
      </c>
      <c r="AF45" s="188" t="str">
        <f>IF(ISERROR(getgrade(Broadsheet!AF45,data!$H$4:$I$9)),"#",getgrade(Broadsheet!AF45,data!$H$4:$I$9))</f>
        <v/>
      </c>
      <c r="AG45" s="188" t="str">
        <f>IF(ISERROR(getgrade(Broadsheet!AG45,data!$H$4:$I$9)),"#",getgrade(Broadsheet!AG45,data!$H$4:$I$9))</f>
        <v/>
      </c>
      <c r="AH45" s="188" t="str">
        <f>IF(ISERROR(getgrade(Broadsheet!AH45,data!$H$4:$I$9)),"#",getgrade(Broadsheet!AH45,data!$H$4:$I$9))</f>
        <v/>
      </c>
      <c r="AI45" s="188" t="str">
        <f>IF(ISERROR(getgrade(Broadsheet!AI45,data!$H$4:$I$9)),"#",getgrade(Broadsheet!AI45,data!$H$4:$I$9))</f>
        <v/>
      </c>
      <c r="AJ45" s="188" t="str">
        <f>IF(ISERROR(getgrade(Broadsheet!AJ45,data!$H$4:$I$9)),"#",getgrade(Broadsheet!AJ45,data!$H$4:$I$9))</f>
        <v/>
      </c>
      <c r="AK45" s="188" t="str">
        <f>IF(ISERROR(getgrade(Broadsheet!AK45,data!$H$4:$I$9)),"#",getgrade(Broadsheet!AK45,data!$H$4:$I$9))</f>
        <v/>
      </c>
      <c r="AL45" s="188" t="str">
        <f>IF(ISERROR(getgrade(Broadsheet!AL45,data!$H$4:$I$9)),"#",getgrade(Broadsheet!AL45,data!$H$4:$I$9))</f>
        <v/>
      </c>
      <c r="AM45" s="188" t="str">
        <f>IF(ISERROR(getgrade(Broadsheet!AM45,data!$H$4:$I$9)),"#",getgrade(Broadsheet!AM45,data!$H$4:$I$9))</f>
        <v/>
      </c>
      <c r="AN45" s="188" t="str">
        <f>IF(ISERROR(getgrade(Broadsheet!AN45,data!$H$4:$I$9)),"#",getgrade(Broadsheet!AN45,data!$H$4:$I$9))</f>
        <v/>
      </c>
      <c r="AO45" s="188" t="str">
        <f>IF(ISERROR(getgrade(Broadsheet!AO45,data!$H$4:$I$9)),"#",getgrade(Broadsheet!AO45,data!$H$4:$I$9))</f>
        <v/>
      </c>
      <c r="AP45" s="188" t="str">
        <f>IF(ISERROR(getgrade(Broadsheet!AP45,data!$H$4:$I$9)),"#",getgrade(Broadsheet!AP45,data!$H$4:$I$9))</f>
        <v/>
      </c>
      <c r="AQ45" s="188" t="str">
        <f>IF(ISERROR(getgrade(Broadsheet!AQ45,data!$H$4:$I$9)),"#",getgrade(Broadsheet!AQ45,data!$H$4:$I$9))</f>
        <v/>
      </c>
      <c r="AR45" s="188" t="str">
        <f>IF(ISERROR(getgrade(Broadsheet!AR45,data!$H$4:$I$9)),"#",getgrade(Broadsheet!AR45,data!$H$4:$I$9))</f>
        <v/>
      </c>
      <c r="AS45" s="188" t="str">
        <f>IF(ISERROR(getgrade(Broadsheet!AS45,data!$H$4:$I$9)),"#",getgrade(Broadsheet!AS45,data!$H$4:$I$9))</f>
        <v/>
      </c>
      <c r="AT45" s="188" t="str">
        <f>IF(ISERROR(getgrade(Broadsheet!AT45,data!$H$4:$I$9)),"#",getgrade(Broadsheet!AT45,data!$H$4:$I$9))</f>
        <v/>
      </c>
      <c r="AU45" s="188" t="str">
        <f>IF(ISERROR(getgrade(Broadsheet!AU45,data!$H$4:$I$9)),"#",getgrade(Broadsheet!AU45,data!$H$4:$I$9))</f>
        <v/>
      </c>
      <c r="AV45" s="188" t="str">
        <f>IF(ISERROR(getgrade(Broadsheet!AV45,data!$H$4:$I$9)),"#",getgrade(Broadsheet!AV45,data!$H$4:$I$9))</f>
        <v/>
      </c>
      <c r="AW45" s="188" t="str">
        <f>IF(ISERROR(getgrade(Broadsheet!AW45,data!$H$4:$I$9)),"#",getgrade(Broadsheet!AW45,data!$H$4:$I$9))</f>
        <v/>
      </c>
      <c r="AX45" s="188" t="str">
        <f>IF(ISERROR(getgrade(Broadsheet!AX45,data!$H$4:$I$9)),"#",getgrade(Broadsheet!AX45,data!$H$4:$I$9))</f>
        <v/>
      </c>
      <c r="AY45" s="188" t="str">
        <f>IF(ISERROR(getgrade(Broadsheet!AY45,data!$H$4:$I$9)),"#",getgrade(Broadsheet!AY45,data!$H$4:$I$9))</f>
        <v/>
      </c>
      <c r="AZ45" s="188" t="str">
        <f>IF(ISERROR(getgrade(Broadsheet!AZ45,data!$H$4:$I$9)),"#",getgrade(Broadsheet!AZ45,data!$H$4:$I$9))</f>
        <v/>
      </c>
      <c r="BA45" s="188" t="str">
        <f>IF(ISERROR(getgrade(Broadsheet!BA45,data!$H$4:$I$9)),"#",getgrade(Broadsheet!BA45,data!$H$4:$I$9))</f>
        <v/>
      </c>
      <c r="BB45" s="188" t="str">
        <f>IF(ISERROR(getgrade(Broadsheet!BB45,data!$H$4:$I$9)),"#",getgrade(Broadsheet!BB45,data!$H$4:$I$9))</f>
        <v/>
      </c>
      <c r="BC45" s="188" t="str">
        <f>IF(ISERROR(getgrade(Broadsheet!BC45,data!$H$4:$I$9)),"#",getgrade(Broadsheet!BC45,data!$H$4:$I$9))</f>
        <v/>
      </c>
      <c r="BD45" s="188" t="str">
        <f>IF(ISERROR(getgrade(Broadsheet!BD45,data!$H$4:$I$9)),"#",getgrade(Broadsheet!BD45,data!$H$4:$I$9))</f>
        <v/>
      </c>
      <c r="BE45" s="188" t="str">
        <f>IF(ISERROR(getgrade(Broadsheet!BE45,data!$H$4:$I$9)),"#",getgrade(Broadsheet!BE45,data!$H$4:$I$9))</f>
        <v/>
      </c>
      <c r="BF45" s="188" t="str">
        <f>IF(ISERROR(getgrade(Broadsheet!BF45,data!$H$4:$I$9)),"#",getgrade(Broadsheet!BF45,data!$H$4:$I$9))</f>
        <v/>
      </c>
      <c r="BG45" s="188" t="str">
        <f>IF(ISERROR(getgrade(Broadsheet!BG45,data!$H$4:$I$9)),"#",getgrade(Broadsheet!BG45,data!$H$4:$I$9))</f>
        <v/>
      </c>
      <c r="BH45" s="188" t="str">
        <f>IF(ISERROR(getgrade(Broadsheet!BH45,data!$H$4:$I$9)),"#",getgrade(Broadsheet!BH45,data!$H$4:$I$9))</f>
        <v/>
      </c>
      <c r="BI45" s="188" t="str">
        <f>IF(ISERROR(getgrade(Broadsheet!BI45,data!$H$4:$I$9)),"#",getgrade(Broadsheet!BI45,data!$H$4:$I$9))</f>
        <v/>
      </c>
      <c r="BJ45" s="188" t="str">
        <f>IF(ISERROR(getgrade(Broadsheet!BJ45,data!$H$4:$I$9)),"#",getgrade(Broadsheet!BJ45,data!$H$4:$I$9))</f>
        <v/>
      </c>
      <c r="BK45" s="188"/>
      <c r="BL45" s="188"/>
      <c r="BM45" s="188"/>
      <c r="BN45" s="188"/>
      <c r="BO45" s="188"/>
      <c r="BP45" s="188"/>
      <c r="BQ45" s="188"/>
      <c r="BR45" s="188"/>
      <c r="BS45" s="188"/>
      <c r="BT45" s="188"/>
      <c r="BU45" s="188"/>
      <c r="BV45" s="188"/>
      <c r="BW45" s="188"/>
      <c r="BX45" s="188"/>
      <c r="BY45" s="188"/>
      <c r="BZ45" s="188"/>
      <c r="CA45" s="188"/>
      <c r="CB45" s="188"/>
      <c r="CC45" s="188"/>
      <c r="CD45" s="188"/>
      <c r="CE45" s="188"/>
      <c r="CF45" s="188"/>
      <c r="CG45" s="188"/>
      <c r="CH45" s="188"/>
      <c r="CI45" s="188"/>
      <c r="CJ45" s="188"/>
      <c r="CK45" s="188"/>
      <c r="CL45" s="188"/>
      <c r="CM45" s="188"/>
      <c r="CN45" s="188"/>
      <c r="CO45" s="188"/>
      <c r="CP45" s="188"/>
      <c r="CQ45" s="188"/>
      <c r="CR45" s="188"/>
      <c r="CS45" s="188"/>
      <c r="CT45" s="188"/>
      <c r="CU45" s="188"/>
      <c r="CV45" s="188"/>
      <c r="CW45" s="188"/>
      <c r="CX45" s="188"/>
      <c r="CY45" s="188"/>
      <c r="CZ45" s="188"/>
      <c r="DA45" s="188"/>
      <c r="DB45" s="188"/>
      <c r="DC45" s="188"/>
      <c r="DD45" s="188"/>
      <c r="DE45" s="188"/>
      <c r="DF45" s="188"/>
      <c r="DG45" s="188"/>
      <c r="DH45" s="188"/>
      <c r="DI45" s="188"/>
      <c r="DJ45" s="188"/>
      <c r="DK45" s="188"/>
      <c r="DL45" s="188"/>
      <c r="DM45" s="188"/>
      <c r="DN45" s="188"/>
      <c r="DO45" s="188"/>
      <c r="DP45" s="188"/>
      <c r="DQ45" s="188"/>
      <c r="DR45" s="188"/>
      <c r="DS45" s="188"/>
      <c r="DT45" s="188"/>
      <c r="DU45" s="188"/>
      <c r="DV45" s="188"/>
      <c r="DW45" s="188"/>
      <c r="DX45" s="188"/>
      <c r="DY45" s="188"/>
      <c r="DZ45" s="188"/>
      <c r="EA45" s="188"/>
    </row>
    <row r="46" spans="1:131" ht="15.75" x14ac:dyDescent="0.25">
      <c r="A46" s="12">
        <f>Broadsheet!A46</f>
        <v>0</v>
      </c>
      <c r="B46" s="204" t="str">
        <f>IF(Broadsheet!B46="","",Broadsheet!B46)</f>
        <v/>
      </c>
      <c r="C46" s="24" t="str">
        <f>IF(Broadsheet!C46="","",Broadsheet!C46)</f>
        <v xml:space="preserve"> </v>
      </c>
      <c r="D46" s="24"/>
      <c r="E46" s="24"/>
      <c r="F46" s="24"/>
      <c r="G46" s="24" t="str">
        <f t="shared" si="0"/>
        <v/>
      </c>
      <c r="H46" s="188" t="str">
        <f>IF(ISERROR(getgrade(Broadsheet!H46,data!$H$4:$I$9)),"#",getgrade(Broadsheet!H46,data!$H$4:$I$9))</f>
        <v/>
      </c>
      <c r="I46" s="188" t="str">
        <f>IF(ISERROR(getgrade(Broadsheet!I46,data!$H$4:$I$9)),"#",getgrade(Broadsheet!I46,data!$H$4:$I$9))</f>
        <v/>
      </c>
      <c r="J46" s="188" t="str">
        <f>IF(ISERROR(getgrade(Broadsheet!J46,data!$H$4:$I$9)),"#",getgrade(Broadsheet!J46,data!$H$4:$I$9))</f>
        <v/>
      </c>
      <c r="K46" s="188" t="str">
        <f>IF(ISERROR(getgrade(Broadsheet!K46,data!$H$4:$I$9)),"#",getgrade(Broadsheet!K46,data!$H$4:$I$9))</f>
        <v/>
      </c>
      <c r="L46" s="188" t="str">
        <f>IF(ISERROR(getgrade(Broadsheet!L46,data!$H$4:$I$9)),"#",getgrade(Broadsheet!L46,data!$H$4:$I$9))</f>
        <v/>
      </c>
      <c r="M46" s="188" t="str">
        <f>IF(ISERROR(getgrade(Broadsheet!M46,data!$H$4:$I$9)),"#",getgrade(Broadsheet!M46,data!$H$4:$I$9))</f>
        <v/>
      </c>
      <c r="N46" s="188" t="str">
        <f>IF(ISERROR(getgrade(Broadsheet!N46,data!$H$4:$I$9)),"#",getgrade(Broadsheet!N46,data!$H$4:$I$9))</f>
        <v/>
      </c>
      <c r="O46" s="188" t="str">
        <f>IF(ISERROR(getgrade(Broadsheet!O46,data!$H$4:$I$9)),"#",getgrade(Broadsheet!O46,data!$H$4:$I$9))</f>
        <v/>
      </c>
      <c r="P46" s="188" t="str">
        <f>IF(ISERROR(getgrade(Broadsheet!P46,data!$H$4:$I$9)),"#",getgrade(Broadsheet!P46,data!$H$4:$I$9))</f>
        <v/>
      </c>
      <c r="Q46" s="188" t="str">
        <f>IF(ISERROR(getgrade(Broadsheet!Q46,data!$H$4:$I$9)),"#",getgrade(Broadsheet!Q46,data!$H$4:$I$9))</f>
        <v/>
      </c>
      <c r="R46" s="188" t="str">
        <f>IF(ISERROR(getgrade(Broadsheet!R46,data!$H$4:$I$9)),"#",getgrade(Broadsheet!R46,data!$H$4:$I$9))</f>
        <v/>
      </c>
      <c r="S46" s="188" t="str">
        <f>IF(ISERROR(getgrade(Broadsheet!S46,data!$H$4:$I$9)),"#",getgrade(Broadsheet!S46,data!$H$4:$I$9))</f>
        <v/>
      </c>
      <c r="T46" s="188" t="str">
        <f>IF(ISERROR(getgrade(Broadsheet!T46,data!$H$4:$I$9)),"#",getgrade(Broadsheet!T46,data!$H$4:$I$9))</f>
        <v/>
      </c>
      <c r="U46" s="188" t="str">
        <f>IF(ISERROR(getgrade(Broadsheet!U46,data!$H$4:$I$9)),"#",getgrade(Broadsheet!U46,data!$H$4:$I$9))</f>
        <v/>
      </c>
      <c r="V46" s="188" t="str">
        <f>IF(ISERROR(getgrade(Broadsheet!V46,data!$H$4:$I$9)),"#",getgrade(Broadsheet!V46,data!$H$4:$I$9))</f>
        <v/>
      </c>
      <c r="W46" s="188" t="str">
        <f>IF(ISERROR(getgrade(Broadsheet!W46,data!$H$4:$I$9)),"#",getgrade(Broadsheet!W46,data!$H$4:$I$9))</f>
        <v/>
      </c>
      <c r="X46" s="188" t="str">
        <f>IF(ISERROR(getgrade(Broadsheet!X46,data!$H$4:$I$9)),"#",getgrade(Broadsheet!X46,data!$H$4:$I$9))</f>
        <v/>
      </c>
      <c r="Y46" s="188" t="str">
        <f>IF(ISERROR(getgrade(Broadsheet!Y46,data!$H$4:$I$9)),"#",getgrade(Broadsheet!Y46,data!$H$4:$I$9))</f>
        <v/>
      </c>
      <c r="Z46" s="188" t="str">
        <f>IF(ISERROR(getgrade(Broadsheet!Z46,data!$H$4:$I$9)),"#",getgrade(Broadsheet!Z46,data!$H$4:$I$9))</f>
        <v/>
      </c>
      <c r="AA46" s="188" t="str">
        <f>IF(ISERROR(getgrade(Broadsheet!AA46,data!$H$4:$I$9)),"#",getgrade(Broadsheet!AA46,data!$H$4:$I$9))</f>
        <v/>
      </c>
      <c r="AB46" s="188" t="str">
        <f>IF(ISERROR(getgrade(Broadsheet!AB46,data!$H$4:$I$9)),"#",getgrade(Broadsheet!AB46,data!$H$4:$I$9))</f>
        <v/>
      </c>
      <c r="AC46" s="188" t="str">
        <f>IF(ISERROR(getgrade(Broadsheet!AC46,data!$H$4:$I$9)),"#",getgrade(Broadsheet!AC46,data!$H$4:$I$9))</f>
        <v/>
      </c>
      <c r="AD46" s="188" t="str">
        <f>IF(ISERROR(getgrade(Broadsheet!AD46,data!$H$4:$I$9)),"#",getgrade(Broadsheet!AD46,data!$H$4:$I$9))</f>
        <v/>
      </c>
      <c r="AE46" s="188" t="str">
        <f>IF(ISERROR(getgrade(Broadsheet!AE46,data!$H$4:$I$9)),"#",getgrade(Broadsheet!AE46,data!$H$4:$I$9))</f>
        <v/>
      </c>
      <c r="AF46" s="188" t="str">
        <f>IF(ISERROR(getgrade(Broadsheet!AF46,data!$H$4:$I$9)),"#",getgrade(Broadsheet!AF46,data!$H$4:$I$9))</f>
        <v/>
      </c>
      <c r="AG46" s="188" t="str">
        <f>IF(ISERROR(getgrade(Broadsheet!AG46,data!$H$4:$I$9)),"#",getgrade(Broadsheet!AG46,data!$H$4:$I$9))</f>
        <v/>
      </c>
      <c r="AH46" s="188" t="str">
        <f>IF(ISERROR(getgrade(Broadsheet!AH46,data!$H$4:$I$9)),"#",getgrade(Broadsheet!AH46,data!$H$4:$I$9))</f>
        <v/>
      </c>
      <c r="AI46" s="188" t="str">
        <f>IF(ISERROR(getgrade(Broadsheet!AI46,data!$H$4:$I$9)),"#",getgrade(Broadsheet!AI46,data!$H$4:$I$9))</f>
        <v/>
      </c>
      <c r="AJ46" s="188" t="str">
        <f>IF(ISERROR(getgrade(Broadsheet!AJ46,data!$H$4:$I$9)),"#",getgrade(Broadsheet!AJ46,data!$H$4:$I$9))</f>
        <v/>
      </c>
      <c r="AK46" s="188" t="str">
        <f>IF(ISERROR(getgrade(Broadsheet!AK46,data!$H$4:$I$9)),"#",getgrade(Broadsheet!AK46,data!$H$4:$I$9))</f>
        <v/>
      </c>
      <c r="AL46" s="188" t="str">
        <f>IF(ISERROR(getgrade(Broadsheet!AL46,data!$H$4:$I$9)),"#",getgrade(Broadsheet!AL46,data!$H$4:$I$9))</f>
        <v/>
      </c>
      <c r="AM46" s="188" t="str">
        <f>IF(ISERROR(getgrade(Broadsheet!AM46,data!$H$4:$I$9)),"#",getgrade(Broadsheet!AM46,data!$H$4:$I$9))</f>
        <v/>
      </c>
      <c r="AN46" s="188" t="str">
        <f>IF(ISERROR(getgrade(Broadsheet!AN46,data!$H$4:$I$9)),"#",getgrade(Broadsheet!AN46,data!$H$4:$I$9))</f>
        <v/>
      </c>
      <c r="AO46" s="188" t="str">
        <f>IF(ISERROR(getgrade(Broadsheet!AO46,data!$H$4:$I$9)),"#",getgrade(Broadsheet!AO46,data!$H$4:$I$9))</f>
        <v/>
      </c>
      <c r="AP46" s="188" t="str">
        <f>IF(ISERROR(getgrade(Broadsheet!AP46,data!$H$4:$I$9)),"#",getgrade(Broadsheet!AP46,data!$H$4:$I$9))</f>
        <v/>
      </c>
      <c r="AQ46" s="188" t="str">
        <f>IF(ISERROR(getgrade(Broadsheet!AQ46,data!$H$4:$I$9)),"#",getgrade(Broadsheet!AQ46,data!$H$4:$I$9))</f>
        <v/>
      </c>
      <c r="AR46" s="188" t="str">
        <f>IF(ISERROR(getgrade(Broadsheet!AR46,data!$H$4:$I$9)),"#",getgrade(Broadsheet!AR46,data!$H$4:$I$9))</f>
        <v/>
      </c>
      <c r="AS46" s="188" t="str">
        <f>IF(ISERROR(getgrade(Broadsheet!AS46,data!$H$4:$I$9)),"#",getgrade(Broadsheet!AS46,data!$H$4:$I$9))</f>
        <v/>
      </c>
      <c r="AT46" s="188" t="str">
        <f>IF(ISERROR(getgrade(Broadsheet!AT46,data!$H$4:$I$9)),"#",getgrade(Broadsheet!AT46,data!$H$4:$I$9))</f>
        <v/>
      </c>
      <c r="AU46" s="188" t="str">
        <f>IF(ISERROR(getgrade(Broadsheet!AU46,data!$H$4:$I$9)),"#",getgrade(Broadsheet!AU46,data!$H$4:$I$9))</f>
        <v/>
      </c>
      <c r="AV46" s="188" t="str">
        <f>IF(ISERROR(getgrade(Broadsheet!AV46,data!$H$4:$I$9)),"#",getgrade(Broadsheet!AV46,data!$H$4:$I$9))</f>
        <v/>
      </c>
      <c r="AW46" s="188" t="str">
        <f>IF(ISERROR(getgrade(Broadsheet!AW46,data!$H$4:$I$9)),"#",getgrade(Broadsheet!AW46,data!$H$4:$I$9))</f>
        <v/>
      </c>
      <c r="AX46" s="188" t="str">
        <f>IF(ISERROR(getgrade(Broadsheet!AX46,data!$H$4:$I$9)),"#",getgrade(Broadsheet!AX46,data!$H$4:$I$9))</f>
        <v/>
      </c>
      <c r="AY46" s="188" t="str">
        <f>IF(ISERROR(getgrade(Broadsheet!AY46,data!$H$4:$I$9)),"#",getgrade(Broadsheet!AY46,data!$H$4:$I$9))</f>
        <v/>
      </c>
      <c r="AZ46" s="188" t="str">
        <f>IF(ISERROR(getgrade(Broadsheet!AZ46,data!$H$4:$I$9)),"#",getgrade(Broadsheet!AZ46,data!$H$4:$I$9))</f>
        <v/>
      </c>
      <c r="BA46" s="188" t="str">
        <f>IF(ISERROR(getgrade(Broadsheet!BA46,data!$H$4:$I$9)),"#",getgrade(Broadsheet!BA46,data!$H$4:$I$9))</f>
        <v/>
      </c>
      <c r="BB46" s="188" t="str">
        <f>IF(ISERROR(getgrade(Broadsheet!BB46,data!$H$4:$I$9)),"#",getgrade(Broadsheet!BB46,data!$H$4:$I$9))</f>
        <v/>
      </c>
      <c r="BC46" s="188" t="str">
        <f>IF(ISERROR(getgrade(Broadsheet!BC46,data!$H$4:$I$9)),"#",getgrade(Broadsheet!BC46,data!$H$4:$I$9))</f>
        <v/>
      </c>
      <c r="BD46" s="188" t="str">
        <f>IF(ISERROR(getgrade(Broadsheet!BD46,data!$H$4:$I$9)),"#",getgrade(Broadsheet!BD46,data!$H$4:$I$9))</f>
        <v/>
      </c>
      <c r="BE46" s="188" t="str">
        <f>IF(ISERROR(getgrade(Broadsheet!BE46,data!$H$4:$I$9)),"#",getgrade(Broadsheet!BE46,data!$H$4:$I$9))</f>
        <v/>
      </c>
      <c r="BF46" s="188" t="str">
        <f>IF(ISERROR(getgrade(Broadsheet!BF46,data!$H$4:$I$9)),"#",getgrade(Broadsheet!BF46,data!$H$4:$I$9))</f>
        <v/>
      </c>
      <c r="BG46" s="188" t="str">
        <f>IF(ISERROR(getgrade(Broadsheet!BG46,data!$H$4:$I$9)),"#",getgrade(Broadsheet!BG46,data!$H$4:$I$9))</f>
        <v/>
      </c>
      <c r="BH46" s="188" t="str">
        <f>IF(ISERROR(getgrade(Broadsheet!BH46,data!$H$4:$I$9)),"#",getgrade(Broadsheet!BH46,data!$H$4:$I$9))</f>
        <v/>
      </c>
      <c r="BI46" s="188" t="str">
        <f>IF(ISERROR(getgrade(Broadsheet!BI46,data!$H$4:$I$9)),"#",getgrade(Broadsheet!BI46,data!$H$4:$I$9))</f>
        <v/>
      </c>
      <c r="BJ46" s="188" t="str">
        <f>IF(ISERROR(getgrade(Broadsheet!BJ46,data!$H$4:$I$9)),"#",getgrade(Broadsheet!BJ46,data!$H$4:$I$9))</f>
        <v/>
      </c>
      <c r="BK46" s="188"/>
      <c r="BL46" s="188"/>
      <c r="BM46" s="188"/>
      <c r="BN46" s="188"/>
      <c r="BO46" s="188"/>
      <c r="BP46" s="188"/>
      <c r="BQ46" s="188"/>
      <c r="BR46" s="188"/>
      <c r="BS46" s="188"/>
      <c r="BT46" s="188"/>
      <c r="BU46" s="188"/>
      <c r="BV46" s="188"/>
      <c r="BW46" s="188"/>
      <c r="BX46" s="188"/>
      <c r="BY46" s="188"/>
      <c r="BZ46" s="188"/>
      <c r="CA46" s="188"/>
      <c r="CB46" s="188"/>
      <c r="CC46" s="188"/>
      <c r="CD46" s="188"/>
      <c r="CE46" s="188"/>
      <c r="CF46" s="188"/>
      <c r="CG46" s="188"/>
      <c r="CH46" s="188"/>
      <c r="CI46" s="188"/>
      <c r="CJ46" s="188"/>
      <c r="CK46" s="188"/>
      <c r="CL46" s="188"/>
      <c r="CM46" s="188"/>
      <c r="CN46" s="188"/>
      <c r="CO46" s="188"/>
      <c r="CP46" s="188"/>
      <c r="CQ46" s="188"/>
      <c r="CR46" s="188"/>
      <c r="CS46" s="188"/>
      <c r="CT46" s="188"/>
      <c r="CU46" s="188"/>
      <c r="CV46" s="188"/>
      <c r="CW46" s="188"/>
      <c r="CX46" s="188"/>
      <c r="CY46" s="188"/>
      <c r="CZ46" s="188"/>
      <c r="DA46" s="188"/>
      <c r="DB46" s="188"/>
      <c r="DC46" s="188"/>
      <c r="DD46" s="188"/>
      <c r="DE46" s="188"/>
      <c r="DF46" s="188"/>
      <c r="DG46" s="188"/>
      <c r="DH46" s="188"/>
      <c r="DI46" s="188"/>
      <c r="DJ46" s="188"/>
      <c r="DK46" s="188"/>
      <c r="DL46" s="188"/>
      <c r="DM46" s="188"/>
      <c r="DN46" s="188"/>
      <c r="DO46" s="188"/>
      <c r="DP46" s="188"/>
      <c r="DQ46" s="188"/>
      <c r="DR46" s="188"/>
      <c r="DS46" s="188"/>
      <c r="DT46" s="188"/>
      <c r="DU46" s="188"/>
      <c r="DV46" s="188"/>
      <c r="DW46" s="188"/>
      <c r="DX46" s="188"/>
      <c r="DY46" s="188"/>
      <c r="DZ46" s="188"/>
      <c r="EA46" s="188"/>
    </row>
    <row r="47" spans="1:131" ht="15.75" x14ac:dyDescent="0.25">
      <c r="A47" s="12">
        <f>Broadsheet!A47</f>
        <v>0</v>
      </c>
      <c r="B47" s="204" t="str">
        <f>IF(Broadsheet!B47="","",Broadsheet!B47)</f>
        <v/>
      </c>
      <c r="C47" s="24" t="str">
        <f>IF(Broadsheet!C47="","",Broadsheet!C47)</f>
        <v xml:space="preserve"> </v>
      </c>
      <c r="D47" s="24"/>
      <c r="E47" s="24"/>
      <c r="F47" s="24"/>
      <c r="G47" s="24" t="str">
        <f t="shared" si="0"/>
        <v/>
      </c>
      <c r="H47" s="188" t="str">
        <f>IF(ISERROR(getgrade(Broadsheet!H47,data!$H$4:$I$9)),"#",getgrade(Broadsheet!H47,data!$H$4:$I$9))</f>
        <v/>
      </c>
      <c r="I47" s="188" t="str">
        <f>IF(ISERROR(getgrade(Broadsheet!I47,data!$H$4:$I$9)),"#",getgrade(Broadsheet!I47,data!$H$4:$I$9))</f>
        <v/>
      </c>
      <c r="J47" s="188" t="str">
        <f>IF(ISERROR(getgrade(Broadsheet!J47,data!$H$4:$I$9)),"#",getgrade(Broadsheet!J47,data!$H$4:$I$9))</f>
        <v/>
      </c>
      <c r="K47" s="188" t="str">
        <f>IF(ISERROR(getgrade(Broadsheet!K47,data!$H$4:$I$9)),"#",getgrade(Broadsheet!K47,data!$H$4:$I$9))</f>
        <v/>
      </c>
      <c r="L47" s="188" t="str">
        <f>IF(ISERROR(getgrade(Broadsheet!L47,data!$H$4:$I$9)),"#",getgrade(Broadsheet!L47,data!$H$4:$I$9))</f>
        <v/>
      </c>
      <c r="M47" s="188" t="str">
        <f>IF(ISERROR(getgrade(Broadsheet!M47,data!$H$4:$I$9)),"#",getgrade(Broadsheet!M47,data!$H$4:$I$9))</f>
        <v/>
      </c>
      <c r="N47" s="188" t="str">
        <f>IF(ISERROR(getgrade(Broadsheet!N47,data!$H$4:$I$9)),"#",getgrade(Broadsheet!N47,data!$H$4:$I$9))</f>
        <v/>
      </c>
      <c r="O47" s="188" t="str">
        <f>IF(ISERROR(getgrade(Broadsheet!O47,data!$H$4:$I$9)),"#",getgrade(Broadsheet!O47,data!$H$4:$I$9))</f>
        <v/>
      </c>
      <c r="P47" s="188" t="str">
        <f>IF(ISERROR(getgrade(Broadsheet!P47,data!$H$4:$I$9)),"#",getgrade(Broadsheet!P47,data!$H$4:$I$9))</f>
        <v/>
      </c>
      <c r="Q47" s="188" t="str">
        <f>IF(ISERROR(getgrade(Broadsheet!Q47,data!$H$4:$I$9)),"#",getgrade(Broadsheet!Q47,data!$H$4:$I$9))</f>
        <v/>
      </c>
      <c r="R47" s="188" t="str">
        <f>IF(ISERROR(getgrade(Broadsheet!R47,data!$H$4:$I$9)),"#",getgrade(Broadsheet!R47,data!$H$4:$I$9))</f>
        <v/>
      </c>
      <c r="S47" s="188" t="str">
        <f>IF(ISERROR(getgrade(Broadsheet!S47,data!$H$4:$I$9)),"#",getgrade(Broadsheet!S47,data!$H$4:$I$9))</f>
        <v/>
      </c>
      <c r="T47" s="188" t="str">
        <f>IF(ISERROR(getgrade(Broadsheet!T47,data!$H$4:$I$9)),"#",getgrade(Broadsheet!T47,data!$H$4:$I$9))</f>
        <v/>
      </c>
      <c r="U47" s="188" t="str">
        <f>IF(ISERROR(getgrade(Broadsheet!U47,data!$H$4:$I$9)),"#",getgrade(Broadsheet!U47,data!$H$4:$I$9))</f>
        <v/>
      </c>
      <c r="V47" s="188" t="str">
        <f>IF(ISERROR(getgrade(Broadsheet!V47,data!$H$4:$I$9)),"#",getgrade(Broadsheet!V47,data!$H$4:$I$9))</f>
        <v/>
      </c>
      <c r="W47" s="188" t="str">
        <f>IF(ISERROR(getgrade(Broadsheet!W47,data!$H$4:$I$9)),"#",getgrade(Broadsheet!W47,data!$H$4:$I$9))</f>
        <v/>
      </c>
      <c r="X47" s="188" t="str">
        <f>IF(ISERROR(getgrade(Broadsheet!X47,data!$H$4:$I$9)),"#",getgrade(Broadsheet!X47,data!$H$4:$I$9))</f>
        <v/>
      </c>
      <c r="Y47" s="188" t="str">
        <f>IF(ISERROR(getgrade(Broadsheet!Y47,data!$H$4:$I$9)),"#",getgrade(Broadsheet!Y47,data!$H$4:$I$9))</f>
        <v/>
      </c>
      <c r="Z47" s="188" t="str">
        <f>IF(ISERROR(getgrade(Broadsheet!Z47,data!$H$4:$I$9)),"#",getgrade(Broadsheet!Z47,data!$H$4:$I$9))</f>
        <v/>
      </c>
      <c r="AA47" s="188" t="str">
        <f>IF(ISERROR(getgrade(Broadsheet!AA47,data!$H$4:$I$9)),"#",getgrade(Broadsheet!AA47,data!$H$4:$I$9))</f>
        <v/>
      </c>
      <c r="AB47" s="188" t="str">
        <f>IF(ISERROR(getgrade(Broadsheet!AB47,data!$H$4:$I$9)),"#",getgrade(Broadsheet!AB47,data!$H$4:$I$9))</f>
        <v/>
      </c>
      <c r="AC47" s="188" t="str">
        <f>IF(ISERROR(getgrade(Broadsheet!AC47,data!$H$4:$I$9)),"#",getgrade(Broadsheet!AC47,data!$H$4:$I$9))</f>
        <v/>
      </c>
      <c r="AD47" s="188" t="str">
        <f>IF(ISERROR(getgrade(Broadsheet!AD47,data!$H$4:$I$9)),"#",getgrade(Broadsheet!AD47,data!$H$4:$I$9))</f>
        <v/>
      </c>
      <c r="AE47" s="188" t="str">
        <f>IF(ISERROR(getgrade(Broadsheet!AE47,data!$H$4:$I$9)),"#",getgrade(Broadsheet!AE47,data!$H$4:$I$9))</f>
        <v/>
      </c>
      <c r="AF47" s="188" t="str">
        <f>IF(ISERROR(getgrade(Broadsheet!AF47,data!$H$4:$I$9)),"#",getgrade(Broadsheet!AF47,data!$H$4:$I$9))</f>
        <v/>
      </c>
      <c r="AG47" s="188" t="str">
        <f>IF(ISERROR(getgrade(Broadsheet!AG47,data!$H$4:$I$9)),"#",getgrade(Broadsheet!AG47,data!$H$4:$I$9))</f>
        <v/>
      </c>
      <c r="AH47" s="188" t="str">
        <f>IF(ISERROR(getgrade(Broadsheet!AH47,data!$H$4:$I$9)),"#",getgrade(Broadsheet!AH47,data!$H$4:$I$9))</f>
        <v/>
      </c>
      <c r="AI47" s="188" t="str">
        <f>IF(ISERROR(getgrade(Broadsheet!AI47,data!$H$4:$I$9)),"#",getgrade(Broadsheet!AI47,data!$H$4:$I$9))</f>
        <v/>
      </c>
      <c r="AJ47" s="188" t="str">
        <f>IF(ISERROR(getgrade(Broadsheet!AJ47,data!$H$4:$I$9)),"#",getgrade(Broadsheet!AJ47,data!$H$4:$I$9))</f>
        <v/>
      </c>
      <c r="AK47" s="188" t="str">
        <f>IF(ISERROR(getgrade(Broadsheet!AK47,data!$H$4:$I$9)),"#",getgrade(Broadsheet!AK47,data!$H$4:$I$9))</f>
        <v/>
      </c>
      <c r="AL47" s="188" t="str">
        <f>IF(ISERROR(getgrade(Broadsheet!AL47,data!$H$4:$I$9)),"#",getgrade(Broadsheet!AL47,data!$H$4:$I$9))</f>
        <v/>
      </c>
      <c r="AM47" s="188" t="str">
        <f>IF(ISERROR(getgrade(Broadsheet!AM47,data!$H$4:$I$9)),"#",getgrade(Broadsheet!AM47,data!$H$4:$I$9))</f>
        <v/>
      </c>
      <c r="AN47" s="188" t="str">
        <f>IF(ISERROR(getgrade(Broadsheet!AN47,data!$H$4:$I$9)),"#",getgrade(Broadsheet!AN47,data!$H$4:$I$9))</f>
        <v/>
      </c>
      <c r="AO47" s="188" t="str">
        <f>IF(ISERROR(getgrade(Broadsheet!AO47,data!$H$4:$I$9)),"#",getgrade(Broadsheet!AO47,data!$H$4:$I$9))</f>
        <v/>
      </c>
      <c r="AP47" s="188" t="str">
        <f>IF(ISERROR(getgrade(Broadsheet!AP47,data!$H$4:$I$9)),"#",getgrade(Broadsheet!AP47,data!$H$4:$I$9))</f>
        <v/>
      </c>
      <c r="AQ47" s="188" t="str">
        <f>IF(ISERROR(getgrade(Broadsheet!AQ47,data!$H$4:$I$9)),"#",getgrade(Broadsheet!AQ47,data!$H$4:$I$9))</f>
        <v/>
      </c>
      <c r="AR47" s="188" t="str">
        <f>IF(ISERROR(getgrade(Broadsheet!AR47,data!$H$4:$I$9)),"#",getgrade(Broadsheet!AR47,data!$H$4:$I$9))</f>
        <v/>
      </c>
      <c r="AS47" s="188" t="str">
        <f>IF(ISERROR(getgrade(Broadsheet!AS47,data!$H$4:$I$9)),"#",getgrade(Broadsheet!AS47,data!$H$4:$I$9))</f>
        <v/>
      </c>
      <c r="AT47" s="188" t="str">
        <f>IF(ISERROR(getgrade(Broadsheet!AT47,data!$H$4:$I$9)),"#",getgrade(Broadsheet!AT47,data!$H$4:$I$9))</f>
        <v/>
      </c>
      <c r="AU47" s="188" t="str">
        <f>IF(ISERROR(getgrade(Broadsheet!AU47,data!$H$4:$I$9)),"#",getgrade(Broadsheet!AU47,data!$H$4:$I$9))</f>
        <v/>
      </c>
      <c r="AV47" s="188" t="str">
        <f>IF(ISERROR(getgrade(Broadsheet!AV47,data!$H$4:$I$9)),"#",getgrade(Broadsheet!AV47,data!$H$4:$I$9))</f>
        <v/>
      </c>
      <c r="AW47" s="188" t="str">
        <f>IF(ISERROR(getgrade(Broadsheet!AW47,data!$H$4:$I$9)),"#",getgrade(Broadsheet!AW47,data!$H$4:$I$9))</f>
        <v/>
      </c>
      <c r="AX47" s="188" t="str">
        <f>IF(ISERROR(getgrade(Broadsheet!AX47,data!$H$4:$I$9)),"#",getgrade(Broadsheet!AX47,data!$H$4:$I$9))</f>
        <v/>
      </c>
      <c r="AY47" s="188" t="str">
        <f>IF(ISERROR(getgrade(Broadsheet!AY47,data!$H$4:$I$9)),"#",getgrade(Broadsheet!AY47,data!$H$4:$I$9))</f>
        <v/>
      </c>
      <c r="AZ47" s="188" t="str">
        <f>IF(ISERROR(getgrade(Broadsheet!AZ47,data!$H$4:$I$9)),"#",getgrade(Broadsheet!AZ47,data!$H$4:$I$9))</f>
        <v/>
      </c>
      <c r="BA47" s="188" t="str">
        <f>IF(ISERROR(getgrade(Broadsheet!BA47,data!$H$4:$I$9)),"#",getgrade(Broadsheet!BA47,data!$H$4:$I$9))</f>
        <v/>
      </c>
      <c r="BB47" s="188" t="str">
        <f>IF(ISERROR(getgrade(Broadsheet!BB47,data!$H$4:$I$9)),"#",getgrade(Broadsheet!BB47,data!$H$4:$I$9))</f>
        <v/>
      </c>
      <c r="BC47" s="188" t="str">
        <f>IF(ISERROR(getgrade(Broadsheet!BC47,data!$H$4:$I$9)),"#",getgrade(Broadsheet!BC47,data!$H$4:$I$9))</f>
        <v/>
      </c>
      <c r="BD47" s="188" t="str">
        <f>IF(ISERROR(getgrade(Broadsheet!BD47,data!$H$4:$I$9)),"#",getgrade(Broadsheet!BD47,data!$H$4:$I$9))</f>
        <v/>
      </c>
      <c r="BE47" s="188" t="str">
        <f>IF(ISERROR(getgrade(Broadsheet!BE47,data!$H$4:$I$9)),"#",getgrade(Broadsheet!BE47,data!$H$4:$I$9))</f>
        <v/>
      </c>
      <c r="BF47" s="188" t="str">
        <f>IF(ISERROR(getgrade(Broadsheet!BF47,data!$H$4:$I$9)),"#",getgrade(Broadsheet!BF47,data!$H$4:$I$9))</f>
        <v/>
      </c>
      <c r="BG47" s="188" t="str">
        <f>IF(ISERROR(getgrade(Broadsheet!BG47,data!$H$4:$I$9)),"#",getgrade(Broadsheet!BG47,data!$H$4:$I$9))</f>
        <v/>
      </c>
      <c r="BH47" s="188" t="str">
        <f>IF(ISERROR(getgrade(Broadsheet!BH47,data!$H$4:$I$9)),"#",getgrade(Broadsheet!BH47,data!$H$4:$I$9))</f>
        <v/>
      </c>
      <c r="BI47" s="188" t="str">
        <f>IF(ISERROR(getgrade(Broadsheet!BI47,data!$H$4:$I$9)),"#",getgrade(Broadsheet!BI47,data!$H$4:$I$9))</f>
        <v/>
      </c>
      <c r="BJ47" s="188" t="str">
        <f>IF(ISERROR(getgrade(Broadsheet!BJ47,data!$H$4:$I$9)),"#",getgrade(Broadsheet!BJ47,data!$H$4:$I$9))</f>
        <v/>
      </c>
      <c r="BK47" s="188"/>
      <c r="BL47" s="188"/>
      <c r="BM47" s="188"/>
      <c r="BN47" s="188"/>
      <c r="BO47" s="188"/>
      <c r="BP47" s="188"/>
      <c r="BQ47" s="188"/>
      <c r="BR47" s="188"/>
      <c r="BS47" s="188"/>
      <c r="BT47" s="188"/>
      <c r="BU47" s="188"/>
      <c r="BV47" s="188"/>
      <c r="BW47" s="188"/>
      <c r="BX47" s="188"/>
      <c r="BY47" s="188"/>
      <c r="BZ47" s="188"/>
      <c r="CA47" s="188"/>
      <c r="CB47" s="188"/>
      <c r="CC47" s="188"/>
      <c r="CD47" s="188"/>
      <c r="CE47" s="188"/>
      <c r="CF47" s="188"/>
      <c r="CG47" s="188"/>
      <c r="CH47" s="188"/>
      <c r="CI47" s="188"/>
      <c r="CJ47" s="188"/>
      <c r="CK47" s="188"/>
      <c r="CL47" s="188"/>
      <c r="CM47" s="188"/>
      <c r="CN47" s="188"/>
      <c r="CO47" s="188"/>
      <c r="CP47" s="188"/>
      <c r="CQ47" s="188"/>
      <c r="CR47" s="188"/>
      <c r="CS47" s="188"/>
      <c r="CT47" s="188"/>
      <c r="CU47" s="188"/>
      <c r="CV47" s="188"/>
      <c r="CW47" s="188"/>
      <c r="CX47" s="188"/>
      <c r="CY47" s="188"/>
      <c r="CZ47" s="188"/>
      <c r="DA47" s="188"/>
      <c r="DB47" s="188"/>
      <c r="DC47" s="188"/>
      <c r="DD47" s="188"/>
      <c r="DE47" s="188"/>
      <c r="DF47" s="188"/>
      <c r="DG47" s="188"/>
      <c r="DH47" s="188"/>
      <c r="DI47" s="188"/>
      <c r="DJ47" s="188"/>
      <c r="DK47" s="188"/>
      <c r="DL47" s="188"/>
      <c r="DM47" s="188"/>
      <c r="DN47" s="188"/>
      <c r="DO47" s="188"/>
      <c r="DP47" s="188"/>
      <c r="DQ47" s="188"/>
      <c r="DR47" s="188"/>
      <c r="DS47" s="188"/>
      <c r="DT47" s="188"/>
      <c r="DU47" s="188"/>
      <c r="DV47" s="188"/>
      <c r="DW47" s="188"/>
      <c r="DX47" s="188"/>
      <c r="DY47" s="188"/>
      <c r="DZ47" s="188"/>
      <c r="EA47" s="188"/>
    </row>
    <row r="48" spans="1:131" ht="15.75" x14ac:dyDescent="0.25">
      <c r="A48" s="12">
        <f>Broadsheet!A48</f>
        <v>0</v>
      </c>
      <c r="B48" s="204" t="str">
        <f>IF(Broadsheet!B48="","",Broadsheet!B48)</f>
        <v/>
      </c>
      <c r="C48" s="24" t="str">
        <f>IF(Broadsheet!C48="","",Broadsheet!C48)</f>
        <v xml:space="preserve"> </v>
      </c>
      <c r="D48" s="24"/>
      <c r="E48" s="24"/>
      <c r="F48" s="24"/>
      <c r="G48" s="24" t="str">
        <f t="shared" si="0"/>
        <v/>
      </c>
      <c r="H48" s="188" t="str">
        <f>IF(ISERROR(getgrade(Broadsheet!H48,data!$H$4:$I$9)),"#",getgrade(Broadsheet!H48,data!$H$4:$I$9))</f>
        <v/>
      </c>
      <c r="I48" s="188" t="str">
        <f>IF(ISERROR(getgrade(Broadsheet!I48,data!$H$4:$I$9)),"#",getgrade(Broadsheet!I48,data!$H$4:$I$9))</f>
        <v/>
      </c>
      <c r="J48" s="188" t="str">
        <f>IF(ISERROR(getgrade(Broadsheet!J48,data!$H$4:$I$9)),"#",getgrade(Broadsheet!J48,data!$H$4:$I$9))</f>
        <v/>
      </c>
      <c r="K48" s="188" t="str">
        <f>IF(ISERROR(getgrade(Broadsheet!K48,data!$H$4:$I$9)),"#",getgrade(Broadsheet!K48,data!$H$4:$I$9))</f>
        <v/>
      </c>
      <c r="L48" s="188" t="str">
        <f>IF(ISERROR(getgrade(Broadsheet!L48,data!$H$4:$I$9)),"#",getgrade(Broadsheet!L48,data!$H$4:$I$9))</f>
        <v/>
      </c>
      <c r="M48" s="188" t="str">
        <f>IF(ISERROR(getgrade(Broadsheet!M48,data!$H$4:$I$9)),"#",getgrade(Broadsheet!M48,data!$H$4:$I$9))</f>
        <v/>
      </c>
      <c r="N48" s="188" t="str">
        <f>IF(ISERROR(getgrade(Broadsheet!N48,data!$H$4:$I$9)),"#",getgrade(Broadsheet!N48,data!$H$4:$I$9))</f>
        <v/>
      </c>
      <c r="O48" s="188" t="str">
        <f>IF(ISERROR(getgrade(Broadsheet!O48,data!$H$4:$I$9)),"#",getgrade(Broadsheet!O48,data!$H$4:$I$9))</f>
        <v/>
      </c>
      <c r="P48" s="188" t="str">
        <f>IF(ISERROR(getgrade(Broadsheet!P48,data!$H$4:$I$9)),"#",getgrade(Broadsheet!P48,data!$H$4:$I$9))</f>
        <v/>
      </c>
      <c r="Q48" s="188" t="str">
        <f>IF(ISERROR(getgrade(Broadsheet!Q48,data!$H$4:$I$9)),"#",getgrade(Broadsheet!Q48,data!$H$4:$I$9))</f>
        <v/>
      </c>
      <c r="R48" s="188" t="str">
        <f>IF(ISERROR(getgrade(Broadsheet!R48,data!$H$4:$I$9)),"#",getgrade(Broadsheet!R48,data!$H$4:$I$9))</f>
        <v/>
      </c>
      <c r="S48" s="188" t="str">
        <f>IF(ISERROR(getgrade(Broadsheet!S48,data!$H$4:$I$9)),"#",getgrade(Broadsheet!S48,data!$H$4:$I$9))</f>
        <v/>
      </c>
      <c r="T48" s="188" t="str">
        <f>IF(ISERROR(getgrade(Broadsheet!T48,data!$H$4:$I$9)),"#",getgrade(Broadsheet!T48,data!$H$4:$I$9))</f>
        <v/>
      </c>
      <c r="U48" s="188" t="str">
        <f>IF(ISERROR(getgrade(Broadsheet!U48,data!$H$4:$I$9)),"#",getgrade(Broadsheet!U48,data!$H$4:$I$9))</f>
        <v/>
      </c>
      <c r="V48" s="188" t="str">
        <f>IF(ISERROR(getgrade(Broadsheet!V48,data!$H$4:$I$9)),"#",getgrade(Broadsheet!V48,data!$H$4:$I$9))</f>
        <v/>
      </c>
      <c r="W48" s="188" t="str">
        <f>IF(ISERROR(getgrade(Broadsheet!W48,data!$H$4:$I$9)),"#",getgrade(Broadsheet!W48,data!$H$4:$I$9))</f>
        <v/>
      </c>
      <c r="X48" s="188" t="str">
        <f>IF(ISERROR(getgrade(Broadsheet!X48,data!$H$4:$I$9)),"#",getgrade(Broadsheet!X48,data!$H$4:$I$9))</f>
        <v/>
      </c>
      <c r="Y48" s="188" t="str">
        <f>IF(ISERROR(getgrade(Broadsheet!Y48,data!$H$4:$I$9)),"#",getgrade(Broadsheet!Y48,data!$H$4:$I$9))</f>
        <v/>
      </c>
      <c r="Z48" s="188" t="str">
        <f>IF(ISERROR(getgrade(Broadsheet!Z48,data!$H$4:$I$9)),"#",getgrade(Broadsheet!Z48,data!$H$4:$I$9))</f>
        <v/>
      </c>
      <c r="AA48" s="188" t="str">
        <f>IF(ISERROR(getgrade(Broadsheet!AA48,data!$H$4:$I$9)),"#",getgrade(Broadsheet!AA48,data!$H$4:$I$9))</f>
        <v/>
      </c>
      <c r="AB48" s="188" t="str">
        <f>IF(ISERROR(getgrade(Broadsheet!AB48,data!$H$4:$I$9)),"#",getgrade(Broadsheet!AB48,data!$H$4:$I$9))</f>
        <v/>
      </c>
      <c r="AC48" s="188" t="str">
        <f>IF(ISERROR(getgrade(Broadsheet!AC48,data!$H$4:$I$9)),"#",getgrade(Broadsheet!AC48,data!$H$4:$I$9))</f>
        <v/>
      </c>
      <c r="AD48" s="188" t="str">
        <f>IF(ISERROR(getgrade(Broadsheet!AD48,data!$H$4:$I$9)),"#",getgrade(Broadsheet!AD48,data!$H$4:$I$9))</f>
        <v/>
      </c>
      <c r="AE48" s="188" t="str">
        <f>IF(ISERROR(getgrade(Broadsheet!AE48,data!$H$4:$I$9)),"#",getgrade(Broadsheet!AE48,data!$H$4:$I$9))</f>
        <v/>
      </c>
      <c r="AF48" s="188" t="str">
        <f>IF(ISERROR(getgrade(Broadsheet!AF48,data!$H$4:$I$9)),"#",getgrade(Broadsheet!AF48,data!$H$4:$I$9))</f>
        <v/>
      </c>
      <c r="AG48" s="188" t="str">
        <f>IF(ISERROR(getgrade(Broadsheet!AG48,data!$H$4:$I$9)),"#",getgrade(Broadsheet!AG48,data!$H$4:$I$9))</f>
        <v/>
      </c>
      <c r="AH48" s="188" t="str">
        <f>IF(ISERROR(getgrade(Broadsheet!AH48,data!$H$4:$I$9)),"#",getgrade(Broadsheet!AH48,data!$H$4:$I$9))</f>
        <v/>
      </c>
      <c r="AI48" s="188" t="str">
        <f>IF(ISERROR(getgrade(Broadsheet!AI48,data!$H$4:$I$9)),"#",getgrade(Broadsheet!AI48,data!$H$4:$I$9))</f>
        <v/>
      </c>
      <c r="AJ48" s="188" t="str">
        <f>IF(ISERROR(getgrade(Broadsheet!AJ48,data!$H$4:$I$9)),"#",getgrade(Broadsheet!AJ48,data!$H$4:$I$9))</f>
        <v/>
      </c>
      <c r="AK48" s="188" t="str">
        <f>IF(ISERROR(getgrade(Broadsheet!AK48,data!$H$4:$I$9)),"#",getgrade(Broadsheet!AK48,data!$H$4:$I$9))</f>
        <v/>
      </c>
      <c r="AL48" s="188" t="str">
        <f>IF(ISERROR(getgrade(Broadsheet!AL48,data!$H$4:$I$9)),"#",getgrade(Broadsheet!AL48,data!$H$4:$I$9))</f>
        <v/>
      </c>
      <c r="AM48" s="188" t="str">
        <f>IF(ISERROR(getgrade(Broadsheet!AM48,data!$H$4:$I$9)),"#",getgrade(Broadsheet!AM48,data!$H$4:$I$9))</f>
        <v/>
      </c>
      <c r="AN48" s="188" t="str">
        <f>IF(ISERROR(getgrade(Broadsheet!AN48,data!$H$4:$I$9)),"#",getgrade(Broadsheet!AN48,data!$H$4:$I$9))</f>
        <v/>
      </c>
      <c r="AO48" s="188" t="str">
        <f>IF(ISERROR(getgrade(Broadsheet!AO48,data!$H$4:$I$9)),"#",getgrade(Broadsheet!AO48,data!$H$4:$I$9))</f>
        <v/>
      </c>
      <c r="AP48" s="188" t="str">
        <f>IF(ISERROR(getgrade(Broadsheet!AP48,data!$H$4:$I$9)),"#",getgrade(Broadsheet!AP48,data!$H$4:$I$9))</f>
        <v/>
      </c>
      <c r="AQ48" s="188" t="str">
        <f>IF(ISERROR(getgrade(Broadsheet!AQ48,data!$H$4:$I$9)),"#",getgrade(Broadsheet!AQ48,data!$H$4:$I$9))</f>
        <v/>
      </c>
      <c r="AR48" s="188" t="str">
        <f>IF(ISERROR(getgrade(Broadsheet!AR48,data!$H$4:$I$9)),"#",getgrade(Broadsheet!AR48,data!$H$4:$I$9))</f>
        <v/>
      </c>
      <c r="AS48" s="188" t="str">
        <f>IF(ISERROR(getgrade(Broadsheet!AS48,data!$H$4:$I$9)),"#",getgrade(Broadsheet!AS48,data!$H$4:$I$9))</f>
        <v/>
      </c>
      <c r="AT48" s="188" t="str">
        <f>IF(ISERROR(getgrade(Broadsheet!AT48,data!$H$4:$I$9)),"#",getgrade(Broadsheet!AT48,data!$H$4:$I$9))</f>
        <v/>
      </c>
      <c r="AU48" s="188" t="str">
        <f>IF(ISERROR(getgrade(Broadsheet!AU48,data!$H$4:$I$9)),"#",getgrade(Broadsheet!AU48,data!$H$4:$I$9))</f>
        <v/>
      </c>
      <c r="AV48" s="188" t="str">
        <f>IF(ISERROR(getgrade(Broadsheet!AV48,data!$H$4:$I$9)),"#",getgrade(Broadsheet!AV48,data!$H$4:$I$9))</f>
        <v/>
      </c>
      <c r="AW48" s="188" t="str">
        <f>IF(ISERROR(getgrade(Broadsheet!AW48,data!$H$4:$I$9)),"#",getgrade(Broadsheet!AW48,data!$H$4:$I$9))</f>
        <v/>
      </c>
      <c r="AX48" s="188" t="str">
        <f>IF(ISERROR(getgrade(Broadsheet!AX48,data!$H$4:$I$9)),"#",getgrade(Broadsheet!AX48,data!$H$4:$I$9))</f>
        <v/>
      </c>
      <c r="AY48" s="188" t="str">
        <f>IF(ISERROR(getgrade(Broadsheet!AY48,data!$H$4:$I$9)),"#",getgrade(Broadsheet!AY48,data!$H$4:$I$9))</f>
        <v/>
      </c>
      <c r="AZ48" s="188" t="str">
        <f>IF(ISERROR(getgrade(Broadsheet!AZ48,data!$H$4:$I$9)),"#",getgrade(Broadsheet!AZ48,data!$H$4:$I$9))</f>
        <v/>
      </c>
      <c r="BA48" s="188" t="str">
        <f>IF(ISERROR(getgrade(Broadsheet!BA48,data!$H$4:$I$9)),"#",getgrade(Broadsheet!BA48,data!$H$4:$I$9))</f>
        <v/>
      </c>
      <c r="BB48" s="188" t="str">
        <f>IF(ISERROR(getgrade(Broadsheet!BB48,data!$H$4:$I$9)),"#",getgrade(Broadsheet!BB48,data!$H$4:$I$9))</f>
        <v/>
      </c>
      <c r="BC48" s="188" t="str">
        <f>IF(ISERROR(getgrade(Broadsheet!BC48,data!$H$4:$I$9)),"#",getgrade(Broadsheet!BC48,data!$H$4:$I$9))</f>
        <v/>
      </c>
      <c r="BD48" s="188" t="str">
        <f>IF(ISERROR(getgrade(Broadsheet!BD48,data!$H$4:$I$9)),"#",getgrade(Broadsheet!BD48,data!$H$4:$I$9))</f>
        <v/>
      </c>
      <c r="BE48" s="188" t="str">
        <f>IF(ISERROR(getgrade(Broadsheet!BE48,data!$H$4:$I$9)),"#",getgrade(Broadsheet!BE48,data!$H$4:$I$9))</f>
        <v/>
      </c>
      <c r="BF48" s="188" t="str">
        <f>IF(ISERROR(getgrade(Broadsheet!BF48,data!$H$4:$I$9)),"#",getgrade(Broadsheet!BF48,data!$H$4:$I$9))</f>
        <v/>
      </c>
      <c r="BG48" s="188" t="str">
        <f>IF(ISERROR(getgrade(Broadsheet!BG48,data!$H$4:$I$9)),"#",getgrade(Broadsheet!BG48,data!$H$4:$I$9))</f>
        <v/>
      </c>
      <c r="BH48" s="188" t="str">
        <f>IF(ISERROR(getgrade(Broadsheet!BH48,data!$H$4:$I$9)),"#",getgrade(Broadsheet!BH48,data!$H$4:$I$9))</f>
        <v/>
      </c>
      <c r="BI48" s="188" t="str">
        <f>IF(ISERROR(getgrade(Broadsheet!BI48,data!$H$4:$I$9)),"#",getgrade(Broadsheet!BI48,data!$H$4:$I$9))</f>
        <v/>
      </c>
      <c r="BJ48" s="188" t="str">
        <f>IF(ISERROR(getgrade(Broadsheet!BJ48,data!$H$4:$I$9)),"#",getgrade(Broadsheet!BJ48,data!$H$4:$I$9))</f>
        <v/>
      </c>
      <c r="BK48" s="188"/>
      <c r="BL48" s="188"/>
      <c r="BM48" s="188"/>
      <c r="BN48" s="188"/>
      <c r="BO48" s="188"/>
      <c r="BP48" s="188"/>
      <c r="BQ48" s="188"/>
      <c r="BR48" s="188"/>
      <c r="BS48" s="188"/>
      <c r="BT48" s="188"/>
      <c r="BU48" s="188"/>
      <c r="BV48" s="188"/>
      <c r="BW48" s="188"/>
      <c r="BX48" s="188"/>
      <c r="BY48" s="188"/>
      <c r="BZ48" s="188"/>
      <c r="CA48" s="188"/>
      <c r="CB48" s="188"/>
      <c r="CC48" s="188"/>
      <c r="CD48" s="188"/>
      <c r="CE48" s="188"/>
      <c r="CF48" s="188"/>
      <c r="CG48" s="188"/>
      <c r="CH48" s="188"/>
      <c r="CI48" s="188"/>
      <c r="CJ48" s="188"/>
      <c r="CK48" s="188"/>
      <c r="CL48" s="188"/>
      <c r="CM48" s="188"/>
      <c r="CN48" s="188"/>
      <c r="CO48" s="188"/>
      <c r="CP48" s="188"/>
      <c r="CQ48" s="188"/>
      <c r="CR48" s="188"/>
      <c r="CS48" s="188"/>
      <c r="CT48" s="188"/>
      <c r="CU48" s="188"/>
      <c r="CV48" s="188"/>
      <c r="CW48" s="188"/>
      <c r="CX48" s="188"/>
      <c r="CY48" s="188"/>
      <c r="CZ48" s="188"/>
      <c r="DA48" s="188"/>
      <c r="DB48" s="188"/>
      <c r="DC48" s="188"/>
      <c r="DD48" s="188"/>
      <c r="DE48" s="188"/>
      <c r="DF48" s="188"/>
      <c r="DG48" s="188"/>
      <c r="DH48" s="188"/>
      <c r="DI48" s="188"/>
      <c r="DJ48" s="188"/>
      <c r="DK48" s="188"/>
      <c r="DL48" s="188"/>
      <c r="DM48" s="188"/>
      <c r="DN48" s="188"/>
      <c r="DO48" s="188"/>
      <c r="DP48" s="188"/>
      <c r="DQ48" s="188"/>
      <c r="DR48" s="188"/>
      <c r="DS48" s="188"/>
      <c r="DT48" s="188"/>
      <c r="DU48" s="188"/>
      <c r="DV48" s="188"/>
      <c r="DW48" s="188"/>
      <c r="DX48" s="188"/>
      <c r="DY48" s="188"/>
      <c r="DZ48" s="188"/>
      <c r="EA48" s="188"/>
    </row>
    <row r="49" spans="1:131" ht="15.75" x14ac:dyDescent="0.25">
      <c r="A49" s="12">
        <f>Broadsheet!A49</f>
        <v>0</v>
      </c>
      <c r="B49" s="204" t="str">
        <f>IF(Broadsheet!B49="","",Broadsheet!B49)</f>
        <v/>
      </c>
      <c r="C49" s="24" t="str">
        <f>IF(Broadsheet!C49="","",Broadsheet!C49)</f>
        <v xml:space="preserve"> </v>
      </c>
      <c r="D49" s="24"/>
      <c r="E49" s="24"/>
      <c r="F49" s="24"/>
      <c r="G49" s="24" t="str">
        <f t="shared" si="0"/>
        <v/>
      </c>
      <c r="H49" s="188" t="str">
        <f>IF(ISERROR(getgrade(Broadsheet!H49,data!$H$4:$I$9)),"#",getgrade(Broadsheet!H49,data!$H$4:$I$9))</f>
        <v/>
      </c>
      <c r="I49" s="188" t="str">
        <f>IF(ISERROR(getgrade(Broadsheet!I49,data!$H$4:$I$9)),"#",getgrade(Broadsheet!I49,data!$H$4:$I$9))</f>
        <v/>
      </c>
      <c r="J49" s="188" t="str">
        <f>IF(ISERROR(getgrade(Broadsheet!J49,data!$H$4:$I$9)),"#",getgrade(Broadsheet!J49,data!$H$4:$I$9))</f>
        <v/>
      </c>
      <c r="K49" s="188" t="str">
        <f>IF(ISERROR(getgrade(Broadsheet!K49,data!$H$4:$I$9)),"#",getgrade(Broadsheet!K49,data!$H$4:$I$9))</f>
        <v/>
      </c>
      <c r="L49" s="188" t="str">
        <f>IF(ISERROR(getgrade(Broadsheet!L49,data!$H$4:$I$9)),"#",getgrade(Broadsheet!L49,data!$H$4:$I$9))</f>
        <v/>
      </c>
      <c r="M49" s="188" t="str">
        <f>IF(ISERROR(getgrade(Broadsheet!M49,data!$H$4:$I$9)),"#",getgrade(Broadsheet!M49,data!$H$4:$I$9))</f>
        <v/>
      </c>
      <c r="N49" s="188" t="str">
        <f>IF(ISERROR(getgrade(Broadsheet!N49,data!$H$4:$I$9)),"#",getgrade(Broadsheet!N49,data!$H$4:$I$9))</f>
        <v/>
      </c>
      <c r="O49" s="188" t="str">
        <f>IF(ISERROR(getgrade(Broadsheet!O49,data!$H$4:$I$9)),"#",getgrade(Broadsheet!O49,data!$H$4:$I$9))</f>
        <v/>
      </c>
      <c r="P49" s="188" t="str">
        <f>IF(ISERROR(getgrade(Broadsheet!P49,data!$H$4:$I$9)),"#",getgrade(Broadsheet!P49,data!$H$4:$I$9))</f>
        <v/>
      </c>
      <c r="Q49" s="188" t="str">
        <f>IF(ISERROR(getgrade(Broadsheet!Q49,data!$H$4:$I$9)),"#",getgrade(Broadsheet!Q49,data!$H$4:$I$9))</f>
        <v/>
      </c>
      <c r="R49" s="188" t="str">
        <f>IF(ISERROR(getgrade(Broadsheet!R49,data!$H$4:$I$9)),"#",getgrade(Broadsheet!R49,data!$H$4:$I$9))</f>
        <v/>
      </c>
      <c r="S49" s="188" t="str">
        <f>IF(ISERROR(getgrade(Broadsheet!S49,data!$H$4:$I$9)),"#",getgrade(Broadsheet!S49,data!$H$4:$I$9))</f>
        <v/>
      </c>
      <c r="T49" s="188" t="str">
        <f>IF(ISERROR(getgrade(Broadsheet!T49,data!$H$4:$I$9)),"#",getgrade(Broadsheet!T49,data!$H$4:$I$9))</f>
        <v/>
      </c>
      <c r="U49" s="188" t="str">
        <f>IF(ISERROR(getgrade(Broadsheet!U49,data!$H$4:$I$9)),"#",getgrade(Broadsheet!U49,data!$H$4:$I$9))</f>
        <v/>
      </c>
      <c r="V49" s="188" t="str">
        <f>IF(ISERROR(getgrade(Broadsheet!V49,data!$H$4:$I$9)),"#",getgrade(Broadsheet!V49,data!$H$4:$I$9))</f>
        <v/>
      </c>
      <c r="W49" s="188" t="str">
        <f>IF(ISERROR(getgrade(Broadsheet!W49,data!$H$4:$I$9)),"#",getgrade(Broadsheet!W49,data!$H$4:$I$9))</f>
        <v/>
      </c>
      <c r="X49" s="188" t="str">
        <f>IF(ISERROR(getgrade(Broadsheet!X49,data!$H$4:$I$9)),"#",getgrade(Broadsheet!X49,data!$H$4:$I$9))</f>
        <v/>
      </c>
      <c r="Y49" s="188" t="str">
        <f>IF(ISERROR(getgrade(Broadsheet!Y49,data!$H$4:$I$9)),"#",getgrade(Broadsheet!Y49,data!$H$4:$I$9))</f>
        <v/>
      </c>
      <c r="Z49" s="188" t="str">
        <f>IF(ISERROR(getgrade(Broadsheet!Z49,data!$H$4:$I$9)),"#",getgrade(Broadsheet!Z49,data!$H$4:$I$9))</f>
        <v/>
      </c>
      <c r="AA49" s="188" t="str">
        <f>IF(ISERROR(getgrade(Broadsheet!AA49,data!$H$4:$I$9)),"#",getgrade(Broadsheet!AA49,data!$H$4:$I$9))</f>
        <v/>
      </c>
      <c r="AB49" s="188" t="str">
        <f>IF(ISERROR(getgrade(Broadsheet!AB49,data!$H$4:$I$9)),"#",getgrade(Broadsheet!AB49,data!$H$4:$I$9))</f>
        <v/>
      </c>
      <c r="AC49" s="188" t="str">
        <f>IF(ISERROR(getgrade(Broadsheet!AC49,data!$H$4:$I$9)),"#",getgrade(Broadsheet!AC49,data!$H$4:$I$9))</f>
        <v/>
      </c>
      <c r="AD49" s="188" t="str">
        <f>IF(ISERROR(getgrade(Broadsheet!AD49,data!$H$4:$I$9)),"#",getgrade(Broadsheet!AD49,data!$H$4:$I$9))</f>
        <v/>
      </c>
      <c r="AE49" s="188" t="str">
        <f>IF(ISERROR(getgrade(Broadsheet!AE49,data!$H$4:$I$9)),"#",getgrade(Broadsheet!AE49,data!$H$4:$I$9))</f>
        <v/>
      </c>
      <c r="AF49" s="188" t="str">
        <f>IF(ISERROR(getgrade(Broadsheet!AF49,data!$H$4:$I$9)),"#",getgrade(Broadsheet!AF49,data!$H$4:$I$9))</f>
        <v/>
      </c>
      <c r="AG49" s="188" t="str">
        <f>IF(ISERROR(getgrade(Broadsheet!AG49,data!$H$4:$I$9)),"#",getgrade(Broadsheet!AG49,data!$H$4:$I$9))</f>
        <v/>
      </c>
      <c r="AH49" s="188" t="str">
        <f>IF(ISERROR(getgrade(Broadsheet!AH49,data!$H$4:$I$9)),"#",getgrade(Broadsheet!AH49,data!$H$4:$I$9))</f>
        <v/>
      </c>
      <c r="AI49" s="188" t="str">
        <f>IF(ISERROR(getgrade(Broadsheet!AI49,data!$H$4:$I$9)),"#",getgrade(Broadsheet!AI49,data!$H$4:$I$9))</f>
        <v/>
      </c>
      <c r="AJ49" s="188" t="str">
        <f>IF(ISERROR(getgrade(Broadsheet!AJ49,data!$H$4:$I$9)),"#",getgrade(Broadsheet!AJ49,data!$H$4:$I$9))</f>
        <v/>
      </c>
      <c r="AK49" s="188" t="str">
        <f>IF(ISERROR(getgrade(Broadsheet!AK49,data!$H$4:$I$9)),"#",getgrade(Broadsheet!AK49,data!$H$4:$I$9))</f>
        <v/>
      </c>
      <c r="AL49" s="188" t="str">
        <f>IF(ISERROR(getgrade(Broadsheet!AL49,data!$H$4:$I$9)),"#",getgrade(Broadsheet!AL49,data!$H$4:$I$9))</f>
        <v/>
      </c>
      <c r="AM49" s="188" t="str">
        <f>IF(ISERROR(getgrade(Broadsheet!AM49,data!$H$4:$I$9)),"#",getgrade(Broadsheet!AM49,data!$H$4:$I$9))</f>
        <v/>
      </c>
      <c r="AN49" s="188" t="str">
        <f>IF(ISERROR(getgrade(Broadsheet!AN49,data!$H$4:$I$9)),"#",getgrade(Broadsheet!AN49,data!$H$4:$I$9))</f>
        <v/>
      </c>
      <c r="AO49" s="188" t="str">
        <f>IF(ISERROR(getgrade(Broadsheet!AO49,data!$H$4:$I$9)),"#",getgrade(Broadsheet!AO49,data!$H$4:$I$9))</f>
        <v/>
      </c>
      <c r="AP49" s="188" t="str">
        <f>IF(ISERROR(getgrade(Broadsheet!AP49,data!$H$4:$I$9)),"#",getgrade(Broadsheet!AP49,data!$H$4:$I$9))</f>
        <v/>
      </c>
      <c r="AQ49" s="188" t="str">
        <f>IF(ISERROR(getgrade(Broadsheet!AQ49,data!$H$4:$I$9)),"#",getgrade(Broadsheet!AQ49,data!$H$4:$I$9))</f>
        <v/>
      </c>
      <c r="AR49" s="188" t="str">
        <f>IF(ISERROR(getgrade(Broadsheet!AR49,data!$H$4:$I$9)),"#",getgrade(Broadsheet!AR49,data!$H$4:$I$9))</f>
        <v/>
      </c>
      <c r="AS49" s="188" t="str">
        <f>IF(ISERROR(getgrade(Broadsheet!AS49,data!$H$4:$I$9)),"#",getgrade(Broadsheet!AS49,data!$H$4:$I$9))</f>
        <v/>
      </c>
      <c r="AT49" s="188" t="str">
        <f>IF(ISERROR(getgrade(Broadsheet!AT49,data!$H$4:$I$9)),"#",getgrade(Broadsheet!AT49,data!$H$4:$I$9))</f>
        <v/>
      </c>
      <c r="AU49" s="188" t="str">
        <f>IF(ISERROR(getgrade(Broadsheet!AU49,data!$H$4:$I$9)),"#",getgrade(Broadsheet!AU49,data!$H$4:$I$9))</f>
        <v/>
      </c>
      <c r="AV49" s="188" t="str">
        <f>IF(ISERROR(getgrade(Broadsheet!AV49,data!$H$4:$I$9)),"#",getgrade(Broadsheet!AV49,data!$H$4:$I$9))</f>
        <v/>
      </c>
      <c r="AW49" s="188" t="str">
        <f>IF(ISERROR(getgrade(Broadsheet!AW49,data!$H$4:$I$9)),"#",getgrade(Broadsheet!AW49,data!$H$4:$I$9))</f>
        <v/>
      </c>
      <c r="AX49" s="188" t="str">
        <f>IF(ISERROR(getgrade(Broadsheet!AX49,data!$H$4:$I$9)),"#",getgrade(Broadsheet!AX49,data!$H$4:$I$9))</f>
        <v/>
      </c>
      <c r="AY49" s="188" t="str">
        <f>IF(ISERROR(getgrade(Broadsheet!AY49,data!$H$4:$I$9)),"#",getgrade(Broadsheet!AY49,data!$H$4:$I$9))</f>
        <v/>
      </c>
      <c r="AZ49" s="188" t="str">
        <f>IF(ISERROR(getgrade(Broadsheet!AZ49,data!$H$4:$I$9)),"#",getgrade(Broadsheet!AZ49,data!$H$4:$I$9))</f>
        <v/>
      </c>
      <c r="BA49" s="188" t="str">
        <f>IF(ISERROR(getgrade(Broadsheet!BA49,data!$H$4:$I$9)),"#",getgrade(Broadsheet!BA49,data!$H$4:$I$9))</f>
        <v/>
      </c>
      <c r="BB49" s="188" t="str">
        <f>IF(ISERROR(getgrade(Broadsheet!BB49,data!$H$4:$I$9)),"#",getgrade(Broadsheet!BB49,data!$H$4:$I$9))</f>
        <v/>
      </c>
      <c r="BC49" s="188" t="str">
        <f>IF(ISERROR(getgrade(Broadsheet!BC49,data!$H$4:$I$9)),"#",getgrade(Broadsheet!BC49,data!$H$4:$I$9))</f>
        <v/>
      </c>
      <c r="BD49" s="188" t="str">
        <f>IF(ISERROR(getgrade(Broadsheet!BD49,data!$H$4:$I$9)),"#",getgrade(Broadsheet!BD49,data!$H$4:$I$9))</f>
        <v/>
      </c>
      <c r="BE49" s="188" t="str">
        <f>IF(ISERROR(getgrade(Broadsheet!BE49,data!$H$4:$I$9)),"#",getgrade(Broadsheet!BE49,data!$H$4:$I$9))</f>
        <v/>
      </c>
      <c r="BF49" s="188" t="str">
        <f>IF(ISERROR(getgrade(Broadsheet!BF49,data!$H$4:$I$9)),"#",getgrade(Broadsheet!BF49,data!$H$4:$I$9))</f>
        <v/>
      </c>
      <c r="BG49" s="188" t="str">
        <f>IF(ISERROR(getgrade(Broadsheet!BG49,data!$H$4:$I$9)),"#",getgrade(Broadsheet!BG49,data!$H$4:$I$9))</f>
        <v/>
      </c>
      <c r="BH49" s="188" t="str">
        <f>IF(ISERROR(getgrade(Broadsheet!BH49,data!$H$4:$I$9)),"#",getgrade(Broadsheet!BH49,data!$H$4:$I$9))</f>
        <v/>
      </c>
      <c r="BI49" s="188" t="str">
        <f>IF(ISERROR(getgrade(Broadsheet!BI49,data!$H$4:$I$9)),"#",getgrade(Broadsheet!BI49,data!$H$4:$I$9))</f>
        <v/>
      </c>
      <c r="BJ49" s="188" t="str">
        <f>IF(ISERROR(getgrade(Broadsheet!BJ49,data!$H$4:$I$9)),"#",getgrade(Broadsheet!BJ49,data!$H$4:$I$9))</f>
        <v/>
      </c>
      <c r="BK49" s="188"/>
      <c r="BL49" s="188"/>
      <c r="BM49" s="188"/>
      <c r="BN49" s="188"/>
      <c r="BO49" s="188"/>
      <c r="BP49" s="188"/>
      <c r="BQ49" s="188"/>
      <c r="BR49" s="188"/>
      <c r="BS49" s="188"/>
      <c r="BT49" s="188"/>
      <c r="BU49" s="188"/>
      <c r="BV49" s="188"/>
      <c r="BW49" s="188"/>
      <c r="BX49" s="188"/>
      <c r="BY49" s="188"/>
      <c r="BZ49" s="188"/>
      <c r="CA49" s="188"/>
      <c r="CB49" s="188"/>
      <c r="CC49" s="188"/>
      <c r="CD49" s="188"/>
      <c r="CE49" s="188"/>
      <c r="CF49" s="188"/>
      <c r="CG49" s="188"/>
      <c r="CH49" s="188"/>
      <c r="CI49" s="188"/>
      <c r="CJ49" s="188"/>
      <c r="CK49" s="188"/>
      <c r="CL49" s="188"/>
      <c r="CM49" s="188"/>
      <c r="CN49" s="188"/>
      <c r="CO49" s="188"/>
      <c r="CP49" s="188"/>
      <c r="CQ49" s="188"/>
      <c r="CR49" s="188"/>
      <c r="CS49" s="188"/>
      <c r="CT49" s="188"/>
      <c r="CU49" s="188"/>
      <c r="CV49" s="188"/>
      <c r="CW49" s="188"/>
      <c r="CX49" s="188"/>
      <c r="CY49" s="188"/>
      <c r="CZ49" s="188"/>
      <c r="DA49" s="188"/>
      <c r="DB49" s="188"/>
      <c r="DC49" s="188"/>
      <c r="DD49" s="188"/>
      <c r="DE49" s="188"/>
      <c r="DF49" s="188"/>
      <c r="DG49" s="188"/>
      <c r="DH49" s="188"/>
      <c r="DI49" s="188"/>
      <c r="DJ49" s="188"/>
      <c r="DK49" s="188"/>
      <c r="DL49" s="188"/>
      <c r="DM49" s="188"/>
      <c r="DN49" s="188"/>
      <c r="DO49" s="188"/>
      <c r="DP49" s="188"/>
      <c r="DQ49" s="188"/>
      <c r="DR49" s="188"/>
      <c r="DS49" s="188"/>
      <c r="DT49" s="188"/>
      <c r="DU49" s="188"/>
      <c r="DV49" s="188"/>
      <c r="DW49" s="188"/>
      <c r="DX49" s="188"/>
      <c r="DY49" s="188"/>
      <c r="DZ49" s="188"/>
      <c r="EA49" s="188"/>
    </row>
    <row r="50" spans="1:131" ht="15.75" x14ac:dyDescent="0.25">
      <c r="A50" s="12">
        <f>Broadsheet!A50</f>
        <v>0</v>
      </c>
      <c r="B50" s="204" t="str">
        <f>IF(Broadsheet!B50="","",Broadsheet!B50)</f>
        <v/>
      </c>
      <c r="C50" s="24" t="str">
        <f>IF(Broadsheet!C50="","",Broadsheet!C50)</f>
        <v xml:space="preserve"> </v>
      </c>
      <c r="D50" s="24"/>
      <c r="E50" s="24"/>
      <c r="F50" s="24"/>
      <c r="G50" s="24" t="str">
        <f t="shared" si="0"/>
        <v/>
      </c>
      <c r="H50" s="188" t="str">
        <f>IF(ISERROR(getgrade(Broadsheet!H50,data!$H$4:$I$9)),"#",getgrade(Broadsheet!H50,data!$H$4:$I$9))</f>
        <v/>
      </c>
      <c r="I50" s="188" t="str">
        <f>IF(ISERROR(getgrade(Broadsheet!I50,data!$H$4:$I$9)),"#",getgrade(Broadsheet!I50,data!$H$4:$I$9))</f>
        <v/>
      </c>
      <c r="J50" s="188" t="str">
        <f>IF(ISERROR(getgrade(Broadsheet!J50,data!$H$4:$I$9)),"#",getgrade(Broadsheet!J50,data!$H$4:$I$9))</f>
        <v/>
      </c>
      <c r="K50" s="188" t="str">
        <f>IF(ISERROR(getgrade(Broadsheet!K50,data!$H$4:$I$9)),"#",getgrade(Broadsheet!K50,data!$H$4:$I$9))</f>
        <v/>
      </c>
      <c r="L50" s="188" t="str">
        <f>IF(ISERROR(getgrade(Broadsheet!L50,data!$H$4:$I$9)),"#",getgrade(Broadsheet!L50,data!$H$4:$I$9))</f>
        <v/>
      </c>
      <c r="M50" s="188" t="str">
        <f>IF(ISERROR(getgrade(Broadsheet!M50,data!$H$4:$I$9)),"#",getgrade(Broadsheet!M50,data!$H$4:$I$9))</f>
        <v/>
      </c>
      <c r="N50" s="188" t="str">
        <f>IF(ISERROR(getgrade(Broadsheet!N50,data!$H$4:$I$9)),"#",getgrade(Broadsheet!N50,data!$H$4:$I$9))</f>
        <v/>
      </c>
      <c r="O50" s="188" t="str">
        <f>IF(ISERROR(getgrade(Broadsheet!O50,data!$H$4:$I$9)),"#",getgrade(Broadsheet!O50,data!$H$4:$I$9))</f>
        <v/>
      </c>
      <c r="P50" s="188" t="str">
        <f>IF(ISERROR(getgrade(Broadsheet!P50,data!$H$4:$I$9)),"#",getgrade(Broadsheet!P50,data!$H$4:$I$9))</f>
        <v/>
      </c>
      <c r="Q50" s="188" t="str">
        <f>IF(ISERROR(getgrade(Broadsheet!Q50,data!$H$4:$I$9)),"#",getgrade(Broadsheet!Q50,data!$H$4:$I$9))</f>
        <v/>
      </c>
      <c r="R50" s="188" t="str">
        <f>IF(ISERROR(getgrade(Broadsheet!R50,data!$H$4:$I$9)),"#",getgrade(Broadsheet!R50,data!$H$4:$I$9))</f>
        <v/>
      </c>
      <c r="S50" s="188" t="str">
        <f>IF(ISERROR(getgrade(Broadsheet!S50,data!$H$4:$I$9)),"#",getgrade(Broadsheet!S50,data!$H$4:$I$9))</f>
        <v/>
      </c>
      <c r="T50" s="188" t="str">
        <f>IF(ISERROR(getgrade(Broadsheet!T50,data!$H$4:$I$9)),"#",getgrade(Broadsheet!T50,data!$H$4:$I$9))</f>
        <v/>
      </c>
      <c r="U50" s="188" t="str">
        <f>IF(ISERROR(getgrade(Broadsheet!U50,data!$H$4:$I$9)),"#",getgrade(Broadsheet!U50,data!$H$4:$I$9))</f>
        <v/>
      </c>
      <c r="V50" s="188" t="str">
        <f>IF(ISERROR(getgrade(Broadsheet!V50,data!$H$4:$I$9)),"#",getgrade(Broadsheet!V50,data!$H$4:$I$9))</f>
        <v/>
      </c>
      <c r="W50" s="188" t="str">
        <f>IF(ISERROR(getgrade(Broadsheet!W50,data!$H$4:$I$9)),"#",getgrade(Broadsheet!W50,data!$H$4:$I$9))</f>
        <v/>
      </c>
      <c r="X50" s="188" t="str">
        <f>IF(ISERROR(getgrade(Broadsheet!X50,data!$H$4:$I$9)),"#",getgrade(Broadsheet!X50,data!$H$4:$I$9))</f>
        <v/>
      </c>
      <c r="Y50" s="188" t="str">
        <f>IF(ISERROR(getgrade(Broadsheet!Y50,data!$H$4:$I$9)),"#",getgrade(Broadsheet!Y50,data!$H$4:$I$9))</f>
        <v/>
      </c>
      <c r="Z50" s="188" t="str">
        <f>IF(ISERROR(getgrade(Broadsheet!Z50,data!$H$4:$I$9)),"#",getgrade(Broadsheet!Z50,data!$H$4:$I$9))</f>
        <v/>
      </c>
      <c r="AA50" s="188" t="str">
        <f>IF(ISERROR(getgrade(Broadsheet!AA50,data!$H$4:$I$9)),"#",getgrade(Broadsheet!AA50,data!$H$4:$I$9))</f>
        <v/>
      </c>
      <c r="AB50" s="188" t="str">
        <f>IF(ISERROR(getgrade(Broadsheet!AB50,data!$H$4:$I$9)),"#",getgrade(Broadsheet!AB50,data!$H$4:$I$9))</f>
        <v/>
      </c>
      <c r="AC50" s="188" t="str">
        <f>IF(ISERROR(getgrade(Broadsheet!AC50,data!$H$4:$I$9)),"#",getgrade(Broadsheet!AC50,data!$H$4:$I$9))</f>
        <v/>
      </c>
      <c r="AD50" s="188" t="str">
        <f>IF(ISERROR(getgrade(Broadsheet!AD50,data!$H$4:$I$9)),"#",getgrade(Broadsheet!AD50,data!$H$4:$I$9))</f>
        <v/>
      </c>
      <c r="AE50" s="188" t="str">
        <f>IF(ISERROR(getgrade(Broadsheet!AE50,data!$H$4:$I$9)),"#",getgrade(Broadsheet!AE50,data!$H$4:$I$9))</f>
        <v/>
      </c>
      <c r="AF50" s="188" t="str">
        <f>IF(ISERROR(getgrade(Broadsheet!AF50,data!$H$4:$I$9)),"#",getgrade(Broadsheet!AF50,data!$H$4:$I$9))</f>
        <v/>
      </c>
      <c r="AG50" s="188" t="str">
        <f>IF(ISERROR(getgrade(Broadsheet!AG50,data!$H$4:$I$9)),"#",getgrade(Broadsheet!AG50,data!$H$4:$I$9))</f>
        <v/>
      </c>
      <c r="AH50" s="188" t="str">
        <f>IF(ISERROR(getgrade(Broadsheet!AH50,data!$H$4:$I$9)),"#",getgrade(Broadsheet!AH50,data!$H$4:$I$9))</f>
        <v/>
      </c>
      <c r="AI50" s="188" t="str">
        <f>IF(ISERROR(getgrade(Broadsheet!AI50,data!$H$4:$I$9)),"#",getgrade(Broadsheet!AI50,data!$H$4:$I$9))</f>
        <v/>
      </c>
      <c r="AJ50" s="188" t="str">
        <f>IF(ISERROR(getgrade(Broadsheet!AJ50,data!$H$4:$I$9)),"#",getgrade(Broadsheet!AJ50,data!$H$4:$I$9))</f>
        <v/>
      </c>
      <c r="AK50" s="188" t="str">
        <f>IF(ISERROR(getgrade(Broadsheet!AK50,data!$H$4:$I$9)),"#",getgrade(Broadsheet!AK50,data!$H$4:$I$9))</f>
        <v/>
      </c>
      <c r="AL50" s="188" t="str">
        <f>IF(ISERROR(getgrade(Broadsheet!AL50,data!$H$4:$I$9)),"#",getgrade(Broadsheet!AL50,data!$H$4:$I$9))</f>
        <v/>
      </c>
      <c r="AM50" s="188" t="str">
        <f>IF(ISERROR(getgrade(Broadsheet!AM50,data!$H$4:$I$9)),"#",getgrade(Broadsheet!AM50,data!$H$4:$I$9))</f>
        <v/>
      </c>
      <c r="AN50" s="188" t="str">
        <f>IF(ISERROR(getgrade(Broadsheet!AN50,data!$H$4:$I$9)),"#",getgrade(Broadsheet!AN50,data!$H$4:$I$9))</f>
        <v/>
      </c>
      <c r="AO50" s="188" t="str">
        <f>IF(ISERROR(getgrade(Broadsheet!AO50,data!$H$4:$I$9)),"#",getgrade(Broadsheet!AO50,data!$H$4:$I$9))</f>
        <v/>
      </c>
      <c r="AP50" s="188" t="str">
        <f>IF(ISERROR(getgrade(Broadsheet!AP50,data!$H$4:$I$9)),"#",getgrade(Broadsheet!AP50,data!$H$4:$I$9))</f>
        <v/>
      </c>
      <c r="AQ50" s="188" t="str">
        <f>IF(ISERROR(getgrade(Broadsheet!AQ50,data!$H$4:$I$9)),"#",getgrade(Broadsheet!AQ50,data!$H$4:$I$9))</f>
        <v/>
      </c>
      <c r="AR50" s="188" t="str">
        <f>IF(ISERROR(getgrade(Broadsheet!AR50,data!$H$4:$I$9)),"#",getgrade(Broadsheet!AR50,data!$H$4:$I$9))</f>
        <v/>
      </c>
      <c r="AS50" s="188" t="str">
        <f>IF(ISERROR(getgrade(Broadsheet!AS50,data!$H$4:$I$9)),"#",getgrade(Broadsheet!AS50,data!$H$4:$I$9))</f>
        <v/>
      </c>
      <c r="AT50" s="188" t="str">
        <f>IF(ISERROR(getgrade(Broadsheet!AT50,data!$H$4:$I$9)),"#",getgrade(Broadsheet!AT50,data!$H$4:$I$9))</f>
        <v/>
      </c>
      <c r="AU50" s="188" t="str">
        <f>IF(ISERROR(getgrade(Broadsheet!AU50,data!$H$4:$I$9)),"#",getgrade(Broadsheet!AU50,data!$H$4:$I$9))</f>
        <v/>
      </c>
      <c r="AV50" s="188" t="str">
        <f>IF(ISERROR(getgrade(Broadsheet!AV50,data!$H$4:$I$9)),"#",getgrade(Broadsheet!AV50,data!$H$4:$I$9))</f>
        <v/>
      </c>
      <c r="AW50" s="188" t="str">
        <f>IF(ISERROR(getgrade(Broadsheet!AW50,data!$H$4:$I$9)),"#",getgrade(Broadsheet!AW50,data!$H$4:$I$9))</f>
        <v/>
      </c>
      <c r="AX50" s="188" t="str">
        <f>IF(ISERROR(getgrade(Broadsheet!AX50,data!$H$4:$I$9)),"#",getgrade(Broadsheet!AX50,data!$H$4:$I$9))</f>
        <v/>
      </c>
      <c r="AY50" s="188" t="str">
        <f>IF(ISERROR(getgrade(Broadsheet!AY50,data!$H$4:$I$9)),"#",getgrade(Broadsheet!AY50,data!$H$4:$I$9))</f>
        <v/>
      </c>
      <c r="AZ50" s="188" t="str">
        <f>IF(ISERROR(getgrade(Broadsheet!AZ50,data!$H$4:$I$9)),"#",getgrade(Broadsheet!AZ50,data!$H$4:$I$9))</f>
        <v/>
      </c>
      <c r="BA50" s="188" t="str">
        <f>IF(ISERROR(getgrade(Broadsheet!BA50,data!$H$4:$I$9)),"#",getgrade(Broadsheet!BA50,data!$H$4:$I$9))</f>
        <v/>
      </c>
      <c r="BB50" s="188" t="str">
        <f>IF(ISERROR(getgrade(Broadsheet!BB50,data!$H$4:$I$9)),"#",getgrade(Broadsheet!BB50,data!$H$4:$I$9))</f>
        <v/>
      </c>
      <c r="BC50" s="188" t="str">
        <f>IF(ISERROR(getgrade(Broadsheet!BC50,data!$H$4:$I$9)),"#",getgrade(Broadsheet!BC50,data!$H$4:$I$9))</f>
        <v/>
      </c>
      <c r="BD50" s="188" t="str">
        <f>IF(ISERROR(getgrade(Broadsheet!BD50,data!$H$4:$I$9)),"#",getgrade(Broadsheet!BD50,data!$H$4:$I$9))</f>
        <v/>
      </c>
      <c r="BE50" s="188" t="str">
        <f>IF(ISERROR(getgrade(Broadsheet!BE50,data!$H$4:$I$9)),"#",getgrade(Broadsheet!BE50,data!$H$4:$I$9))</f>
        <v/>
      </c>
      <c r="BF50" s="188" t="str">
        <f>IF(ISERROR(getgrade(Broadsheet!BF50,data!$H$4:$I$9)),"#",getgrade(Broadsheet!BF50,data!$H$4:$I$9))</f>
        <v/>
      </c>
      <c r="BG50" s="188" t="str">
        <f>IF(ISERROR(getgrade(Broadsheet!BG50,data!$H$4:$I$9)),"#",getgrade(Broadsheet!BG50,data!$H$4:$I$9))</f>
        <v/>
      </c>
      <c r="BH50" s="188" t="str">
        <f>IF(ISERROR(getgrade(Broadsheet!BH50,data!$H$4:$I$9)),"#",getgrade(Broadsheet!BH50,data!$H$4:$I$9))</f>
        <v/>
      </c>
      <c r="BI50" s="188" t="str">
        <f>IF(ISERROR(getgrade(Broadsheet!BI50,data!$H$4:$I$9)),"#",getgrade(Broadsheet!BI50,data!$H$4:$I$9))</f>
        <v/>
      </c>
      <c r="BJ50" s="188" t="str">
        <f>IF(ISERROR(getgrade(Broadsheet!BJ50,data!$H$4:$I$9)),"#",getgrade(Broadsheet!BJ50,data!$H$4:$I$9))</f>
        <v/>
      </c>
      <c r="BK50" s="188"/>
      <c r="BL50" s="188"/>
      <c r="BM50" s="188"/>
      <c r="BN50" s="188"/>
      <c r="BO50" s="188"/>
      <c r="BP50" s="188"/>
      <c r="BQ50" s="188"/>
      <c r="BR50" s="188"/>
      <c r="BS50" s="188"/>
      <c r="BT50" s="188"/>
      <c r="BU50" s="188"/>
      <c r="BV50" s="188"/>
      <c r="BW50" s="188"/>
      <c r="BX50" s="188"/>
      <c r="BY50" s="188"/>
      <c r="BZ50" s="188"/>
      <c r="CA50" s="188"/>
      <c r="CB50" s="188"/>
      <c r="CC50" s="188"/>
      <c r="CD50" s="188"/>
      <c r="CE50" s="188"/>
      <c r="CF50" s="188"/>
      <c r="CG50" s="188"/>
      <c r="CH50" s="188"/>
      <c r="CI50" s="188"/>
      <c r="CJ50" s="188"/>
      <c r="CK50" s="188"/>
      <c r="CL50" s="188"/>
      <c r="CM50" s="188"/>
      <c r="CN50" s="188"/>
      <c r="CO50" s="188"/>
      <c r="CP50" s="188"/>
      <c r="CQ50" s="188"/>
      <c r="CR50" s="188"/>
      <c r="CS50" s="188"/>
      <c r="CT50" s="188"/>
      <c r="CU50" s="188"/>
      <c r="CV50" s="188"/>
      <c r="CW50" s="188"/>
      <c r="CX50" s="188"/>
      <c r="CY50" s="188"/>
      <c r="CZ50" s="188"/>
      <c r="DA50" s="188"/>
      <c r="DB50" s="188"/>
      <c r="DC50" s="188"/>
      <c r="DD50" s="188"/>
      <c r="DE50" s="188"/>
      <c r="DF50" s="188"/>
      <c r="DG50" s="188"/>
      <c r="DH50" s="188"/>
      <c r="DI50" s="188"/>
      <c r="DJ50" s="188"/>
      <c r="DK50" s="188"/>
      <c r="DL50" s="188"/>
      <c r="DM50" s="188"/>
      <c r="DN50" s="188"/>
      <c r="DO50" s="188"/>
      <c r="DP50" s="188"/>
      <c r="DQ50" s="188"/>
      <c r="DR50" s="188"/>
      <c r="DS50" s="188"/>
      <c r="DT50" s="188"/>
      <c r="DU50" s="188"/>
      <c r="DV50" s="188"/>
      <c r="DW50" s="188"/>
      <c r="DX50" s="188"/>
      <c r="DY50" s="188"/>
      <c r="DZ50" s="188"/>
      <c r="EA50" s="188"/>
    </row>
    <row r="51" spans="1:131" ht="15.75" x14ac:dyDescent="0.25">
      <c r="A51" s="12">
        <f>Broadsheet!A51</f>
        <v>0</v>
      </c>
      <c r="B51" s="204" t="str">
        <f>IF(Broadsheet!B51="","",Broadsheet!B51)</f>
        <v/>
      </c>
      <c r="C51" s="24" t="str">
        <f>IF(Broadsheet!C51="","",Broadsheet!C51)</f>
        <v xml:space="preserve"> </v>
      </c>
      <c r="D51" s="24"/>
      <c r="E51" s="24"/>
      <c r="F51" s="24"/>
      <c r="G51" s="24" t="str">
        <f t="shared" si="0"/>
        <v/>
      </c>
      <c r="H51" s="188" t="str">
        <f>IF(ISERROR(getgrade(Broadsheet!H51,data!$H$4:$I$9)),"#",getgrade(Broadsheet!H51,data!$H$4:$I$9))</f>
        <v/>
      </c>
      <c r="I51" s="188" t="str">
        <f>IF(ISERROR(getgrade(Broadsheet!I51,data!$H$4:$I$9)),"#",getgrade(Broadsheet!I51,data!$H$4:$I$9))</f>
        <v/>
      </c>
      <c r="J51" s="188" t="str">
        <f>IF(ISERROR(getgrade(Broadsheet!J51,data!$H$4:$I$9)),"#",getgrade(Broadsheet!J51,data!$H$4:$I$9))</f>
        <v/>
      </c>
      <c r="K51" s="188" t="str">
        <f>IF(ISERROR(getgrade(Broadsheet!K51,data!$H$4:$I$9)),"#",getgrade(Broadsheet!K51,data!$H$4:$I$9))</f>
        <v/>
      </c>
      <c r="L51" s="188" t="str">
        <f>IF(ISERROR(getgrade(Broadsheet!L51,data!$H$4:$I$9)),"#",getgrade(Broadsheet!L51,data!$H$4:$I$9))</f>
        <v/>
      </c>
      <c r="M51" s="188" t="str">
        <f>IF(ISERROR(getgrade(Broadsheet!M51,data!$H$4:$I$9)),"#",getgrade(Broadsheet!M51,data!$H$4:$I$9))</f>
        <v/>
      </c>
      <c r="N51" s="188" t="str">
        <f>IF(ISERROR(getgrade(Broadsheet!N51,data!$H$4:$I$9)),"#",getgrade(Broadsheet!N51,data!$H$4:$I$9))</f>
        <v/>
      </c>
      <c r="O51" s="188" t="str">
        <f>IF(ISERROR(getgrade(Broadsheet!O51,data!$H$4:$I$9)),"#",getgrade(Broadsheet!O51,data!$H$4:$I$9))</f>
        <v/>
      </c>
      <c r="P51" s="188" t="str">
        <f>IF(ISERROR(getgrade(Broadsheet!P51,data!$H$4:$I$9)),"#",getgrade(Broadsheet!P51,data!$H$4:$I$9))</f>
        <v/>
      </c>
      <c r="Q51" s="188" t="str">
        <f>IF(ISERROR(getgrade(Broadsheet!Q51,data!$H$4:$I$9)),"#",getgrade(Broadsheet!Q51,data!$H$4:$I$9))</f>
        <v/>
      </c>
      <c r="R51" s="188" t="str">
        <f>IF(ISERROR(getgrade(Broadsheet!R51,data!$H$4:$I$9)),"#",getgrade(Broadsheet!R51,data!$H$4:$I$9))</f>
        <v/>
      </c>
      <c r="S51" s="188" t="str">
        <f>IF(ISERROR(getgrade(Broadsheet!S51,data!$H$4:$I$9)),"#",getgrade(Broadsheet!S51,data!$H$4:$I$9))</f>
        <v/>
      </c>
      <c r="T51" s="188" t="str">
        <f>IF(ISERROR(getgrade(Broadsheet!T51,data!$H$4:$I$9)),"#",getgrade(Broadsheet!T51,data!$H$4:$I$9))</f>
        <v/>
      </c>
      <c r="U51" s="188" t="str">
        <f>IF(ISERROR(getgrade(Broadsheet!U51,data!$H$4:$I$9)),"#",getgrade(Broadsheet!U51,data!$H$4:$I$9))</f>
        <v/>
      </c>
      <c r="V51" s="188" t="str">
        <f>IF(ISERROR(getgrade(Broadsheet!V51,data!$H$4:$I$9)),"#",getgrade(Broadsheet!V51,data!$H$4:$I$9))</f>
        <v/>
      </c>
      <c r="W51" s="188" t="str">
        <f>IF(ISERROR(getgrade(Broadsheet!W51,data!$H$4:$I$9)),"#",getgrade(Broadsheet!W51,data!$H$4:$I$9))</f>
        <v/>
      </c>
      <c r="X51" s="188" t="str">
        <f>IF(ISERROR(getgrade(Broadsheet!X51,data!$H$4:$I$9)),"#",getgrade(Broadsheet!X51,data!$H$4:$I$9))</f>
        <v/>
      </c>
      <c r="Y51" s="188" t="str">
        <f>IF(ISERROR(getgrade(Broadsheet!Y51,data!$H$4:$I$9)),"#",getgrade(Broadsheet!Y51,data!$H$4:$I$9))</f>
        <v/>
      </c>
      <c r="Z51" s="188" t="str">
        <f>IF(ISERROR(getgrade(Broadsheet!Z51,data!$H$4:$I$9)),"#",getgrade(Broadsheet!Z51,data!$H$4:$I$9))</f>
        <v/>
      </c>
      <c r="AA51" s="188" t="str">
        <f>IF(ISERROR(getgrade(Broadsheet!AA51,data!$H$4:$I$9)),"#",getgrade(Broadsheet!AA51,data!$H$4:$I$9))</f>
        <v/>
      </c>
      <c r="AB51" s="188" t="str">
        <f>IF(ISERROR(getgrade(Broadsheet!AB51,data!$H$4:$I$9)),"#",getgrade(Broadsheet!AB51,data!$H$4:$I$9))</f>
        <v/>
      </c>
      <c r="AC51" s="188" t="str">
        <f>IF(ISERROR(getgrade(Broadsheet!AC51,data!$H$4:$I$9)),"#",getgrade(Broadsheet!AC51,data!$H$4:$I$9))</f>
        <v/>
      </c>
      <c r="AD51" s="188" t="str">
        <f>IF(ISERROR(getgrade(Broadsheet!AD51,data!$H$4:$I$9)),"#",getgrade(Broadsheet!AD51,data!$H$4:$I$9))</f>
        <v/>
      </c>
      <c r="AE51" s="188" t="str">
        <f>IF(ISERROR(getgrade(Broadsheet!AE51,data!$H$4:$I$9)),"#",getgrade(Broadsheet!AE51,data!$H$4:$I$9))</f>
        <v/>
      </c>
      <c r="AF51" s="188" t="str">
        <f>IF(ISERROR(getgrade(Broadsheet!AF51,data!$H$4:$I$9)),"#",getgrade(Broadsheet!AF51,data!$H$4:$I$9))</f>
        <v/>
      </c>
      <c r="AG51" s="188" t="str">
        <f>IF(ISERROR(getgrade(Broadsheet!AG51,data!$H$4:$I$9)),"#",getgrade(Broadsheet!AG51,data!$H$4:$I$9))</f>
        <v/>
      </c>
      <c r="AH51" s="188" t="str">
        <f>IF(ISERROR(getgrade(Broadsheet!AH51,data!$H$4:$I$9)),"#",getgrade(Broadsheet!AH51,data!$H$4:$I$9))</f>
        <v/>
      </c>
      <c r="AI51" s="188" t="str">
        <f>IF(ISERROR(getgrade(Broadsheet!AI51,data!$H$4:$I$9)),"#",getgrade(Broadsheet!AI51,data!$H$4:$I$9))</f>
        <v/>
      </c>
      <c r="AJ51" s="188" t="str">
        <f>IF(ISERROR(getgrade(Broadsheet!AJ51,data!$H$4:$I$9)),"#",getgrade(Broadsheet!AJ51,data!$H$4:$I$9))</f>
        <v/>
      </c>
      <c r="AK51" s="188" t="str">
        <f>IF(ISERROR(getgrade(Broadsheet!AK51,data!$H$4:$I$9)),"#",getgrade(Broadsheet!AK51,data!$H$4:$I$9))</f>
        <v/>
      </c>
      <c r="AL51" s="188" t="str">
        <f>IF(ISERROR(getgrade(Broadsheet!AL51,data!$H$4:$I$9)),"#",getgrade(Broadsheet!AL51,data!$H$4:$I$9))</f>
        <v/>
      </c>
      <c r="AM51" s="188" t="str">
        <f>IF(ISERROR(getgrade(Broadsheet!AM51,data!$H$4:$I$9)),"#",getgrade(Broadsheet!AM51,data!$H$4:$I$9))</f>
        <v/>
      </c>
      <c r="AN51" s="188" t="str">
        <f>IF(ISERROR(getgrade(Broadsheet!AN51,data!$H$4:$I$9)),"#",getgrade(Broadsheet!AN51,data!$H$4:$I$9))</f>
        <v/>
      </c>
      <c r="AO51" s="188" t="str">
        <f>IF(ISERROR(getgrade(Broadsheet!AO51,data!$H$4:$I$9)),"#",getgrade(Broadsheet!AO51,data!$H$4:$I$9))</f>
        <v/>
      </c>
      <c r="AP51" s="188" t="str">
        <f>IF(ISERROR(getgrade(Broadsheet!AP51,data!$H$4:$I$9)),"#",getgrade(Broadsheet!AP51,data!$H$4:$I$9))</f>
        <v/>
      </c>
      <c r="AQ51" s="188" t="str">
        <f>IF(ISERROR(getgrade(Broadsheet!AQ51,data!$H$4:$I$9)),"#",getgrade(Broadsheet!AQ51,data!$H$4:$I$9))</f>
        <v/>
      </c>
      <c r="AR51" s="188" t="str">
        <f>IF(ISERROR(getgrade(Broadsheet!AR51,data!$H$4:$I$9)),"#",getgrade(Broadsheet!AR51,data!$H$4:$I$9))</f>
        <v/>
      </c>
      <c r="AS51" s="188" t="str">
        <f>IF(ISERROR(getgrade(Broadsheet!AS51,data!$H$4:$I$9)),"#",getgrade(Broadsheet!AS51,data!$H$4:$I$9))</f>
        <v/>
      </c>
      <c r="AT51" s="188" t="str">
        <f>IF(ISERROR(getgrade(Broadsheet!AT51,data!$H$4:$I$9)),"#",getgrade(Broadsheet!AT51,data!$H$4:$I$9))</f>
        <v/>
      </c>
      <c r="AU51" s="188" t="str">
        <f>IF(ISERROR(getgrade(Broadsheet!AU51,data!$H$4:$I$9)),"#",getgrade(Broadsheet!AU51,data!$H$4:$I$9))</f>
        <v/>
      </c>
      <c r="AV51" s="188" t="str">
        <f>IF(ISERROR(getgrade(Broadsheet!AV51,data!$H$4:$I$9)),"#",getgrade(Broadsheet!AV51,data!$H$4:$I$9))</f>
        <v/>
      </c>
      <c r="AW51" s="188" t="str">
        <f>IF(ISERROR(getgrade(Broadsheet!AW51,data!$H$4:$I$9)),"#",getgrade(Broadsheet!AW51,data!$H$4:$I$9))</f>
        <v/>
      </c>
      <c r="AX51" s="188" t="str">
        <f>IF(ISERROR(getgrade(Broadsheet!AX51,data!$H$4:$I$9)),"#",getgrade(Broadsheet!AX51,data!$H$4:$I$9))</f>
        <v/>
      </c>
      <c r="AY51" s="188" t="str">
        <f>IF(ISERROR(getgrade(Broadsheet!AY51,data!$H$4:$I$9)),"#",getgrade(Broadsheet!AY51,data!$H$4:$I$9))</f>
        <v/>
      </c>
      <c r="AZ51" s="188" t="str">
        <f>IF(ISERROR(getgrade(Broadsheet!AZ51,data!$H$4:$I$9)),"#",getgrade(Broadsheet!AZ51,data!$H$4:$I$9))</f>
        <v/>
      </c>
      <c r="BA51" s="188" t="str">
        <f>IF(ISERROR(getgrade(Broadsheet!BA51,data!$H$4:$I$9)),"#",getgrade(Broadsheet!BA51,data!$H$4:$I$9))</f>
        <v/>
      </c>
      <c r="BB51" s="188" t="str">
        <f>IF(ISERROR(getgrade(Broadsheet!BB51,data!$H$4:$I$9)),"#",getgrade(Broadsheet!BB51,data!$H$4:$I$9))</f>
        <v/>
      </c>
      <c r="BC51" s="188" t="str">
        <f>IF(ISERROR(getgrade(Broadsheet!BC51,data!$H$4:$I$9)),"#",getgrade(Broadsheet!BC51,data!$H$4:$I$9))</f>
        <v/>
      </c>
      <c r="BD51" s="188" t="str">
        <f>IF(ISERROR(getgrade(Broadsheet!BD51,data!$H$4:$I$9)),"#",getgrade(Broadsheet!BD51,data!$H$4:$I$9))</f>
        <v/>
      </c>
      <c r="BE51" s="188" t="str">
        <f>IF(ISERROR(getgrade(Broadsheet!BE51,data!$H$4:$I$9)),"#",getgrade(Broadsheet!BE51,data!$H$4:$I$9))</f>
        <v/>
      </c>
      <c r="BF51" s="188" t="str">
        <f>IF(ISERROR(getgrade(Broadsheet!BF51,data!$H$4:$I$9)),"#",getgrade(Broadsheet!BF51,data!$H$4:$I$9))</f>
        <v/>
      </c>
      <c r="BG51" s="188" t="str">
        <f>IF(ISERROR(getgrade(Broadsheet!BG51,data!$H$4:$I$9)),"#",getgrade(Broadsheet!BG51,data!$H$4:$I$9))</f>
        <v/>
      </c>
      <c r="BH51" s="188" t="str">
        <f>IF(ISERROR(getgrade(Broadsheet!BH51,data!$H$4:$I$9)),"#",getgrade(Broadsheet!BH51,data!$H$4:$I$9))</f>
        <v/>
      </c>
      <c r="BI51" s="188" t="str">
        <f>IF(ISERROR(getgrade(Broadsheet!BI51,data!$H$4:$I$9)),"#",getgrade(Broadsheet!BI51,data!$H$4:$I$9))</f>
        <v/>
      </c>
      <c r="BJ51" s="188" t="str">
        <f>IF(ISERROR(getgrade(Broadsheet!BJ51,data!$H$4:$I$9)),"#",getgrade(Broadsheet!BJ51,data!$H$4:$I$9))</f>
        <v/>
      </c>
      <c r="BK51" s="188"/>
      <c r="BL51" s="188"/>
      <c r="BM51" s="188"/>
      <c r="BN51" s="188"/>
      <c r="BO51" s="188"/>
      <c r="BP51" s="188"/>
      <c r="BQ51" s="188"/>
      <c r="BR51" s="188"/>
      <c r="BS51" s="188"/>
      <c r="BT51" s="188"/>
      <c r="BU51" s="188"/>
      <c r="BV51" s="188"/>
      <c r="BW51" s="188"/>
      <c r="BX51" s="188"/>
      <c r="BY51" s="188"/>
      <c r="BZ51" s="188"/>
      <c r="CA51" s="188"/>
      <c r="CB51" s="188"/>
      <c r="CC51" s="188"/>
      <c r="CD51" s="188"/>
      <c r="CE51" s="188"/>
      <c r="CF51" s="188"/>
      <c r="CG51" s="188"/>
      <c r="CH51" s="188"/>
      <c r="CI51" s="188"/>
      <c r="CJ51" s="188"/>
      <c r="CK51" s="188"/>
      <c r="CL51" s="188"/>
      <c r="CM51" s="188"/>
      <c r="CN51" s="188"/>
      <c r="CO51" s="188"/>
      <c r="CP51" s="188"/>
      <c r="CQ51" s="188"/>
      <c r="CR51" s="188"/>
      <c r="CS51" s="188"/>
      <c r="CT51" s="188"/>
      <c r="CU51" s="188"/>
      <c r="CV51" s="188"/>
      <c r="CW51" s="188"/>
      <c r="CX51" s="188"/>
      <c r="CY51" s="188"/>
      <c r="CZ51" s="188"/>
      <c r="DA51" s="188"/>
      <c r="DB51" s="188"/>
      <c r="DC51" s="188"/>
      <c r="DD51" s="188"/>
      <c r="DE51" s="188"/>
      <c r="DF51" s="188"/>
      <c r="DG51" s="188"/>
      <c r="DH51" s="188"/>
      <c r="DI51" s="188"/>
      <c r="DJ51" s="188"/>
      <c r="DK51" s="188"/>
      <c r="DL51" s="188"/>
      <c r="DM51" s="188"/>
      <c r="DN51" s="188"/>
      <c r="DO51" s="188"/>
      <c r="DP51" s="188"/>
      <c r="DQ51" s="188"/>
      <c r="DR51" s="188"/>
      <c r="DS51" s="188"/>
      <c r="DT51" s="188"/>
      <c r="DU51" s="188"/>
      <c r="DV51" s="188"/>
      <c r="DW51" s="188"/>
      <c r="DX51" s="188"/>
      <c r="DY51" s="188"/>
      <c r="DZ51" s="188"/>
      <c r="EA51" s="188"/>
    </row>
    <row r="52" spans="1:131" ht="15.75" x14ac:dyDescent="0.25">
      <c r="A52" s="12">
        <f>Broadsheet!A52</f>
        <v>0</v>
      </c>
      <c r="B52" s="204" t="str">
        <f>IF(Broadsheet!B52="","",Broadsheet!B52)</f>
        <v/>
      </c>
      <c r="C52" s="24" t="str">
        <f>IF(Broadsheet!C52="","",Broadsheet!C52)</f>
        <v xml:space="preserve"> </v>
      </c>
      <c r="D52" s="24"/>
      <c r="E52" s="24"/>
      <c r="F52" s="24"/>
      <c r="G52" s="24" t="str">
        <f t="shared" si="0"/>
        <v/>
      </c>
      <c r="H52" s="188" t="str">
        <f>IF(ISERROR(getgrade(Broadsheet!H52,data!$H$4:$I$9)),"#",getgrade(Broadsheet!H52,data!$H$4:$I$9))</f>
        <v/>
      </c>
      <c r="I52" s="188" t="str">
        <f>IF(ISERROR(getgrade(Broadsheet!I52,data!$H$4:$I$9)),"#",getgrade(Broadsheet!I52,data!$H$4:$I$9))</f>
        <v/>
      </c>
      <c r="J52" s="188" t="str">
        <f>IF(ISERROR(getgrade(Broadsheet!J52,data!$H$4:$I$9)),"#",getgrade(Broadsheet!J52,data!$H$4:$I$9))</f>
        <v/>
      </c>
      <c r="K52" s="188" t="str">
        <f>IF(ISERROR(getgrade(Broadsheet!K52,data!$H$4:$I$9)),"#",getgrade(Broadsheet!K52,data!$H$4:$I$9))</f>
        <v/>
      </c>
      <c r="L52" s="188" t="str">
        <f>IF(ISERROR(getgrade(Broadsheet!L52,data!$H$4:$I$9)),"#",getgrade(Broadsheet!L52,data!$H$4:$I$9))</f>
        <v/>
      </c>
      <c r="M52" s="188" t="str">
        <f>IF(ISERROR(getgrade(Broadsheet!M52,data!$H$4:$I$9)),"#",getgrade(Broadsheet!M52,data!$H$4:$I$9))</f>
        <v/>
      </c>
      <c r="N52" s="188" t="str">
        <f>IF(ISERROR(getgrade(Broadsheet!N52,data!$H$4:$I$9)),"#",getgrade(Broadsheet!N52,data!$H$4:$I$9))</f>
        <v/>
      </c>
      <c r="O52" s="188" t="str">
        <f>IF(ISERROR(getgrade(Broadsheet!O52,data!$H$4:$I$9)),"#",getgrade(Broadsheet!O52,data!$H$4:$I$9))</f>
        <v/>
      </c>
      <c r="P52" s="188" t="str">
        <f>IF(ISERROR(getgrade(Broadsheet!P52,data!$H$4:$I$9)),"#",getgrade(Broadsheet!P52,data!$H$4:$I$9))</f>
        <v/>
      </c>
      <c r="Q52" s="188" t="str">
        <f>IF(ISERROR(getgrade(Broadsheet!Q52,data!$H$4:$I$9)),"#",getgrade(Broadsheet!Q52,data!$H$4:$I$9))</f>
        <v/>
      </c>
      <c r="R52" s="188" t="str">
        <f>IF(ISERROR(getgrade(Broadsheet!R52,data!$H$4:$I$9)),"#",getgrade(Broadsheet!R52,data!$H$4:$I$9))</f>
        <v/>
      </c>
      <c r="S52" s="188" t="str">
        <f>IF(ISERROR(getgrade(Broadsheet!S52,data!$H$4:$I$9)),"#",getgrade(Broadsheet!S52,data!$H$4:$I$9))</f>
        <v/>
      </c>
      <c r="T52" s="188" t="str">
        <f>IF(ISERROR(getgrade(Broadsheet!T52,data!$H$4:$I$9)),"#",getgrade(Broadsheet!T52,data!$H$4:$I$9))</f>
        <v/>
      </c>
      <c r="U52" s="188" t="str">
        <f>IF(ISERROR(getgrade(Broadsheet!U52,data!$H$4:$I$9)),"#",getgrade(Broadsheet!U52,data!$H$4:$I$9))</f>
        <v/>
      </c>
      <c r="V52" s="188" t="str">
        <f>IF(ISERROR(getgrade(Broadsheet!V52,data!$H$4:$I$9)),"#",getgrade(Broadsheet!V52,data!$H$4:$I$9))</f>
        <v/>
      </c>
      <c r="W52" s="188" t="str">
        <f>IF(ISERROR(getgrade(Broadsheet!W52,data!$H$4:$I$9)),"#",getgrade(Broadsheet!W52,data!$H$4:$I$9))</f>
        <v/>
      </c>
      <c r="X52" s="188" t="str">
        <f>IF(ISERROR(getgrade(Broadsheet!X52,data!$H$4:$I$9)),"#",getgrade(Broadsheet!X52,data!$H$4:$I$9))</f>
        <v/>
      </c>
      <c r="Y52" s="188" t="str">
        <f>IF(ISERROR(getgrade(Broadsheet!Y52,data!$H$4:$I$9)),"#",getgrade(Broadsheet!Y52,data!$H$4:$I$9))</f>
        <v/>
      </c>
      <c r="Z52" s="188" t="str">
        <f>IF(ISERROR(getgrade(Broadsheet!Z52,data!$H$4:$I$9)),"#",getgrade(Broadsheet!Z52,data!$H$4:$I$9))</f>
        <v/>
      </c>
      <c r="AA52" s="188" t="str">
        <f>IF(ISERROR(getgrade(Broadsheet!AA52,data!$H$4:$I$9)),"#",getgrade(Broadsheet!AA52,data!$H$4:$I$9))</f>
        <v/>
      </c>
      <c r="AB52" s="188" t="str">
        <f>IF(ISERROR(getgrade(Broadsheet!AB52,data!$H$4:$I$9)),"#",getgrade(Broadsheet!AB52,data!$H$4:$I$9))</f>
        <v/>
      </c>
      <c r="AC52" s="188" t="str">
        <f>IF(ISERROR(getgrade(Broadsheet!AC52,data!$H$4:$I$9)),"#",getgrade(Broadsheet!AC52,data!$H$4:$I$9))</f>
        <v/>
      </c>
      <c r="AD52" s="188" t="str">
        <f>IF(ISERROR(getgrade(Broadsheet!AD52,data!$H$4:$I$9)),"#",getgrade(Broadsheet!AD52,data!$H$4:$I$9))</f>
        <v/>
      </c>
      <c r="AE52" s="188" t="str">
        <f>IF(ISERROR(getgrade(Broadsheet!AE52,data!$H$4:$I$9)),"#",getgrade(Broadsheet!AE52,data!$H$4:$I$9))</f>
        <v/>
      </c>
      <c r="AF52" s="188" t="str">
        <f>IF(ISERROR(getgrade(Broadsheet!AF52,data!$H$4:$I$9)),"#",getgrade(Broadsheet!AF52,data!$H$4:$I$9))</f>
        <v/>
      </c>
      <c r="AG52" s="188" t="str">
        <f>IF(ISERROR(getgrade(Broadsheet!AG52,data!$H$4:$I$9)),"#",getgrade(Broadsheet!AG52,data!$H$4:$I$9))</f>
        <v/>
      </c>
      <c r="AH52" s="188" t="str">
        <f>IF(ISERROR(getgrade(Broadsheet!AH52,data!$H$4:$I$9)),"#",getgrade(Broadsheet!AH52,data!$H$4:$I$9))</f>
        <v/>
      </c>
      <c r="AI52" s="188" t="str">
        <f>IF(ISERROR(getgrade(Broadsheet!AI52,data!$H$4:$I$9)),"#",getgrade(Broadsheet!AI52,data!$H$4:$I$9))</f>
        <v/>
      </c>
      <c r="AJ52" s="188" t="str">
        <f>IF(ISERROR(getgrade(Broadsheet!AJ52,data!$H$4:$I$9)),"#",getgrade(Broadsheet!AJ52,data!$H$4:$I$9))</f>
        <v/>
      </c>
      <c r="AK52" s="188" t="str">
        <f>IF(ISERROR(getgrade(Broadsheet!AK52,data!$H$4:$I$9)),"#",getgrade(Broadsheet!AK52,data!$H$4:$I$9))</f>
        <v/>
      </c>
      <c r="AL52" s="188" t="str">
        <f>IF(ISERROR(getgrade(Broadsheet!AL52,data!$H$4:$I$9)),"#",getgrade(Broadsheet!AL52,data!$H$4:$I$9))</f>
        <v/>
      </c>
      <c r="AM52" s="188" t="str">
        <f>IF(ISERROR(getgrade(Broadsheet!AM52,data!$H$4:$I$9)),"#",getgrade(Broadsheet!AM52,data!$H$4:$I$9))</f>
        <v/>
      </c>
      <c r="AN52" s="188" t="str">
        <f>IF(ISERROR(getgrade(Broadsheet!AN52,data!$H$4:$I$9)),"#",getgrade(Broadsheet!AN52,data!$H$4:$I$9))</f>
        <v/>
      </c>
      <c r="AO52" s="188" t="str">
        <f>IF(ISERROR(getgrade(Broadsheet!AO52,data!$H$4:$I$9)),"#",getgrade(Broadsheet!AO52,data!$H$4:$I$9))</f>
        <v/>
      </c>
      <c r="AP52" s="188" t="str">
        <f>IF(ISERROR(getgrade(Broadsheet!AP52,data!$H$4:$I$9)),"#",getgrade(Broadsheet!AP52,data!$H$4:$I$9))</f>
        <v/>
      </c>
      <c r="AQ52" s="188" t="str">
        <f>IF(ISERROR(getgrade(Broadsheet!AQ52,data!$H$4:$I$9)),"#",getgrade(Broadsheet!AQ52,data!$H$4:$I$9))</f>
        <v/>
      </c>
      <c r="AR52" s="188" t="str">
        <f>IF(ISERROR(getgrade(Broadsheet!AR52,data!$H$4:$I$9)),"#",getgrade(Broadsheet!AR52,data!$H$4:$I$9))</f>
        <v/>
      </c>
      <c r="AS52" s="188" t="str">
        <f>IF(ISERROR(getgrade(Broadsheet!AS52,data!$H$4:$I$9)),"#",getgrade(Broadsheet!AS52,data!$H$4:$I$9))</f>
        <v/>
      </c>
      <c r="AT52" s="188" t="str">
        <f>IF(ISERROR(getgrade(Broadsheet!AT52,data!$H$4:$I$9)),"#",getgrade(Broadsheet!AT52,data!$H$4:$I$9))</f>
        <v/>
      </c>
      <c r="AU52" s="188" t="str">
        <f>IF(ISERROR(getgrade(Broadsheet!AU52,data!$H$4:$I$9)),"#",getgrade(Broadsheet!AU52,data!$H$4:$I$9))</f>
        <v/>
      </c>
      <c r="AV52" s="188" t="str">
        <f>IF(ISERROR(getgrade(Broadsheet!AV52,data!$H$4:$I$9)),"#",getgrade(Broadsheet!AV52,data!$H$4:$I$9))</f>
        <v/>
      </c>
      <c r="AW52" s="188" t="str">
        <f>IF(ISERROR(getgrade(Broadsheet!AW52,data!$H$4:$I$9)),"#",getgrade(Broadsheet!AW52,data!$H$4:$I$9))</f>
        <v/>
      </c>
      <c r="AX52" s="188" t="str">
        <f>IF(ISERROR(getgrade(Broadsheet!AX52,data!$H$4:$I$9)),"#",getgrade(Broadsheet!AX52,data!$H$4:$I$9))</f>
        <v/>
      </c>
      <c r="AY52" s="188" t="str">
        <f>IF(ISERROR(getgrade(Broadsheet!AY52,data!$H$4:$I$9)),"#",getgrade(Broadsheet!AY52,data!$H$4:$I$9))</f>
        <v/>
      </c>
      <c r="AZ52" s="188" t="str">
        <f>IF(ISERROR(getgrade(Broadsheet!AZ52,data!$H$4:$I$9)),"#",getgrade(Broadsheet!AZ52,data!$H$4:$I$9))</f>
        <v/>
      </c>
      <c r="BA52" s="188" t="str">
        <f>IF(ISERROR(getgrade(Broadsheet!BA52,data!$H$4:$I$9)),"#",getgrade(Broadsheet!BA52,data!$H$4:$I$9))</f>
        <v/>
      </c>
      <c r="BB52" s="188" t="str">
        <f>IF(ISERROR(getgrade(Broadsheet!BB52,data!$H$4:$I$9)),"#",getgrade(Broadsheet!BB52,data!$H$4:$I$9))</f>
        <v/>
      </c>
      <c r="BC52" s="188" t="str">
        <f>IF(ISERROR(getgrade(Broadsheet!BC52,data!$H$4:$I$9)),"#",getgrade(Broadsheet!BC52,data!$H$4:$I$9))</f>
        <v/>
      </c>
      <c r="BD52" s="188" t="str">
        <f>IF(ISERROR(getgrade(Broadsheet!BD52,data!$H$4:$I$9)),"#",getgrade(Broadsheet!BD52,data!$H$4:$I$9))</f>
        <v/>
      </c>
      <c r="BE52" s="188" t="str">
        <f>IF(ISERROR(getgrade(Broadsheet!BE52,data!$H$4:$I$9)),"#",getgrade(Broadsheet!BE52,data!$H$4:$I$9))</f>
        <v/>
      </c>
      <c r="BF52" s="188" t="str">
        <f>IF(ISERROR(getgrade(Broadsheet!BF52,data!$H$4:$I$9)),"#",getgrade(Broadsheet!BF52,data!$H$4:$I$9))</f>
        <v/>
      </c>
      <c r="BG52" s="188" t="str">
        <f>IF(ISERROR(getgrade(Broadsheet!BG52,data!$H$4:$I$9)),"#",getgrade(Broadsheet!BG52,data!$H$4:$I$9))</f>
        <v/>
      </c>
      <c r="BH52" s="188" t="str">
        <f>IF(ISERROR(getgrade(Broadsheet!BH52,data!$H$4:$I$9)),"#",getgrade(Broadsheet!BH52,data!$H$4:$I$9))</f>
        <v/>
      </c>
      <c r="BI52" s="188" t="str">
        <f>IF(ISERROR(getgrade(Broadsheet!BI52,data!$H$4:$I$9)),"#",getgrade(Broadsheet!BI52,data!$H$4:$I$9))</f>
        <v/>
      </c>
      <c r="BJ52" s="188" t="str">
        <f>IF(ISERROR(getgrade(Broadsheet!BJ52,data!$H$4:$I$9)),"#",getgrade(Broadsheet!BJ52,data!$H$4:$I$9))</f>
        <v/>
      </c>
      <c r="BK52" s="188"/>
      <c r="BL52" s="188"/>
      <c r="BM52" s="188"/>
      <c r="BN52" s="188"/>
      <c r="BO52" s="188"/>
      <c r="BP52" s="188"/>
      <c r="BQ52" s="188"/>
      <c r="BR52" s="188"/>
      <c r="BS52" s="188"/>
      <c r="BT52" s="188"/>
      <c r="BU52" s="188"/>
      <c r="BV52" s="188"/>
      <c r="BW52" s="188"/>
      <c r="BX52" s="188"/>
      <c r="BY52" s="188"/>
      <c r="BZ52" s="188"/>
      <c r="CA52" s="188"/>
      <c r="CB52" s="188"/>
      <c r="CC52" s="188"/>
      <c r="CD52" s="188"/>
      <c r="CE52" s="188"/>
      <c r="CF52" s="188"/>
      <c r="CG52" s="188"/>
      <c r="CH52" s="188"/>
      <c r="CI52" s="188"/>
      <c r="CJ52" s="188"/>
      <c r="CK52" s="188"/>
      <c r="CL52" s="188"/>
      <c r="CM52" s="188"/>
      <c r="CN52" s="188"/>
      <c r="CO52" s="188"/>
      <c r="CP52" s="188"/>
      <c r="CQ52" s="188"/>
      <c r="CR52" s="188"/>
      <c r="CS52" s="188"/>
      <c r="CT52" s="188"/>
      <c r="CU52" s="188"/>
      <c r="CV52" s="188"/>
      <c r="CW52" s="188"/>
      <c r="CX52" s="188"/>
      <c r="CY52" s="188"/>
      <c r="CZ52" s="188"/>
      <c r="DA52" s="188"/>
      <c r="DB52" s="188"/>
      <c r="DC52" s="188"/>
      <c r="DD52" s="188"/>
      <c r="DE52" s="188"/>
      <c r="DF52" s="188"/>
      <c r="DG52" s="188"/>
      <c r="DH52" s="188"/>
      <c r="DI52" s="188"/>
      <c r="DJ52" s="188"/>
      <c r="DK52" s="188"/>
      <c r="DL52" s="188"/>
      <c r="DM52" s="188"/>
      <c r="DN52" s="188"/>
      <c r="DO52" s="188"/>
      <c r="DP52" s="188"/>
      <c r="DQ52" s="188"/>
      <c r="DR52" s="188"/>
      <c r="DS52" s="188"/>
      <c r="DT52" s="188"/>
      <c r="DU52" s="188"/>
      <c r="DV52" s="188"/>
      <c r="DW52" s="188"/>
      <c r="DX52" s="188"/>
      <c r="DY52" s="188"/>
      <c r="DZ52" s="188"/>
      <c r="EA52" s="188"/>
    </row>
    <row r="53" spans="1:131" ht="15.75" x14ac:dyDescent="0.25">
      <c r="A53" s="12">
        <f>Broadsheet!A53</f>
        <v>0</v>
      </c>
      <c r="B53" s="204" t="str">
        <f>IF(Broadsheet!B53="","",Broadsheet!B53)</f>
        <v/>
      </c>
      <c r="C53" s="24" t="str">
        <f>IF(Broadsheet!C53="","",Broadsheet!C53)</f>
        <v xml:space="preserve"> </v>
      </c>
      <c r="D53" s="24"/>
      <c r="E53" s="24"/>
      <c r="F53" s="24"/>
      <c r="G53" s="24" t="str">
        <f t="shared" si="0"/>
        <v/>
      </c>
      <c r="H53" s="188" t="str">
        <f>IF(ISERROR(getgrade(Broadsheet!H53,data!$H$4:$I$9)),"#",getgrade(Broadsheet!H53,data!$H$4:$I$9))</f>
        <v/>
      </c>
      <c r="I53" s="188" t="str">
        <f>IF(ISERROR(getgrade(Broadsheet!I53,data!$H$4:$I$9)),"#",getgrade(Broadsheet!I53,data!$H$4:$I$9))</f>
        <v/>
      </c>
      <c r="J53" s="188" t="str">
        <f>IF(ISERROR(getgrade(Broadsheet!J53,data!$H$4:$I$9)),"#",getgrade(Broadsheet!J53,data!$H$4:$I$9))</f>
        <v/>
      </c>
      <c r="K53" s="188" t="str">
        <f>IF(ISERROR(getgrade(Broadsheet!K53,data!$H$4:$I$9)),"#",getgrade(Broadsheet!K53,data!$H$4:$I$9))</f>
        <v/>
      </c>
      <c r="L53" s="188" t="str">
        <f>IF(ISERROR(getgrade(Broadsheet!L53,data!$H$4:$I$9)),"#",getgrade(Broadsheet!L53,data!$H$4:$I$9))</f>
        <v/>
      </c>
      <c r="M53" s="188" t="str">
        <f>IF(ISERROR(getgrade(Broadsheet!M53,data!$H$4:$I$9)),"#",getgrade(Broadsheet!M53,data!$H$4:$I$9))</f>
        <v/>
      </c>
      <c r="N53" s="188" t="str">
        <f>IF(ISERROR(getgrade(Broadsheet!N53,data!$H$4:$I$9)),"#",getgrade(Broadsheet!N53,data!$H$4:$I$9))</f>
        <v/>
      </c>
      <c r="O53" s="188" t="str">
        <f>IF(ISERROR(getgrade(Broadsheet!O53,data!$H$4:$I$9)),"#",getgrade(Broadsheet!O53,data!$H$4:$I$9))</f>
        <v/>
      </c>
      <c r="P53" s="188" t="str">
        <f>IF(ISERROR(getgrade(Broadsheet!P53,data!$H$4:$I$9)),"#",getgrade(Broadsheet!P53,data!$H$4:$I$9))</f>
        <v/>
      </c>
      <c r="Q53" s="188" t="str">
        <f>IF(ISERROR(getgrade(Broadsheet!Q53,data!$H$4:$I$9)),"#",getgrade(Broadsheet!Q53,data!$H$4:$I$9))</f>
        <v/>
      </c>
      <c r="R53" s="188" t="str">
        <f>IF(ISERROR(getgrade(Broadsheet!R53,data!$H$4:$I$9)),"#",getgrade(Broadsheet!R53,data!$H$4:$I$9))</f>
        <v/>
      </c>
      <c r="S53" s="188" t="str">
        <f>IF(ISERROR(getgrade(Broadsheet!S53,data!$H$4:$I$9)),"#",getgrade(Broadsheet!S53,data!$H$4:$I$9))</f>
        <v/>
      </c>
      <c r="T53" s="188" t="str">
        <f>IF(ISERROR(getgrade(Broadsheet!T53,data!$H$4:$I$9)),"#",getgrade(Broadsheet!T53,data!$H$4:$I$9))</f>
        <v/>
      </c>
      <c r="U53" s="188" t="str">
        <f>IF(ISERROR(getgrade(Broadsheet!U53,data!$H$4:$I$9)),"#",getgrade(Broadsheet!U53,data!$H$4:$I$9))</f>
        <v/>
      </c>
      <c r="V53" s="188" t="str">
        <f>IF(ISERROR(getgrade(Broadsheet!V53,data!$H$4:$I$9)),"#",getgrade(Broadsheet!V53,data!$H$4:$I$9))</f>
        <v/>
      </c>
      <c r="W53" s="188" t="str">
        <f>IF(ISERROR(getgrade(Broadsheet!W53,data!$H$4:$I$9)),"#",getgrade(Broadsheet!W53,data!$H$4:$I$9))</f>
        <v/>
      </c>
      <c r="X53" s="188" t="str">
        <f>IF(ISERROR(getgrade(Broadsheet!X53,data!$H$4:$I$9)),"#",getgrade(Broadsheet!X53,data!$H$4:$I$9))</f>
        <v/>
      </c>
      <c r="Y53" s="188" t="str">
        <f>IF(ISERROR(getgrade(Broadsheet!Y53,data!$H$4:$I$9)),"#",getgrade(Broadsheet!Y53,data!$H$4:$I$9))</f>
        <v/>
      </c>
      <c r="Z53" s="188" t="str">
        <f>IF(ISERROR(getgrade(Broadsheet!Z53,data!$H$4:$I$9)),"#",getgrade(Broadsheet!Z53,data!$H$4:$I$9))</f>
        <v/>
      </c>
      <c r="AA53" s="188" t="str">
        <f>IF(ISERROR(getgrade(Broadsheet!AA53,data!$H$4:$I$9)),"#",getgrade(Broadsheet!AA53,data!$H$4:$I$9))</f>
        <v/>
      </c>
      <c r="AB53" s="188" t="str">
        <f>IF(ISERROR(getgrade(Broadsheet!AB53,data!$H$4:$I$9)),"#",getgrade(Broadsheet!AB53,data!$H$4:$I$9))</f>
        <v/>
      </c>
      <c r="AC53" s="188" t="str">
        <f>IF(ISERROR(getgrade(Broadsheet!AC53,data!$H$4:$I$9)),"#",getgrade(Broadsheet!AC53,data!$H$4:$I$9))</f>
        <v/>
      </c>
      <c r="AD53" s="188" t="str">
        <f>IF(ISERROR(getgrade(Broadsheet!AD53,data!$H$4:$I$9)),"#",getgrade(Broadsheet!AD53,data!$H$4:$I$9))</f>
        <v/>
      </c>
      <c r="AE53" s="188" t="str">
        <f>IF(ISERROR(getgrade(Broadsheet!AE53,data!$H$4:$I$9)),"#",getgrade(Broadsheet!AE53,data!$H$4:$I$9))</f>
        <v/>
      </c>
      <c r="AF53" s="188" t="str">
        <f>IF(ISERROR(getgrade(Broadsheet!AF53,data!$H$4:$I$9)),"#",getgrade(Broadsheet!AF53,data!$H$4:$I$9))</f>
        <v/>
      </c>
      <c r="AG53" s="188" t="str">
        <f>IF(ISERROR(getgrade(Broadsheet!AG53,data!$H$4:$I$9)),"#",getgrade(Broadsheet!AG53,data!$H$4:$I$9))</f>
        <v/>
      </c>
      <c r="AH53" s="188" t="str">
        <f>IF(ISERROR(getgrade(Broadsheet!AH53,data!$H$4:$I$9)),"#",getgrade(Broadsheet!AH53,data!$H$4:$I$9))</f>
        <v/>
      </c>
      <c r="AI53" s="188" t="str">
        <f>IF(ISERROR(getgrade(Broadsheet!AI53,data!$H$4:$I$9)),"#",getgrade(Broadsheet!AI53,data!$H$4:$I$9))</f>
        <v/>
      </c>
      <c r="AJ53" s="188" t="str">
        <f>IF(ISERROR(getgrade(Broadsheet!AJ53,data!$H$4:$I$9)),"#",getgrade(Broadsheet!AJ53,data!$H$4:$I$9))</f>
        <v/>
      </c>
      <c r="AK53" s="188" t="str">
        <f>IF(ISERROR(getgrade(Broadsheet!AK53,data!$H$4:$I$9)),"#",getgrade(Broadsheet!AK53,data!$H$4:$I$9))</f>
        <v/>
      </c>
      <c r="AL53" s="188" t="str">
        <f>IF(ISERROR(getgrade(Broadsheet!AL53,data!$H$4:$I$9)),"#",getgrade(Broadsheet!AL53,data!$H$4:$I$9))</f>
        <v/>
      </c>
      <c r="AM53" s="188" t="str">
        <f>IF(ISERROR(getgrade(Broadsheet!AM53,data!$H$4:$I$9)),"#",getgrade(Broadsheet!AM53,data!$H$4:$I$9))</f>
        <v/>
      </c>
      <c r="AN53" s="188" t="str">
        <f>IF(ISERROR(getgrade(Broadsheet!AN53,data!$H$4:$I$9)),"#",getgrade(Broadsheet!AN53,data!$H$4:$I$9))</f>
        <v/>
      </c>
      <c r="AO53" s="188" t="str">
        <f>IF(ISERROR(getgrade(Broadsheet!AO53,data!$H$4:$I$9)),"#",getgrade(Broadsheet!AO53,data!$H$4:$I$9))</f>
        <v/>
      </c>
      <c r="AP53" s="188" t="str">
        <f>IF(ISERROR(getgrade(Broadsheet!AP53,data!$H$4:$I$9)),"#",getgrade(Broadsheet!AP53,data!$H$4:$I$9))</f>
        <v/>
      </c>
      <c r="AQ53" s="188" t="str">
        <f>IF(ISERROR(getgrade(Broadsheet!AQ53,data!$H$4:$I$9)),"#",getgrade(Broadsheet!AQ53,data!$H$4:$I$9))</f>
        <v/>
      </c>
      <c r="AR53" s="188" t="str">
        <f>IF(ISERROR(getgrade(Broadsheet!AR53,data!$H$4:$I$9)),"#",getgrade(Broadsheet!AR53,data!$H$4:$I$9))</f>
        <v/>
      </c>
      <c r="AS53" s="188" t="str">
        <f>IF(ISERROR(getgrade(Broadsheet!AS53,data!$H$4:$I$9)),"#",getgrade(Broadsheet!AS53,data!$H$4:$I$9))</f>
        <v/>
      </c>
      <c r="AT53" s="188" t="str">
        <f>IF(ISERROR(getgrade(Broadsheet!AT53,data!$H$4:$I$9)),"#",getgrade(Broadsheet!AT53,data!$H$4:$I$9))</f>
        <v/>
      </c>
      <c r="AU53" s="188" t="str">
        <f>IF(ISERROR(getgrade(Broadsheet!AU53,data!$H$4:$I$9)),"#",getgrade(Broadsheet!AU53,data!$H$4:$I$9))</f>
        <v/>
      </c>
      <c r="AV53" s="188" t="str">
        <f>IF(ISERROR(getgrade(Broadsheet!AV53,data!$H$4:$I$9)),"#",getgrade(Broadsheet!AV53,data!$H$4:$I$9))</f>
        <v/>
      </c>
      <c r="AW53" s="188" t="str">
        <f>IF(ISERROR(getgrade(Broadsheet!AW53,data!$H$4:$I$9)),"#",getgrade(Broadsheet!AW53,data!$H$4:$I$9))</f>
        <v/>
      </c>
      <c r="AX53" s="188" t="str">
        <f>IF(ISERROR(getgrade(Broadsheet!AX53,data!$H$4:$I$9)),"#",getgrade(Broadsheet!AX53,data!$H$4:$I$9))</f>
        <v/>
      </c>
      <c r="AY53" s="188" t="str">
        <f>IF(ISERROR(getgrade(Broadsheet!AY53,data!$H$4:$I$9)),"#",getgrade(Broadsheet!AY53,data!$H$4:$I$9))</f>
        <v/>
      </c>
      <c r="AZ53" s="188" t="str">
        <f>IF(ISERROR(getgrade(Broadsheet!AZ53,data!$H$4:$I$9)),"#",getgrade(Broadsheet!AZ53,data!$H$4:$I$9))</f>
        <v/>
      </c>
      <c r="BA53" s="188" t="str">
        <f>IF(ISERROR(getgrade(Broadsheet!BA53,data!$H$4:$I$9)),"#",getgrade(Broadsheet!BA53,data!$H$4:$I$9))</f>
        <v/>
      </c>
      <c r="BB53" s="188" t="str">
        <f>IF(ISERROR(getgrade(Broadsheet!BB53,data!$H$4:$I$9)),"#",getgrade(Broadsheet!BB53,data!$H$4:$I$9))</f>
        <v/>
      </c>
      <c r="BC53" s="188" t="str">
        <f>IF(ISERROR(getgrade(Broadsheet!BC53,data!$H$4:$I$9)),"#",getgrade(Broadsheet!BC53,data!$H$4:$I$9))</f>
        <v/>
      </c>
      <c r="BD53" s="188" t="str">
        <f>IF(ISERROR(getgrade(Broadsheet!BD53,data!$H$4:$I$9)),"#",getgrade(Broadsheet!BD53,data!$H$4:$I$9))</f>
        <v/>
      </c>
      <c r="BE53" s="188" t="str">
        <f>IF(ISERROR(getgrade(Broadsheet!BE53,data!$H$4:$I$9)),"#",getgrade(Broadsheet!BE53,data!$H$4:$I$9))</f>
        <v/>
      </c>
      <c r="BF53" s="188" t="str">
        <f>IF(ISERROR(getgrade(Broadsheet!BF53,data!$H$4:$I$9)),"#",getgrade(Broadsheet!BF53,data!$H$4:$I$9))</f>
        <v/>
      </c>
      <c r="BG53" s="188" t="str">
        <f>IF(ISERROR(getgrade(Broadsheet!BG53,data!$H$4:$I$9)),"#",getgrade(Broadsheet!BG53,data!$H$4:$I$9))</f>
        <v/>
      </c>
      <c r="BH53" s="188" t="str">
        <f>IF(ISERROR(getgrade(Broadsheet!BH53,data!$H$4:$I$9)),"#",getgrade(Broadsheet!BH53,data!$H$4:$I$9))</f>
        <v/>
      </c>
      <c r="BI53" s="188" t="str">
        <f>IF(ISERROR(getgrade(Broadsheet!BI53,data!$H$4:$I$9)),"#",getgrade(Broadsheet!BI53,data!$H$4:$I$9))</f>
        <v/>
      </c>
      <c r="BJ53" s="188" t="str">
        <f>IF(ISERROR(getgrade(Broadsheet!BJ53,data!$H$4:$I$9)),"#",getgrade(Broadsheet!BJ53,data!$H$4:$I$9))</f>
        <v/>
      </c>
      <c r="BK53" s="188"/>
      <c r="BL53" s="188"/>
      <c r="BM53" s="188"/>
      <c r="BN53" s="188"/>
      <c r="BO53" s="188"/>
      <c r="BP53" s="188"/>
      <c r="BQ53" s="188"/>
      <c r="BR53" s="188"/>
      <c r="BS53" s="188"/>
      <c r="BT53" s="188"/>
      <c r="BU53" s="188"/>
      <c r="BV53" s="188"/>
      <c r="BW53" s="188"/>
      <c r="BX53" s="188"/>
      <c r="BY53" s="188"/>
      <c r="BZ53" s="188"/>
      <c r="CA53" s="188"/>
      <c r="CB53" s="188"/>
      <c r="CC53" s="188"/>
      <c r="CD53" s="188"/>
      <c r="CE53" s="188"/>
      <c r="CF53" s="188"/>
      <c r="CG53" s="188"/>
      <c r="CH53" s="188"/>
      <c r="CI53" s="188"/>
      <c r="CJ53" s="188"/>
      <c r="CK53" s="188"/>
      <c r="CL53" s="188"/>
      <c r="CM53" s="188"/>
      <c r="CN53" s="188"/>
      <c r="CO53" s="188"/>
      <c r="CP53" s="188"/>
      <c r="CQ53" s="188"/>
      <c r="CR53" s="188"/>
      <c r="CS53" s="188"/>
      <c r="CT53" s="188"/>
      <c r="CU53" s="188"/>
      <c r="CV53" s="188"/>
      <c r="CW53" s="188"/>
      <c r="CX53" s="188"/>
      <c r="CY53" s="188"/>
      <c r="CZ53" s="188"/>
      <c r="DA53" s="188"/>
      <c r="DB53" s="188"/>
      <c r="DC53" s="188"/>
      <c r="DD53" s="188"/>
      <c r="DE53" s="188"/>
      <c r="DF53" s="188"/>
      <c r="DG53" s="188"/>
      <c r="DH53" s="188"/>
      <c r="DI53" s="188"/>
      <c r="DJ53" s="188"/>
      <c r="DK53" s="188"/>
      <c r="DL53" s="188"/>
      <c r="DM53" s="188"/>
      <c r="DN53" s="188"/>
      <c r="DO53" s="188"/>
      <c r="DP53" s="188"/>
      <c r="DQ53" s="188"/>
      <c r="DR53" s="188"/>
      <c r="DS53" s="188"/>
      <c r="DT53" s="188"/>
      <c r="DU53" s="188"/>
      <c r="DV53" s="188"/>
      <c r="DW53" s="188"/>
      <c r="DX53" s="188"/>
      <c r="DY53" s="188"/>
      <c r="DZ53" s="188"/>
      <c r="EA53" s="188"/>
    </row>
    <row r="54" spans="1:131" ht="15.75" x14ac:dyDescent="0.25">
      <c r="A54" s="12">
        <f>Broadsheet!A54</f>
        <v>0</v>
      </c>
      <c r="B54" s="204" t="str">
        <f>IF(Broadsheet!B54="","",Broadsheet!B54)</f>
        <v/>
      </c>
      <c r="C54" s="24" t="str">
        <f>IF(Broadsheet!C54="","",Broadsheet!C54)</f>
        <v xml:space="preserve"> </v>
      </c>
      <c r="D54" s="24"/>
      <c r="E54" s="24"/>
      <c r="F54" s="24"/>
      <c r="G54" s="24" t="str">
        <f t="shared" si="0"/>
        <v/>
      </c>
      <c r="H54" s="188" t="str">
        <f>IF(ISERROR(getgrade(Broadsheet!H54,data!$H$4:$I$9)),"#",getgrade(Broadsheet!H54,data!$H$4:$I$9))</f>
        <v/>
      </c>
      <c r="I54" s="188" t="str">
        <f>IF(ISERROR(getgrade(Broadsheet!I54,data!$H$4:$I$9)),"#",getgrade(Broadsheet!I54,data!$H$4:$I$9))</f>
        <v/>
      </c>
      <c r="J54" s="188" t="str">
        <f>IF(ISERROR(getgrade(Broadsheet!J54,data!$H$4:$I$9)),"#",getgrade(Broadsheet!J54,data!$H$4:$I$9))</f>
        <v/>
      </c>
      <c r="K54" s="188" t="str">
        <f>IF(ISERROR(getgrade(Broadsheet!K54,data!$H$4:$I$9)),"#",getgrade(Broadsheet!K54,data!$H$4:$I$9))</f>
        <v/>
      </c>
      <c r="L54" s="188" t="str">
        <f>IF(ISERROR(getgrade(Broadsheet!L54,data!$H$4:$I$9)),"#",getgrade(Broadsheet!L54,data!$H$4:$I$9))</f>
        <v/>
      </c>
      <c r="M54" s="188" t="str">
        <f>IF(ISERROR(getgrade(Broadsheet!M54,data!$H$4:$I$9)),"#",getgrade(Broadsheet!M54,data!$H$4:$I$9))</f>
        <v/>
      </c>
      <c r="N54" s="188" t="str">
        <f>IF(ISERROR(getgrade(Broadsheet!N54,data!$H$4:$I$9)),"#",getgrade(Broadsheet!N54,data!$H$4:$I$9))</f>
        <v/>
      </c>
      <c r="O54" s="188" t="str">
        <f>IF(ISERROR(getgrade(Broadsheet!O54,data!$H$4:$I$9)),"#",getgrade(Broadsheet!O54,data!$H$4:$I$9))</f>
        <v/>
      </c>
      <c r="P54" s="188" t="str">
        <f>IF(ISERROR(getgrade(Broadsheet!P54,data!$H$4:$I$9)),"#",getgrade(Broadsheet!P54,data!$H$4:$I$9))</f>
        <v/>
      </c>
      <c r="Q54" s="188" t="str">
        <f>IF(ISERROR(getgrade(Broadsheet!Q54,data!$H$4:$I$9)),"#",getgrade(Broadsheet!Q54,data!$H$4:$I$9))</f>
        <v/>
      </c>
      <c r="R54" s="188" t="str">
        <f>IF(ISERROR(getgrade(Broadsheet!R54,data!$H$4:$I$9)),"#",getgrade(Broadsheet!R54,data!$H$4:$I$9))</f>
        <v/>
      </c>
      <c r="S54" s="188" t="str">
        <f>IF(ISERROR(getgrade(Broadsheet!S54,data!$H$4:$I$9)),"#",getgrade(Broadsheet!S54,data!$H$4:$I$9))</f>
        <v/>
      </c>
      <c r="T54" s="188" t="str">
        <f>IF(ISERROR(getgrade(Broadsheet!T54,data!$H$4:$I$9)),"#",getgrade(Broadsheet!T54,data!$H$4:$I$9))</f>
        <v/>
      </c>
      <c r="U54" s="188" t="str">
        <f>IF(ISERROR(getgrade(Broadsheet!U54,data!$H$4:$I$9)),"#",getgrade(Broadsheet!U54,data!$H$4:$I$9))</f>
        <v/>
      </c>
      <c r="V54" s="188" t="str">
        <f>IF(ISERROR(getgrade(Broadsheet!V54,data!$H$4:$I$9)),"#",getgrade(Broadsheet!V54,data!$H$4:$I$9))</f>
        <v/>
      </c>
      <c r="W54" s="188" t="str">
        <f>IF(ISERROR(getgrade(Broadsheet!W54,data!$H$4:$I$9)),"#",getgrade(Broadsheet!W54,data!$H$4:$I$9))</f>
        <v/>
      </c>
      <c r="X54" s="188" t="str">
        <f>IF(ISERROR(getgrade(Broadsheet!X54,data!$H$4:$I$9)),"#",getgrade(Broadsheet!X54,data!$H$4:$I$9))</f>
        <v/>
      </c>
      <c r="Y54" s="188" t="str">
        <f>IF(ISERROR(getgrade(Broadsheet!Y54,data!$H$4:$I$9)),"#",getgrade(Broadsheet!Y54,data!$H$4:$I$9))</f>
        <v/>
      </c>
      <c r="Z54" s="188" t="str">
        <f>IF(ISERROR(getgrade(Broadsheet!Z54,data!$H$4:$I$9)),"#",getgrade(Broadsheet!Z54,data!$H$4:$I$9))</f>
        <v/>
      </c>
      <c r="AA54" s="188" t="str">
        <f>IF(ISERROR(getgrade(Broadsheet!AA54,data!$H$4:$I$9)),"#",getgrade(Broadsheet!AA54,data!$H$4:$I$9))</f>
        <v/>
      </c>
      <c r="AB54" s="188" t="str">
        <f>IF(ISERROR(getgrade(Broadsheet!AB54,data!$H$4:$I$9)),"#",getgrade(Broadsheet!AB54,data!$H$4:$I$9))</f>
        <v/>
      </c>
      <c r="AC54" s="188" t="str">
        <f>IF(ISERROR(getgrade(Broadsheet!AC54,data!$H$4:$I$9)),"#",getgrade(Broadsheet!AC54,data!$H$4:$I$9))</f>
        <v/>
      </c>
      <c r="AD54" s="188" t="str">
        <f>IF(ISERROR(getgrade(Broadsheet!AD54,data!$H$4:$I$9)),"#",getgrade(Broadsheet!AD54,data!$H$4:$I$9))</f>
        <v/>
      </c>
      <c r="AE54" s="188" t="str">
        <f>IF(ISERROR(getgrade(Broadsheet!AE54,data!$H$4:$I$9)),"#",getgrade(Broadsheet!AE54,data!$H$4:$I$9))</f>
        <v/>
      </c>
      <c r="AF54" s="188" t="str">
        <f>IF(ISERROR(getgrade(Broadsheet!AF54,data!$H$4:$I$9)),"#",getgrade(Broadsheet!AF54,data!$H$4:$I$9))</f>
        <v/>
      </c>
      <c r="AG54" s="188" t="str">
        <f>IF(ISERROR(getgrade(Broadsheet!AG54,data!$H$4:$I$9)),"#",getgrade(Broadsheet!AG54,data!$H$4:$I$9))</f>
        <v/>
      </c>
      <c r="AH54" s="188" t="str">
        <f>IF(ISERROR(getgrade(Broadsheet!AH54,data!$H$4:$I$9)),"#",getgrade(Broadsheet!AH54,data!$H$4:$I$9))</f>
        <v/>
      </c>
      <c r="AI54" s="188" t="str">
        <f>IF(ISERROR(getgrade(Broadsheet!AI54,data!$H$4:$I$9)),"#",getgrade(Broadsheet!AI54,data!$H$4:$I$9))</f>
        <v/>
      </c>
      <c r="AJ54" s="188" t="str">
        <f>IF(ISERROR(getgrade(Broadsheet!AJ54,data!$H$4:$I$9)),"#",getgrade(Broadsheet!AJ54,data!$H$4:$I$9))</f>
        <v/>
      </c>
      <c r="AK54" s="188" t="str">
        <f>IF(ISERROR(getgrade(Broadsheet!AK54,data!$H$4:$I$9)),"#",getgrade(Broadsheet!AK54,data!$H$4:$I$9))</f>
        <v/>
      </c>
      <c r="AL54" s="188" t="str">
        <f>IF(ISERROR(getgrade(Broadsheet!AL54,data!$H$4:$I$9)),"#",getgrade(Broadsheet!AL54,data!$H$4:$I$9))</f>
        <v/>
      </c>
      <c r="AM54" s="188" t="str">
        <f>IF(ISERROR(getgrade(Broadsheet!AM54,data!$H$4:$I$9)),"#",getgrade(Broadsheet!AM54,data!$H$4:$I$9))</f>
        <v/>
      </c>
      <c r="AN54" s="188" t="str">
        <f>IF(ISERROR(getgrade(Broadsheet!AN54,data!$H$4:$I$9)),"#",getgrade(Broadsheet!AN54,data!$H$4:$I$9))</f>
        <v/>
      </c>
      <c r="AO54" s="188" t="str">
        <f>IF(ISERROR(getgrade(Broadsheet!AO54,data!$H$4:$I$9)),"#",getgrade(Broadsheet!AO54,data!$H$4:$I$9))</f>
        <v/>
      </c>
      <c r="AP54" s="188" t="str">
        <f>IF(ISERROR(getgrade(Broadsheet!AP54,data!$H$4:$I$9)),"#",getgrade(Broadsheet!AP54,data!$H$4:$I$9))</f>
        <v/>
      </c>
      <c r="AQ54" s="188" t="str">
        <f>IF(ISERROR(getgrade(Broadsheet!AQ54,data!$H$4:$I$9)),"#",getgrade(Broadsheet!AQ54,data!$H$4:$I$9))</f>
        <v/>
      </c>
      <c r="AR54" s="188" t="str">
        <f>IF(ISERROR(getgrade(Broadsheet!AR54,data!$H$4:$I$9)),"#",getgrade(Broadsheet!AR54,data!$H$4:$I$9))</f>
        <v/>
      </c>
      <c r="AS54" s="188" t="str">
        <f>IF(ISERROR(getgrade(Broadsheet!AS54,data!$H$4:$I$9)),"#",getgrade(Broadsheet!AS54,data!$H$4:$I$9))</f>
        <v/>
      </c>
      <c r="AT54" s="188" t="str">
        <f>IF(ISERROR(getgrade(Broadsheet!AT54,data!$H$4:$I$9)),"#",getgrade(Broadsheet!AT54,data!$H$4:$I$9))</f>
        <v/>
      </c>
      <c r="AU54" s="188" t="str">
        <f>IF(ISERROR(getgrade(Broadsheet!AU54,data!$H$4:$I$9)),"#",getgrade(Broadsheet!AU54,data!$H$4:$I$9))</f>
        <v/>
      </c>
      <c r="AV54" s="188" t="str">
        <f>IF(ISERROR(getgrade(Broadsheet!AV54,data!$H$4:$I$9)),"#",getgrade(Broadsheet!AV54,data!$H$4:$I$9))</f>
        <v/>
      </c>
      <c r="AW54" s="188" t="str">
        <f>IF(ISERROR(getgrade(Broadsheet!AW54,data!$H$4:$I$9)),"#",getgrade(Broadsheet!AW54,data!$H$4:$I$9))</f>
        <v/>
      </c>
      <c r="AX54" s="188" t="str">
        <f>IF(ISERROR(getgrade(Broadsheet!AX54,data!$H$4:$I$9)),"#",getgrade(Broadsheet!AX54,data!$H$4:$I$9))</f>
        <v/>
      </c>
      <c r="AY54" s="188" t="str">
        <f>IF(ISERROR(getgrade(Broadsheet!AY54,data!$H$4:$I$9)),"#",getgrade(Broadsheet!AY54,data!$H$4:$I$9))</f>
        <v/>
      </c>
      <c r="AZ54" s="188" t="str">
        <f>IF(ISERROR(getgrade(Broadsheet!AZ54,data!$H$4:$I$9)),"#",getgrade(Broadsheet!AZ54,data!$H$4:$I$9))</f>
        <v/>
      </c>
      <c r="BA54" s="188" t="str">
        <f>IF(ISERROR(getgrade(Broadsheet!BA54,data!$H$4:$I$9)),"#",getgrade(Broadsheet!BA54,data!$H$4:$I$9))</f>
        <v/>
      </c>
      <c r="BB54" s="188" t="str">
        <f>IF(ISERROR(getgrade(Broadsheet!BB54,data!$H$4:$I$9)),"#",getgrade(Broadsheet!BB54,data!$H$4:$I$9))</f>
        <v/>
      </c>
      <c r="BC54" s="188" t="str">
        <f>IF(ISERROR(getgrade(Broadsheet!BC54,data!$H$4:$I$9)),"#",getgrade(Broadsheet!BC54,data!$H$4:$I$9))</f>
        <v/>
      </c>
      <c r="BD54" s="188" t="str">
        <f>IF(ISERROR(getgrade(Broadsheet!BD54,data!$H$4:$I$9)),"#",getgrade(Broadsheet!BD54,data!$H$4:$I$9))</f>
        <v/>
      </c>
      <c r="BE54" s="188" t="str">
        <f>IF(ISERROR(getgrade(Broadsheet!BE54,data!$H$4:$I$9)),"#",getgrade(Broadsheet!BE54,data!$H$4:$I$9))</f>
        <v/>
      </c>
      <c r="BF54" s="188" t="str">
        <f>IF(ISERROR(getgrade(Broadsheet!BF54,data!$H$4:$I$9)),"#",getgrade(Broadsheet!BF54,data!$H$4:$I$9))</f>
        <v/>
      </c>
      <c r="BG54" s="188" t="str">
        <f>IF(ISERROR(getgrade(Broadsheet!BG54,data!$H$4:$I$9)),"#",getgrade(Broadsheet!BG54,data!$H$4:$I$9))</f>
        <v/>
      </c>
      <c r="BH54" s="188" t="str">
        <f>IF(ISERROR(getgrade(Broadsheet!BH54,data!$H$4:$I$9)),"#",getgrade(Broadsheet!BH54,data!$H$4:$I$9))</f>
        <v/>
      </c>
      <c r="BI54" s="188" t="str">
        <f>IF(ISERROR(getgrade(Broadsheet!BI54,data!$H$4:$I$9)),"#",getgrade(Broadsheet!BI54,data!$H$4:$I$9))</f>
        <v/>
      </c>
      <c r="BJ54" s="188" t="str">
        <f>IF(ISERROR(getgrade(Broadsheet!BJ54,data!$H$4:$I$9)),"#",getgrade(Broadsheet!BJ54,data!$H$4:$I$9))</f>
        <v/>
      </c>
      <c r="BK54" s="188"/>
      <c r="BL54" s="188"/>
      <c r="BM54" s="188"/>
      <c r="BN54" s="188"/>
      <c r="BO54" s="188"/>
      <c r="BP54" s="188"/>
      <c r="BQ54" s="188"/>
      <c r="BR54" s="188"/>
      <c r="BS54" s="188"/>
      <c r="BT54" s="188"/>
      <c r="BU54" s="188"/>
      <c r="BV54" s="188"/>
      <c r="BW54" s="188"/>
      <c r="BX54" s="188"/>
      <c r="BY54" s="188"/>
      <c r="BZ54" s="188"/>
      <c r="CA54" s="188"/>
      <c r="CB54" s="188"/>
      <c r="CC54" s="188"/>
      <c r="CD54" s="188"/>
      <c r="CE54" s="188"/>
      <c r="CF54" s="188"/>
      <c r="CG54" s="188"/>
      <c r="CH54" s="188"/>
      <c r="CI54" s="188"/>
      <c r="CJ54" s="188"/>
      <c r="CK54" s="188"/>
      <c r="CL54" s="188"/>
      <c r="CM54" s="188"/>
      <c r="CN54" s="188"/>
      <c r="CO54" s="188"/>
      <c r="CP54" s="188"/>
      <c r="CQ54" s="188"/>
      <c r="CR54" s="188"/>
      <c r="CS54" s="188"/>
      <c r="CT54" s="188"/>
      <c r="CU54" s="188"/>
      <c r="CV54" s="188"/>
      <c r="CW54" s="188"/>
      <c r="CX54" s="188"/>
      <c r="CY54" s="188"/>
      <c r="CZ54" s="188"/>
      <c r="DA54" s="188"/>
      <c r="DB54" s="188"/>
      <c r="DC54" s="188"/>
      <c r="DD54" s="188"/>
      <c r="DE54" s="188"/>
      <c r="DF54" s="188"/>
      <c r="DG54" s="188"/>
      <c r="DH54" s="188"/>
      <c r="DI54" s="188"/>
      <c r="DJ54" s="188"/>
      <c r="DK54" s="188"/>
      <c r="DL54" s="188"/>
      <c r="DM54" s="188"/>
      <c r="DN54" s="188"/>
      <c r="DO54" s="188"/>
      <c r="DP54" s="188"/>
      <c r="DQ54" s="188"/>
      <c r="DR54" s="188"/>
      <c r="DS54" s="188"/>
      <c r="DT54" s="188"/>
      <c r="DU54" s="188"/>
      <c r="DV54" s="188"/>
      <c r="DW54" s="188"/>
      <c r="DX54" s="188"/>
      <c r="DY54" s="188"/>
      <c r="DZ54" s="188"/>
      <c r="EA54" s="188"/>
    </row>
    <row r="55" spans="1:131" ht="15.75" x14ac:dyDescent="0.25">
      <c r="A55" s="12">
        <f>Broadsheet!A55</f>
        <v>0</v>
      </c>
      <c r="B55" s="204" t="str">
        <f>IF(Broadsheet!B55="","",Broadsheet!B55)</f>
        <v/>
      </c>
      <c r="C55" s="24" t="str">
        <f>IF(Broadsheet!C55="","",Broadsheet!C55)</f>
        <v xml:space="preserve"> </v>
      </c>
      <c r="D55" s="24"/>
      <c r="E55" s="24"/>
      <c r="F55" s="24"/>
      <c r="G55" s="24" t="str">
        <f t="shared" si="0"/>
        <v/>
      </c>
      <c r="H55" s="188" t="str">
        <f>IF(ISERROR(getgrade(Broadsheet!H55,data!$H$4:$I$9)),"#",getgrade(Broadsheet!H55,data!$H$4:$I$9))</f>
        <v/>
      </c>
      <c r="I55" s="188" t="str">
        <f>IF(ISERROR(getgrade(Broadsheet!I55,data!$H$4:$I$9)),"#",getgrade(Broadsheet!I55,data!$H$4:$I$9))</f>
        <v/>
      </c>
      <c r="J55" s="188" t="str">
        <f>IF(ISERROR(getgrade(Broadsheet!J55,data!$H$4:$I$9)),"#",getgrade(Broadsheet!J55,data!$H$4:$I$9))</f>
        <v/>
      </c>
      <c r="K55" s="188" t="str">
        <f>IF(ISERROR(getgrade(Broadsheet!K55,data!$H$4:$I$9)),"#",getgrade(Broadsheet!K55,data!$H$4:$I$9))</f>
        <v/>
      </c>
      <c r="L55" s="188" t="str">
        <f>IF(ISERROR(getgrade(Broadsheet!L55,data!$H$4:$I$9)),"#",getgrade(Broadsheet!L55,data!$H$4:$I$9))</f>
        <v/>
      </c>
      <c r="M55" s="188" t="str">
        <f>IF(ISERROR(getgrade(Broadsheet!M55,data!$H$4:$I$9)),"#",getgrade(Broadsheet!M55,data!$H$4:$I$9))</f>
        <v/>
      </c>
      <c r="N55" s="188" t="str">
        <f>IF(ISERROR(getgrade(Broadsheet!N55,data!$H$4:$I$9)),"#",getgrade(Broadsheet!N55,data!$H$4:$I$9))</f>
        <v/>
      </c>
      <c r="O55" s="188" t="str">
        <f>IF(ISERROR(getgrade(Broadsheet!O55,data!$H$4:$I$9)),"#",getgrade(Broadsheet!O55,data!$H$4:$I$9))</f>
        <v/>
      </c>
      <c r="P55" s="188" t="str">
        <f>IF(ISERROR(getgrade(Broadsheet!P55,data!$H$4:$I$9)),"#",getgrade(Broadsheet!P55,data!$H$4:$I$9))</f>
        <v/>
      </c>
      <c r="Q55" s="188" t="str">
        <f>IF(ISERROR(getgrade(Broadsheet!Q55,data!$H$4:$I$9)),"#",getgrade(Broadsheet!Q55,data!$H$4:$I$9))</f>
        <v/>
      </c>
      <c r="R55" s="188" t="str">
        <f>IF(ISERROR(getgrade(Broadsheet!R55,data!$H$4:$I$9)),"#",getgrade(Broadsheet!R55,data!$H$4:$I$9))</f>
        <v/>
      </c>
      <c r="S55" s="188" t="str">
        <f>IF(ISERROR(getgrade(Broadsheet!S55,data!$H$4:$I$9)),"#",getgrade(Broadsheet!S55,data!$H$4:$I$9))</f>
        <v/>
      </c>
      <c r="T55" s="188" t="str">
        <f>IF(ISERROR(getgrade(Broadsheet!T55,data!$H$4:$I$9)),"#",getgrade(Broadsheet!T55,data!$H$4:$I$9))</f>
        <v/>
      </c>
      <c r="U55" s="188" t="str">
        <f>IF(ISERROR(getgrade(Broadsheet!U55,data!$H$4:$I$9)),"#",getgrade(Broadsheet!U55,data!$H$4:$I$9))</f>
        <v/>
      </c>
      <c r="V55" s="188" t="str">
        <f>IF(ISERROR(getgrade(Broadsheet!V55,data!$H$4:$I$9)),"#",getgrade(Broadsheet!V55,data!$H$4:$I$9))</f>
        <v/>
      </c>
      <c r="W55" s="188" t="str">
        <f>IF(ISERROR(getgrade(Broadsheet!W55,data!$H$4:$I$9)),"#",getgrade(Broadsheet!W55,data!$H$4:$I$9))</f>
        <v/>
      </c>
      <c r="X55" s="188" t="str">
        <f>IF(ISERROR(getgrade(Broadsheet!X55,data!$H$4:$I$9)),"#",getgrade(Broadsheet!X55,data!$H$4:$I$9))</f>
        <v/>
      </c>
      <c r="Y55" s="188" t="str">
        <f>IF(ISERROR(getgrade(Broadsheet!Y55,data!$H$4:$I$9)),"#",getgrade(Broadsheet!Y55,data!$H$4:$I$9))</f>
        <v/>
      </c>
      <c r="Z55" s="188" t="str">
        <f>IF(ISERROR(getgrade(Broadsheet!Z55,data!$H$4:$I$9)),"#",getgrade(Broadsheet!Z55,data!$H$4:$I$9))</f>
        <v/>
      </c>
      <c r="AA55" s="188" t="str">
        <f>IF(ISERROR(getgrade(Broadsheet!AA55,data!$H$4:$I$9)),"#",getgrade(Broadsheet!AA55,data!$H$4:$I$9))</f>
        <v/>
      </c>
      <c r="AB55" s="188" t="str">
        <f>IF(ISERROR(getgrade(Broadsheet!AB55,data!$H$4:$I$9)),"#",getgrade(Broadsheet!AB55,data!$H$4:$I$9))</f>
        <v/>
      </c>
      <c r="AC55" s="188" t="str">
        <f>IF(ISERROR(getgrade(Broadsheet!AC55,data!$H$4:$I$9)),"#",getgrade(Broadsheet!AC55,data!$H$4:$I$9))</f>
        <v/>
      </c>
      <c r="AD55" s="188" t="str">
        <f>IF(ISERROR(getgrade(Broadsheet!AD55,data!$H$4:$I$9)),"#",getgrade(Broadsheet!AD55,data!$H$4:$I$9))</f>
        <v/>
      </c>
      <c r="AE55" s="188" t="str">
        <f>IF(ISERROR(getgrade(Broadsheet!AE55,data!$H$4:$I$9)),"#",getgrade(Broadsheet!AE55,data!$H$4:$I$9))</f>
        <v/>
      </c>
      <c r="AF55" s="188" t="str">
        <f>IF(ISERROR(getgrade(Broadsheet!AF55,data!$H$4:$I$9)),"#",getgrade(Broadsheet!AF55,data!$H$4:$I$9))</f>
        <v/>
      </c>
      <c r="AG55" s="188" t="str">
        <f>IF(ISERROR(getgrade(Broadsheet!AG55,data!$H$4:$I$9)),"#",getgrade(Broadsheet!AG55,data!$H$4:$I$9))</f>
        <v/>
      </c>
      <c r="AH55" s="188" t="str">
        <f>IF(ISERROR(getgrade(Broadsheet!AH55,data!$H$4:$I$9)),"#",getgrade(Broadsheet!AH55,data!$H$4:$I$9))</f>
        <v/>
      </c>
      <c r="AI55" s="188" t="str">
        <f>IF(ISERROR(getgrade(Broadsheet!AI55,data!$H$4:$I$9)),"#",getgrade(Broadsheet!AI55,data!$H$4:$I$9))</f>
        <v/>
      </c>
      <c r="AJ55" s="188" t="str">
        <f>IF(ISERROR(getgrade(Broadsheet!AJ55,data!$H$4:$I$9)),"#",getgrade(Broadsheet!AJ55,data!$H$4:$I$9))</f>
        <v/>
      </c>
      <c r="AK55" s="188" t="str">
        <f>IF(ISERROR(getgrade(Broadsheet!AK55,data!$H$4:$I$9)),"#",getgrade(Broadsheet!AK55,data!$H$4:$I$9))</f>
        <v/>
      </c>
      <c r="AL55" s="188" t="str">
        <f>IF(ISERROR(getgrade(Broadsheet!AL55,data!$H$4:$I$9)),"#",getgrade(Broadsheet!AL55,data!$H$4:$I$9))</f>
        <v/>
      </c>
      <c r="AM55" s="188" t="str">
        <f>IF(ISERROR(getgrade(Broadsheet!AM55,data!$H$4:$I$9)),"#",getgrade(Broadsheet!AM55,data!$H$4:$I$9))</f>
        <v/>
      </c>
      <c r="AN55" s="188" t="str">
        <f>IF(ISERROR(getgrade(Broadsheet!AN55,data!$H$4:$I$9)),"#",getgrade(Broadsheet!AN55,data!$H$4:$I$9))</f>
        <v/>
      </c>
      <c r="AO55" s="188" t="str">
        <f>IF(ISERROR(getgrade(Broadsheet!AO55,data!$H$4:$I$9)),"#",getgrade(Broadsheet!AO55,data!$H$4:$I$9))</f>
        <v/>
      </c>
      <c r="AP55" s="188" t="str">
        <f>IF(ISERROR(getgrade(Broadsheet!AP55,data!$H$4:$I$9)),"#",getgrade(Broadsheet!AP55,data!$H$4:$I$9))</f>
        <v/>
      </c>
      <c r="AQ55" s="188" t="str">
        <f>IF(ISERROR(getgrade(Broadsheet!AQ55,data!$H$4:$I$9)),"#",getgrade(Broadsheet!AQ55,data!$H$4:$I$9))</f>
        <v/>
      </c>
      <c r="AR55" s="188" t="str">
        <f>IF(ISERROR(getgrade(Broadsheet!AR55,data!$H$4:$I$9)),"#",getgrade(Broadsheet!AR55,data!$H$4:$I$9))</f>
        <v/>
      </c>
      <c r="AS55" s="188" t="str">
        <f>IF(ISERROR(getgrade(Broadsheet!AS55,data!$H$4:$I$9)),"#",getgrade(Broadsheet!AS55,data!$H$4:$I$9))</f>
        <v/>
      </c>
      <c r="AT55" s="188" t="str">
        <f>IF(ISERROR(getgrade(Broadsheet!AT55,data!$H$4:$I$9)),"#",getgrade(Broadsheet!AT55,data!$H$4:$I$9))</f>
        <v/>
      </c>
      <c r="AU55" s="188" t="str">
        <f>IF(ISERROR(getgrade(Broadsheet!AU55,data!$H$4:$I$9)),"#",getgrade(Broadsheet!AU55,data!$H$4:$I$9))</f>
        <v/>
      </c>
      <c r="AV55" s="188" t="str">
        <f>IF(ISERROR(getgrade(Broadsheet!AV55,data!$H$4:$I$9)),"#",getgrade(Broadsheet!AV55,data!$H$4:$I$9))</f>
        <v/>
      </c>
      <c r="AW55" s="188" t="str">
        <f>IF(ISERROR(getgrade(Broadsheet!AW55,data!$H$4:$I$9)),"#",getgrade(Broadsheet!AW55,data!$H$4:$I$9))</f>
        <v/>
      </c>
      <c r="AX55" s="188" t="str">
        <f>IF(ISERROR(getgrade(Broadsheet!AX55,data!$H$4:$I$9)),"#",getgrade(Broadsheet!AX55,data!$H$4:$I$9))</f>
        <v/>
      </c>
      <c r="AY55" s="188" t="str">
        <f>IF(ISERROR(getgrade(Broadsheet!AY55,data!$H$4:$I$9)),"#",getgrade(Broadsheet!AY55,data!$H$4:$I$9))</f>
        <v/>
      </c>
      <c r="AZ55" s="188" t="str">
        <f>IF(ISERROR(getgrade(Broadsheet!AZ55,data!$H$4:$I$9)),"#",getgrade(Broadsheet!AZ55,data!$H$4:$I$9))</f>
        <v/>
      </c>
      <c r="BA55" s="188" t="str">
        <f>IF(ISERROR(getgrade(Broadsheet!BA55,data!$H$4:$I$9)),"#",getgrade(Broadsheet!BA55,data!$H$4:$I$9))</f>
        <v/>
      </c>
      <c r="BB55" s="188" t="str">
        <f>IF(ISERROR(getgrade(Broadsheet!BB55,data!$H$4:$I$9)),"#",getgrade(Broadsheet!BB55,data!$H$4:$I$9))</f>
        <v/>
      </c>
      <c r="BC55" s="188" t="str">
        <f>IF(ISERROR(getgrade(Broadsheet!BC55,data!$H$4:$I$9)),"#",getgrade(Broadsheet!BC55,data!$H$4:$I$9))</f>
        <v/>
      </c>
      <c r="BD55" s="188" t="str">
        <f>IF(ISERROR(getgrade(Broadsheet!BD55,data!$H$4:$I$9)),"#",getgrade(Broadsheet!BD55,data!$H$4:$I$9))</f>
        <v/>
      </c>
      <c r="BE55" s="188" t="str">
        <f>IF(ISERROR(getgrade(Broadsheet!BE55,data!$H$4:$I$9)),"#",getgrade(Broadsheet!BE55,data!$H$4:$I$9))</f>
        <v/>
      </c>
      <c r="BF55" s="188" t="str">
        <f>IF(ISERROR(getgrade(Broadsheet!BF55,data!$H$4:$I$9)),"#",getgrade(Broadsheet!BF55,data!$H$4:$I$9))</f>
        <v/>
      </c>
      <c r="BG55" s="188" t="str">
        <f>IF(ISERROR(getgrade(Broadsheet!BG55,data!$H$4:$I$9)),"#",getgrade(Broadsheet!BG55,data!$H$4:$I$9))</f>
        <v/>
      </c>
      <c r="BH55" s="188" t="str">
        <f>IF(ISERROR(getgrade(Broadsheet!BH55,data!$H$4:$I$9)),"#",getgrade(Broadsheet!BH55,data!$H$4:$I$9))</f>
        <v/>
      </c>
      <c r="BI55" s="188" t="str">
        <f>IF(ISERROR(getgrade(Broadsheet!BI55,data!$H$4:$I$9)),"#",getgrade(Broadsheet!BI55,data!$H$4:$I$9))</f>
        <v/>
      </c>
      <c r="BJ55" s="188" t="str">
        <f>IF(ISERROR(getgrade(Broadsheet!BJ55,data!$H$4:$I$9)),"#",getgrade(Broadsheet!BJ55,data!$H$4:$I$9))</f>
        <v/>
      </c>
      <c r="BK55" s="188"/>
      <c r="BL55" s="188"/>
      <c r="BM55" s="188"/>
      <c r="BN55" s="188"/>
      <c r="BO55" s="188"/>
      <c r="BP55" s="188"/>
      <c r="BQ55" s="188"/>
      <c r="BR55" s="188"/>
      <c r="BS55" s="188"/>
      <c r="BT55" s="188"/>
      <c r="BU55" s="188"/>
      <c r="BV55" s="188"/>
      <c r="BW55" s="188"/>
      <c r="BX55" s="188"/>
      <c r="BY55" s="188"/>
      <c r="BZ55" s="188"/>
      <c r="CA55" s="188"/>
      <c r="CB55" s="188"/>
      <c r="CC55" s="188"/>
      <c r="CD55" s="188"/>
      <c r="CE55" s="188"/>
      <c r="CF55" s="188"/>
      <c r="CG55" s="188"/>
      <c r="CH55" s="188"/>
      <c r="CI55" s="188"/>
      <c r="CJ55" s="188"/>
      <c r="CK55" s="188"/>
      <c r="CL55" s="188"/>
      <c r="CM55" s="188"/>
      <c r="CN55" s="188"/>
      <c r="CO55" s="188"/>
      <c r="CP55" s="188"/>
      <c r="CQ55" s="188"/>
      <c r="CR55" s="188"/>
      <c r="CS55" s="188"/>
      <c r="CT55" s="188"/>
      <c r="CU55" s="188"/>
      <c r="CV55" s="188"/>
      <c r="CW55" s="188"/>
      <c r="CX55" s="188"/>
      <c r="CY55" s="188"/>
      <c r="CZ55" s="188"/>
      <c r="DA55" s="188"/>
      <c r="DB55" s="188"/>
      <c r="DC55" s="188"/>
      <c r="DD55" s="188"/>
      <c r="DE55" s="188"/>
      <c r="DF55" s="188"/>
      <c r="DG55" s="188"/>
      <c r="DH55" s="188"/>
      <c r="DI55" s="188"/>
      <c r="DJ55" s="188"/>
      <c r="DK55" s="188"/>
      <c r="DL55" s="188"/>
      <c r="DM55" s="188"/>
      <c r="DN55" s="188"/>
      <c r="DO55" s="188"/>
      <c r="DP55" s="188"/>
      <c r="DQ55" s="188"/>
      <c r="DR55" s="188"/>
      <c r="DS55" s="188"/>
      <c r="DT55" s="188"/>
      <c r="DU55" s="188"/>
      <c r="DV55" s="188"/>
      <c r="DW55" s="188"/>
      <c r="DX55" s="188"/>
      <c r="DY55" s="188"/>
      <c r="DZ55" s="188"/>
      <c r="EA55" s="188"/>
    </row>
    <row r="56" spans="1:131" ht="15.75" x14ac:dyDescent="0.25">
      <c r="A56" s="12">
        <f>Broadsheet!A56</f>
        <v>0</v>
      </c>
      <c r="B56" s="204" t="str">
        <f>IF(Broadsheet!B56="","",Broadsheet!B56)</f>
        <v/>
      </c>
      <c r="C56" s="24" t="str">
        <f>IF(Broadsheet!C56="","",Broadsheet!C56)</f>
        <v xml:space="preserve"> </v>
      </c>
      <c r="D56" s="24"/>
      <c r="E56" s="24"/>
      <c r="F56" s="24"/>
      <c r="G56" s="24" t="str">
        <f t="shared" si="0"/>
        <v/>
      </c>
      <c r="H56" s="188" t="str">
        <f>IF(ISERROR(getgrade(Broadsheet!H56,data!$H$4:$I$9)),"#",getgrade(Broadsheet!H56,data!$H$4:$I$9))</f>
        <v/>
      </c>
      <c r="I56" s="188" t="str">
        <f>IF(ISERROR(getgrade(Broadsheet!I56,data!$H$4:$I$9)),"#",getgrade(Broadsheet!I56,data!$H$4:$I$9))</f>
        <v/>
      </c>
      <c r="J56" s="188" t="str">
        <f>IF(ISERROR(getgrade(Broadsheet!J56,data!$H$4:$I$9)),"#",getgrade(Broadsheet!J56,data!$H$4:$I$9))</f>
        <v/>
      </c>
      <c r="K56" s="188" t="str">
        <f>IF(ISERROR(getgrade(Broadsheet!K56,data!$H$4:$I$9)),"#",getgrade(Broadsheet!K56,data!$H$4:$I$9))</f>
        <v/>
      </c>
      <c r="L56" s="188" t="str">
        <f>IF(ISERROR(getgrade(Broadsheet!L56,data!$H$4:$I$9)),"#",getgrade(Broadsheet!L56,data!$H$4:$I$9))</f>
        <v/>
      </c>
      <c r="M56" s="188" t="str">
        <f>IF(ISERROR(getgrade(Broadsheet!M56,data!$H$4:$I$9)),"#",getgrade(Broadsheet!M56,data!$H$4:$I$9))</f>
        <v/>
      </c>
      <c r="N56" s="188" t="str">
        <f>IF(ISERROR(getgrade(Broadsheet!N56,data!$H$4:$I$9)),"#",getgrade(Broadsheet!N56,data!$H$4:$I$9))</f>
        <v/>
      </c>
      <c r="O56" s="188" t="str">
        <f>IF(ISERROR(getgrade(Broadsheet!O56,data!$H$4:$I$9)),"#",getgrade(Broadsheet!O56,data!$H$4:$I$9))</f>
        <v/>
      </c>
      <c r="P56" s="188" t="str">
        <f>IF(ISERROR(getgrade(Broadsheet!P56,data!$H$4:$I$9)),"#",getgrade(Broadsheet!P56,data!$H$4:$I$9))</f>
        <v/>
      </c>
      <c r="Q56" s="188" t="str">
        <f>IF(ISERROR(getgrade(Broadsheet!Q56,data!$H$4:$I$9)),"#",getgrade(Broadsheet!Q56,data!$H$4:$I$9))</f>
        <v/>
      </c>
      <c r="R56" s="188" t="str">
        <f>IF(ISERROR(getgrade(Broadsheet!R56,data!$H$4:$I$9)),"#",getgrade(Broadsheet!R56,data!$H$4:$I$9))</f>
        <v/>
      </c>
      <c r="S56" s="188" t="str">
        <f>IF(ISERROR(getgrade(Broadsheet!S56,data!$H$4:$I$9)),"#",getgrade(Broadsheet!S56,data!$H$4:$I$9))</f>
        <v/>
      </c>
      <c r="T56" s="188" t="str">
        <f>IF(ISERROR(getgrade(Broadsheet!T56,data!$H$4:$I$9)),"#",getgrade(Broadsheet!T56,data!$H$4:$I$9))</f>
        <v/>
      </c>
      <c r="U56" s="188" t="str">
        <f>IF(ISERROR(getgrade(Broadsheet!U56,data!$H$4:$I$9)),"#",getgrade(Broadsheet!U56,data!$H$4:$I$9))</f>
        <v/>
      </c>
      <c r="V56" s="188" t="str">
        <f>IF(ISERROR(getgrade(Broadsheet!V56,data!$H$4:$I$9)),"#",getgrade(Broadsheet!V56,data!$H$4:$I$9))</f>
        <v/>
      </c>
      <c r="W56" s="188" t="str">
        <f>IF(ISERROR(getgrade(Broadsheet!W56,data!$H$4:$I$9)),"#",getgrade(Broadsheet!W56,data!$H$4:$I$9))</f>
        <v/>
      </c>
      <c r="X56" s="188" t="str">
        <f>IF(ISERROR(getgrade(Broadsheet!X56,data!$H$4:$I$9)),"#",getgrade(Broadsheet!X56,data!$H$4:$I$9))</f>
        <v/>
      </c>
      <c r="Y56" s="188" t="str">
        <f>IF(ISERROR(getgrade(Broadsheet!Y56,data!$H$4:$I$9)),"#",getgrade(Broadsheet!Y56,data!$H$4:$I$9))</f>
        <v/>
      </c>
      <c r="Z56" s="188" t="str">
        <f>IF(ISERROR(getgrade(Broadsheet!Z56,data!$H$4:$I$9)),"#",getgrade(Broadsheet!Z56,data!$H$4:$I$9))</f>
        <v/>
      </c>
      <c r="AA56" s="188" t="str">
        <f>IF(ISERROR(getgrade(Broadsheet!AA56,data!$H$4:$I$9)),"#",getgrade(Broadsheet!AA56,data!$H$4:$I$9))</f>
        <v/>
      </c>
      <c r="AB56" s="188" t="str">
        <f>IF(ISERROR(getgrade(Broadsheet!AB56,data!$H$4:$I$9)),"#",getgrade(Broadsheet!AB56,data!$H$4:$I$9))</f>
        <v/>
      </c>
      <c r="AC56" s="188" t="str">
        <f>IF(ISERROR(getgrade(Broadsheet!AC56,data!$H$4:$I$9)),"#",getgrade(Broadsheet!AC56,data!$H$4:$I$9))</f>
        <v/>
      </c>
      <c r="AD56" s="188" t="str">
        <f>IF(ISERROR(getgrade(Broadsheet!AD56,data!$H$4:$I$9)),"#",getgrade(Broadsheet!AD56,data!$H$4:$I$9))</f>
        <v/>
      </c>
      <c r="AE56" s="188" t="str">
        <f>IF(ISERROR(getgrade(Broadsheet!AE56,data!$H$4:$I$9)),"#",getgrade(Broadsheet!AE56,data!$H$4:$I$9))</f>
        <v/>
      </c>
      <c r="AF56" s="188" t="str">
        <f>IF(ISERROR(getgrade(Broadsheet!AF56,data!$H$4:$I$9)),"#",getgrade(Broadsheet!AF56,data!$H$4:$I$9))</f>
        <v/>
      </c>
      <c r="AG56" s="188" t="str">
        <f>IF(ISERROR(getgrade(Broadsheet!AG56,data!$H$4:$I$9)),"#",getgrade(Broadsheet!AG56,data!$H$4:$I$9))</f>
        <v/>
      </c>
      <c r="AH56" s="188" t="str">
        <f>IF(ISERROR(getgrade(Broadsheet!AH56,data!$H$4:$I$9)),"#",getgrade(Broadsheet!AH56,data!$H$4:$I$9))</f>
        <v/>
      </c>
      <c r="AI56" s="188" t="str">
        <f>IF(ISERROR(getgrade(Broadsheet!AI56,data!$H$4:$I$9)),"#",getgrade(Broadsheet!AI56,data!$H$4:$I$9))</f>
        <v/>
      </c>
      <c r="AJ56" s="188" t="str">
        <f>IF(ISERROR(getgrade(Broadsheet!AJ56,data!$H$4:$I$9)),"#",getgrade(Broadsheet!AJ56,data!$H$4:$I$9))</f>
        <v/>
      </c>
      <c r="AK56" s="188" t="str">
        <f>IF(ISERROR(getgrade(Broadsheet!AK56,data!$H$4:$I$9)),"#",getgrade(Broadsheet!AK56,data!$H$4:$I$9))</f>
        <v/>
      </c>
      <c r="AL56" s="188" t="str">
        <f>IF(ISERROR(getgrade(Broadsheet!AL56,data!$H$4:$I$9)),"#",getgrade(Broadsheet!AL56,data!$H$4:$I$9))</f>
        <v/>
      </c>
      <c r="AM56" s="188" t="str">
        <f>IF(ISERROR(getgrade(Broadsheet!AM56,data!$H$4:$I$9)),"#",getgrade(Broadsheet!AM56,data!$H$4:$I$9))</f>
        <v/>
      </c>
      <c r="AN56" s="188" t="str">
        <f>IF(ISERROR(getgrade(Broadsheet!AN56,data!$H$4:$I$9)),"#",getgrade(Broadsheet!AN56,data!$H$4:$I$9))</f>
        <v/>
      </c>
      <c r="AO56" s="188" t="str">
        <f>IF(ISERROR(getgrade(Broadsheet!AO56,data!$H$4:$I$9)),"#",getgrade(Broadsheet!AO56,data!$H$4:$I$9))</f>
        <v/>
      </c>
      <c r="AP56" s="188" t="str">
        <f>IF(ISERROR(getgrade(Broadsheet!AP56,data!$H$4:$I$9)),"#",getgrade(Broadsheet!AP56,data!$H$4:$I$9))</f>
        <v/>
      </c>
      <c r="AQ56" s="188" t="str">
        <f>IF(ISERROR(getgrade(Broadsheet!AQ56,data!$H$4:$I$9)),"#",getgrade(Broadsheet!AQ56,data!$H$4:$I$9))</f>
        <v/>
      </c>
      <c r="AR56" s="188" t="str">
        <f>IF(ISERROR(getgrade(Broadsheet!AR56,data!$H$4:$I$9)),"#",getgrade(Broadsheet!AR56,data!$H$4:$I$9))</f>
        <v/>
      </c>
      <c r="AS56" s="188" t="str">
        <f>IF(ISERROR(getgrade(Broadsheet!AS56,data!$H$4:$I$9)),"#",getgrade(Broadsheet!AS56,data!$H$4:$I$9))</f>
        <v/>
      </c>
      <c r="AT56" s="188" t="str">
        <f>IF(ISERROR(getgrade(Broadsheet!AT56,data!$H$4:$I$9)),"#",getgrade(Broadsheet!AT56,data!$H$4:$I$9))</f>
        <v/>
      </c>
      <c r="AU56" s="188" t="str">
        <f>IF(ISERROR(getgrade(Broadsheet!AU56,data!$H$4:$I$9)),"#",getgrade(Broadsheet!AU56,data!$H$4:$I$9))</f>
        <v/>
      </c>
      <c r="AV56" s="188" t="str">
        <f>IF(ISERROR(getgrade(Broadsheet!AV56,data!$H$4:$I$9)),"#",getgrade(Broadsheet!AV56,data!$H$4:$I$9))</f>
        <v/>
      </c>
      <c r="AW56" s="188" t="str">
        <f>IF(ISERROR(getgrade(Broadsheet!AW56,data!$H$4:$I$9)),"#",getgrade(Broadsheet!AW56,data!$H$4:$I$9))</f>
        <v/>
      </c>
      <c r="AX56" s="188" t="str">
        <f>IF(ISERROR(getgrade(Broadsheet!AX56,data!$H$4:$I$9)),"#",getgrade(Broadsheet!AX56,data!$H$4:$I$9))</f>
        <v/>
      </c>
      <c r="AY56" s="188" t="str">
        <f>IF(ISERROR(getgrade(Broadsheet!AY56,data!$H$4:$I$9)),"#",getgrade(Broadsheet!AY56,data!$H$4:$I$9))</f>
        <v/>
      </c>
      <c r="AZ56" s="188" t="str">
        <f>IF(ISERROR(getgrade(Broadsheet!AZ56,data!$H$4:$I$9)),"#",getgrade(Broadsheet!AZ56,data!$H$4:$I$9))</f>
        <v/>
      </c>
      <c r="BA56" s="188" t="str">
        <f>IF(ISERROR(getgrade(Broadsheet!BA56,data!$H$4:$I$9)),"#",getgrade(Broadsheet!BA56,data!$H$4:$I$9))</f>
        <v/>
      </c>
      <c r="BB56" s="188" t="str">
        <f>IF(ISERROR(getgrade(Broadsheet!BB56,data!$H$4:$I$9)),"#",getgrade(Broadsheet!BB56,data!$H$4:$I$9))</f>
        <v/>
      </c>
      <c r="BC56" s="188" t="str">
        <f>IF(ISERROR(getgrade(Broadsheet!BC56,data!$H$4:$I$9)),"#",getgrade(Broadsheet!BC56,data!$H$4:$I$9))</f>
        <v/>
      </c>
      <c r="BD56" s="188" t="str">
        <f>IF(ISERROR(getgrade(Broadsheet!BD56,data!$H$4:$I$9)),"#",getgrade(Broadsheet!BD56,data!$H$4:$I$9))</f>
        <v/>
      </c>
      <c r="BE56" s="188" t="str">
        <f>IF(ISERROR(getgrade(Broadsheet!BE56,data!$H$4:$I$9)),"#",getgrade(Broadsheet!BE56,data!$H$4:$I$9))</f>
        <v/>
      </c>
      <c r="BF56" s="188" t="str">
        <f>IF(ISERROR(getgrade(Broadsheet!BF56,data!$H$4:$I$9)),"#",getgrade(Broadsheet!BF56,data!$H$4:$I$9))</f>
        <v/>
      </c>
      <c r="BG56" s="188" t="str">
        <f>IF(ISERROR(getgrade(Broadsheet!BG56,data!$H$4:$I$9)),"#",getgrade(Broadsheet!BG56,data!$H$4:$I$9))</f>
        <v/>
      </c>
      <c r="BH56" s="188" t="str">
        <f>IF(ISERROR(getgrade(Broadsheet!BH56,data!$H$4:$I$9)),"#",getgrade(Broadsheet!BH56,data!$H$4:$I$9))</f>
        <v/>
      </c>
      <c r="BI56" s="188" t="str">
        <f>IF(ISERROR(getgrade(Broadsheet!BI56,data!$H$4:$I$9)),"#",getgrade(Broadsheet!BI56,data!$H$4:$I$9))</f>
        <v/>
      </c>
      <c r="BJ56" s="188" t="str">
        <f>IF(ISERROR(getgrade(Broadsheet!BJ56,data!$H$4:$I$9)),"#",getgrade(Broadsheet!BJ56,data!$H$4:$I$9))</f>
        <v/>
      </c>
      <c r="BK56" s="188"/>
      <c r="BL56" s="188"/>
      <c r="BM56" s="188"/>
      <c r="BN56" s="188"/>
      <c r="BO56" s="188"/>
      <c r="BP56" s="188"/>
      <c r="BQ56" s="188"/>
      <c r="BR56" s="188"/>
      <c r="BS56" s="188"/>
      <c r="BT56" s="188"/>
      <c r="BU56" s="188"/>
      <c r="BV56" s="188"/>
      <c r="BW56" s="188"/>
      <c r="BX56" s="188"/>
      <c r="BY56" s="188"/>
      <c r="BZ56" s="188"/>
      <c r="CA56" s="188"/>
      <c r="CB56" s="188"/>
      <c r="CC56" s="188"/>
      <c r="CD56" s="188"/>
      <c r="CE56" s="188"/>
      <c r="CF56" s="188"/>
      <c r="CG56" s="188"/>
      <c r="CH56" s="188"/>
      <c r="CI56" s="188"/>
      <c r="CJ56" s="188"/>
      <c r="CK56" s="188"/>
      <c r="CL56" s="188"/>
      <c r="CM56" s="188"/>
      <c r="CN56" s="188"/>
      <c r="CO56" s="188"/>
      <c r="CP56" s="188"/>
      <c r="CQ56" s="188"/>
      <c r="CR56" s="188"/>
      <c r="CS56" s="188"/>
      <c r="CT56" s="188"/>
      <c r="CU56" s="188"/>
      <c r="CV56" s="188"/>
      <c r="CW56" s="188"/>
      <c r="CX56" s="188"/>
      <c r="CY56" s="188"/>
      <c r="CZ56" s="188"/>
      <c r="DA56" s="188"/>
      <c r="DB56" s="188"/>
      <c r="DC56" s="188"/>
      <c r="DD56" s="188"/>
      <c r="DE56" s="188"/>
      <c r="DF56" s="188"/>
      <c r="DG56" s="188"/>
      <c r="DH56" s="188"/>
      <c r="DI56" s="188"/>
      <c r="DJ56" s="188"/>
      <c r="DK56" s="188"/>
      <c r="DL56" s="188"/>
      <c r="DM56" s="188"/>
      <c r="DN56" s="188"/>
      <c r="DO56" s="188"/>
      <c r="DP56" s="188"/>
      <c r="DQ56" s="188"/>
      <c r="DR56" s="188"/>
      <c r="DS56" s="188"/>
      <c r="DT56" s="188"/>
      <c r="DU56" s="188"/>
      <c r="DV56" s="188"/>
      <c r="DW56" s="188"/>
      <c r="DX56" s="188"/>
      <c r="DY56" s="188"/>
      <c r="DZ56" s="188"/>
      <c r="EA56" s="188"/>
    </row>
    <row r="57" spans="1:131" ht="15.75" x14ac:dyDescent="0.25">
      <c r="A57" s="12" t="e">
        <f>Broadsheet!#REF!</f>
        <v>#REF!</v>
      </c>
      <c r="B57" s="204" t="str">
        <f>IF(Broadsheet!B57="","",Broadsheet!B57)</f>
        <v/>
      </c>
      <c r="C57" s="24" t="str">
        <f>IF(Broadsheet!C57="","",Broadsheet!C57)</f>
        <v xml:space="preserve"> </v>
      </c>
      <c r="D57" s="24"/>
      <c r="E57" s="24"/>
      <c r="F57" s="24"/>
      <c r="G57" s="24" t="str">
        <f t="shared" ca="1" si="0"/>
        <v xml:space="preserve">MTH110/3/#, MTH111/3/#, PHY111/3/#, PHY112/3/#, CHM111/3/#, CHM112/3/#, GST111/3/#, GST112/3/#, 0//#, 0//#, CHE211//#, CVE211//#, MEE211//#, //#, //#, //#, //#, //#, //#, //#, //#, //#, //#, //#, //#, </v>
      </c>
      <c r="H57" s="188" t="str">
        <f>IF(ISERROR(getgrade(Broadsheet!#REF!,data!$H$4:$I$9)),"#",getgrade(Broadsheet!#REF!,data!$H$4:$I$9))</f>
        <v>#</v>
      </c>
      <c r="I57" s="188" t="str">
        <f>IF(ISERROR(getgrade(Broadsheet!#REF!,data!$H$4:$I$9)),"#",getgrade(Broadsheet!#REF!,data!$H$4:$I$9))</f>
        <v>#</v>
      </c>
      <c r="J57" s="188" t="str">
        <f>IF(ISERROR(getgrade(Broadsheet!#REF!,data!$H$4:$I$9)),"#",getgrade(Broadsheet!#REF!,data!$H$4:$I$9))</f>
        <v>#</v>
      </c>
      <c r="K57" s="188" t="str">
        <f>IF(ISERROR(getgrade(Broadsheet!#REF!,data!$H$4:$I$9)),"#",getgrade(Broadsheet!#REF!,data!$H$4:$I$9))</f>
        <v>#</v>
      </c>
      <c r="L57" s="188" t="str">
        <f>IF(ISERROR(getgrade(Broadsheet!#REF!,data!$H$4:$I$9)),"#",getgrade(Broadsheet!#REF!,data!$H$4:$I$9))</f>
        <v>#</v>
      </c>
      <c r="M57" s="188" t="str">
        <f>IF(ISERROR(getgrade(Broadsheet!#REF!,data!$H$4:$I$9)),"#",getgrade(Broadsheet!#REF!,data!$H$4:$I$9))</f>
        <v>#</v>
      </c>
      <c r="N57" s="188" t="str">
        <f>IF(ISERROR(getgrade(Broadsheet!#REF!,data!$H$4:$I$9)),"#",getgrade(Broadsheet!#REF!,data!$H$4:$I$9))</f>
        <v>#</v>
      </c>
      <c r="O57" s="188" t="str">
        <f>IF(ISERROR(getgrade(Broadsheet!#REF!,data!$H$4:$I$9)),"#",getgrade(Broadsheet!#REF!,data!$H$4:$I$9))</f>
        <v>#</v>
      </c>
      <c r="P57" s="188" t="str">
        <f>IF(ISERROR(getgrade(Broadsheet!#REF!,data!$H$4:$I$9)),"#",getgrade(Broadsheet!#REF!,data!$H$4:$I$9))</f>
        <v>#</v>
      </c>
      <c r="Q57" s="188" t="str">
        <f>IF(ISERROR(getgrade(Broadsheet!#REF!,data!$H$4:$I$9)),"#",getgrade(Broadsheet!#REF!,data!$H$4:$I$9))</f>
        <v>#</v>
      </c>
      <c r="R57" s="188" t="str">
        <f>IF(ISERROR(getgrade(Broadsheet!#REF!,data!$H$4:$I$9)),"#",getgrade(Broadsheet!#REF!,data!$H$4:$I$9))</f>
        <v>#</v>
      </c>
      <c r="S57" s="188" t="str">
        <f>IF(ISERROR(getgrade(Broadsheet!#REF!,data!$H$4:$I$9)),"#",getgrade(Broadsheet!#REF!,data!$H$4:$I$9))</f>
        <v>#</v>
      </c>
      <c r="T57" s="188" t="str">
        <f>IF(ISERROR(getgrade(Broadsheet!#REF!,data!$H$4:$I$9)),"#",getgrade(Broadsheet!#REF!,data!$H$4:$I$9))</f>
        <v>#</v>
      </c>
      <c r="U57" s="188" t="str">
        <f>IF(ISERROR(getgrade(Broadsheet!#REF!,data!$H$4:$I$9)),"#",getgrade(Broadsheet!#REF!,data!$H$4:$I$9))</f>
        <v>#</v>
      </c>
      <c r="V57" s="188" t="str">
        <f>IF(ISERROR(getgrade(Broadsheet!#REF!,data!$H$4:$I$9)),"#",getgrade(Broadsheet!#REF!,data!$H$4:$I$9))</f>
        <v>#</v>
      </c>
      <c r="W57" s="188" t="str">
        <f>IF(ISERROR(getgrade(Broadsheet!#REF!,data!$H$4:$I$9)),"#",getgrade(Broadsheet!#REF!,data!$H$4:$I$9))</f>
        <v>#</v>
      </c>
      <c r="X57" s="188" t="str">
        <f>IF(ISERROR(getgrade(Broadsheet!#REF!,data!$H$4:$I$9)),"#",getgrade(Broadsheet!#REF!,data!$H$4:$I$9))</f>
        <v>#</v>
      </c>
      <c r="Y57" s="188" t="str">
        <f>IF(ISERROR(getgrade(Broadsheet!#REF!,data!$H$4:$I$9)),"#",getgrade(Broadsheet!#REF!,data!$H$4:$I$9))</f>
        <v>#</v>
      </c>
      <c r="Z57" s="188" t="str">
        <f>IF(ISERROR(getgrade(Broadsheet!#REF!,data!$H$4:$I$9)),"#",getgrade(Broadsheet!#REF!,data!$H$4:$I$9))</f>
        <v>#</v>
      </c>
      <c r="AA57" s="188" t="str">
        <f>IF(ISERROR(getgrade(Broadsheet!#REF!,data!$H$4:$I$9)),"#",getgrade(Broadsheet!#REF!,data!$H$4:$I$9))</f>
        <v>#</v>
      </c>
      <c r="AB57" s="188" t="str">
        <f>IF(ISERROR(getgrade(Broadsheet!#REF!,data!$H$4:$I$9)),"#",getgrade(Broadsheet!#REF!,data!$H$4:$I$9))</f>
        <v>#</v>
      </c>
      <c r="AC57" s="188" t="str">
        <f>IF(ISERROR(getgrade(Broadsheet!#REF!,data!$H$4:$I$9)),"#",getgrade(Broadsheet!#REF!,data!$H$4:$I$9))</f>
        <v>#</v>
      </c>
      <c r="AD57" s="188" t="str">
        <f>IF(ISERROR(getgrade(Broadsheet!#REF!,data!$H$4:$I$9)),"#",getgrade(Broadsheet!#REF!,data!$H$4:$I$9))</f>
        <v>#</v>
      </c>
      <c r="AE57" s="188" t="str">
        <f>IF(ISERROR(getgrade(Broadsheet!#REF!,data!$H$4:$I$9)),"#",getgrade(Broadsheet!#REF!,data!$H$4:$I$9))</f>
        <v>#</v>
      </c>
      <c r="AF57" s="188" t="str">
        <f>IF(ISERROR(getgrade(Broadsheet!#REF!,data!$H$4:$I$9)),"#",getgrade(Broadsheet!#REF!,data!$H$4:$I$9))</f>
        <v>#</v>
      </c>
      <c r="AG57" s="188" t="str">
        <f>IF(ISERROR(getgrade(Broadsheet!#REF!,data!$H$4:$I$9)),"#",getgrade(Broadsheet!#REF!,data!$H$4:$I$9))</f>
        <v>#</v>
      </c>
      <c r="AH57" s="188" t="str">
        <f>IF(ISERROR(getgrade(Broadsheet!#REF!,data!$H$4:$I$9)),"#",getgrade(Broadsheet!#REF!,data!$H$4:$I$9))</f>
        <v>#</v>
      </c>
      <c r="AI57" s="188" t="str">
        <f>IF(ISERROR(getgrade(Broadsheet!#REF!,data!$H$4:$I$9)),"#",getgrade(Broadsheet!#REF!,data!$H$4:$I$9))</f>
        <v>#</v>
      </c>
      <c r="AJ57" s="188" t="str">
        <f>IF(ISERROR(getgrade(Broadsheet!#REF!,data!$H$4:$I$9)),"#",getgrade(Broadsheet!#REF!,data!$H$4:$I$9))</f>
        <v>#</v>
      </c>
      <c r="AK57" s="188" t="str">
        <f>IF(ISERROR(getgrade(Broadsheet!#REF!,data!$H$4:$I$9)),"#",getgrade(Broadsheet!#REF!,data!$H$4:$I$9))</f>
        <v>#</v>
      </c>
      <c r="AL57" s="188" t="str">
        <f>IF(ISERROR(getgrade(Broadsheet!#REF!,data!$H$4:$I$9)),"#",getgrade(Broadsheet!#REF!,data!$H$4:$I$9))</f>
        <v>#</v>
      </c>
      <c r="AM57" s="188" t="str">
        <f>IF(ISERROR(getgrade(Broadsheet!#REF!,data!$H$4:$I$9)),"#",getgrade(Broadsheet!#REF!,data!$H$4:$I$9))</f>
        <v>#</v>
      </c>
      <c r="AN57" s="188" t="str">
        <f>IF(ISERROR(getgrade(Broadsheet!#REF!,data!$H$4:$I$9)),"#",getgrade(Broadsheet!#REF!,data!$H$4:$I$9))</f>
        <v>#</v>
      </c>
      <c r="AO57" s="188" t="str">
        <f>IF(ISERROR(getgrade(Broadsheet!#REF!,data!$H$4:$I$9)),"#",getgrade(Broadsheet!#REF!,data!$H$4:$I$9))</f>
        <v>#</v>
      </c>
      <c r="AP57" s="188" t="str">
        <f>IF(ISERROR(getgrade(Broadsheet!#REF!,data!$H$4:$I$9)),"#",getgrade(Broadsheet!#REF!,data!$H$4:$I$9))</f>
        <v>#</v>
      </c>
      <c r="AQ57" s="188" t="str">
        <f>IF(ISERROR(getgrade(Broadsheet!#REF!,data!$H$4:$I$9)),"#",getgrade(Broadsheet!#REF!,data!$H$4:$I$9))</f>
        <v>#</v>
      </c>
      <c r="AR57" s="188" t="str">
        <f>IF(ISERROR(getgrade(Broadsheet!#REF!,data!$H$4:$I$9)),"#",getgrade(Broadsheet!#REF!,data!$H$4:$I$9))</f>
        <v>#</v>
      </c>
      <c r="AS57" s="188" t="str">
        <f>IF(ISERROR(getgrade(Broadsheet!#REF!,data!$H$4:$I$9)),"#",getgrade(Broadsheet!#REF!,data!$H$4:$I$9))</f>
        <v>#</v>
      </c>
      <c r="AT57" s="188" t="str">
        <f>IF(ISERROR(getgrade(Broadsheet!#REF!,data!$H$4:$I$9)),"#",getgrade(Broadsheet!#REF!,data!$H$4:$I$9))</f>
        <v>#</v>
      </c>
      <c r="AU57" s="188" t="str">
        <f>IF(ISERROR(getgrade(Broadsheet!#REF!,data!$H$4:$I$9)),"#",getgrade(Broadsheet!#REF!,data!$H$4:$I$9))</f>
        <v>#</v>
      </c>
      <c r="AV57" s="188" t="str">
        <f>IF(ISERROR(getgrade(Broadsheet!#REF!,data!$H$4:$I$9)),"#",getgrade(Broadsheet!#REF!,data!$H$4:$I$9))</f>
        <v>#</v>
      </c>
      <c r="AW57" s="188" t="str">
        <f>IF(ISERROR(getgrade(Broadsheet!#REF!,data!$H$4:$I$9)),"#",getgrade(Broadsheet!#REF!,data!$H$4:$I$9))</f>
        <v>#</v>
      </c>
      <c r="AX57" s="188" t="str">
        <f>IF(ISERROR(getgrade(Broadsheet!#REF!,data!$H$4:$I$9)),"#",getgrade(Broadsheet!#REF!,data!$H$4:$I$9))</f>
        <v>#</v>
      </c>
      <c r="AY57" s="188" t="str">
        <f>IF(ISERROR(getgrade(Broadsheet!#REF!,data!$H$4:$I$9)),"#",getgrade(Broadsheet!#REF!,data!$H$4:$I$9))</f>
        <v>#</v>
      </c>
      <c r="AZ57" s="188" t="str">
        <f>IF(ISERROR(getgrade(Broadsheet!#REF!,data!$H$4:$I$9)),"#",getgrade(Broadsheet!#REF!,data!$H$4:$I$9))</f>
        <v>#</v>
      </c>
      <c r="BA57" s="188" t="str">
        <f>IF(ISERROR(getgrade(Broadsheet!#REF!,data!$H$4:$I$9)),"#",getgrade(Broadsheet!#REF!,data!$H$4:$I$9))</f>
        <v>#</v>
      </c>
      <c r="BB57" s="188" t="str">
        <f>IF(ISERROR(getgrade(Broadsheet!#REF!,data!$H$4:$I$9)),"#",getgrade(Broadsheet!#REF!,data!$H$4:$I$9))</f>
        <v>#</v>
      </c>
      <c r="BC57" s="188" t="str">
        <f>IF(ISERROR(getgrade(Broadsheet!#REF!,data!$H$4:$I$9)),"#",getgrade(Broadsheet!#REF!,data!$H$4:$I$9))</f>
        <v>#</v>
      </c>
      <c r="BD57" s="188" t="str">
        <f>IF(ISERROR(getgrade(Broadsheet!#REF!,data!$H$4:$I$9)),"#",getgrade(Broadsheet!#REF!,data!$H$4:$I$9))</f>
        <v>#</v>
      </c>
      <c r="BE57" s="188" t="str">
        <f>IF(ISERROR(getgrade(Broadsheet!#REF!,data!$H$4:$I$9)),"#",getgrade(Broadsheet!#REF!,data!$H$4:$I$9))</f>
        <v>#</v>
      </c>
      <c r="BF57" s="188" t="str">
        <f>IF(ISERROR(getgrade(Broadsheet!#REF!,data!$H$4:$I$9)),"#",getgrade(Broadsheet!#REF!,data!$H$4:$I$9))</f>
        <v>#</v>
      </c>
      <c r="BG57" s="188" t="str">
        <f>IF(ISERROR(getgrade(Broadsheet!#REF!,data!$H$4:$I$9)),"#",getgrade(Broadsheet!#REF!,data!$H$4:$I$9))</f>
        <v>#</v>
      </c>
      <c r="BH57" s="188" t="str">
        <f>IF(ISERROR(getgrade(Broadsheet!#REF!,data!$H$4:$I$9)),"#",getgrade(Broadsheet!#REF!,data!$H$4:$I$9))</f>
        <v>#</v>
      </c>
      <c r="BI57" s="188" t="str">
        <f>IF(ISERROR(getgrade(Broadsheet!#REF!,data!$H$4:$I$9)),"#",getgrade(Broadsheet!#REF!,data!$H$4:$I$9))</f>
        <v>#</v>
      </c>
      <c r="BJ57" s="188" t="str">
        <f>IF(ISERROR(getgrade(Broadsheet!#REF!,data!$H$4:$I$9)),"#",getgrade(Broadsheet!#REF!,data!$H$4:$I$9))</f>
        <v>#</v>
      </c>
      <c r="BK57" s="188"/>
      <c r="BL57" s="188"/>
      <c r="BM57" s="188"/>
      <c r="BN57" s="188"/>
      <c r="BO57" s="188"/>
      <c r="BP57" s="188"/>
      <c r="BQ57" s="188"/>
      <c r="BR57" s="188"/>
      <c r="BS57" s="188"/>
      <c r="BT57" s="188"/>
      <c r="BU57" s="188"/>
      <c r="BV57" s="188"/>
      <c r="BW57" s="188"/>
      <c r="BX57" s="188"/>
      <c r="BY57" s="188"/>
      <c r="BZ57" s="188"/>
      <c r="CA57" s="188"/>
      <c r="CB57" s="188"/>
      <c r="CC57" s="188"/>
      <c r="CD57" s="188"/>
      <c r="CE57" s="188"/>
      <c r="CF57" s="188"/>
      <c r="CG57" s="188"/>
      <c r="CH57" s="188"/>
      <c r="CI57" s="188"/>
      <c r="CJ57" s="188"/>
      <c r="CK57" s="188"/>
      <c r="CL57" s="188"/>
      <c r="CM57" s="188"/>
      <c r="CN57" s="188"/>
      <c r="CO57" s="188"/>
      <c r="CP57" s="188"/>
      <c r="CQ57" s="188"/>
      <c r="CR57" s="188"/>
      <c r="CS57" s="188"/>
      <c r="CT57" s="188"/>
      <c r="CU57" s="188"/>
      <c r="CV57" s="188"/>
      <c r="CW57" s="188"/>
      <c r="CX57" s="188"/>
      <c r="CY57" s="188"/>
      <c r="CZ57" s="188"/>
      <c r="DA57" s="188"/>
      <c r="DB57" s="188"/>
      <c r="DC57" s="188"/>
      <c r="DD57" s="188"/>
      <c r="DE57" s="188"/>
      <c r="DF57" s="188"/>
      <c r="DG57" s="188"/>
      <c r="DH57" s="188"/>
      <c r="DI57" s="188"/>
      <c r="DJ57" s="188"/>
      <c r="DK57" s="188"/>
      <c r="DL57" s="188"/>
      <c r="DM57" s="188"/>
      <c r="DN57" s="188"/>
      <c r="DO57" s="188"/>
      <c r="DP57" s="188"/>
      <c r="DQ57" s="188"/>
      <c r="DR57" s="188"/>
      <c r="DS57" s="188"/>
      <c r="DT57" s="188"/>
      <c r="DU57" s="188"/>
      <c r="DV57" s="188"/>
      <c r="DW57" s="188"/>
      <c r="DX57" s="188"/>
      <c r="DY57" s="188"/>
      <c r="DZ57" s="188"/>
      <c r="EA57" s="188"/>
    </row>
    <row r="58" spans="1:131" ht="15.75" x14ac:dyDescent="0.25">
      <c r="A58" s="12" t="e">
        <f>Broadsheet!#REF!</f>
        <v>#REF!</v>
      </c>
      <c r="B58" s="204" t="str">
        <f>IF(Broadsheet!B58="","",Broadsheet!B58)</f>
        <v/>
      </c>
      <c r="C58" s="24" t="str">
        <f>IF(Broadsheet!C58="","",Broadsheet!C58)</f>
        <v xml:space="preserve"> </v>
      </c>
      <c r="D58" s="24"/>
      <c r="E58" s="24"/>
      <c r="F58" s="24"/>
      <c r="G58" s="24" t="str">
        <f t="shared" ca="1" si="0"/>
        <v xml:space="preserve">MTH110/3/#, MTH111/3/#, PHY111/3/#, PHY112/3/#, CHM111/3/#, CHM112/3/#, GST111/3/#, GST112/3/#, 0//#, 0//#, CHE211//#, CVE211//#, MEE211//#, //#, //#, //#, //#, //#, //#, //#, //#, //#, //#, //#, //#, </v>
      </c>
      <c r="H58" s="188" t="str">
        <f>IF(ISERROR(getgrade(Broadsheet!#REF!,data!$H$4:$I$9)),"#",getgrade(Broadsheet!#REF!,data!$H$4:$I$9))</f>
        <v>#</v>
      </c>
      <c r="I58" s="188" t="str">
        <f>IF(ISERROR(getgrade(Broadsheet!#REF!,data!$H$4:$I$9)),"#",getgrade(Broadsheet!#REF!,data!$H$4:$I$9))</f>
        <v>#</v>
      </c>
      <c r="J58" s="188" t="str">
        <f>IF(ISERROR(getgrade(Broadsheet!#REF!,data!$H$4:$I$9)),"#",getgrade(Broadsheet!#REF!,data!$H$4:$I$9))</f>
        <v>#</v>
      </c>
      <c r="K58" s="188" t="str">
        <f>IF(ISERROR(getgrade(Broadsheet!#REF!,data!$H$4:$I$9)),"#",getgrade(Broadsheet!#REF!,data!$H$4:$I$9))</f>
        <v>#</v>
      </c>
      <c r="L58" s="188" t="str">
        <f>IF(ISERROR(getgrade(Broadsheet!#REF!,data!$H$4:$I$9)),"#",getgrade(Broadsheet!#REF!,data!$H$4:$I$9))</f>
        <v>#</v>
      </c>
      <c r="M58" s="188" t="str">
        <f>IF(ISERROR(getgrade(Broadsheet!#REF!,data!$H$4:$I$9)),"#",getgrade(Broadsheet!#REF!,data!$H$4:$I$9))</f>
        <v>#</v>
      </c>
      <c r="N58" s="188" t="str">
        <f>IF(ISERROR(getgrade(Broadsheet!#REF!,data!$H$4:$I$9)),"#",getgrade(Broadsheet!#REF!,data!$H$4:$I$9))</f>
        <v>#</v>
      </c>
      <c r="O58" s="188" t="str">
        <f>IF(ISERROR(getgrade(Broadsheet!#REF!,data!$H$4:$I$9)),"#",getgrade(Broadsheet!#REF!,data!$H$4:$I$9))</f>
        <v>#</v>
      </c>
      <c r="P58" s="188" t="str">
        <f>IF(ISERROR(getgrade(Broadsheet!#REF!,data!$H$4:$I$9)),"#",getgrade(Broadsheet!#REF!,data!$H$4:$I$9))</f>
        <v>#</v>
      </c>
      <c r="Q58" s="188" t="str">
        <f>IF(ISERROR(getgrade(Broadsheet!#REF!,data!$H$4:$I$9)),"#",getgrade(Broadsheet!#REF!,data!$H$4:$I$9))</f>
        <v>#</v>
      </c>
      <c r="R58" s="188" t="str">
        <f>IF(ISERROR(getgrade(Broadsheet!#REF!,data!$H$4:$I$9)),"#",getgrade(Broadsheet!#REF!,data!$H$4:$I$9))</f>
        <v>#</v>
      </c>
      <c r="S58" s="188" t="str">
        <f>IF(ISERROR(getgrade(Broadsheet!#REF!,data!$H$4:$I$9)),"#",getgrade(Broadsheet!#REF!,data!$H$4:$I$9))</f>
        <v>#</v>
      </c>
      <c r="T58" s="188" t="str">
        <f>IF(ISERROR(getgrade(Broadsheet!#REF!,data!$H$4:$I$9)),"#",getgrade(Broadsheet!#REF!,data!$H$4:$I$9))</f>
        <v>#</v>
      </c>
      <c r="U58" s="188" t="str">
        <f>IF(ISERROR(getgrade(Broadsheet!#REF!,data!$H$4:$I$9)),"#",getgrade(Broadsheet!#REF!,data!$H$4:$I$9))</f>
        <v>#</v>
      </c>
      <c r="V58" s="188" t="str">
        <f>IF(ISERROR(getgrade(Broadsheet!#REF!,data!$H$4:$I$9)),"#",getgrade(Broadsheet!#REF!,data!$H$4:$I$9))</f>
        <v>#</v>
      </c>
      <c r="W58" s="188" t="str">
        <f>IF(ISERROR(getgrade(Broadsheet!#REF!,data!$H$4:$I$9)),"#",getgrade(Broadsheet!#REF!,data!$H$4:$I$9))</f>
        <v>#</v>
      </c>
      <c r="X58" s="188" t="str">
        <f>IF(ISERROR(getgrade(Broadsheet!#REF!,data!$H$4:$I$9)),"#",getgrade(Broadsheet!#REF!,data!$H$4:$I$9))</f>
        <v>#</v>
      </c>
      <c r="Y58" s="188" t="str">
        <f>IF(ISERROR(getgrade(Broadsheet!#REF!,data!$H$4:$I$9)),"#",getgrade(Broadsheet!#REF!,data!$H$4:$I$9))</f>
        <v>#</v>
      </c>
      <c r="Z58" s="188" t="str">
        <f>IF(ISERROR(getgrade(Broadsheet!#REF!,data!$H$4:$I$9)),"#",getgrade(Broadsheet!#REF!,data!$H$4:$I$9))</f>
        <v>#</v>
      </c>
      <c r="AA58" s="188" t="str">
        <f>IF(ISERROR(getgrade(Broadsheet!#REF!,data!$H$4:$I$9)),"#",getgrade(Broadsheet!#REF!,data!$H$4:$I$9))</f>
        <v>#</v>
      </c>
      <c r="AB58" s="188" t="str">
        <f>IF(ISERROR(getgrade(Broadsheet!#REF!,data!$H$4:$I$9)),"#",getgrade(Broadsheet!#REF!,data!$H$4:$I$9))</f>
        <v>#</v>
      </c>
      <c r="AC58" s="188" t="str">
        <f>IF(ISERROR(getgrade(Broadsheet!#REF!,data!$H$4:$I$9)),"#",getgrade(Broadsheet!#REF!,data!$H$4:$I$9))</f>
        <v>#</v>
      </c>
      <c r="AD58" s="188" t="str">
        <f>IF(ISERROR(getgrade(Broadsheet!#REF!,data!$H$4:$I$9)),"#",getgrade(Broadsheet!#REF!,data!$H$4:$I$9))</f>
        <v>#</v>
      </c>
      <c r="AE58" s="188" t="str">
        <f>IF(ISERROR(getgrade(Broadsheet!#REF!,data!$H$4:$I$9)),"#",getgrade(Broadsheet!#REF!,data!$H$4:$I$9))</f>
        <v>#</v>
      </c>
      <c r="AF58" s="188" t="str">
        <f>IF(ISERROR(getgrade(Broadsheet!#REF!,data!$H$4:$I$9)),"#",getgrade(Broadsheet!#REF!,data!$H$4:$I$9))</f>
        <v>#</v>
      </c>
      <c r="AG58" s="188" t="str">
        <f>IF(ISERROR(getgrade(Broadsheet!#REF!,data!$H$4:$I$9)),"#",getgrade(Broadsheet!#REF!,data!$H$4:$I$9))</f>
        <v>#</v>
      </c>
      <c r="AH58" s="188" t="str">
        <f>IF(ISERROR(getgrade(Broadsheet!#REF!,data!$H$4:$I$9)),"#",getgrade(Broadsheet!#REF!,data!$H$4:$I$9))</f>
        <v>#</v>
      </c>
      <c r="AI58" s="188" t="str">
        <f>IF(ISERROR(getgrade(Broadsheet!#REF!,data!$H$4:$I$9)),"#",getgrade(Broadsheet!#REF!,data!$H$4:$I$9))</f>
        <v>#</v>
      </c>
      <c r="AJ58" s="188" t="str">
        <f>IF(ISERROR(getgrade(Broadsheet!#REF!,data!$H$4:$I$9)),"#",getgrade(Broadsheet!#REF!,data!$H$4:$I$9))</f>
        <v>#</v>
      </c>
      <c r="AK58" s="188" t="str">
        <f>IF(ISERROR(getgrade(Broadsheet!#REF!,data!$H$4:$I$9)),"#",getgrade(Broadsheet!#REF!,data!$H$4:$I$9))</f>
        <v>#</v>
      </c>
      <c r="AL58" s="188" t="str">
        <f>IF(ISERROR(getgrade(Broadsheet!#REF!,data!$H$4:$I$9)),"#",getgrade(Broadsheet!#REF!,data!$H$4:$I$9))</f>
        <v>#</v>
      </c>
      <c r="AM58" s="188" t="str">
        <f>IF(ISERROR(getgrade(Broadsheet!#REF!,data!$H$4:$I$9)),"#",getgrade(Broadsheet!#REF!,data!$H$4:$I$9))</f>
        <v>#</v>
      </c>
      <c r="AN58" s="188" t="str">
        <f>IF(ISERROR(getgrade(Broadsheet!#REF!,data!$H$4:$I$9)),"#",getgrade(Broadsheet!#REF!,data!$H$4:$I$9))</f>
        <v>#</v>
      </c>
      <c r="AO58" s="188" t="str">
        <f>IF(ISERROR(getgrade(Broadsheet!#REF!,data!$H$4:$I$9)),"#",getgrade(Broadsheet!#REF!,data!$H$4:$I$9))</f>
        <v>#</v>
      </c>
      <c r="AP58" s="188" t="str">
        <f>IF(ISERROR(getgrade(Broadsheet!#REF!,data!$H$4:$I$9)),"#",getgrade(Broadsheet!#REF!,data!$H$4:$I$9))</f>
        <v>#</v>
      </c>
      <c r="AQ58" s="188" t="str">
        <f>IF(ISERROR(getgrade(Broadsheet!#REF!,data!$H$4:$I$9)),"#",getgrade(Broadsheet!#REF!,data!$H$4:$I$9))</f>
        <v>#</v>
      </c>
      <c r="AR58" s="188" t="str">
        <f>IF(ISERROR(getgrade(Broadsheet!#REF!,data!$H$4:$I$9)),"#",getgrade(Broadsheet!#REF!,data!$H$4:$I$9))</f>
        <v>#</v>
      </c>
      <c r="AS58" s="188" t="str">
        <f>IF(ISERROR(getgrade(Broadsheet!#REF!,data!$H$4:$I$9)),"#",getgrade(Broadsheet!#REF!,data!$H$4:$I$9))</f>
        <v>#</v>
      </c>
      <c r="AT58" s="188" t="str">
        <f>IF(ISERROR(getgrade(Broadsheet!#REF!,data!$H$4:$I$9)),"#",getgrade(Broadsheet!#REF!,data!$H$4:$I$9))</f>
        <v>#</v>
      </c>
      <c r="AU58" s="188" t="str">
        <f>IF(ISERROR(getgrade(Broadsheet!#REF!,data!$H$4:$I$9)),"#",getgrade(Broadsheet!#REF!,data!$H$4:$I$9))</f>
        <v>#</v>
      </c>
      <c r="AV58" s="188" t="str">
        <f>IF(ISERROR(getgrade(Broadsheet!#REF!,data!$H$4:$I$9)),"#",getgrade(Broadsheet!#REF!,data!$H$4:$I$9))</f>
        <v>#</v>
      </c>
      <c r="AW58" s="188" t="str">
        <f>IF(ISERROR(getgrade(Broadsheet!#REF!,data!$H$4:$I$9)),"#",getgrade(Broadsheet!#REF!,data!$H$4:$I$9))</f>
        <v>#</v>
      </c>
      <c r="AX58" s="188" t="str">
        <f>IF(ISERROR(getgrade(Broadsheet!#REF!,data!$H$4:$I$9)),"#",getgrade(Broadsheet!#REF!,data!$H$4:$I$9))</f>
        <v>#</v>
      </c>
      <c r="AY58" s="188" t="str">
        <f>IF(ISERROR(getgrade(Broadsheet!#REF!,data!$H$4:$I$9)),"#",getgrade(Broadsheet!#REF!,data!$H$4:$I$9))</f>
        <v>#</v>
      </c>
      <c r="AZ58" s="188" t="str">
        <f>IF(ISERROR(getgrade(Broadsheet!#REF!,data!$H$4:$I$9)),"#",getgrade(Broadsheet!#REF!,data!$H$4:$I$9))</f>
        <v>#</v>
      </c>
      <c r="BA58" s="188" t="str">
        <f>IF(ISERROR(getgrade(Broadsheet!#REF!,data!$H$4:$I$9)),"#",getgrade(Broadsheet!#REF!,data!$H$4:$I$9))</f>
        <v>#</v>
      </c>
      <c r="BB58" s="188" t="str">
        <f>IF(ISERROR(getgrade(Broadsheet!#REF!,data!$H$4:$I$9)),"#",getgrade(Broadsheet!#REF!,data!$H$4:$I$9))</f>
        <v>#</v>
      </c>
      <c r="BC58" s="188" t="str">
        <f>IF(ISERROR(getgrade(Broadsheet!#REF!,data!$H$4:$I$9)),"#",getgrade(Broadsheet!#REF!,data!$H$4:$I$9))</f>
        <v>#</v>
      </c>
      <c r="BD58" s="188" t="str">
        <f>IF(ISERROR(getgrade(Broadsheet!#REF!,data!$H$4:$I$9)),"#",getgrade(Broadsheet!#REF!,data!$H$4:$I$9))</f>
        <v>#</v>
      </c>
      <c r="BE58" s="188" t="str">
        <f>IF(ISERROR(getgrade(Broadsheet!#REF!,data!$H$4:$I$9)),"#",getgrade(Broadsheet!#REF!,data!$H$4:$I$9))</f>
        <v>#</v>
      </c>
      <c r="BF58" s="188" t="str">
        <f>IF(ISERROR(getgrade(Broadsheet!#REF!,data!$H$4:$I$9)),"#",getgrade(Broadsheet!#REF!,data!$H$4:$I$9))</f>
        <v>#</v>
      </c>
      <c r="BG58" s="188" t="str">
        <f>IF(ISERROR(getgrade(Broadsheet!#REF!,data!$H$4:$I$9)),"#",getgrade(Broadsheet!#REF!,data!$H$4:$I$9))</f>
        <v>#</v>
      </c>
      <c r="BH58" s="188" t="str">
        <f>IF(ISERROR(getgrade(Broadsheet!#REF!,data!$H$4:$I$9)),"#",getgrade(Broadsheet!#REF!,data!$H$4:$I$9))</f>
        <v>#</v>
      </c>
      <c r="BI58" s="188" t="str">
        <f>IF(ISERROR(getgrade(Broadsheet!#REF!,data!$H$4:$I$9)),"#",getgrade(Broadsheet!#REF!,data!$H$4:$I$9))</f>
        <v>#</v>
      </c>
      <c r="BJ58" s="188" t="str">
        <f>IF(ISERROR(getgrade(Broadsheet!#REF!,data!$H$4:$I$9)),"#",getgrade(Broadsheet!#REF!,data!$H$4:$I$9))</f>
        <v>#</v>
      </c>
      <c r="BK58" s="188"/>
      <c r="BL58" s="188"/>
      <c r="BM58" s="188"/>
      <c r="BN58" s="188"/>
      <c r="BO58" s="188"/>
      <c r="BP58" s="188"/>
      <c r="BQ58" s="188"/>
      <c r="BR58" s="188"/>
      <c r="BS58" s="188"/>
      <c r="BT58" s="188"/>
      <c r="BU58" s="188"/>
      <c r="BV58" s="188"/>
      <c r="BW58" s="188"/>
      <c r="BX58" s="188"/>
      <c r="BY58" s="188"/>
      <c r="BZ58" s="188"/>
      <c r="CA58" s="188"/>
      <c r="CB58" s="188"/>
      <c r="CC58" s="188"/>
      <c r="CD58" s="188"/>
      <c r="CE58" s="188"/>
      <c r="CF58" s="188"/>
      <c r="CG58" s="188"/>
      <c r="CH58" s="188"/>
      <c r="CI58" s="188"/>
      <c r="CJ58" s="188"/>
      <c r="CK58" s="188"/>
      <c r="CL58" s="188"/>
      <c r="CM58" s="188"/>
      <c r="CN58" s="188"/>
      <c r="CO58" s="188"/>
      <c r="CP58" s="188"/>
      <c r="CQ58" s="188"/>
      <c r="CR58" s="188"/>
      <c r="CS58" s="188"/>
      <c r="CT58" s="188"/>
      <c r="CU58" s="188"/>
      <c r="CV58" s="188"/>
      <c r="CW58" s="188"/>
      <c r="CX58" s="188"/>
      <c r="CY58" s="188"/>
      <c r="CZ58" s="188"/>
      <c r="DA58" s="188"/>
      <c r="DB58" s="188"/>
      <c r="DC58" s="188"/>
      <c r="DD58" s="188"/>
      <c r="DE58" s="188"/>
      <c r="DF58" s="188"/>
      <c r="DG58" s="188"/>
      <c r="DH58" s="188"/>
      <c r="DI58" s="188"/>
      <c r="DJ58" s="188"/>
      <c r="DK58" s="188"/>
      <c r="DL58" s="188"/>
      <c r="DM58" s="188"/>
      <c r="DN58" s="188"/>
      <c r="DO58" s="188"/>
      <c r="DP58" s="188"/>
      <c r="DQ58" s="188"/>
      <c r="DR58" s="188"/>
      <c r="DS58" s="188"/>
      <c r="DT58" s="188"/>
      <c r="DU58" s="188"/>
      <c r="DV58" s="188"/>
      <c r="DW58" s="188"/>
      <c r="DX58" s="188"/>
      <c r="DY58" s="188"/>
      <c r="DZ58" s="188"/>
      <c r="EA58" s="188"/>
    </row>
    <row r="59" spans="1:131" ht="15.75" x14ac:dyDescent="0.25">
      <c r="A59" s="12" t="e">
        <f>Broadsheet!#REF!</f>
        <v>#REF!</v>
      </c>
      <c r="B59" s="204" t="str">
        <f>IF(Broadsheet!B59="","",Broadsheet!B59)</f>
        <v/>
      </c>
      <c r="C59" s="24" t="str">
        <f>IF(Broadsheet!C59="","",Broadsheet!C59)</f>
        <v xml:space="preserve"> </v>
      </c>
      <c r="D59" s="24"/>
      <c r="E59" s="24"/>
      <c r="F59" s="24"/>
      <c r="G59" s="24" t="str">
        <f t="shared" ca="1" si="0"/>
        <v xml:space="preserve">MTH110/3/#, MTH111/3/#, PHY111/3/#, PHY112/3/#, CHM111/3/#, CHM112/3/#, GST111/3/#, GST112/3/#, 0//#, 0//#, CHE211//#, CVE211//#, MEE211//#, //#, //#, //#, //#, //#, //#, //#, //#, //#, //#, //#, //#, </v>
      </c>
      <c r="H59" s="188" t="str">
        <f>IF(ISERROR(getgrade(Broadsheet!#REF!,data!$H$4:$I$9)),"#",getgrade(Broadsheet!#REF!,data!$H$4:$I$9))</f>
        <v>#</v>
      </c>
      <c r="I59" s="188" t="str">
        <f>IF(ISERROR(getgrade(Broadsheet!#REF!,data!$H$4:$I$9)),"#",getgrade(Broadsheet!#REF!,data!$H$4:$I$9))</f>
        <v>#</v>
      </c>
      <c r="J59" s="188" t="str">
        <f>IF(ISERROR(getgrade(Broadsheet!#REF!,data!$H$4:$I$9)),"#",getgrade(Broadsheet!#REF!,data!$H$4:$I$9))</f>
        <v>#</v>
      </c>
      <c r="K59" s="188" t="str">
        <f>IF(ISERROR(getgrade(Broadsheet!#REF!,data!$H$4:$I$9)),"#",getgrade(Broadsheet!#REF!,data!$H$4:$I$9))</f>
        <v>#</v>
      </c>
      <c r="L59" s="188" t="str">
        <f>IF(ISERROR(getgrade(Broadsheet!#REF!,data!$H$4:$I$9)),"#",getgrade(Broadsheet!#REF!,data!$H$4:$I$9))</f>
        <v>#</v>
      </c>
      <c r="M59" s="188" t="str">
        <f>IF(ISERROR(getgrade(Broadsheet!#REF!,data!$H$4:$I$9)),"#",getgrade(Broadsheet!#REF!,data!$H$4:$I$9))</f>
        <v>#</v>
      </c>
      <c r="N59" s="188" t="str">
        <f>IF(ISERROR(getgrade(Broadsheet!#REF!,data!$H$4:$I$9)),"#",getgrade(Broadsheet!#REF!,data!$H$4:$I$9))</f>
        <v>#</v>
      </c>
      <c r="O59" s="188" t="str">
        <f>IF(ISERROR(getgrade(Broadsheet!#REF!,data!$H$4:$I$9)),"#",getgrade(Broadsheet!#REF!,data!$H$4:$I$9))</f>
        <v>#</v>
      </c>
      <c r="P59" s="188" t="str">
        <f>IF(ISERROR(getgrade(Broadsheet!#REF!,data!$H$4:$I$9)),"#",getgrade(Broadsheet!#REF!,data!$H$4:$I$9))</f>
        <v>#</v>
      </c>
      <c r="Q59" s="188" t="str">
        <f>IF(ISERROR(getgrade(Broadsheet!#REF!,data!$H$4:$I$9)),"#",getgrade(Broadsheet!#REF!,data!$H$4:$I$9))</f>
        <v>#</v>
      </c>
      <c r="R59" s="188" t="str">
        <f>IF(ISERROR(getgrade(Broadsheet!#REF!,data!$H$4:$I$9)),"#",getgrade(Broadsheet!#REF!,data!$H$4:$I$9))</f>
        <v>#</v>
      </c>
      <c r="S59" s="188" t="str">
        <f>IF(ISERROR(getgrade(Broadsheet!#REF!,data!$H$4:$I$9)),"#",getgrade(Broadsheet!#REF!,data!$H$4:$I$9))</f>
        <v>#</v>
      </c>
      <c r="T59" s="188" t="str">
        <f>IF(ISERROR(getgrade(Broadsheet!#REF!,data!$H$4:$I$9)),"#",getgrade(Broadsheet!#REF!,data!$H$4:$I$9))</f>
        <v>#</v>
      </c>
      <c r="U59" s="188" t="str">
        <f>IF(ISERROR(getgrade(Broadsheet!#REF!,data!$H$4:$I$9)),"#",getgrade(Broadsheet!#REF!,data!$H$4:$I$9))</f>
        <v>#</v>
      </c>
      <c r="V59" s="188" t="str">
        <f>IF(ISERROR(getgrade(Broadsheet!#REF!,data!$H$4:$I$9)),"#",getgrade(Broadsheet!#REF!,data!$H$4:$I$9))</f>
        <v>#</v>
      </c>
      <c r="W59" s="188" t="str">
        <f>IF(ISERROR(getgrade(Broadsheet!#REF!,data!$H$4:$I$9)),"#",getgrade(Broadsheet!#REF!,data!$H$4:$I$9))</f>
        <v>#</v>
      </c>
      <c r="X59" s="188" t="str">
        <f>IF(ISERROR(getgrade(Broadsheet!#REF!,data!$H$4:$I$9)),"#",getgrade(Broadsheet!#REF!,data!$H$4:$I$9))</f>
        <v>#</v>
      </c>
      <c r="Y59" s="188" t="str">
        <f>IF(ISERROR(getgrade(Broadsheet!#REF!,data!$H$4:$I$9)),"#",getgrade(Broadsheet!#REF!,data!$H$4:$I$9))</f>
        <v>#</v>
      </c>
      <c r="Z59" s="188" t="str">
        <f>IF(ISERROR(getgrade(Broadsheet!#REF!,data!$H$4:$I$9)),"#",getgrade(Broadsheet!#REF!,data!$H$4:$I$9))</f>
        <v>#</v>
      </c>
      <c r="AA59" s="188" t="str">
        <f>IF(ISERROR(getgrade(Broadsheet!#REF!,data!$H$4:$I$9)),"#",getgrade(Broadsheet!#REF!,data!$H$4:$I$9))</f>
        <v>#</v>
      </c>
      <c r="AB59" s="188" t="str">
        <f>IF(ISERROR(getgrade(Broadsheet!#REF!,data!$H$4:$I$9)),"#",getgrade(Broadsheet!#REF!,data!$H$4:$I$9))</f>
        <v>#</v>
      </c>
      <c r="AC59" s="188" t="str">
        <f>IF(ISERROR(getgrade(Broadsheet!#REF!,data!$H$4:$I$9)),"#",getgrade(Broadsheet!#REF!,data!$H$4:$I$9))</f>
        <v>#</v>
      </c>
      <c r="AD59" s="188" t="str">
        <f>IF(ISERROR(getgrade(Broadsheet!#REF!,data!$H$4:$I$9)),"#",getgrade(Broadsheet!#REF!,data!$H$4:$I$9))</f>
        <v>#</v>
      </c>
      <c r="AE59" s="188" t="str">
        <f>IF(ISERROR(getgrade(Broadsheet!#REF!,data!$H$4:$I$9)),"#",getgrade(Broadsheet!#REF!,data!$H$4:$I$9))</f>
        <v>#</v>
      </c>
      <c r="AF59" s="188" t="str">
        <f>IF(ISERROR(getgrade(Broadsheet!#REF!,data!$H$4:$I$9)),"#",getgrade(Broadsheet!#REF!,data!$H$4:$I$9))</f>
        <v>#</v>
      </c>
      <c r="AG59" s="188" t="str">
        <f>IF(ISERROR(getgrade(Broadsheet!#REF!,data!$H$4:$I$9)),"#",getgrade(Broadsheet!#REF!,data!$H$4:$I$9))</f>
        <v>#</v>
      </c>
      <c r="AH59" s="188" t="str">
        <f>IF(ISERROR(getgrade(Broadsheet!#REF!,data!$H$4:$I$9)),"#",getgrade(Broadsheet!#REF!,data!$H$4:$I$9))</f>
        <v>#</v>
      </c>
      <c r="AI59" s="188" t="str">
        <f>IF(ISERROR(getgrade(Broadsheet!#REF!,data!$H$4:$I$9)),"#",getgrade(Broadsheet!#REF!,data!$H$4:$I$9))</f>
        <v>#</v>
      </c>
      <c r="AJ59" s="188" t="str">
        <f>IF(ISERROR(getgrade(Broadsheet!#REF!,data!$H$4:$I$9)),"#",getgrade(Broadsheet!#REF!,data!$H$4:$I$9))</f>
        <v>#</v>
      </c>
      <c r="AK59" s="188" t="str">
        <f>IF(ISERROR(getgrade(Broadsheet!#REF!,data!$H$4:$I$9)),"#",getgrade(Broadsheet!#REF!,data!$H$4:$I$9))</f>
        <v>#</v>
      </c>
      <c r="AL59" s="188" t="str">
        <f>IF(ISERROR(getgrade(Broadsheet!#REF!,data!$H$4:$I$9)),"#",getgrade(Broadsheet!#REF!,data!$H$4:$I$9))</f>
        <v>#</v>
      </c>
      <c r="AM59" s="188" t="str">
        <f>IF(ISERROR(getgrade(Broadsheet!#REF!,data!$H$4:$I$9)),"#",getgrade(Broadsheet!#REF!,data!$H$4:$I$9))</f>
        <v>#</v>
      </c>
      <c r="AN59" s="188" t="str">
        <f>IF(ISERROR(getgrade(Broadsheet!#REF!,data!$H$4:$I$9)),"#",getgrade(Broadsheet!#REF!,data!$H$4:$I$9))</f>
        <v>#</v>
      </c>
      <c r="AO59" s="188" t="str">
        <f>IF(ISERROR(getgrade(Broadsheet!#REF!,data!$H$4:$I$9)),"#",getgrade(Broadsheet!#REF!,data!$H$4:$I$9))</f>
        <v>#</v>
      </c>
      <c r="AP59" s="188" t="str">
        <f>IF(ISERROR(getgrade(Broadsheet!#REF!,data!$H$4:$I$9)),"#",getgrade(Broadsheet!#REF!,data!$H$4:$I$9))</f>
        <v>#</v>
      </c>
      <c r="AQ59" s="188" t="str">
        <f>IF(ISERROR(getgrade(Broadsheet!#REF!,data!$H$4:$I$9)),"#",getgrade(Broadsheet!#REF!,data!$H$4:$I$9))</f>
        <v>#</v>
      </c>
      <c r="AR59" s="188" t="str">
        <f>IF(ISERROR(getgrade(Broadsheet!#REF!,data!$H$4:$I$9)),"#",getgrade(Broadsheet!#REF!,data!$H$4:$I$9))</f>
        <v>#</v>
      </c>
      <c r="AS59" s="188" t="str">
        <f>IF(ISERROR(getgrade(Broadsheet!#REF!,data!$H$4:$I$9)),"#",getgrade(Broadsheet!#REF!,data!$H$4:$I$9))</f>
        <v>#</v>
      </c>
      <c r="AT59" s="188" t="str">
        <f>IF(ISERROR(getgrade(Broadsheet!#REF!,data!$H$4:$I$9)),"#",getgrade(Broadsheet!#REF!,data!$H$4:$I$9))</f>
        <v>#</v>
      </c>
      <c r="AU59" s="188" t="str">
        <f>IF(ISERROR(getgrade(Broadsheet!#REF!,data!$H$4:$I$9)),"#",getgrade(Broadsheet!#REF!,data!$H$4:$I$9))</f>
        <v>#</v>
      </c>
      <c r="AV59" s="188" t="str">
        <f>IF(ISERROR(getgrade(Broadsheet!#REF!,data!$H$4:$I$9)),"#",getgrade(Broadsheet!#REF!,data!$H$4:$I$9))</f>
        <v>#</v>
      </c>
      <c r="AW59" s="188" t="str">
        <f>IF(ISERROR(getgrade(Broadsheet!#REF!,data!$H$4:$I$9)),"#",getgrade(Broadsheet!#REF!,data!$H$4:$I$9))</f>
        <v>#</v>
      </c>
      <c r="AX59" s="188" t="str">
        <f>IF(ISERROR(getgrade(Broadsheet!#REF!,data!$H$4:$I$9)),"#",getgrade(Broadsheet!#REF!,data!$H$4:$I$9))</f>
        <v>#</v>
      </c>
      <c r="AY59" s="188" t="str">
        <f>IF(ISERROR(getgrade(Broadsheet!#REF!,data!$H$4:$I$9)),"#",getgrade(Broadsheet!#REF!,data!$H$4:$I$9))</f>
        <v>#</v>
      </c>
      <c r="AZ59" s="188" t="str">
        <f>IF(ISERROR(getgrade(Broadsheet!#REF!,data!$H$4:$I$9)),"#",getgrade(Broadsheet!#REF!,data!$H$4:$I$9))</f>
        <v>#</v>
      </c>
      <c r="BA59" s="188" t="str">
        <f>IF(ISERROR(getgrade(Broadsheet!#REF!,data!$H$4:$I$9)),"#",getgrade(Broadsheet!#REF!,data!$H$4:$I$9))</f>
        <v>#</v>
      </c>
      <c r="BB59" s="188" t="str">
        <f>IF(ISERROR(getgrade(Broadsheet!#REF!,data!$H$4:$I$9)),"#",getgrade(Broadsheet!#REF!,data!$H$4:$I$9))</f>
        <v>#</v>
      </c>
      <c r="BC59" s="188" t="str">
        <f>IF(ISERROR(getgrade(Broadsheet!#REF!,data!$H$4:$I$9)),"#",getgrade(Broadsheet!#REF!,data!$H$4:$I$9))</f>
        <v>#</v>
      </c>
      <c r="BD59" s="188" t="str">
        <f>IF(ISERROR(getgrade(Broadsheet!#REF!,data!$H$4:$I$9)),"#",getgrade(Broadsheet!#REF!,data!$H$4:$I$9))</f>
        <v>#</v>
      </c>
      <c r="BE59" s="188" t="str">
        <f>IF(ISERROR(getgrade(Broadsheet!#REF!,data!$H$4:$I$9)),"#",getgrade(Broadsheet!#REF!,data!$H$4:$I$9))</f>
        <v>#</v>
      </c>
      <c r="BF59" s="188" t="str">
        <f>IF(ISERROR(getgrade(Broadsheet!#REF!,data!$H$4:$I$9)),"#",getgrade(Broadsheet!#REF!,data!$H$4:$I$9))</f>
        <v>#</v>
      </c>
      <c r="BG59" s="188" t="str">
        <f>IF(ISERROR(getgrade(Broadsheet!#REF!,data!$H$4:$I$9)),"#",getgrade(Broadsheet!#REF!,data!$H$4:$I$9))</f>
        <v>#</v>
      </c>
      <c r="BH59" s="188" t="str">
        <f>IF(ISERROR(getgrade(Broadsheet!#REF!,data!$H$4:$I$9)),"#",getgrade(Broadsheet!#REF!,data!$H$4:$I$9))</f>
        <v>#</v>
      </c>
      <c r="BI59" s="188" t="str">
        <f>IF(ISERROR(getgrade(Broadsheet!#REF!,data!$H$4:$I$9)),"#",getgrade(Broadsheet!#REF!,data!$H$4:$I$9))</f>
        <v>#</v>
      </c>
      <c r="BJ59" s="188" t="str">
        <f>IF(ISERROR(getgrade(Broadsheet!#REF!,data!$H$4:$I$9)),"#",getgrade(Broadsheet!#REF!,data!$H$4:$I$9))</f>
        <v>#</v>
      </c>
      <c r="BK59" s="188"/>
      <c r="BL59" s="188"/>
      <c r="BM59" s="188"/>
      <c r="BN59" s="188"/>
      <c r="BO59" s="188"/>
      <c r="BP59" s="188"/>
      <c r="BQ59" s="188"/>
      <c r="BR59" s="188"/>
      <c r="BS59" s="188"/>
      <c r="BT59" s="188"/>
      <c r="BU59" s="188"/>
      <c r="BV59" s="188"/>
      <c r="BW59" s="188"/>
      <c r="BX59" s="188"/>
      <c r="BY59" s="188"/>
      <c r="BZ59" s="188"/>
      <c r="CA59" s="188"/>
      <c r="CB59" s="188"/>
      <c r="CC59" s="188"/>
      <c r="CD59" s="188"/>
      <c r="CE59" s="188"/>
      <c r="CF59" s="188"/>
      <c r="CG59" s="188"/>
      <c r="CH59" s="188"/>
      <c r="CI59" s="188"/>
      <c r="CJ59" s="188"/>
      <c r="CK59" s="188"/>
      <c r="CL59" s="188"/>
      <c r="CM59" s="188"/>
      <c r="CN59" s="188"/>
      <c r="CO59" s="188"/>
      <c r="CP59" s="188"/>
      <c r="CQ59" s="188"/>
      <c r="CR59" s="188"/>
      <c r="CS59" s="188"/>
      <c r="CT59" s="188"/>
      <c r="CU59" s="188"/>
      <c r="CV59" s="188"/>
      <c r="CW59" s="188"/>
      <c r="CX59" s="188"/>
      <c r="CY59" s="188"/>
      <c r="CZ59" s="188"/>
      <c r="DA59" s="188"/>
      <c r="DB59" s="188"/>
      <c r="DC59" s="188"/>
      <c r="DD59" s="188"/>
      <c r="DE59" s="188"/>
      <c r="DF59" s="188"/>
      <c r="DG59" s="188"/>
      <c r="DH59" s="188"/>
      <c r="DI59" s="188"/>
      <c r="DJ59" s="188"/>
      <c r="DK59" s="188"/>
      <c r="DL59" s="188"/>
      <c r="DM59" s="188"/>
      <c r="DN59" s="188"/>
      <c r="DO59" s="188"/>
      <c r="DP59" s="188"/>
      <c r="DQ59" s="188"/>
      <c r="DR59" s="188"/>
      <c r="DS59" s="188"/>
      <c r="DT59" s="188"/>
      <c r="DU59" s="188"/>
      <c r="DV59" s="188"/>
      <c r="DW59" s="188"/>
      <c r="DX59" s="188"/>
      <c r="DY59" s="188"/>
      <c r="DZ59" s="188"/>
      <c r="EA59" s="188"/>
    </row>
    <row r="60" spans="1:131" ht="15.75" x14ac:dyDescent="0.25">
      <c r="A60" s="12" t="e">
        <f>Broadsheet!#REF!</f>
        <v>#REF!</v>
      </c>
      <c r="B60" s="204" t="str">
        <f>IF(Broadsheet!B60="","",Broadsheet!B60)</f>
        <v/>
      </c>
      <c r="C60" s="24" t="str">
        <f>IF(Broadsheet!C60="","",Broadsheet!C60)</f>
        <v xml:space="preserve"> </v>
      </c>
      <c r="D60" s="24"/>
      <c r="E60" s="24"/>
      <c r="F60" s="24"/>
      <c r="G60" s="24" t="str">
        <f t="shared" ca="1" si="0"/>
        <v xml:space="preserve">MTH110/3/#, MTH111/3/#, PHY111/3/#, PHY112/3/#, CHM111/3/#, CHM112/3/#, GST111/3/#, GST112/3/#, 0//#, 0//#, CHE211//#, CVE211//#, MEE211//#, //#, //#, //#, //#, //#, //#, //#, //#, //#, //#, //#, //#, </v>
      </c>
      <c r="H60" s="188" t="str">
        <f>IF(ISERROR(getgrade(Broadsheet!#REF!,data!$H$4:$I$9)),"#",getgrade(Broadsheet!#REF!,data!$H$4:$I$9))</f>
        <v>#</v>
      </c>
      <c r="I60" s="188" t="str">
        <f>IF(ISERROR(getgrade(Broadsheet!#REF!,data!$H$4:$I$9)),"#",getgrade(Broadsheet!#REF!,data!$H$4:$I$9))</f>
        <v>#</v>
      </c>
      <c r="J60" s="188" t="str">
        <f>IF(ISERROR(getgrade(Broadsheet!#REF!,data!$H$4:$I$9)),"#",getgrade(Broadsheet!#REF!,data!$H$4:$I$9))</f>
        <v>#</v>
      </c>
      <c r="K60" s="188" t="str">
        <f>IF(ISERROR(getgrade(Broadsheet!#REF!,data!$H$4:$I$9)),"#",getgrade(Broadsheet!#REF!,data!$H$4:$I$9))</f>
        <v>#</v>
      </c>
      <c r="L60" s="188" t="str">
        <f>IF(ISERROR(getgrade(Broadsheet!#REF!,data!$H$4:$I$9)),"#",getgrade(Broadsheet!#REF!,data!$H$4:$I$9))</f>
        <v>#</v>
      </c>
      <c r="M60" s="188" t="str">
        <f>IF(ISERROR(getgrade(Broadsheet!#REF!,data!$H$4:$I$9)),"#",getgrade(Broadsheet!#REF!,data!$H$4:$I$9))</f>
        <v>#</v>
      </c>
      <c r="N60" s="188" t="str">
        <f>IF(ISERROR(getgrade(Broadsheet!#REF!,data!$H$4:$I$9)),"#",getgrade(Broadsheet!#REF!,data!$H$4:$I$9))</f>
        <v>#</v>
      </c>
      <c r="O60" s="188" t="str">
        <f>IF(ISERROR(getgrade(Broadsheet!#REF!,data!$H$4:$I$9)),"#",getgrade(Broadsheet!#REF!,data!$H$4:$I$9))</f>
        <v>#</v>
      </c>
      <c r="P60" s="188" t="str">
        <f>IF(ISERROR(getgrade(Broadsheet!#REF!,data!$H$4:$I$9)),"#",getgrade(Broadsheet!#REF!,data!$H$4:$I$9))</f>
        <v>#</v>
      </c>
      <c r="Q60" s="188" t="str">
        <f>IF(ISERROR(getgrade(Broadsheet!#REF!,data!$H$4:$I$9)),"#",getgrade(Broadsheet!#REF!,data!$H$4:$I$9))</f>
        <v>#</v>
      </c>
      <c r="R60" s="188" t="str">
        <f>IF(ISERROR(getgrade(Broadsheet!#REF!,data!$H$4:$I$9)),"#",getgrade(Broadsheet!#REF!,data!$H$4:$I$9))</f>
        <v>#</v>
      </c>
      <c r="S60" s="188" t="str">
        <f>IF(ISERROR(getgrade(Broadsheet!#REF!,data!$H$4:$I$9)),"#",getgrade(Broadsheet!#REF!,data!$H$4:$I$9))</f>
        <v>#</v>
      </c>
      <c r="T60" s="188" t="str">
        <f>IF(ISERROR(getgrade(Broadsheet!#REF!,data!$H$4:$I$9)),"#",getgrade(Broadsheet!#REF!,data!$H$4:$I$9))</f>
        <v>#</v>
      </c>
      <c r="U60" s="188" t="str">
        <f>IF(ISERROR(getgrade(Broadsheet!#REF!,data!$H$4:$I$9)),"#",getgrade(Broadsheet!#REF!,data!$H$4:$I$9))</f>
        <v>#</v>
      </c>
      <c r="V60" s="188" t="str">
        <f>IF(ISERROR(getgrade(Broadsheet!#REF!,data!$H$4:$I$9)),"#",getgrade(Broadsheet!#REF!,data!$H$4:$I$9))</f>
        <v>#</v>
      </c>
      <c r="W60" s="188" t="str">
        <f>IF(ISERROR(getgrade(Broadsheet!#REF!,data!$H$4:$I$9)),"#",getgrade(Broadsheet!#REF!,data!$H$4:$I$9))</f>
        <v>#</v>
      </c>
      <c r="X60" s="188" t="str">
        <f>IF(ISERROR(getgrade(Broadsheet!#REF!,data!$H$4:$I$9)),"#",getgrade(Broadsheet!#REF!,data!$H$4:$I$9))</f>
        <v>#</v>
      </c>
      <c r="Y60" s="188" t="str">
        <f>IF(ISERROR(getgrade(Broadsheet!#REF!,data!$H$4:$I$9)),"#",getgrade(Broadsheet!#REF!,data!$H$4:$I$9))</f>
        <v>#</v>
      </c>
      <c r="Z60" s="188" t="str">
        <f>IF(ISERROR(getgrade(Broadsheet!#REF!,data!$H$4:$I$9)),"#",getgrade(Broadsheet!#REF!,data!$H$4:$I$9))</f>
        <v>#</v>
      </c>
      <c r="AA60" s="188" t="str">
        <f>IF(ISERROR(getgrade(Broadsheet!#REF!,data!$H$4:$I$9)),"#",getgrade(Broadsheet!#REF!,data!$H$4:$I$9))</f>
        <v>#</v>
      </c>
      <c r="AB60" s="188" t="str">
        <f>IF(ISERROR(getgrade(Broadsheet!#REF!,data!$H$4:$I$9)),"#",getgrade(Broadsheet!#REF!,data!$H$4:$I$9))</f>
        <v>#</v>
      </c>
      <c r="AC60" s="188" t="str">
        <f>IF(ISERROR(getgrade(Broadsheet!#REF!,data!$H$4:$I$9)),"#",getgrade(Broadsheet!#REF!,data!$H$4:$I$9))</f>
        <v>#</v>
      </c>
      <c r="AD60" s="188" t="str">
        <f>IF(ISERROR(getgrade(Broadsheet!#REF!,data!$H$4:$I$9)),"#",getgrade(Broadsheet!#REF!,data!$H$4:$I$9))</f>
        <v>#</v>
      </c>
      <c r="AE60" s="188" t="str">
        <f>IF(ISERROR(getgrade(Broadsheet!#REF!,data!$H$4:$I$9)),"#",getgrade(Broadsheet!#REF!,data!$H$4:$I$9))</f>
        <v>#</v>
      </c>
      <c r="AF60" s="188" t="str">
        <f>IF(ISERROR(getgrade(Broadsheet!#REF!,data!$H$4:$I$9)),"#",getgrade(Broadsheet!#REF!,data!$H$4:$I$9))</f>
        <v>#</v>
      </c>
      <c r="AG60" s="188" t="str">
        <f>IF(ISERROR(getgrade(Broadsheet!#REF!,data!$H$4:$I$9)),"#",getgrade(Broadsheet!#REF!,data!$H$4:$I$9))</f>
        <v>#</v>
      </c>
      <c r="AH60" s="188" t="str">
        <f>IF(ISERROR(getgrade(Broadsheet!#REF!,data!$H$4:$I$9)),"#",getgrade(Broadsheet!#REF!,data!$H$4:$I$9))</f>
        <v>#</v>
      </c>
      <c r="AI60" s="188" t="str">
        <f>IF(ISERROR(getgrade(Broadsheet!#REF!,data!$H$4:$I$9)),"#",getgrade(Broadsheet!#REF!,data!$H$4:$I$9))</f>
        <v>#</v>
      </c>
      <c r="AJ60" s="188" t="str">
        <f>IF(ISERROR(getgrade(Broadsheet!#REF!,data!$H$4:$I$9)),"#",getgrade(Broadsheet!#REF!,data!$H$4:$I$9))</f>
        <v>#</v>
      </c>
      <c r="AK60" s="188" t="str">
        <f>IF(ISERROR(getgrade(Broadsheet!#REF!,data!$H$4:$I$9)),"#",getgrade(Broadsheet!#REF!,data!$H$4:$I$9))</f>
        <v>#</v>
      </c>
      <c r="AL60" s="188" t="str">
        <f>IF(ISERROR(getgrade(Broadsheet!#REF!,data!$H$4:$I$9)),"#",getgrade(Broadsheet!#REF!,data!$H$4:$I$9))</f>
        <v>#</v>
      </c>
      <c r="AM60" s="188" t="str">
        <f>IF(ISERROR(getgrade(Broadsheet!#REF!,data!$H$4:$I$9)),"#",getgrade(Broadsheet!#REF!,data!$H$4:$I$9))</f>
        <v>#</v>
      </c>
      <c r="AN60" s="188" t="str">
        <f>IF(ISERROR(getgrade(Broadsheet!#REF!,data!$H$4:$I$9)),"#",getgrade(Broadsheet!#REF!,data!$H$4:$I$9))</f>
        <v>#</v>
      </c>
      <c r="AO60" s="188" t="str">
        <f>IF(ISERROR(getgrade(Broadsheet!#REF!,data!$H$4:$I$9)),"#",getgrade(Broadsheet!#REF!,data!$H$4:$I$9))</f>
        <v>#</v>
      </c>
      <c r="AP60" s="188" t="str">
        <f>IF(ISERROR(getgrade(Broadsheet!#REF!,data!$H$4:$I$9)),"#",getgrade(Broadsheet!#REF!,data!$H$4:$I$9))</f>
        <v>#</v>
      </c>
      <c r="AQ60" s="188" t="str">
        <f>IF(ISERROR(getgrade(Broadsheet!#REF!,data!$H$4:$I$9)),"#",getgrade(Broadsheet!#REF!,data!$H$4:$I$9))</f>
        <v>#</v>
      </c>
      <c r="AR60" s="188" t="str">
        <f>IF(ISERROR(getgrade(Broadsheet!#REF!,data!$H$4:$I$9)),"#",getgrade(Broadsheet!#REF!,data!$H$4:$I$9))</f>
        <v>#</v>
      </c>
      <c r="AS60" s="188" t="str">
        <f>IF(ISERROR(getgrade(Broadsheet!#REF!,data!$H$4:$I$9)),"#",getgrade(Broadsheet!#REF!,data!$H$4:$I$9))</f>
        <v>#</v>
      </c>
      <c r="AT60" s="188" t="str">
        <f>IF(ISERROR(getgrade(Broadsheet!#REF!,data!$H$4:$I$9)),"#",getgrade(Broadsheet!#REF!,data!$H$4:$I$9))</f>
        <v>#</v>
      </c>
      <c r="AU60" s="188" t="str">
        <f>IF(ISERROR(getgrade(Broadsheet!#REF!,data!$H$4:$I$9)),"#",getgrade(Broadsheet!#REF!,data!$H$4:$I$9))</f>
        <v>#</v>
      </c>
      <c r="AV60" s="188" t="str">
        <f>IF(ISERROR(getgrade(Broadsheet!#REF!,data!$H$4:$I$9)),"#",getgrade(Broadsheet!#REF!,data!$H$4:$I$9))</f>
        <v>#</v>
      </c>
      <c r="AW60" s="188" t="str">
        <f>IF(ISERROR(getgrade(Broadsheet!#REF!,data!$H$4:$I$9)),"#",getgrade(Broadsheet!#REF!,data!$H$4:$I$9))</f>
        <v>#</v>
      </c>
      <c r="AX60" s="188" t="str">
        <f>IF(ISERROR(getgrade(Broadsheet!#REF!,data!$H$4:$I$9)),"#",getgrade(Broadsheet!#REF!,data!$H$4:$I$9))</f>
        <v>#</v>
      </c>
      <c r="AY60" s="188" t="str">
        <f>IF(ISERROR(getgrade(Broadsheet!#REF!,data!$H$4:$I$9)),"#",getgrade(Broadsheet!#REF!,data!$H$4:$I$9))</f>
        <v>#</v>
      </c>
      <c r="AZ60" s="188" t="str">
        <f>IF(ISERROR(getgrade(Broadsheet!#REF!,data!$H$4:$I$9)),"#",getgrade(Broadsheet!#REF!,data!$H$4:$I$9))</f>
        <v>#</v>
      </c>
      <c r="BA60" s="188" t="str">
        <f>IF(ISERROR(getgrade(Broadsheet!#REF!,data!$H$4:$I$9)),"#",getgrade(Broadsheet!#REF!,data!$H$4:$I$9))</f>
        <v>#</v>
      </c>
      <c r="BB60" s="188" t="str">
        <f>IF(ISERROR(getgrade(Broadsheet!#REF!,data!$H$4:$I$9)),"#",getgrade(Broadsheet!#REF!,data!$H$4:$I$9))</f>
        <v>#</v>
      </c>
      <c r="BC60" s="188" t="str">
        <f>IF(ISERROR(getgrade(Broadsheet!#REF!,data!$H$4:$I$9)),"#",getgrade(Broadsheet!#REF!,data!$H$4:$I$9))</f>
        <v>#</v>
      </c>
      <c r="BD60" s="188" t="str">
        <f>IF(ISERROR(getgrade(Broadsheet!#REF!,data!$H$4:$I$9)),"#",getgrade(Broadsheet!#REF!,data!$H$4:$I$9))</f>
        <v>#</v>
      </c>
      <c r="BE60" s="188" t="str">
        <f>IF(ISERROR(getgrade(Broadsheet!#REF!,data!$H$4:$I$9)),"#",getgrade(Broadsheet!#REF!,data!$H$4:$I$9))</f>
        <v>#</v>
      </c>
      <c r="BF60" s="188" t="str">
        <f>IF(ISERROR(getgrade(Broadsheet!#REF!,data!$H$4:$I$9)),"#",getgrade(Broadsheet!#REF!,data!$H$4:$I$9))</f>
        <v>#</v>
      </c>
      <c r="BG60" s="188" t="str">
        <f>IF(ISERROR(getgrade(Broadsheet!#REF!,data!$H$4:$I$9)),"#",getgrade(Broadsheet!#REF!,data!$H$4:$I$9))</f>
        <v>#</v>
      </c>
      <c r="BH60" s="188" t="str">
        <f>IF(ISERROR(getgrade(Broadsheet!#REF!,data!$H$4:$I$9)),"#",getgrade(Broadsheet!#REF!,data!$H$4:$I$9))</f>
        <v>#</v>
      </c>
      <c r="BI60" s="188" t="str">
        <f>IF(ISERROR(getgrade(Broadsheet!#REF!,data!$H$4:$I$9)),"#",getgrade(Broadsheet!#REF!,data!$H$4:$I$9))</f>
        <v>#</v>
      </c>
      <c r="BJ60" s="188" t="str">
        <f>IF(ISERROR(getgrade(Broadsheet!#REF!,data!$H$4:$I$9)),"#",getgrade(Broadsheet!#REF!,data!$H$4:$I$9))</f>
        <v>#</v>
      </c>
      <c r="BK60" s="188"/>
      <c r="BL60" s="188"/>
      <c r="BM60" s="188"/>
      <c r="BN60" s="188"/>
      <c r="BO60" s="188"/>
      <c r="BP60" s="188"/>
      <c r="BQ60" s="188"/>
      <c r="BR60" s="188"/>
      <c r="BS60" s="188"/>
      <c r="BT60" s="188"/>
      <c r="BU60" s="188"/>
      <c r="BV60" s="188"/>
      <c r="BW60" s="188"/>
      <c r="BX60" s="188"/>
      <c r="BY60" s="188"/>
      <c r="BZ60" s="188"/>
      <c r="CA60" s="188"/>
      <c r="CB60" s="188"/>
      <c r="CC60" s="188"/>
      <c r="CD60" s="188"/>
      <c r="CE60" s="188"/>
      <c r="CF60" s="188"/>
      <c r="CG60" s="188"/>
      <c r="CH60" s="188"/>
      <c r="CI60" s="188"/>
      <c r="CJ60" s="188"/>
      <c r="CK60" s="188"/>
      <c r="CL60" s="188"/>
      <c r="CM60" s="188"/>
      <c r="CN60" s="188"/>
      <c r="CO60" s="188"/>
      <c r="CP60" s="188"/>
      <c r="CQ60" s="188"/>
      <c r="CR60" s="188"/>
      <c r="CS60" s="188"/>
      <c r="CT60" s="188"/>
      <c r="CU60" s="188"/>
      <c r="CV60" s="188"/>
      <c r="CW60" s="188"/>
      <c r="CX60" s="188"/>
      <c r="CY60" s="188"/>
      <c r="CZ60" s="188"/>
      <c r="DA60" s="188"/>
      <c r="DB60" s="188"/>
      <c r="DC60" s="188"/>
      <c r="DD60" s="188"/>
      <c r="DE60" s="188"/>
      <c r="DF60" s="188"/>
      <c r="DG60" s="188"/>
      <c r="DH60" s="188"/>
      <c r="DI60" s="188"/>
      <c r="DJ60" s="188"/>
      <c r="DK60" s="188"/>
      <c r="DL60" s="188"/>
      <c r="DM60" s="188"/>
      <c r="DN60" s="188"/>
      <c r="DO60" s="188"/>
      <c r="DP60" s="188"/>
      <c r="DQ60" s="188"/>
      <c r="DR60" s="188"/>
      <c r="DS60" s="188"/>
      <c r="DT60" s="188"/>
      <c r="DU60" s="188"/>
      <c r="DV60" s="188"/>
      <c r="DW60" s="188"/>
      <c r="DX60" s="188"/>
      <c r="DY60" s="188"/>
      <c r="DZ60" s="188"/>
      <c r="EA60" s="188"/>
    </row>
    <row r="61" spans="1:131" ht="15.75" x14ac:dyDescent="0.25">
      <c r="A61" s="12">
        <f>Broadsheet!A171</f>
        <v>0</v>
      </c>
      <c r="B61" s="204" t="str">
        <f>IF(Broadsheet!B61="","",Broadsheet!B61)</f>
        <v/>
      </c>
      <c r="C61" s="24" t="str">
        <f>IF(Broadsheet!C61="","",Broadsheet!C61)</f>
        <v xml:space="preserve"> </v>
      </c>
      <c r="D61" s="24"/>
      <c r="E61" s="24"/>
      <c r="F61" s="24"/>
      <c r="G61" s="24" t="str">
        <f t="shared" si="0"/>
        <v/>
      </c>
      <c r="H61" s="188" t="str">
        <f>IF(ISERROR(getgrade(Broadsheet!H171,data!$H$4:$I$9)),"#",getgrade(Broadsheet!H171,data!$H$4:$I$9))</f>
        <v/>
      </c>
      <c r="I61" s="188" t="str">
        <f>IF(ISERROR(getgrade(Broadsheet!I171,data!$H$4:$I$9)),"#",getgrade(Broadsheet!I171,data!$H$4:$I$9))</f>
        <v/>
      </c>
      <c r="J61" s="188" t="str">
        <f>IF(ISERROR(getgrade(Broadsheet!J171,data!$H$4:$I$9)),"#",getgrade(Broadsheet!J171,data!$H$4:$I$9))</f>
        <v/>
      </c>
      <c r="K61" s="188" t="str">
        <f>IF(ISERROR(getgrade(Broadsheet!K171,data!$H$4:$I$9)),"#",getgrade(Broadsheet!K171,data!$H$4:$I$9))</f>
        <v/>
      </c>
      <c r="L61" s="188" t="str">
        <f>IF(ISERROR(getgrade(Broadsheet!L171,data!$H$4:$I$9)),"#",getgrade(Broadsheet!L171,data!$H$4:$I$9))</f>
        <v/>
      </c>
      <c r="M61" s="188" t="str">
        <f>IF(ISERROR(getgrade(Broadsheet!M171,data!$H$4:$I$9)),"#",getgrade(Broadsheet!M171,data!$H$4:$I$9))</f>
        <v/>
      </c>
      <c r="N61" s="188" t="str">
        <f>IF(ISERROR(getgrade(Broadsheet!N171,data!$H$4:$I$9)),"#",getgrade(Broadsheet!N171,data!$H$4:$I$9))</f>
        <v/>
      </c>
      <c r="O61" s="188" t="str">
        <f>IF(ISERROR(getgrade(Broadsheet!O171,data!$H$4:$I$9)),"#",getgrade(Broadsheet!O171,data!$H$4:$I$9))</f>
        <v/>
      </c>
      <c r="P61" s="188" t="str">
        <f>IF(ISERROR(getgrade(Broadsheet!P171,data!$H$4:$I$9)),"#",getgrade(Broadsheet!P171,data!$H$4:$I$9))</f>
        <v/>
      </c>
      <c r="Q61" s="188" t="str">
        <f>IF(ISERROR(getgrade(Broadsheet!Q171,data!$H$4:$I$9)),"#",getgrade(Broadsheet!Q171,data!$H$4:$I$9))</f>
        <v/>
      </c>
      <c r="R61" s="188" t="str">
        <f>IF(ISERROR(getgrade(Broadsheet!R171,data!$H$4:$I$9)),"#",getgrade(Broadsheet!R171,data!$H$4:$I$9))</f>
        <v/>
      </c>
      <c r="S61" s="188" t="str">
        <f>IF(ISERROR(getgrade(Broadsheet!S171,data!$H$4:$I$9)),"#",getgrade(Broadsheet!S171,data!$H$4:$I$9))</f>
        <v/>
      </c>
      <c r="T61" s="188" t="str">
        <f>IF(ISERROR(getgrade(Broadsheet!T171,data!$H$4:$I$9)),"#",getgrade(Broadsheet!T171,data!$H$4:$I$9))</f>
        <v/>
      </c>
      <c r="U61" s="188" t="str">
        <f>IF(ISERROR(getgrade(Broadsheet!U171,data!$H$4:$I$9)),"#",getgrade(Broadsheet!U171,data!$H$4:$I$9))</f>
        <v/>
      </c>
      <c r="V61" s="188" t="str">
        <f>IF(ISERROR(getgrade(Broadsheet!V171,data!$H$4:$I$9)),"#",getgrade(Broadsheet!V171,data!$H$4:$I$9))</f>
        <v/>
      </c>
      <c r="W61" s="188" t="str">
        <f>IF(ISERROR(getgrade(Broadsheet!W171,data!$H$4:$I$9)),"#",getgrade(Broadsheet!W171,data!$H$4:$I$9))</f>
        <v/>
      </c>
      <c r="X61" s="188" t="str">
        <f>IF(ISERROR(getgrade(Broadsheet!X171,data!$H$4:$I$9)),"#",getgrade(Broadsheet!X171,data!$H$4:$I$9))</f>
        <v/>
      </c>
      <c r="Y61" s="188" t="str">
        <f>IF(ISERROR(getgrade(Broadsheet!Y171,data!$H$4:$I$9)),"#",getgrade(Broadsheet!Y171,data!$H$4:$I$9))</f>
        <v/>
      </c>
      <c r="Z61" s="188" t="str">
        <f>IF(ISERROR(getgrade(Broadsheet!Z171,data!$H$4:$I$9)),"#",getgrade(Broadsheet!Z171,data!$H$4:$I$9))</f>
        <v/>
      </c>
      <c r="AA61" s="188" t="str">
        <f>IF(ISERROR(getgrade(Broadsheet!AA171,data!$H$4:$I$9)),"#",getgrade(Broadsheet!AA171,data!$H$4:$I$9))</f>
        <v/>
      </c>
      <c r="AB61" s="188" t="str">
        <f>IF(ISERROR(getgrade(Broadsheet!AB171,data!$H$4:$I$9)),"#",getgrade(Broadsheet!AB171,data!$H$4:$I$9))</f>
        <v/>
      </c>
      <c r="AC61" s="188" t="str">
        <f>IF(ISERROR(getgrade(Broadsheet!AC171,data!$H$4:$I$9)),"#",getgrade(Broadsheet!AC171,data!$H$4:$I$9))</f>
        <v/>
      </c>
      <c r="AD61" s="188" t="str">
        <f>IF(ISERROR(getgrade(Broadsheet!AD171,data!$H$4:$I$9)),"#",getgrade(Broadsheet!AD171,data!$H$4:$I$9))</f>
        <v/>
      </c>
      <c r="AE61" s="188" t="str">
        <f>IF(ISERROR(getgrade(Broadsheet!AE171,data!$H$4:$I$9)),"#",getgrade(Broadsheet!AE171,data!$H$4:$I$9))</f>
        <v/>
      </c>
      <c r="AF61" s="188" t="str">
        <f>IF(ISERROR(getgrade(Broadsheet!AF171,data!$H$4:$I$9)),"#",getgrade(Broadsheet!AF171,data!$H$4:$I$9))</f>
        <v/>
      </c>
      <c r="AG61" s="188" t="str">
        <f>IF(ISERROR(getgrade(Broadsheet!AG171,data!$H$4:$I$9)),"#",getgrade(Broadsheet!AG171,data!$H$4:$I$9))</f>
        <v/>
      </c>
      <c r="AH61" s="188" t="str">
        <f>IF(ISERROR(getgrade(Broadsheet!AH171,data!$H$4:$I$9)),"#",getgrade(Broadsheet!AH171,data!$H$4:$I$9))</f>
        <v/>
      </c>
      <c r="AI61" s="188" t="str">
        <f>IF(ISERROR(getgrade(Broadsheet!AI171,data!$H$4:$I$9)),"#",getgrade(Broadsheet!AI171,data!$H$4:$I$9))</f>
        <v/>
      </c>
      <c r="AJ61" s="188" t="str">
        <f>IF(ISERROR(getgrade(Broadsheet!AJ171,data!$H$4:$I$9)),"#",getgrade(Broadsheet!AJ171,data!$H$4:$I$9))</f>
        <v/>
      </c>
      <c r="AK61" s="188" t="str">
        <f>IF(ISERROR(getgrade(Broadsheet!AK171,data!$H$4:$I$9)),"#",getgrade(Broadsheet!AK171,data!$H$4:$I$9))</f>
        <v/>
      </c>
      <c r="AL61" s="188" t="str">
        <f>IF(ISERROR(getgrade(Broadsheet!AL171,data!$H$4:$I$9)),"#",getgrade(Broadsheet!AL171,data!$H$4:$I$9))</f>
        <v/>
      </c>
      <c r="AM61" s="188" t="str">
        <f>IF(ISERROR(getgrade(Broadsheet!AM171,data!$H$4:$I$9)),"#",getgrade(Broadsheet!AM171,data!$H$4:$I$9))</f>
        <v/>
      </c>
      <c r="AN61" s="188" t="str">
        <f>IF(ISERROR(getgrade(Broadsheet!AN171,data!$H$4:$I$9)),"#",getgrade(Broadsheet!AN171,data!$H$4:$I$9))</f>
        <v/>
      </c>
      <c r="AO61" s="188" t="str">
        <f>IF(ISERROR(getgrade(Broadsheet!AO171,data!$H$4:$I$9)),"#",getgrade(Broadsheet!AO171,data!$H$4:$I$9))</f>
        <v/>
      </c>
      <c r="AP61" s="188" t="str">
        <f>IF(ISERROR(getgrade(Broadsheet!AP171,data!$H$4:$I$9)),"#",getgrade(Broadsheet!AP171,data!$H$4:$I$9))</f>
        <v/>
      </c>
      <c r="AQ61" s="188" t="str">
        <f>IF(ISERROR(getgrade(Broadsheet!AQ171,data!$H$4:$I$9)),"#",getgrade(Broadsheet!AQ171,data!$H$4:$I$9))</f>
        <v/>
      </c>
      <c r="AR61" s="188" t="str">
        <f>IF(ISERROR(getgrade(Broadsheet!AR171,data!$H$4:$I$9)),"#",getgrade(Broadsheet!AR171,data!$H$4:$I$9))</f>
        <v/>
      </c>
      <c r="AS61" s="188" t="str">
        <f>IF(ISERROR(getgrade(Broadsheet!AS171,data!$H$4:$I$9)),"#",getgrade(Broadsheet!AS171,data!$H$4:$I$9))</f>
        <v/>
      </c>
      <c r="AT61" s="188" t="str">
        <f>IF(ISERROR(getgrade(Broadsheet!AT171,data!$H$4:$I$9)),"#",getgrade(Broadsheet!AT171,data!$H$4:$I$9))</f>
        <v/>
      </c>
      <c r="AU61" s="188" t="str">
        <f>IF(ISERROR(getgrade(Broadsheet!AU171,data!$H$4:$I$9)),"#",getgrade(Broadsheet!AU171,data!$H$4:$I$9))</f>
        <v/>
      </c>
      <c r="AV61" s="188" t="str">
        <f>IF(ISERROR(getgrade(Broadsheet!AV171,data!$H$4:$I$9)),"#",getgrade(Broadsheet!AV171,data!$H$4:$I$9))</f>
        <v/>
      </c>
      <c r="AW61" s="188" t="str">
        <f>IF(ISERROR(getgrade(Broadsheet!AW171,data!$H$4:$I$9)),"#",getgrade(Broadsheet!AW171,data!$H$4:$I$9))</f>
        <v/>
      </c>
      <c r="AX61" s="188" t="str">
        <f>IF(ISERROR(getgrade(Broadsheet!AX171,data!$H$4:$I$9)),"#",getgrade(Broadsheet!AX171,data!$H$4:$I$9))</f>
        <v/>
      </c>
      <c r="AY61" s="188" t="str">
        <f>IF(ISERROR(getgrade(Broadsheet!AY171,data!$H$4:$I$9)),"#",getgrade(Broadsheet!AY171,data!$H$4:$I$9))</f>
        <v/>
      </c>
      <c r="AZ61" s="188" t="str">
        <f>IF(ISERROR(getgrade(Broadsheet!AZ171,data!$H$4:$I$9)),"#",getgrade(Broadsheet!AZ171,data!$H$4:$I$9))</f>
        <v/>
      </c>
      <c r="BA61" s="188" t="str">
        <f>IF(ISERROR(getgrade(Broadsheet!BA171,data!$H$4:$I$9)),"#",getgrade(Broadsheet!BA171,data!$H$4:$I$9))</f>
        <v/>
      </c>
      <c r="BB61" s="188" t="str">
        <f>IF(ISERROR(getgrade(Broadsheet!BB171,data!$H$4:$I$9)),"#",getgrade(Broadsheet!BB171,data!$H$4:$I$9))</f>
        <v/>
      </c>
      <c r="BC61" s="188" t="str">
        <f>IF(ISERROR(getgrade(Broadsheet!BC171,data!$H$4:$I$9)),"#",getgrade(Broadsheet!BC171,data!$H$4:$I$9))</f>
        <v/>
      </c>
      <c r="BD61" s="188" t="str">
        <f>IF(ISERROR(getgrade(Broadsheet!BD171,data!$H$4:$I$9)),"#",getgrade(Broadsheet!BD171,data!$H$4:$I$9))</f>
        <v/>
      </c>
      <c r="BE61" s="188" t="str">
        <f>IF(ISERROR(getgrade(Broadsheet!BE171,data!$H$4:$I$9)),"#",getgrade(Broadsheet!BE171,data!$H$4:$I$9))</f>
        <v/>
      </c>
      <c r="BF61" s="188" t="str">
        <f>IF(ISERROR(getgrade(Broadsheet!BF171,data!$H$4:$I$9)),"#",getgrade(Broadsheet!BF171,data!$H$4:$I$9))</f>
        <v/>
      </c>
      <c r="BG61" s="188" t="str">
        <f>IF(ISERROR(getgrade(Broadsheet!BG171,data!$H$4:$I$9)),"#",getgrade(Broadsheet!BG171,data!$H$4:$I$9))</f>
        <v/>
      </c>
      <c r="BH61" s="188" t="str">
        <f>IF(ISERROR(getgrade(Broadsheet!BH171,data!$H$4:$I$9)),"#",getgrade(Broadsheet!BH171,data!$H$4:$I$9))</f>
        <v/>
      </c>
      <c r="BI61" s="188" t="str">
        <f>IF(ISERROR(getgrade(Broadsheet!BI171,data!$H$4:$I$9)),"#",getgrade(Broadsheet!BI171,data!$H$4:$I$9))</f>
        <v/>
      </c>
      <c r="BJ61" s="188" t="str">
        <f>IF(ISERROR(getgrade(Broadsheet!BJ171,data!$H$4:$I$9)),"#",getgrade(Broadsheet!BJ171,data!$H$4:$I$9))</f>
        <v/>
      </c>
      <c r="BK61" s="188"/>
      <c r="BL61" s="188"/>
      <c r="BM61" s="188"/>
      <c r="BN61" s="188"/>
      <c r="BO61" s="188"/>
      <c r="BP61" s="188"/>
      <c r="BQ61" s="188"/>
      <c r="BR61" s="188"/>
      <c r="BS61" s="188"/>
      <c r="BT61" s="188"/>
      <c r="BU61" s="188"/>
      <c r="BV61" s="188"/>
      <c r="BW61" s="188"/>
      <c r="BX61" s="188"/>
      <c r="BY61" s="188"/>
      <c r="BZ61" s="188"/>
      <c r="CA61" s="188"/>
      <c r="CB61" s="188"/>
      <c r="CC61" s="188"/>
      <c r="CD61" s="188"/>
      <c r="CE61" s="188"/>
      <c r="CF61" s="188"/>
      <c r="CG61" s="188"/>
      <c r="CH61" s="188"/>
      <c r="CI61" s="188"/>
      <c r="CJ61" s="188"/>
      <c r="CK61" s="188"/>
      <c r="CL61" s="188"/>
      <c r="CM61" s="188"/>
      <c r="CN61" s="188"/>
      <c r="CO61" s="188"/>
      <c r="CP61" s="188"/>
      <c r="CQ61" s="188"/>
      <c r="CR61" s="188"/>
      <c r="CS61" s="188"/>
      <c r="CT61" s="188"/>
      <c r="CU61" s="188"/>
      <c r="CV61" s="188"/>
      <c r="CW61" s="188"/>
      <c r="CX61" s="188"/>
      <c r="CY61" s="188"/>
      <c r="CZ61" s="188"/>
      <c r="DA61" s="188"/>
      <c r="DB61" s="188"/>
      <c r="DC61" s="188"/>
      <c r="DD61" s="188"/>
      <c r="DE61" s="188"/>
      <c r="DF61" s="188"/>
      <c r="DG61" s="188"/>
      <c r="DH61" s="188"/>
      <c r="DI61" s="188"/>
      <c r="DJ61" s="188"/>
      <c r="DK61" s="188"/>
      <c r="DL61" s="188"/>
      <c r="DM61" s="188"/>
      <c r="DN61" s="188"/>
      <c r="DO61" s="188"/>
      <c r="DP61" s="188"/>
      <c r="DQ61" s="188"/>
      <c r="DR61" s="188"/>
      <c r="DS61" s="188"/>
      <c r="DT61" s="188"/>
      <c r="DU61" s="188"/>
      <c r="DV61" s="188"/>
      <c r="DW61" s="188"/>
      <c r="DX61" s="188"/>
      <c r="DY61" s="188"/>
      <c r="DZ61" s="188"/>
      <c r="EA61" s="188"/>
    </row>
    <row r="62" spans="1:131" ht="15.75" x14ac:dyDescent="0.25">
      <c r="A62" s="12">
        <f>Broadsheet!A173</f>
        <v>0</v>
      </c>
      <c r="B62" s="204" t="str">
        <f>IF(Broadsheet!B62="","",Broadsheet!B62)</f>
        <v/>
      </c>
      <c r="C62" s="24" t="str">
        <f>IF(Broadsheet!C62="","",Broadsheet!C62)</f>
        <v xml:space="preserve"> </v>
      </c>
      <c r="D62" s="24"/>
      <c r="E62" s="24"/>
      <c r="F62" s="24"/>
      <c r="G62" s="24" t="str">
        <f t="shared" si="0"/>
        <v/>
      </c>
      <c r="H62" s="188" t="str">
        <f>IF(ISERROR(getgrade(Broadsheet!H173,data!$H$4:$I$9)),"#",getgrade(Broadsheet!H173,data!$H$4:$I$9))</f>
        <v/>
      </c>
      <c r="I62" s="188" t="str">
        <f>IF(ISERROR(getgrade(Broadsheet!I173,data!$H$4:$I$9)),"#",getgrade(Broadsheet!I173,data!$H$4:$I$9))</f>
        <v/>
      </c>
      <c r="J62" s="188" t="str">
        <f>IF(ISERROR(getgrade(Broadsheet!J173,data!$H$4:$I$9)),"#",getgrade(Broadsheet!J173,data!$H$4:$I$9))</f>
        <v/>
      </c>
      <c r="K62" s="188" t="str">
        <f>IF(ISERROR(getgrade(Broadsheet!K173,data!$H$4:$I$9)),"#",getgrade(Broadsheet!K173,data!$H$4:$I$9))</f>
        <v/>
      </c>
      <c r="L62" s="188" t="str">
        <f>IF(ISERROR(getgrade(Broadsheet!L173,data!$H$4:$I$9)),"#",getgrade(Broadsheet!L173,data!$H$4:$I$9))</f>
        <v/>
      </c>
      <c r="M62" s="188" t="str">
        <f>IF(ISERROR(getgrade(Broadsheet!M173,data!$H$4:$I$9)),"#",getgrade(Broadsheet!M173,data!$H$4:$I$9))</f>
        <v/>
      </c>
      <c r="N62" s="188" t="str">
        <f>IF(ISERROR(getgrade(Broadsheet!N173,data!$H$4:$I$9)),"#",getgrade(Broadsheet!N173,data!$H$4:$I$9))</f>
        <v/>
      </c>
      <c r="O62" s="188" t="str">
        <f>IF(ISERROR(getgrade(Broadsheet!O173,data!$H$4:$I$9)),"#",getgrade(Broadsheet!O173,data!$H$4:$I$9))</f>
        <v/>
      </c>
      <c r="P62" s="188" t="str">
        <f>IF(ISERROR(getgrade(Broadsheet!P173,data!$H$4:$I$9)),"#",getgrade(Broadsheet!P173,data!$H$4:$I$9))</f>
        <v/>
      </c>
      <c r="Q62" s="188" t="str">
        <f>IF(ISERROR(getgrade(Broadsheet!Q173,data!$H$4:$I$9)),"#",getgrade(Broadsheet!Q173,data!$H$4:$I$9))</f>
        <v/>
      </c>
      <c r="R62" s="188" t="str">
        <f>IF(ISERROR(getgrade(Broadsheet!R173,data!$H$4:$I$9)),"#",getgrade(Broadsheet!R173,data!$H$4:$I$9))</f>
        <v/>
      </c>
      <c r="S62" s="188" t="str">
        <f>IF(ISERROR(getgrade(Broadsheet!S173,data!$H$4:$I$9)),"#",getgrade(Broadsheet!S173,data!$H$4:$I$9))</f>
        <v/>
      </c>
      <c r="T62" s="188" t="str">
        <f>IF(ISERROR(getgrade(Broadsheet!T173,data!$H$4:$I$9)),"#",getgrade(Broadsheet!T173,data!$H$4:$I$9))</f>
        <v/>
      </c>
      <c r="U62" s="188" t="str">
        <f>IF(ISERROR(getgrade(Broadsheet!U173,data!$H$4:$I$9)),"#",getgrade(Broadsheet!U173,data!$H$4:$I$9))</f>
        <v/>
      </c>
      <c r="V62" s="188" t="str">
        <f>IF(ISERROR(getgrade(Broadsheet!V173,data!$H$4:$I$9)),"#",getgrade(Broadsheet!V173,data!$H$4:$I$9))</f>
        <v/>
      </c>
      <c r="W62" s="188" t="str">
        <f>IF(ISERROR(getgrade(Broadsheet!W173,data!$H$4:$I$9)),"#",getgrade(Broadsheet!W173,data!$H$4:$I$9))</f>
        <v/>
      </c>
      <c r="X62" s="188" t="str">
        <f>IF(ISERROR(getgrade(Broadsheet!X173,data!$H$4:$I$9)),"#",getgrade(Broadsheet!X173,data!$H$4:$I$9))</f>
        <v/>
      </c>
      <c r="Y62" s="188" t="str">
        <f>IF(ISERROR(getgrade(Broadsheet!Y173,data!$H$4:$I$9)),"#",getgrade(Broadsheet!Y173,data!$H$4:$I$9))</f>
        <v/>
      </c>
      <c r="Z62" s="188" t="str">
        <f>IF(ISERROR(getgrade(Broadsheet!Z173,data!$H$4:$I$9)),"#",getgrade(Broadsheet!Z173,data!$H$4:$I$9))</f>
        <v/>
      </c>
      <c r="AA62" s="188" t="str">
        <f>IF(ISERROR(getgrade(Broadsheet!AA173,data!$H$4:$I$9)),"#",getgrade(Broadsheet!AA173,data!$H$4:$I$9))</f>
        <v/>
      </c>
      <c r="AB62" s="188" t="str">
        <f>IF(ISERROR(getgrade(Broadsheet!AB173,data!$H$4:$I$9)),"#",getgrade(Broadsheet!AB173,data!$H$4:$I$9))</f>
        <v/>
      </c>
      <c r="AC62" s="188" t="str">
        <f>IF(ISERROR(getgrade(Broadsheet!AC173,data!$H$4:$I$9)),"#",getgrade(Broadsheet!AC173,data!$H$4:$I$9))</f>
        <v/>
      </c>
      <c r="AD62" s="188" t="str">
        <f>IF(ISERROR(getgrade(Broadsheet!AD173,data!$H$4:$I$9)),"#",getgrade(Broadsheet!AD173,data!$H$4:$I$9))</f>
        <v/>
      </c>
      <c r="AE62" s="188" t="str">
        <f>IF(ISERROR(getgrade(Broadsheet!AE173,data!$H$4:$I$9)),"#",getgrade(Broadsheet!AE173,data!$H$4:$I$9))</f>
        <v/>
      </c>
      <c r="AF62" s="188" t="str">
        <f>IF(ISERROR(getgrade(Broadsheet!AF173,data!$H$4:$I$9)),"#",getgrade(Broadsheet!AF173,data!$H$4:$I$9))</f>
        <v/>
      </c>
      <c r="AG62" s="188" t="str">
        <f>IF(ISERROR(getgrade(Broadsheet!AG173,data!$H$4:$I$9)),"#",getgrade(Broadsheet!AG173,data!$H$4:$I$9))</f>
        <v/>
      </c>
      <c r="AH62" s="188" t="str">
        <f>IF(ISERROR(getgrade(Broadsheet!AH173,data!$H$4:$I$9)),"#",getgrade(Broadsheet!AH173,data!$H$4:$I$9))</f>
        <v/>
      </c>
      <c r="AI62" s="188" t="str">
        <f>IF(ISERROR(getgrade(Broadsheet!AI173,data!$H$4:$I$9)),"#",getgrade(Broadsheet!AI173,data!$H$4:$I$9))</f>
        <v/>
      </c>
      <c r="AJ62" s="188" t="str">
        <f>IF(ISERROR(getgrade(Broadsheet!AJ173,data!$H$4:$I$9)),"#",getgrade(Broadsheet!AJ173,data!$H$4:$I$9))</f>
        <v/>
      </c>
      <c r="AK62" s="188" t="str">
        <f>IF(ISERROR(getgrade(Broadsheet!AK173,data!$H$4:$I$9)),"#",getgrade(Broadsheet!AK173,data!$H$4:$I$9))</f>
        <v/>
      </c>
      <c r="AL62" s="188" t="str">
        <f>IF(ISERROR(getgrade(Broadsheet!AL173,data!$H$4:$I$9)),"#",getgrade(Broadsheet!AL173,data!$H$4:$I$9))</f>
        <v/>
      </c>
      <c r="AM62" s="188" t="str">
        <f>IF(ISERROR(getgrade(Broadsheet!AM173,data!$H$4:$I$9)),"#",getgrade(Broadsheet!AM173,data!$H$4:$I$9))</f>
        <v/>
      </c>
      <c r="AN62" s="188" t="str">
        <f>IF(ISERROR(getgrade(Broadsheet!AN173,data!$H$4:$I$9)),"#",getgrade(Broadsheet!AN173,data!$H$4:$I$9))</f>
        <v/>
      </c>
      <c r="AO62" s="188" t="str">
        <f>IF(ISERROR(getgrade(Broadsheet!AO173,data!$H$4:$I$9)),"#",getgrade(Broadsheet!AO173,data!$H$4:$I$9))</f>
        <v/>
      </c>
      <c r="AP62" s="188" t="str">
        <f>IF(ISERROR(getgrade(Broadsheet!AP173,data!$H$4:$I$9)),"#",getgrade(Broadsheet!AP173,data!$H$4:$I$9))</f>
        <v/>
      </c>
      <c r="AQ62" s="188" t="str">
        <f>IF(ISERROR(getgrade(Broadsheet!AQ173,data!$H$4:$I$9)),"#",getgrade(Broadsheet!AQ173,data!$H$4:$I$9))</f>
        <v/>
      </c>
      <c r="AR62" s="188" t="str">
        <f>IF(ISERROR(getgrade(Broadsheet!AR173,data!$H$4:$I$9)),"#",getgrade(Broadsheet!AR173,data!$H$4:$I$9))</f>
        <v/>
      </c>
      <c r="AS62" s="188" t="str">
        <f>IF(ISERROR(getgrade(Broadsheet!AS173,data!$H$4:$I$9)),"#",getgrade(Broadsheet!AS173,data!$H$4:$I$9))</f>
        <v/>
      </c>
      <c r="AT62" s="188" t="str">
        <f>IF(ISERROR(getgrade(Broadsheet!AT173,data!$H$4:$I$9)),"#",getgrade(Broadsheet!AT173,data!$H$4:$I$9))</f>
        <v/>
      </c>
      <c r="AU62" s="188" t="str">
        <f>IF(ISERROR(getgrade(Broadsheet!AU173,data!$H$4:$I$9)),"#",getgrade(Broadsheet!AU173,data!$H$4:$I$9))</f>
        <v/>
      </c>
      <c r="AV62" s="188" t="str">
        <f>IF(ISERROR(getgrade(Broadsheet!AV173,data!$H$4:$I$9)),"#",getgrade(Broadsheet!AV173,data!$H$4:$I$9))</f>
        <v/>
      </c>
      <c r="AW62" s="188" t="str">
        <f>IF(ISERROR(getgrade(Broadsheet!AW173,data!$H$4:$I$9)),"#",getgrade(Broadsheet!AW173,data!$H$4:$I$9))</f>
        <v/>
      </c>
      <c r="AX62" s="188" t="str">
        <f>IF(ISERROR(getgrade(Broadsheet!AX173,data!$H$4:$I$9)),"#",getgrade(Broadsheet!AX173,data!$H$4:$I$9))</f>
        <v/>
      </c>
      <c r="AY62" s="188" t="str">
        <f>IF(ISERROR(getgrade(Broadsheet!AY173,data!$H$4:$I$9)),"#",getgrade(Broadsheet!AY173,data!$H$4:$I$9))</f>
        <v/>
      </c>
      <c r="AZ62" s="188" t="str">
        <f>IF(ISERROR(getgrade(Broadsheet!AZ173,data!$H$4:$I$9)),"#",getgrade(Broadsheet!AZ173,data!$H$4:$I$9))</f>
        <v/>
      </c>
      <c r="BA62" s="188" t="str">
        <f>IF(ISERROR(getgrade(Broadsheet!BA173,data!$H$4:$I$9)),"#",getgrade(Broadsheet!BA173,data!$H$4:$I$9))</f>
        <v/>
      </c>
      <c r="BB62" s="188" t="str">
        <f>IF(ISERROR(getgrade(Broadsheet!BB173,data!$H$4:$I$9)),"#",getgrade(Broadsheet!BB173,data!$H$4:$I$9))</f>
        <v/>
      </c>
      <c r="BC62" s="188" t="str">
        <f>IF(ISERROR(getgrade(Broadsheet!BC173,data!$H$4:$I$9)),"#",getgrade(Broadsheet!BC173,data!$H$4:$I$9))</f>
        <v/>
      </c>
      <c r="BD62" s="188" t="str">
        <f>IF(ISERROR(getgrade(Broadsheet!BD173,data!$H$4:$I$9)),"#",getgrade(Broadsheet!BD173,data!$H$4:$I$9))</f>
        <v/>
      </c>
      <c r="BE62" s="188" t="str">
        <f>IF(ISERROR(getgrade(Broadsheet!BE173,data!$H$4:$I$9)),"#",getgrade(Broadsheet!BE173,data!$H$4:$I$9))</f>
        <v/>
      </c>
      <c r="BF62" s="188" t="str">
        <f>IF(ISERROR(getgrade(Broadsheet!BF173,data!$H$4:$I$9)),"#",getgrade(Broadsheet!BF173,data!$H$4:$I$9))</f>
        <v/>
      </c>
      <c r="BG62" s="188" t="str">
        <f>IF(ISERROR(getgrade(Broadsheet!BG173,data!$H$4:$I$9)),"#",getgrade(Broadsheet!BG173,data!$H$4:$I$9))</f>
        <v/>
      </c>
      <c r="BH62" s="188" t="str">
        <f>IF(ISERROR(getgrade(Broadsheet!BH173,data!$H$4:$I$9)),"#",getgrade(Broadsheet!BH173,data!$H$4:$I$9))</f>
        <v/>
      </c>
      <c r="BI62" s="188" t="str">
        <f>IF(ISERROR(getgrade(Broadsheet!BI173,data!$H$4:$I$9)),"#",getgrade(Broadsheet!BI173,data!$H$4:$I$9))</f>
        <v/>
      </c>
      <c r="BJ62" s="188" t="str">
        <f>IF(ISERROR(getgrade(Broadsheet!BJ173,data!$H$4:$I$9)),"#",getgrade(Broadsheet!BJ173,data!$H$4:$I$9))</f>
        <v/>
      </c>
      <c r="BK62" s="188"/>
      <c r="BL62" s="188"/>
      <c r="BM62" s="188"/>
      <c r="BN62" s="188"/>
      <c r="BO62" s="188"/>
      <c r="BP62" s="188"/>
      <c r="BQ62" s="188"/>
      <c r="BR62" s="188"/>
      <c r="BS62" s="188"/>
      <c r="BT62" s="188"/>
      <c r="BU62" s="188"/>
      <c r="BV62" s="188"/>
      <c r="BW62" s="188"/>
      <c r="BX62" s="188"/>
      <c r="BY62" s="188"/>
      <c r="BZ62" s="188"/>
      <c r="CA62" s="188"/>
      <c r="CB62" s="188"/>
      <c r="CC62" s="188"/>
      <c r="CD62" s="188"/>
      <c r="CE62" s="188"/>
      <c r="CF62" s="188"/>
      <c r="CG62" s="188"/>
      <c r="CH62" s="188"/>
      <c r="CI62" s="188"/>
      <c r="CJ62" s="188"/>
      <c r="CK62" s="188"/>
      <c r="CL62" s="188"/>
      <c r="CM62" s="188"/>
      <c r="CN62" s="188"/>
      <c r="CO62" s="188"/>
      <c r="CP62" s="188"/>
      <c r="CQ62" s="188"/>
      <c r="CR62" s="188"/>
      <c r="CS62" s="188"/>
      <c r="CT62" s="188"/>
      <c r="CU62" s="188"/>
      <c r="CV62" s="188"/>
      <c r="CW62" s="188"/>
      <c r="CX62" s="188"/>
      <c r="CY62" s="188"/>
      <c r="CZ62" s="188"/>
      <c r="DA62" s="188"/>
      <c r="DB62" s="188"/>
      <c r="DC62" s="188"/>
      <c r="DD62" s="188"/>
      <c r="DE62" s="188"/>
      <c r="DF62" s="188"/>
      <c r="DG62" s="188"/>
      <c r="DH62" s="188"/>
      <c r="DI62" s="188"/>
      <c r="DJ62" s="188"/>
      <c r="DK62" s="188"/>
      <c r="DL62" s="188"/>
      <c r="DM62" s="188"/>
      <c r="DN62" s="188"/>
      <c r="DO62" s="188"/>
      <c r="DP62" s="188"/>
      <c r="DQ62" s="188"/>
      <c r="DR62" s="188"/>
      <c r="DS62" s="188"/>
      <c r="DT62" s="188"/>
      <c r="DU62" s="188"/>
      <c r="DV62" s="188"/>
      <c r="DW62" s="188"/>
      <c r="DX62" s="188"/>
      <c r="DY62" s="188"/>
      <c r="DZ62" s="188"/>
      <c r="EA62" s="188"/>
    </row>
    <row r="63" spans="1:131" ht="15.75" x14ac:dyDescent="0.25">
      <c r="A63" s="12">
        <f>Broadsheet!A174</f>
        <v>0</v>
      </c>
      <c r="B63" s="204" t="str">
        <f>IF(Broadsheet!B63="","",Broadsheet!B63)</f>
        <v/>
      </c>
      <c r="C63" s="24" t="str">
        <f>IF(Broadsheet!C63="","",Broadsheet!C63)</f>
        <v xml:space="preserve"> </v>
      </c>
      <c r="D63" s="24"/>
      <c r="E63" s="24"/>
      <c r="F63" s="24"/>
      <c r="G63" s="24" t="str">
        <f t="shared" si="0"/>
        <v/>
      </c>
      <c r="H63" s="188" t="str">
        <f>IF(ISERROR(getgrade(Broadsheet!H174,data!$H$4:$I$9)),"#",getgrade(Broadsheet!H174,data!$H$4:$I$9))</f>
        <v/>
      </c>
      <c r="I63" s="188" t="str">
        <f>IF(ISERROR(getgrade(Broadsheet!I174,data!$H$4:$I$9)),"#",getgrade(Broadsheet!I174,data!$H$4:$I$9))</f>
        <v/>
      </c>
      <c r="J63" s="188" t="str">
        <f>IF(ISERROR(getgrade(Broadsheet!J174,data!$H$4:$I$9)),"#",getgrade(Broadsheet!J174,data!$H$4:$I$9))</f>
        <v/>
      </c>
      <c r="K63" s="188" t="str">
        <f>IF(ISERROR(getgrade(Broadsheet!K174,data!$H$4:$I$9)),"#",getgrade(Broadsheet!K174,data!$H$4:$I$9))</f>
        <v/>
      </c>
      <c r="L63" s="188" t="str">
        <f>IF(ISERROR(getgrade(Broadsheet!L174,data!$H$4:$I$9)),"#",getgrade(Broadsheet!L174,data!$H$4:$I$9))</f>
        <v/>
      </c>
      <c r="M63" s="188" t="str">
        <f>IF(ISERROR(getgrade(Broadsheet!M174,data!$H$4:$I$9)),"#",getgrade(Broadsheet!M174,data!$H$4:$I$9))</f>
        <v/>
      </c>
      <c r="N63" s="188" t="str">
        <f>IF(ISERROR(getgrade(Broadsheet!N174,data!$H$4:$I$9)),"#",getgrade(Broadsheet!N174,data!$H$4:$I$9))</f>
        <v/>
      </c>
      <c r="O63" s="188" t="str">
        <f>IF(ISERROR(getgrade(Broadsheet!O174,data!$H$4:$I$9)),"#",getgrade(Broadsheet!O174,data!$H$4:$I$9))</f>
        <v/>
      </c>
      <c r="P63" s="188" t="str">
        <f>IF(ISERROR(getgrade(Broadsheet!P174,data!$H$4:$I$9)),"#",getgrade(Broadsheet!P174,data!$H$4:$I$9))</f>
        <v/>
      </c>
      <c r="Q63" s="188" t="str">
        <f>IF(ISERROR(getgrade(Broadsheet!Q174,data!$H$4:$I$9)),"#",getgrade(Broadsheet!Q174,data!$H$4:$I$9))</f>
        <v/>
      </c>
      <c r="R63" s="188" t="str">
        <f>IF(ISERROR(getgrade(Broadsheet!R174,data!$H$4:$I$9)),"#",getgrade(Broadsheet!R174,data!$H$4:$I$9))</f>
        <v/>
      </c>
      <c r="S63" s="188" t="str">
        <f>IF(ISERROR(getgrade(Broadsheet!S174,data!$H$4:$I$9)),"#",getgrade(Broadsheet!S174,data!$H$4:$I$9))</f>
        <v/>
      </c>
      <c r="T63" s="188" t="str">
        <f>IF(ISERROR(getgrade(Broadsheet!T174,data!$H$4:$I$9)),"#",getgrade(Broadsheet!T174,data!$H$4:$I$9))</f>
        <v/>
      </c>
      <c r="U63" s="188" t="str">
        <f>IF(ISERROR(getgrade(Broadsheet!U174,data!$H$4:$I$9)),"#",getgrade(Broadsheet!U174,data!$H$4:$I$9))</f>
        <v/>
      </c>
      <c r="V63" s="188" t="str">
        <f>IF(ISERROR(getgrade(Broadsheet!V174,data!$H$4:$I$9)),"#",getgrade(Broadsheet!V174,data!$H$4:$I$9))</f>
        <v/>
      </c>
      <c r="W63" s="188" t="str">
        <f>IF(ISERROR(getgrade(Broadsheet!W174,data!$H$4:$I$9)),"#",getgrade(Broadsheet!W174,data!$H$4:$I$9))</f>
        <v/>
      </c>
      <c r="X63" s="188" t="str">
        <f>IF(ISERROR(getgrade(Broadsheet!X174,data!$H$4:$I$9)),"#",getgrade(Broadsheet!X174,data!$H$4:$I$9))</f>
        <v/>
      </c>
      <c r="Y63" s="188" t="str">
        <f>IF(ISERROR(getgrade(Broadsheet!Y174,data!$H$4:$I$9)),"#",getgrade(Broadsheet!Y174,data!$H$4:$I$9))</f>
        <v/>
      </c>
      <c r="Z63" s="188" t="str">
        <f>IF(ISERROR(getgrade(Broadsheet!Z174,data!$H$4:$I$9)),"#",getgrade(Broadsheet!Z174,data!$H$4:$I$9))</f>
        <v/>
      </c>
      <c r="AA63" s="188" t="str">
        <f>IF(ISERROR(getgrade(Broadsheet!AA174,data!$H$4:$I$9)),"#",getgrade(Broadsheet!AA174,data!$H$4:$I$9))</f>
        <v/>
      </c>
      <c r="AB63" s="188" t="str">
        <f>IF(ISERROR(getgrade(Broadsheet!AB174,data!$H$4:$I$9)),"#",getgrade(Broadsheet!AB174,data!$H$4:$I$9))</f>
        <v/>
      </c>
      <c r="AC63" s="188" t="str">
        <f>IF(ISERROR(getgrade(Broadsheet!AC174,data!$H$4:$I$9)),"#",getgrade(Broadsheet!AC174,data!$H$4:$I$9))</f>
        <v/>
      </c>
      <c r="AD63" s="188" t="str">
        <f>IF(ISERROR(getgrade(Broadsheet!AD174,data!$H$4:$I$9)),"#",getgrade(Broadsheet!AD174,data!$H$4:$I$9))</f>
        <v/>
      </c>
      <c r="AE63" s="188" t="str">
        <f>IF(ISERROR(getgrade(Broadsheet!AE174,data!$H$4:$I$9)),"#",getgrade(Broadsheet!AE174,data!$H$4:$I$9))</f>
        <v/>
      </c>
      <c r="AF63" s="188" t="str">
        <f>IF(ISERROR(getgrade(Broadsheet!AF174,data!$H$4:$I$9)),"#",getgrade(Broadsheet!AF174,data!$H$4:$I$9))</f>
        <v/>
      </c>
      <c r="AG63" s="188" t="str">
        <f>IF(ISERROR(getgrade(Broadsheet!AG174,data!$H$4:$I$9)),"#",getgrade(Broadsheet!AG174,data!$H$4:$I$9))</f>
        <v/>
      </c>
      <c r="AH63" s="188" t="str">
        <f>IF(ISERROR(getgrade(Broadsheet!AH174,data!$H$4:$I$9)),"#",getgrade(Broadsheet!AH174,data!$H$4:$I$9))</f>
        <v/>
      </c>
      <c r="AI63" s="188" t="str">
        <f>IF(ISERROR(getgrade(Broadsheet!AI174,data!$H$4:$I$9)),"#",getgrade(Broadsheet!AI174,data!$H$4:$I$9))</f>
        <v/>
      </c>
      <c r="AJ63" s="188" t="str">
        <f>IF(ISERROR(getgrade(Broadsheet!AJ174,data!$H$4:$I$9)),"#",getgrade(Broadsheet!AJ174,data!$H$4:$I$9))</f>
        <v/>
      </c>
      <c r="AK63" s="188" t="str">
        <f>IF(ISERROR(getgrade(Broadsheet!AK174,data!$H$4:$I$9)),"#",getgrade(Broadsheet!AK174,data!$H$4:$I$9))</f>
        <v/>
      </c>
      <c r="AL63" s="188" t="str">
        <f>IF(ISERROR(getgrade(Broadsheet!AL174,data!$H$4:$I$9)),"#",getgrade(Broadsheet!AL174,data!$H$4:$I$9))</f>
        <v/>
      </c>
      <c r="AM63" s="188" t="str">
        <f>IF(ISERROR(getgrade(Broadsheet!AM174,data!$H$4:$I$9)),"#",getgrade(Broadsheet!AM174,data!$H$4:$I$9))</f>
        <v/>
      </c>
      <c r="AN63" s="188" t="str">
        <f>IF(ISERROR(getgrade(Broadsheet!AN174,data!$H$4:$I$9)),"#",getgrade(Broadsheet!AN174,data!$H$4:$I$9))</f>
        <v/>
      </c>
      <c r="AO63" s="188" t="str">
        <f>IF(ISERROR(getgrade(Broadsheet!AO174,data!$H$4:$I$9)),"#",getgrade(Broadsheet!AO174,data!$H$4:$I$9))</f>
        <v/>
      </c>
      <c r="AP63" s="188" t="str">
        <f>IF(ISERROR(getgrade(Broadsheet!AP174,data!$H$4:$I$9)),"#",getgrade(Broadsheet!AP174,data!$H$4:$I$9))</f>
        <v/>
      </c>
      <c r="AQ63" s="188" t="str">
        <f>IF(ISERROR(getgrade(Broadsheet!AQ174,data!$H$4:$I$9)),"#",getgrade(Broadsheet!AQ174,data!$H$4:$I$9))</f>
        <v/>
      </c>
      <c r="AR63" s="188" t="str">
        <f>IF(ISERROR(getgrade(Broadsheet!AR174,data!$H$4:$I$9)),"#",getgrade(Broadsheet!AR174,data!$H$4:$I$9))</f>
        <v/>
      </c>
      <c r="AS63" s="188" t="str">
        <f>IF(ISERROR(getgrade(Broadsheet!AS174,data!$H$4:$I$9)),"#",getgrade(Broadsheet!AS174,data!$H$4:$I$9))</f>
        <v/>
      </c>
      <c r="AT63" s="188" t="str">
        <f>IF(ISERROR(getgrade(Broadsheet!AT174,data!$H$4:$I$9)),"#",getgrade(Broadsheet!AT174,data!$H$4:$I$9))</f>
        <v/>
      </c>
      <c r="AU63" s="188" t="str">
        <f>IF(ISERROR(getgrade(Broadsheet!AU174,data!$H$4:$I$9)),"#",getgrade(Broadsheet!AU174,data!$H$4:$I$9))</f>
        <v/>
      </c>
      <c r="AV63" s="188" t="str">
        <f>IF(ISERROR(getgrade(Broadsheet!AV174,data!$H$4:$I$9)),"#",getgrade(Broadsheet!AV174,data!$H$4:$I$9))</f>
        <v/>
      </c>
      <c r="AW63" s="188" t="str">
        <f>IF(ISERROR(getgrade(Broadsheet!AW174,data!$H$4:$I$9)),"#",getgrade(Broadsheet!AW174,data!$H$4:$I$9))</f>
        <v/>
      </c>
      <c r="AX63" s="188" t="str">
        <f>IF(ISERROR(getgrade(Broadsheet!AX174,data!$H$4:$I$9)),"#",getgrade(Broadsheet!AX174,data!$H$4:$I$9))</f>
        <v/>
      </c>
      <c r="AY63" s="188" t="str">
        <f>IF(ISERROR(getgrade(Broadsheet!AY174,data!$H$4:$I$9)),"#",getgrade(Broadsheet!AY174,data!$H$4:$I$9))</f>
        <v/>
      </c>
      <c r="AZ63" s="188" t="str">
        <f>IF(ISERROR(getgrade(Broadsheet!AZ174,data!$H$4:$I$9)),"#",getgrade(Broadsheet!AZ174,data!$H$4:$I$9))</f>
        <v/>
      </c>
      <c r="BA63" s="188" t="str">
        <f>IF(ISERROR(getgrade(Broadsheet!BA174,data!$H$4:$I$9)),"#",getgrade(Broadsheet!BA174,data!$H$4:$I$9))</f>
        <v/>
      </c>
      <c r="BB63" s="188" t="str">
        <f>IF(ISERROR(getgrade(Broadsheet!BB174,data!$H$4:$I$9)),"#",getgrade(Broadsheet!BB174,data!$H$4:$I$9))</f>
        <v/>
      </c>
      <c r="BC63" s="188" t="str">
        <f>IF(ISERROR(getgrade(Broadsheet!BC174,data!$H$4:$I$9)),"#",getgrade(Broadsheet!BC174,data!$H$4:$I$9))</f>
        <v/>
      </c>
      <c r="BD63" s="188" t="str">
        <f>IF(ISERROR(getgrade(Broadsheet!BD174,data!$H$4:$I$9)),"#",getgrade(Broadsheet!BD174,data!$H$4:$I$9))</f>
        <v/>
      </c>
      <c r="BE63" s="188" t="str">
        <f>IF(ISERROR(getgrade(Broadsheet!BE174,data!$H$4:$I$9)),"#",getgrade(Broadsheet!BE174,data!$H$4:$I$9))</f>
        <v/>
      </c>
      <c r="BF63" s="188" t="str">
        <f>IF(ISERROR(getgrade(Broadsheet!BF174,data!$H$4:$I$9)),"#",getgrade(Broadsheet!BF174,data!$H$4:$I$9))</f>
        <v/>
      </c>
      <c r="BG63" s="188" t="str">
        <f>IF(ISERROR(getgrade(Broadsheet!BG174,data!$H$4:$I$9)),"#",getgrade(Broadsheet!BG174,data!$H$4:$I$9))</f>
        <v/>
      </c>
      <c r="BH63" s="188" t="str">
        <f>IF(ISERROR(getgrade(Broadsheet!BH174,data!$H$4:$I$9)),"#",getgrade(Broadsheet!BH174,data!$H$4:$I$9))</f>
        <v/>
      </c>
      <c r="BI63" s="188" t="str">
        <f>IF(ISERROR(getgrade(Broadsheet!BI174,data!$H$4:$I$9)),"#",getgrade(Broadsheet!BI174,data!$H$4:$I$9))</f>
        <v/>
      </c>
      <c r="BJ63" s="188" t="str">
        <f>IF(ISERROR(getgrade(Broadsheet!BJ174,data!$H$4:$I$9)),"#",getgrade(Broadsheet!BJ174,data!$H$4:$I$9))</f>
        <v/>
      </c>
      <c r="BK63" s="188"/>
      <c r="BL63" s="188"/>
      <c r="BM63" s="188"/>
      <c r="BN63" s="188"/>
      <c r="BO63" s="188"/>
      <c r="BP63" s="188"/>
      <c r="BQ63" s="188"/>
      <c r="BR63" s="188"/>
      <c r="BS63" s="188"/>
      <c r="BT63" s="188"/>
      <c r="BU63" s="188"/>
      <c r="BV63" s="188"/>
      <c r="BW63" s="188"/>
      <c r="BX63" s="188"/>
      <c r="BY63" s="188"/>
      <c r="BZ63" s="188"/>
      <c r="CA63" s="188"/>
      <c r="CB63" s="188"/>
      <c r="CC63" s="188"/>
      <c r="CD63" s="188"/>
      <c r="CE63" s="188"/>
      <c r="CF63" s="188"/>
      <c r="CG63" s="188"/>
      <c r="CH63" s="188"/>
      <c r="CI63" s="188"/>
      <c r="CJ63" s="188"/>
      <c r="CK63" s="188"/>
      <c r="CL63" s="188"/>
      <c r="CM63" s="188"/>
      <c r="CN63" s="188"/>
      <c r="CO63" s="188"/>
      <c r="CP63" s="188"/>
      <c r="CQ63" s="188"/>
      <c r="CR63" s="188"/>
      <c r="CS63" s="188"/>
      <c r="CT63" s="188"/>
      <c r="CU63" s="188"/>
      <c r="CV63" s="188"/>
      <c r="CW63" s="188"/>
      <c r="CX63" s="188"/>
      <c r="CY63" s="188"/>
      <c r="CZ63" s="188"/>
      <c r="DA63" s="188"/>
      <c r="DB63" s="188"/>
      <c r="DC63" s="188"/>
      <c r="DD63" s="188"/>
      <c r="DE63" s="188"/>
      <c r="DF63" s="188"/>
      <c r="DG63" s="188"/>
      <c r="DH63" s="188"/>
      <c r="DI63" s="188"/>
      <c r="DJ63" s="188"/>
      <c r="DK63" s="188"/>
      <c r="DL63" s="188"/>
      <c r="DM63" s="188"/>
      <c r="DN63" s="188"/>
      <c r="DO63" s="188"/>
      <c r="DP63" s="188"/>
      <c r="DQ63" s="188"/>
      <c r="DR63" s="188"/>
      <c r="DS63" s="188"/>
      <c r="DT63" s="188"/>
      <c r="DU63" s="188"/>
      <c r="DV63" s="188"/>
      <c r="DW63" s="188"/>
      <c r="DX63" s="188"/>
      <c r="DY63" s="188"/>
      <c r="DZ63" s="188"/>
      <c r="EA63" s="188"/>
    </row>
    <row r="64" spans="1:131" ht="15.75" x14ac:dyDescent="0.25">
      <c r="A64" s="12">
        <f>Broadsheet!A175</f>
        <v>0</v>
      </c>
      <c r="B64" s="204" t="str">
        <f>IF(Broadsheet!B64="","",Broadsheet!B64)</f>
        <v/>
      </c>
      <c r="C64" s="24" t="str">
        <f>IF(Broadsheet!C64="","",Broadsheet!C64)</f>
        <v xml:space="preserve"> </v>
      </c>
      <c r="D64" s="196"/>
      <c r="E64" s="196"/>
      <c r="F64" s="196"/>
      <c r="G64" s="24" t="str">
        <f t="shared" si="0"/>
        <v/>
      </c>
      <c r="H64" s="188" t="str">
        <f>IF(ISERROR(getgrade(Broadsheet!H175,data!$H$4:$I$9)),"#",getgrade(Broadsheet!H175,data!$H$4:$I$9))</f>
        <v/>
      </c>
      <c r="I64" s="188" t="str">
        <f>IF(ISERROR(getgrade(Broadsheet!I175,data!$H$4:$I$9)),"#",getgrade(Broadsheet!I175,data!$H$4:$I$9))</f>
        <v/>
      </c>
      <c r="J64" s="188" t="str">
        <f>IF(ISERROR(getgrade(Broadsheet!J175,data!$H$4:$I$9)),"#",getgrade(Broadsheet!J175,data!$H$4:$I$9))</f>
        <v/>
      </c>
      <c r="K64" s="188" t="str">
        <f>IF(ISERROR(getgrade(Broadsheet!K175,data!$H$4:$I$9)),"#",getgrade(Broadsheet!K175,data!$H$4:$I$9))</f>
        <v/>
      </c>
      <c r="L64" s="188" t="str">
        <f>IF(ISERROR(getgrade(Broadsheet!L175,data!$H$4:$I$9)),"#",getgrade(Broadsheet!L175,data!$H$4:$I$9))</f>
        <v/>
      </c>
      <c r="M64" s="188" t="str">
        <f>IF(ISERROR(getgrade(Broadsheet!M175,data!$H$4:$I$9)),"#",getgrade(Broadsheet!M175,data!$H$4:$I$9))</f>
        <v/>
      </c>
      <c r="N64" s="188" t="str">
        <f>IF(ISERROR(getgrade(Broadsheet!N175,data!$H$4:$I$9)),"#",getgrade(Broadsheet!N175,data!$H$4:$I$9))</f>
        <v/>
      </c>
      <c r="O64" s="188" t="str">
        <f>IF(ISERROR(getgrade(Broadsheet!O175,data!$H$4:$I$9)),"#",getgrade(Broadsheet!O175,data!$H$4:$I$9))</f>
        <v/>
      </c>
      <c r="P64" s="188" t="str">
        <f>IF(ISERROR(getgrade(Broadsheet!P175,data!$H$4:$I$9)),"#",getgrade(Broadsheet!P175,data!$H$4:$I$9))</f>
        <v/>
      </c>
      <c r="Q64" s="188" t="str">
        <f>IF(ISERROR(getgrade(Broadsheet!Q175,data!$H$4:$I$9)),"#",getgrade(Broadsheet!Q175,data!$H$4:$I$9))</f>
        <v/>
      </c>
      <c r="R64" s="188" t="str">
        <f>IF(ISERROR(getgrade(Broadsheet!R175,data!$H$4:$I$9)),"#",getgrade(Broadsheet!R175,data!$H$4:$I$9))</f>
        <v/>
      </c>
      <c r="S64" s="188" t="str">
        <f>IF(ISERROR(getgrade(Broadsheet!S175,data!$H$4:$I$9)),"#",getgrade(Broadsheet!S175,data!$H$4:$I$9))</f>
        <v/>
      </c>
      <c r="T64" s="188" t="str">
        <f>IF(ISERROR(getgrade(Broadsheet!T175,data!$H$4:$I$9)),"#",getgrade(Broadsheet!T175,data!$H$4:$I$9))</f>
        <v/>
      </c>
      <c r="U64" s="188" t="str">
        <f>IF(ISERROR(getgrade(Broadsheet!U175,data!$H$4:$I$9)),"#",getgrade(Broadsheet!U175,data!$H$4:$I$9))</f>
        <v/>
      </c>
      <c r="V64" s="188" t="str">
        <f>IF(ISERROR(getgrade(Broadsheet!V175,data!$H$4:$I$9)),"#",getgrade(Broadsheet!V175,data!$H$4:$I$9))</f>
        <v/>
      </c>
      <c r="W64" s="188" t="str">
        <f>IF(ISERROR(getgrade(Broadsheet!W175,data!$H$4:$I$9)),"#",getgrade(Broadsheet!W175,data!$H$4:$I$9))</f>
        <v/>
      </c>
      <c r="X64" s="188" t="str">
        <f>IF(ISERROR(getgrade(Broadsheet!X175,data!$H$4:$I$9)),"#",getgrade(Broadsheet!X175,data!$H$4:$I$9))</f>
        <v/>
      </c>
      <c r="Y64" s="188" t="str">
        <f>IF(ISERROR(getgrade(Broadsheet!Y175,data!$H$4:$I$9)),"#",getgrade(Broadsheet!Y175,data!$H$4:$I$9))</f>
        <v/>
      </c>
      <c r="Z64" s="188" t="str">
        <f>IF(ISERROR(getgrade(Broadsheet!Z175,data!$H$4:$I$9)),"#",getgrade(Broadsheet!Z175,data!$H$4:$I$9))</f>
        <v/>
      </c>
      <c r="AA64" s="188" t="str">
        <f>IF(ISERROR(getgrade(Broadsheet!AA175,data!$H$4:$I$9)),"#",getgrade(Broadsheet!AA175,data!$H$4:$I$9))</f>
        <v/>
      </c>
      <c r="AB64" s="188" t="str">
        <f>IF(ISERROR(getgrade(Broadsheet!AB175,data!$H$4:$I$9)),"#",getgrade(Broadsheet!AB175,data!$H$4:$I$9))</f>
        <v/>
      </c>
      <c r="AC64" s="188" t="str">
        <f>IF(ISERROR(getgrade(Broadsheet!AC175,data!$H$4:$I$9)),"#",getgrade(Broadsheet!AC175,data!$H$4:$I$9))</f>
        <v/>
      </c>
      <c r="AD64" s="188" t="str">
        <f>IF(ISERROR(getgrade(Broadsheet!AD175,data!$H$4:$I$9)),"#",getgrade(Broadsheet!AD175,data!$H$4:$I$9))</f>
        <v/>
      </c>
      <c r="AE64" s="188" t="str">
        <f>IF(ISERROR(getgrade(Broadsheet!AE175,data!$H$4:$I$9)),"#",getgrade(Broadsheet!AE175,data!$H$4:$I$9))</f>
        <v/>
      </c>
      <c r="AF64" s="188" t="str">
        <f>IF(ISERROR(getgrade(Broadsheet!AF175,data!$H$4:$I$9)),"#",getgrade(Broadsheet!AF175,data!$H$4:$I$9))</f>
        <v/>
      </c>
      <c r="AG64" s="188" t="str">
        <f>IF(ISERROR(getgrade(Broadsheet!AG175,data!$H$4:$I$9)),"#",getgrade(Broadsheet!AG175,data!$H$4:$I$9))</f>
        <v/>
      </c>
      <c r="AH64" s="188" t="str">
        <f>IF(ISERROR(getgrade(Broadsheet!AH175,data!$H$4:$I$9)),"#",getgrade(Broadsheet!AH175,data!$H$4:$I$9))</f>
        <v/>
      </c>
      <c r="AI64" s="188" t="str">
        <f>IF(ISERROR(getgrade(Broadsheet!AI175,data!$H$4:$I$9)),"#",getgrade(Broadsheet!AI175,data!$H$4:$I$9))</f>
        <v/>
      </c>
      <c r="AJ64" s="188" t="str">
        <f>IF(ISERROR(getgrade(Broadsheet!AJ175,data!$H$4:$I$9)),"#",getgrade(Broadsheet!AJ175,data!$H$4:$I$9))</f>
        <v/>
      </c>
      <c r="AK64" s="188" t="str">
        <f>IF(ISERROR(getgrade(Broadsheet!AK175,data!$H$4:$I$9)),"#",getgrade(Broadsheet!AK175,data!$H$4:$I$9))</f>
        <v/>
      </c>
      <c r="AL64" s="188" t="str">
        <f>IF(ISERROR(getgrade(Broadsheet!AL175,data!$H$4:$I$9)),"#",getgrade(Broadsheet!AL175,data!$H$4:$I$9))</f>
        <v/>
      </c>
      <c r="AM64" s="188" t="str">
        <f>IF(ISERROR(getgrade(Broadsheet!AM175,data!$H$4:$I$9)),"#",getgrade(Broadsheet!AM175,data!$H$4:$I$9))</f>
        <v/>
      </c>
      <c r="AN64" s="188" t="str">
        <f>IF(ISERROR(getgrade(Broadsheet!AN175,data!$H$4:$I$9)),"#",getgrade(Broadsheet!AN175,data!$H$4:$I$9))</f>
        <v/>
      </c>
      <c r="AO64" s="188" t="str">
        <f>IF(ISERROR(getgrade(Broadsheet!AO175,data!$H$4:$I$9)),"#",getgrade(Broadsheet!AO175,data!$H$4:$I$9))</f>
        <v/>
      </c>
      <c r="AP64" s="188" t="str">
        <f>IF(ISERROR(getgrade(Broadsheet!AP175,data!$H$4:$I$9)),"#",getgrade(Broadsheet!AP175,data!$H$4:$I$9))</f>
        <v/>
      </c>
      <c r="AQ64" s="188" t="str">
        <f>IF(ISERROR(getgrade(Broadsheet!AQ175,data!$H$4:$I$9)),"#",getgrade(Broadsheet!AQ175,data!$H$4:$I$9))</f>
        <v/>
      </c>
      <c r="AR64" s="188" t="str">
        <f>IF(ISERROR(getgrade(Broadsheet!AR175,data!$H$4:$I$9)),"#",getgrade(Broadsheet!AR175,data!$H$4:$I$9))</f>
        <v/>
      </c>
      <c r="AS64" s="188" t="str">
        <f>IF(ISERROR(getgrade(Broadsheet!AS175,data!$H$4:$I$9)),"#",getgrade(Broadsheet!AS175,data!$H$4:$I$9))</f>
        <v/>
      </c>
      <c r="AT64" s="188" t="str">
        <f>IF(ISERROR(getgrade(Broadsheet!AT175,data!$H$4:$I$9)),"#",getgrade(Broadsheet!AT175,data!$H$4:$I$9))</f>
        <v/>
      </c>
      <c r="AU64" s="188" t="str">
        <f>IF(ISERROR(getgrade(Broadsheet!AU175,data!$H$4:$I$9)),"#",getgrade(Broadsheet!AU175,data!$H$4:$I$9))</f>
        <v/>
      </c>
      <c r="AV64" s="188" t="str">
        <f>IF(ISERROR(getgrade(Broadsheet!AV175,data!$H$4:$I$9)),"#",getgrade(Broadsheet!AV175,data!$H$4:$I$9))</f>
        <v/>
      </c>
      <c r="AW64" s="188" t="str">
        <f>IF(ISERROR(getgrade(Broadsheet!AW175,data!$H$4:$I$9)),"#",getgrade(Broadsheet!AW175,data!$H$4:$I$9))</f>
        <v/>
      </c>
      <c r="AX64" s="188" t="str">
        <f>IF(ISERROR(getgrade(Broadsheet!AX175,data!$H$4:$I$9)),"#",getgrade(Broadsheet!AX175,data!$H$4:$I$9))</f>
        <v/>
      </c>
      <c r="AY64" s="188" t="str">
        <f>IF(ISERROR(getgrade(Broadsheet!AY175,data!$H$4:$I$9)),"#",getgrade(Broadsheet!AY175,data!$H$4:$I$9))</f>
        <v/>
      </c>
      <c r="AZ64" s="188" t="str">
        <f>IF(ISERROR(getgrade(Broadsheet!AZ175,data!$H$4:$I$9)),"#",getgrade(Broadsheet!AZ175,data!$H$4:$I$9))</f>
        <v/>
      </c>
      <c r="BA64" s="188" t="str">
        <f>IF(ISERROR(getgrade(Broadsheet!BA175,data!$H$4:$I$9)),"#",getgrade(Broadsheet!BA175,data!$H$4:$I$9))</f>
        <v/>
      </c>
      <c r="BB64" s="188" t="str">
        <f>IF(ISERROR(getgrade(Broadsheet!BB175,data!$H$4:$I$9)),"#",getgrade(Broadsheet!BB175,data!$H$4:$I$9))</f>
        <v/>
      </c>
      <c r="BC64" s="188" t="str">
        <f>IF(ISERROR(getgrade(Broadsheet!BC175,data!$H$4:$I$9)),"#",getgrade(Broadsheet!BC175,data!$H$4:$I$9))</f>
        <v/>
      </c>
      <c r="BD64" s="188" t="str">
        <f>IF(ISERROR(getgrade(Broadsheet!BD175,data!$H$4:$I$9)),"#",getgrade(Broadsheet!BD175,data!$H$4:$I$9))</f>
        <v/>
      </c>
      <c r="BE64" s="188" t="str">
        <f>IF(ISERROR(getgrade(Broadsheet!BE175,data!$H$4:$I$9)),"#",getgrade(Broadsheet!BE175,data!$H$4:$I$9))</f>
        <v/>
      </c>
      <c r="BF64" s="188" t="str">
        <f>IF(ISERROR(getgrade(Broadsheet!BF175,data!$H$4:$I$9)),"#",getgrade(Broadsheet!BF175,data!$H$4:$I$9))</f>
        <v/>
      </c>
      <c r="BG64" s="188" t="str">
        <f>IF(ISERROR(getgrade(Broadsheet!BG175,data!$H$4:$I$9)),"#",getgrade(Broadsheet!BG175,data!$H$4:$I$9))</f>
        <v/>
      </c>
      <c r="BH64" s="188" t="str">
        <f>IF(ISERROR(getgrade(Broadsheet!BH175,data!$H$4:$I$9)),"#",getgrade(Broadsheet!BH175,data!$H$4:$I$9))</f>
        <v/>
      </c>
      <c r="BI64" s="188" t="str">
        <f>IF(ISERROR(getgrade(Broadsheet!BI175,data!$H$4:$I$9)),"#",getgrade(Broadsheet!BI175,data!$H$4:$I$9))</f>
        <v/>
      </c>
      <c r="BJ64" s="188" t="str">
        <f>IF(ISERROR(getgrade(Broadsheet!BJ175,data!$H$4:$I$9)),"#",getgrade(Broadsheet!BJ175,data!$H$4:$I$9))</f>
        <v/>
      </c>
      <c r="BK64" s="188"/>
      <c r="BL64" s="188"/>
      <c r="BM64" s="188"/>
      <c r="BN64" s="188"/>
      <c r="BO64" s="188"/>
      <c r="BP64" s="188"/>
      <c r="BQ64" s="188"/>
      <c r="BR64" s="188"/>
      <c r="BS64" s="188"/>
      <c r="BT64" s="188"/>
      <c r="BU64" s="188"/>
      <c r="BV64" s="188"/>
      <c r="BW64" s="188"/>
      <c r="BX64" s="188"/>
      <c r="BY64" s="188"/>
      <c r="BZ64" s="188"/>
      <c r="CA64" s="188"/>
      <c r="CB64" s="188"/>
      <c r="CC64" s="188"/>
      <c r="CD64" s="188"/>
      <c r="CE64" s="188"/>
      <c r="CF64" s="188"/>
      <c r="CG64" s="188"/>
      <c r="CH64" s="188"/>
      <c r="CI64" s="188"/>
      <c r="CJ64" s="188"/>
      <c r="CK64" s="188"/>
      <c r="CL64" s="188"/>
      <c r="CM64" s="188"/>
      <c r="CN64" s="188"/>
      <c r="CO64" s="188"/>
      <c r="CP64" s="188"/>
      <c r="CQ64" s="188"/>
      <c r="CR64" s="188"/>
      <c r="CS64" s="188"/>
      <c r="CT64" s="188"/>
      <c r="CU64" s="188"/>
      <c r="CV64" s="188"/>
      <c r="CW64" s="188"/>
      <c r="CX64" s="188"/>
      <c r="CY64" s="188"/>
      <c r="CZ64" s="188"/>
      <c r="DA64" s="188"/>
      <c r="DB64" s="188"/>
      <c r="DC64" s="188"/>
      <c r="DD64" s="188"/>
      <c r="DE64" s="188"/>
      <c r="DF64" s="188"/>
      <c r="DG64" s="188"/>
      <c r="DH64" s="188"/>
      <c r="DI64" s="188"/>
      <c r="DJ64" s="188"/>
      <c r="DK64" s="188"/>
      <c r="DL64" s="188"/>
      <c r="DM64" s="188"/>
      <c r="DN64" s="188"/>
      <c r="DO64" s="188"/>
      <c r="DP64" s="188"/>
      <c r="DQ64" s="188"/>
      <c r="DR64" s="188"/>
      <c r="DS64" s="188"/>
      <c r="DT64" s="188"/>
      <c r="DU64" s="188"/>
      <c r="DV64" s="188"/>
      <c r="DW64" s="188"/>
      <c r="DX64" s="188"/>
      <c r="DY64" s="188"/>
      <c r="DZ64" s="188"/>
      <c r="EA64" s="188"/>
    </row>
    <row r="65" spans="1:131" ht="15.75" x14ac:dyDescent="0.25">
      <c r="A65" s="12">
        <f>Broadsheet!A176</f>
        <v>0</v>
      </c>
      <c r="B65" s="204" t="str">
        <f>IF(Broadsheet!B65="","",Broadsheet!B65)</f>
        <v/>
      </c>
      <c r="C65" s="24" t="str">
        <f>IF(Broadsheet!C65="","",Broadsheet!C65)</f>
        <v xml:space="preserve"> </v>
      </c>
      <c r="G65" s="24" t="str">
        <f t="shared" si="0"/>
        <v/>
      </c>
      <c r="H65" s="188" t="str">
        <f>IF(ISERROR(getgrade(Broadsheet!H176,data!$H$4:$I$9)),"#",getgrade(Broadsheet!H176,data!$H$4:$I$9))</f>
        <v/>
      </c>
      <c r="I65" s="188" t="str">
        <f>IF(ISERROR(getgrade(Broadsheet!I176,data!$H$4:$I$9)),"#",getgrade(Broadsheet!I176,data!$H$4:$I$9))</f>
        <v/>
      </c>
      <c r="J65" s="188" t="str">
        <f>IF(ISERROR(getgrade(Broadsheet!J176,data!$H$4:$I$9)),"#",getgrade(Broadsheet!J176,data!$H$4:$I$9))</f>
        <v/>
      </c>
      <c r="K65" s="188" t="str">
        <f>IF(ISERROR(getgrade(Broadsheet!K176,data!$H$4:$I$9)),"#",getgrade(Broadsheet!K176,data!$H$4:$I$9))</f>
        <v/>
      </c>
      <c r="L65" s="188" t="str">
        <f>IF(ISERROR(getgrade(Broadsheet!L176,data!$H$4:$I$9)),"#",getgrade(Broadsheet!L176,data!$H$4:$I$9))</f>
        <v/>
      </c>
      <c r="M65" s="188" t="str">
        <f>IF(ISERROR(getgrade(Broadsheet!M176,data!$H$4:$I$9)),"#",getgrade(Broadsheet!M176,data!$H$4:$I$9))</f>
        <v/>
      </c>
      <c r="N65" s="188" t="str">
        <f>IF(ISERROR(getgrade(Broadsheet!N176,data!$H$4:$I$9)),"#",getgrade(Broadsheet!N176,data!$H$4:$I$9))</f>
        <v/>
      </c>
      <c r="O65" s="188" t="str">
        <f>IF(ISERROR(getgrade(Broadsheet!O176,data!$H$4:$I$9)),"#",getgrade(Broadsheet!O176,data!$H$4:$I$9))</f>
        <v/>
      </c>
      <c r="P65" s="188" t="str">
        <f>IF(ISERROR(getgrade(Broadsheet!P176,data!$H$4:$I$9)),"#",getgrade(Broadsheet!P176,data!$H$4:$I$9))</f>
        <v/>
      </c>
      <c r="Q65" s="188" t="str">
        <f>IF(ISERROR(getgrade(Broadsheet!Q176,data!$H$4:$I$9)),"#",getgrade(Broadsheet!Q176,data!$H$4:$I$9))</f>
        <v/>
      </c>
      <c r="R65" s="188" t="str">
        <f>IF(ISERROR(getgrade(Broadsheet!R176,data!$H$4:$I$9)),"#",getgrade(Broadsheet!R176,data!$H$4:$I$9))</f>
        <v/>
      </c>
      <c r="S65" s="188" t="str">
        <f>IF(ISERROR(getgrade(Broadsheet!S176,data!$H$4:$I$9)),"#",getgrade(Broadsheet!S176,data!$H$4:$I$9))</f>
        <v/>
      </c>
      <c r="T65" s="188" t="str">
        <f>IF(ISERROR(getgrade(Broadsheet!T176,data!$H$4:$I$9)),"#",getgrade(Broadsheet!T176,data!$H$4:$I$9))</f>
        <v/>
      </c>
      <c r="U65" s="188" t="str">
        <f>IF(ISERROR(getgrade(Broadsheet!U176,data!$H$4:$I$9)),"#",getgrade(Broadsheet!U176,data!$H$4:$I$9))</f>
        <v/>
      </c>
      <c r="V65" s="188" t="str">
        <f>IF(ISERROR(getgrade(Broadsheet!V176,data!$H$4:$I$9)),"#",getgrade(Broadsheet!V176,data!$H$4:$I$9))</f>
        <v/>
      </c>
      <c r="W65" s="188" t="str">
        <f>IF(ISERROR(getgrade(Broadsheet!W176,data!$H$4:$I$9)),"#",getgrade(Broadsheet!W176,data!$H$4:$I$9))</f>
        <v/>
      </c>
      <c r="X65" s="188" t="str">
        <f>IF(ISERROR(getgrade(Broadsheet!X176,data!$H$4:$I$9)),"#",getgrade(Broadsheet!X176,data!$H$4:$I$9))</f>
        <v/>
      </c>
      <c r="Y65" s="188" t="str">
        <f>IF(ISERROR(getgrade(Broadsheet!Y176,data!$H$4:$I$9)),"#",getgrade(Broadsheet!Y176,data!$H$4:$I$9))</f>
        <v/>
      </c>
      <c r="Z65" s="188" t="str">
        <f>IF(ISERROR(getgrade(Broadsheet!Z176,data!$H$4:$I$9)),"#",getgrade(Broadsheet!Z176,data!$H$4:$I$9))</f>
        <v/>
      </c>
      <c r="AA65" s="188" t="str">
        <f>IF(ISERROR(getgrade(Broadsheet!AA176,data!$H$4:$I$9)),"#",getgrade(Broadsheet!AA176,data!$H$4:$I$9))</f>
        <v/>
      </c>
      <c r="AB65" s="188" t="str">
        <f>IF(ISERROR(getgrade(Broadsheet!AB176,data!$H$4:$I$9)),"#",getgrade(Broadsheet!AB176,data!$H$4:$I$9))</f>
        <v/>
      </c>
      <c r="AC65" s="188" t="str">
        <f>IF(ISERROR(getgrade(Broadsheet!AC176,data!$H$4:$I$9)),"#",getgrade(Broadsheet!AC176,data!$H$4:$I$9))</f>
        <v/>
      </c>
      <c r="AD65" s="188" t="str">
        <f>IF(ISERROR(getgrade(Broadsheet!AD176,data!$H$4:$I$9)),"#",getgrade(Broadsheet!AD176,data!$H$4:$I$9))</f>
        <v/>
      </c>
      <c r="AE65" s="188" t="str">
        <f>IF(ISERROR(getgrade(Broadsheet!AE176,data!$H$4:$I$9)),"#",getgrade(Broadsheet!AE176,data!$H$4:$I$9))</f>
        <v/>
      </c>
      <c r="AF65" s="188" t="str">
        <f>IF(ISERROR(getgrade(Broadsheet!AF176,data!$H$4:$I$9)),"#",getgrade(Broadsheet!AF176,data!$H$4:$I$9))</f>
        <v/>
      </c>
      <c r="AG65" s="188" t="str">
        <f>IF(ISERROR(getgrade(Broadsheet!AG176,data!$H$4:$I$9)),"#",getgrade(Broadsheet!AG176,data!$H$4:$I$9))</f>
        <v/>
      </c>
      <c r="AH65" s="188" t="str">
        <f>IF(ISERROR(getgrade(Broadsheet!AH176,data!$H$4:$I$9)),"#",getgrade(Broadsheet!AH176,data!$H$4:$I$9))</f>
        <v/>
      </c>
      <c r="AI65" s="188" t="str">
        <f>IF(ISERROR(getgrade(Broadsheet!AI176,data!$H$4:$I$9)),"#",getgrade(Broadsheet!AI176,data!$H$4:$I$9))</f>
        <v/>
      </c>
      <c r="AJ65" s="188" t="str">
        <f>IF(ISERROR(getgrade(Broadsheet!AJ176,data!$H$4:$I$9)),"#",getgrade(Broadsheet!AJ176,data!$H$4:$I$9))</f>
        <v/>
      </c>
      <c r="AK65" s="188" t="str">
        <f>IF(ISERROR(getgrade(Broadsheet!AK176,data!$H$4:$I$9)),"#",getgrade(Broadsheet!AK176,data!$H$4:$I$9))</f>
        <v/>
      </c>
      <c r="AL65" s="188" t="str">
        <f>IF(ISERROR(getgrade(Broadsheet!AL176,data!$H$4:$I$9)),"#",getgrade(Broadsheet!AL176,data!$H$4:$I$9))</f>
        <v/>
      </c>
      <c r="AM65" s="188" t="str">
        <f>IF(ISERROR(getgrade(Broadsheet!AM176,data!$H$4:$I$9)),"#",getgrade(Broadsheet!AM176,data!$H$4:$I$9))</f>
        <v/>
      </c>
      <c r="AN65" s="188" t="str">
        <f>IF(ISERROR(getgrade(Broadsheet!AN176,data!$H$4:$I$9)),"#",getgrade(Broadsheet!AN176,data!$H$4:$I$9))</f>
        <v/>
      </c>
      <c r="AO65" s="188" t="str">
        <f>IF(ISERROR(getgrade(Broadsheet!AO176,data!$H$4:$I$9)),"#",getgrade(Broadsheet!AO176,data!$H$4:$I$9))</f>
        <v/>
      </c>
      <c r="AP65" s="188" t="str">
        <f>IF(ISERROR(getgrade(Broadsheet!AP176,data!$H$4:$I$9)),"#",getgrade(Broadsheet!AP176,data!$H$4:$I$9))</f>
        <v/>
      </c>
      <c r="AQ65" s="188" t="str">
        <f>IF(ISERROR(getgrade(Broadsheet!AQ176,data!$H$4:$I$9)),"#",getgrade(Broadsheet!AQ176,data!$H$4:$I$9))</f>
        <v/>
      </c>
      <c r="AR65" s="188" t="str">
        <f>IF(ISERROR(getgrade(Broadsheet!AR176,data!$H$4:$I$9)),"#",getgrade(Broadsheet!AR176,data!$H$4:$I$9))</f>
        <v/>
      </c>
      <c r="AS65" s="188" t="str">
        <f>IF(ISERROR(getgrade(Broadsheet!AS176,data!$H$4:$I$9)),"#",getgrade(Broadsheet!AS176,data!$H$4:$I$9))</f>
        <v/>
      </c>
      <c r="AT65" s="188" t="str">
        <f>IF(ISERROR(getgrade(Broadsheet!AT176,data!$H$4:$I$9)),"#",getgrade(Broadsheet!AT176,data!$H$4:$I$9))</f>
        <v/>
      </c>
      <c r="AU65" s="188" t="str">
        <f>IF(ISERROR(getgrade(Broadsheet!AU176,data!$H$4:$I$9)),"#",getgrade(Broadsheet!AU176,data!$H$4:$I$9))</f>
        <v/>
      </c>
      <c r="AV65" s="188" t="str">
        <f>IF(ISERROR(getgrade(Broadsheet!AV176,data!$H$4:$I$9)),"#",getgrade(Broadsheet!AV176,data!$H$4:$I$9))</f>
        <v/>
      </c>
      <c r="AW65" s="188" t="str">
        <f>IF(ISERROR(getgrade(Broadsheet!AW176,data!$H$4:$I$9)),"#",getgrade(Broadsheet!AW176,data!$H$4:$I$9))</f>
        <v/>
      </c>
      <c r="AX65" s="188" t="str">
        <f>IF(ISERROR(getgrade(Broadsheet!AX176,data!$H$4:$I$9)),"#",getgrade(Broadsheet!AX176,data!$H$4:$I$9))</f>
        <v/>
      </c>
      <c r="AY65" s="188" t="str">
        <f>IF(ISERROR(getgrade(Broadsheet!AY176,data!$H$4:$I$9)),"#",getgrade(Broadsheet!AY176,data!$H$4:$I$9))</f>
        <v/>
      </c>
      <c r="AZ65" s="188" t="str">
        <f>IF(ISERROR(getgrade(Broadsheet!AZ176,data!$H$4:$I$9)),"#",getgrade(Broadsheet!AZ176,data!$H$4:$I$9))</f>
        <v/>
      </c>
      <c r="BA65" s="188" t="str">
        <f>IF(ISERROR(getgrade(Broadsheet!BA176,data!$H$4:$I$9)),"#",getgrade(Broadsheet!BA176,data!$H$4:$I$9))</f>
        <v/>
      </c>
      <c r="BB65" s="188" t="str">
        <f>IF(ISERROR(getgrade(Broadsheet!BB176,data!$H$4:$I$9)),"#",getgrade(Broadsheet!BB176,data!$H$4:$I$9))</f>
        <v/>
      </c>
      <c r="BC65" s="188" t="str">
        <f>IF(ISERROR(getgrade(Broadsheet!BC176,data!$H$4:$I$9)),"#",getgrade(Broadsheet!BC176,data!$H$4:$I$9))</f>
        <v/>
      </c>
      <c r="BD65" s="188" t="str">
        <f>IF(ISERROR(getgrade(Broadsheet!BD176,data!$H$4:$I$9)),"#",getgrade(Broadsheet!BD176,data!$H$4:$I$9))</f>
        <v/>
      </c>
      <c r="BE65" s="188" t="str">
        <f>IF(ISERROR(getgrade(Broadsheet!BE176,data!$H$4:$I$9)),"#",getgrade(Broadsheet!BE176,data!$H$4:$I$9))</f>
        <v/>
      </c>
      <c r="BF65" s="188" t="str">
        <f>IF(ISERROR(getgrade(Broadsheet!BF176,data!$H$4:$I$9)),"#",getgrade(Broadsheet!BF176,data!$H$4:$I$9))</f>
        <v/>
      </c>
      <c r="BG65" s="188" t="str">
        <f>IF(ISERROR(getgrade(Broadsheet!BG176,data!$H$4:$I$9)),"#",getgrade(Broadsheet!BG176,data!$H$4:$I$9))</f>
        <v/>
      </c>
      <c r="BH65" s="188" t="str">
        <f>IF(ISERROR(getgrade(Broadsheet!BH176,data!$H$4:$I$9)),"#",getgrade(Broadsheet!BH176,data!$H$4:$I$9))</f>
        <v/>
      </c>
      <c r="BI65" s="188" t="str">
        <f>IF(ISERROR(getgrade(Broadsheet!BI176,data!$H$4:$I$9)),"#",getgrade(Broadsheet!BI176,data!$H$4:$I$9))</f>
        <v/>
      </c>
      <c r="BJ65" s="188" t="str">
        <f>IF(ISERROR(getgrade(Broadsheet!BJ176,data!$H$4:$I$9)),"#",getgrade(Broadsheet!BJ176,data!$H$4:$I$9))</f>
        <v/>
      </c>
      <c r="BK65" s="188"/>
      <c r="BL65" s="188"/>
      <c r="BM65" s="188"/>
      <c r="BN65" s="188"/>
      <c r="BO65" s="188"/>
      <c r="BP65" s="188"/>
      <c r="BQ65" s="188"/>
      <c r="BR65" s="188"/>
      <c r="BS65" s="188"/>
      <c r="BT65" s="188"/>
      <c r="BU65" s="188"/>
      <c r="BV65" s="188"/>
      <c r="BW65" s="188"/>
      <c r="BX65" s="188"/>
      <c r="BY65" s="188"/>
      <c r="BZ65" s="188"/>
      <c r="CA65" s="188"/>
      <c r="CB65" s="188"/>
      <c r="CC65" s="188"/>
      <c r="CD65" s="188"/>
      <c r="CE65" s="188"/>
      <c r="CF65" s="188"/>
      <c r="CG65" s="188"/>
      <c r="CH65" s="188"/>
      <c r="CI65" s="188"/>
      <c r="CJ65" s="188"/>
      <c r="CK65" s="188"/>
      <c r="CL65" s="188"/>
      <c r="CM65" s="188"/>
      <c r="CN65" s="188"/>
      <c r="CO65" s="188"/>
      <c r="CP65" s="188"/>
      <c r="CQ65" s="188"/>
      <c r="CR65" s="188"/>
      <c r="CS65" s="188"/>
      <c r="CT65" s="188"/>
      <c r="CU65" s="188"/>
      <c r="CV65" s="188"/>
      <c r="CW65" s="188"/>
      <c r="CX65" s="188"/>
      <c r="CY65" s="188"/>
      <c r="CZ65" s="188"/>
      <c r="DA65" s="188"/>
      <c r="DB65" s="188"/>
      <c r="DC65" s="188"/>
      <c r="DD65" s="188"/>
      <c r="DE65" s="188"/>
      <c r="DF65" s="188"/>
      <c r="DG65" s="188"/>
      <c r="DH65" s="188"/>
      <c r="DI65" s="188"/>
      <c r="DJ65" s="188"/>
      <c r="DK65" s="188"/>
      <c r="DL65" s="188"/>
      <c r="DM65" s="188"/>
      <c r="DN65" s="188"/>
      <c r="DO65" s="188"/>
      <c r="DP65" s="188"/>
      <c r="DQ65" s="188"/>
      <c r="DR65" s="188"/>
      <c r="DS65" s="188"/>
      <c r="DT65" s="188"/>
      <c r="DU65" s="188"/>
      <c r="DV65" s="188"/>
      <c r="DW65" s="188"/>
      <c r="DX65" s="188"/>
      <c r="DY65" s="188"/>
      <c r="DZ65" s="188"/>
      <c r="EA65" s="188"/>
    </row>
    <row r="66" spans="1:131" ht="15.75" x14ac:dyDescent="0.25">
      <c r="A66" s="12">
        <f>Broadsheet!A177</f>
        <v>0</v>
      </c>
      <c r="B66" s="204" t="str">
        <f>IF(Broadsheet!B66="","",Broadsheet!B66)</f>
        <v/>
      </c>
      <c r="C66" s="24" t="str">
        <f>IF(Broadsheet!C66="","",Broadsheet!C66)</f>
        <v xml:space="preserve"> </v>
      </c>
      <c r="G66" s="24" t="str">
        <f t="shared" si="0"/>
        <v/>
      </c>
      <c r="H66" s="188" t="str">
        <f>IF(ISERROR(getgrade(Broadsheet!H177,data!$H$4:$I$9)),"#",getgrade(Broadsheet!H177,data!$H$4:$I$9))</f>
        <v/>
      </c>
      <c r="I66" s="188" t="str">
        <f>IF(ISERROR(getgrade(Broadsheet!I177,data!$H$4:$I$9)),"#",getgrade(Broadsheet!I177,data!$H$4:$I$9))</f>
        <v/>
      </c>
      <c r="J66" s="188" t="str">
        <f>IF(ISERROR(getgrade(Broadsheet!J177,data!$H$4:$I$9)),"#",getgrade(Broadsheet!J177,data!$H$4:$I$9))</f>
        <v/>
      </c>
      <c r="K66" s="188" t="str">
        <f>IF(ISERROR(getgrade(Broadsheet!K177,data!$H$4:$I$9)),"#",getgrade(Broadsheet!K177,data!$H$4:$I$9))</f>
        <v/>
      </c>
      <c r="L66" s="188" t="str">
        <f>IF(ISERROR(getgrade(Broadsheet!L177,data!$H$4:$I$9)),"#",getgrade(Broadsheet!L177,data!$H$4:$I$9))</f>
        <v/>
      </c>
      <c r="M66" s="188" t="str">
        <f>IF(ISERROR(getgrade(Broadsheet!M177,data!$H$4:$I$9)),"#",getgrade(Broadsheet!M177,data!$H$4:$I$9))</f>
        <v/>
      </c>
      <c r="N66" s="188" t="str">
        <f>IF(ISERROR(getgrade(Broadsheet!N177,data!$H$4:$I$9)),"#",getgrade(Broadsheet!N177,data!$H$4:$I$9))</f>
        <v/>
      </c>
      <c r="O66" s="188" t="str">
        <f>IF(ISERROR(getgrade(Broadsheet!O177,data!$H$4:$I$9)),"#",getgrade(Broadsheet!O177,data!$H$4:$I$9))</f>
        <v/>
      </c>
      <c r="P66" s="188" t="str">
        <f>IF(ISERROR(getgrade(Broadsheet!P177,data!$H$4:$I$9)),"#",getgrade(Broadsheet!P177,data!$H$4:$I$9))</f>
        <v/>
      </c>
      <c r="Q66" s="188" t="str">
        <f>IF(ISERROR(getgrade(Broadsheet!Q177,data!$H$4:$I$9)),"#",getgrade(Broadsheet!Q177,data!$H$4:$I$9))</f>
        <v/>
      </c>
      <c r="R66" s="188" t="str">
        <f>IF(ISERROR(getgrade(Broadsheet!R177,data!$H$4:$I$9)),"#",getgrade(Broadsheet!R177,data!$H$4:$I$9))</f>
        <v/>
      </c>
      <c r="S66" s="188" t="str">
        <f>IF(ISERROR(getgrade(Broadsheet!S177,data!$H$4:$I$9)),"#",getgrade(Broadsheet!S177,data!$H$4:$I$9))</f>
        <v/>
      </c>
      <c r="T66" s="188" t="str">
        <f>IF(ISERROR(getgrade(Broadsheet!T177,data!$H$4:$I$9)),"#",getgrade(Broadsheet!T177,data!$H$4:$I$9))</f>
        <v/>
      </c>
      <c r="U66" s="188" t="str">
        <f>IF(ISERROR(getgrade(Broadsheet!U177,data!$H$4:$I$9)),"#",getgrade(Broadsheet!U177,data!$H$4:$I$9))</f>
        <v/>
      </c>
      <c r="V66" s="188" t="str">
        <f>IF(ISERROR(getgrade(Broadsheet!V177,data!$H$4:$I$9)),"#",getgrade(Broadsheet!V177,data!$H$4:$I$9))</f>
        <v/>
      </c>
      <c r="W66" s="188" t="str">
        <f>IF(ISERROR(getgrade(Broadsheet!W177,data!$H$4:$I$9)),"#",getgrade(Broadsheet!W177,data!$H$4:$I$9))</f>
        <v/>
      </c>
      <c r="X66" s="188" t="str">
        <f>IF(ISERROR(getgrade(Broadsheet!X177,data!$H$4:$I$9)),"#",getgrade(Broadsheet!X177,data!$H$4:$I$9))</f>
        <v/>
      </c>
      <c r="Y66" s="188" t="str">
        <f>IF(ISERROR(getgrade(Broadsheet!Y177,data!$H$4:$I$9)),"#",getgrade(Broadsheet!Y177,data!$H$4:$I$9))</f>
        <v/>
      </c>
      <c r="Z66" s="188" t="str">
        <f>IF(ISERROR(getgrade(Broadsheet!Z177,data!$H$4:$I$9)),"#",getgrade(Broadsheet!Z177,data!$H$4:$I$9))</f>
        <v/>
      </c>
      <c r="AA66" s="188" t="str">
        <f>IF(ISERROR(getgrade(Broadsheet!AA177,data!$H$4:$I$9)),"#",getgrade(Broadsheet!AA177,data!$H$4:$I$9))</f>
        <v/>
      </c>
      <c r="AB66" s="188" t="str">
        <f>IF(ISERROR(getgrade(Broadsheet!AB177,data!$H$4:$I$9)),"#",getgrade(Broadsheet!AB177,data!$H$4:$I$9))</f>
        <v/>
      </c>
      <c r="AC66" s="188" t="str">
        <f>IF(ISERROR(getgrade(Broadsheet!AC177,data!$H$4:$I$9)),"#",getgrade(Broadsheet!AC177,data!$H$4:$I$9))</f>
        <v/>
      </c>
      <c r="AD66" s="188" t="str">
        <f>IF(ISERROR(getgrade(Broadsheet!AD177,data!$H$4:$I$9)),"#",getgrade(Broadsheet!AD177,data!$H$4:$I$9))</f>
        <v/>
      </c>
      <c r="AE66" s="188" t="str">
        <f>IF(ISERROR(getgrade(Broadsheet!AE177,data!$H$4:$I$9)),"#",getgrade(Broadsheet!AE177,data!$H$4:$I$9))</f>
        <v/>
      </c>
      <c r="AF66" s="188" t="str">
        <f>IF(ISERROR(getgrade(Broadsheet!AF177,data!$H$4:$I$9)),"#",getgrade(Broadsheet!AF177,data!$H$4:$I$9))</f>
        <v/>
      </c>
      <c r="AG66" s="188" t="str">
        <f>IF(ISERROR(getgrade(Broadsheet!AG177,data!$H$4:$I$9)),"#",getgrade(Broadsheet!AG177,data!$H$4:$I$9))</f>
        <v/>
      </c>
      <c r="AH66" s="188" t="str">
        <f>IF(ISERROR(getgrade(Broadsheet!AH177,data!$H$4:$I$9)),"#",getgrade(Broadsheet!AH177,data!$H$4:$I$9))</f>
        <v/>
      </c>
      <c r="AI66" s="188" t="str">
        <f>IF(ISERROR(getgrade(Broadsheet!AI177,data!$H$4:$I$9)),"#",getgrade(Broadsheet!AI177,data!$H$4:$I$9))</f>
        <v/>
      </c>
      <c r="AJ66" s="188" t="str">
        <f>IF(ISERROR(getgrade(Broadsheet!AJ177,data!$H$4:$I$9)),"#",getgrade(Broadsheet!AJ177,data!$H$4:$I$9))</f>
        <v/>
      </c>
      <c r="AK66" s="188" t="str">
        <f>IF(ISERROR(getgrade(Broadsheet!AK177,data!$H$4:$I$9)),"#",getgrade(Broadsheet!AK177,data!$H$4:$I$9))</f>
        <v/>
      </c>
      <c r="AL66" s="188" t="str">
        <f>IF(ISERROR(getgrade(Broadsheet!AL177,data!$H$4:$I$9)),"#",getgrade(Broadsheet!AL177,data!$H$4:$I$9))</f>
        <v/>
      </c>
      <c r="AM66" s="188" t="str">
        <f>IF(ISERROR(getgrade(Broadsheet!AM177,data!$H$4:$I$9)),"#",getgrade(Broadsheet!AM177,data!$H$4:$I$9))</f>
        <v/>
      </c>
      <c r="AN66" s="188" t="str">
        <f>IF(ISERROR(getgrade(Broadsheet!AN177,data!$H$4:$I$9)),"#",getgrade(Broadsheet!AN177,data!$H$4:$I$9))</f>
        <v/>
      </c>
      <c r="AO66" s="188" t="str">
        <f>IF(ISERROR(getgrade(Broadsheet!AO177,data!$H$4:$I$9)),"#",getgrade(Broadsheet!AO177,data!$H$4:$I$9))</f>
        <v/>
      </c>
      <c r="AP66" s="188" t="str">
        <f>IF(ISERROR(getgrade(Broadsheet!AP177,data!$H$4:$I$9)),"#",getgrade(Broadsheet!AP177,data!$H$4:$I$9))</f>
        <v/>
      </c>
      <c r="AQ66" s="188" t="str">
        <f>IF(ISERROR(getgrade(Broadsheet!AQ177,data!$H$4:$I$9)),"#",getgrade(Broadsheet!AQ177,data!$H$4:$I$9))</f>
        <v/>
      </c>
      <c r="AR66" s="188" t="str">
        <f>IF(ISERROR(getgrade(Broadsheet!AR177,data!$H$4:$I$9)),"#",getgrade(Broadsheet!AR177,data!$H$4:$I$9))</f>
        <v/>
      </c>
      <c r="AS66" s="188" t="str">
        <f>IF(ISERROR(getgrade(Broadsheet!AS177,data!$H$4:$I$9)),"#",getgrade(Broadsheet!AS177,data!$H$4:$I$9))</f>
        <v/>
      </c>
      <c r="AT66" s="188" t="str">
        <f>IF(ISERROR(getgrade(Broadsheet!AT177,data!$H$4:$I$9)),"#",getgrade(Broadsheet!AT177,data!$H$4:$I$9))</f>
        <v/>
      </c>
      <c r="AU66" s="188" t="str">
        <f>IF(ISERROR(getgrade(Broadsheet!AU177,data!$H$4:$I$9)),"#",getgrade(Broadsheet!AU177,data!$H$4:$I$9))</f>
        <v/>
      </c>
      <c r="AV66" s="188" t="str">
        <f>IF(ISERROR(getgrade(Broadsheet!AV177,data!$H$4:$I$9)),"#",getgrade(Broadsheet!AV177,data!$H$4:$I$9))</f>
        <v/>
      </c>
      <c r="AW66" s="188" t="str">
        <f>IF(ISERROR(getgrade(Broadsheet!AW177,data!$H$4:$I$9)),"#",getgrade(Broadsheet!AW177,data!$H$4:$I$9))</f>
        <v/>
      </c>
      <c r="AX66" s="188" t="str">
        <f>IF(ISERROR(getgrade(Broadsheet!AX177,data!$H$4:$I$9)),"#",getgrade(Broadsheet!AX177,data!$H$4:$I$9))</f>
        <v/>
      </c>
      <c r="AY66" s="188" t="str">
        <f>IF(ISERROR(getgrade(Broadsheet!AY177,data!$H$4:$I$9)),"#",getgrade(Broadsheet!AY177,data!$H$4:$I$9))</f>
        <v/>
      </c>
      <c r="AZ66" s="188" t="str">
        <f>IF(ISERROR(getgrade(Broadsheet!AZ177,data!$H$4:$I$9)),"#",getgrade(Broadsheet!AZ177,data!$H$4:$I$9))</f>
        <v/>
      </c>
      <c r="BA66" s="188" t="str">
        <f>IF(ISERROR(getgrade(Broadsheet!BA177,data!$H$4:$I$9)),"#",getgrade(Broadsheet!BA177,data!$H$4:$I$9))</f>
        <v/>
      </c>
      <c r="BB66" s="188" t="str">
        <f>IF(ISERROR(getgrade(Broadsheet!BB177,data!$H$4:$I$9)),"#",getgrade(Broadsheet!BB177,data!$H$4:$I$9))</f>
        <v/>
      </c>
      <c r="BC66" s="188" t="str">
        <f>IF(ISERROR(getgrade(Broadsheet!BC177,data!$H$4:$I$9)),"#",getgrade(Broadsheet!BC177,data!$H$4:$I$9))</f>
        <v/>
      </c>
      <c r="BD66" s="188" t="str">
        <f>IF(ISERROR(getgrade(Broadsheet!BD177,data!$H$4:$I$9)),"#",getgrade(Broadsheet!BD177,data!$H$4:$I$9))</f>
        <v/>
      </c>
      <c r="BE66" s="188" t="str">
        <f>IF(ISERROR(getgrade(Broadsheet!BE177,data!$H$4:$I$9)),"#",getgrade(Broadsheet!BE177,data!$H$4:$I$9))</f>
        <v/>
      </c>
      <c r="BF66" s="188" t="str">
        <f>IF(ISERROR(getgrade(Broadsheet!BF177,data!$H$4:$I$9)),"#",getgrade(Broadsheet!BF177,data!$H$4:$I$9))</f>
        <v/>
      </c>
      <c r="BG66" s="188" t="str">
        <f>IF(ISERROR(getgrade(Broadsheet!BG177,data!$H$4:$I$9)),"#",getgrade(Broadsheet!BG177,data!$H$4:$I$9))</f>
        <v/>
      </c>
      <c r="BH66" s="188" t="str">
        <f>IF(ISERROR(getgrade(Broadsheet!BH177,data!$H$4:$I$9)),"#",getgrade(Broadsheet!BH177,data!$H$4:$I$9))</f>
        <v/>
      </c>
      <c r="BI66" s="188" t="str">
        <f>IF(ISERROR(getgrade(Broadsheet!BI177,data!$H$4:$I$9)),"#",getgrade(Broadsheet!BI177,data!$H$4:$I$9))</f>
        <v/>
      </c>
      <c r="BJ66" s="188" t="str">
        <f>IF(ISERROR(getgrade(Broadsheet!BJ177,data!$H$4:$I$9)),"#",getgrade(Broadsheet!BJ177,data!$H$4:$I$9))</f>
        <v/>
      </c>
      <c r="BK66" s="188"/>
      <c r="BL66" s="188"/>
      <c r="BM66" s="188"/>
      <c r="BN66" s="188"/>
      <c r="BO66" s="188"/>
      <c r="BP66" s="188"/>
      <c r="BQ66" s="188"/>
      <c r="BR66" s="188"/>
      <c r="BS66" s="188"/>
      <c r="BT66" s="188"/>
      <c r="BU66" s="188"/>
      <c r="BV66" s="188"/>
      <c r="BW66" s="188"/>
      <c r="BX66" s="188"/>
      <c r="BY66" s="188"/>
      <c r="BZ66" s="188"/>
      <c r="CA66" s="188"/>
      <c r="CB66" s="188"/>
      <c r="CC66" s="188"/>
      <c r="CD66" s="188"/>
      <c r="CE66" s="188"/>
      <c r="CF66" s="188"/>
      <c r="CG66" s="188"/>
      <c r="CH66" s="188"/>
      <c r="CI66" s="188"/>
      <c r="CJ66" s="188"/>
      <c r="CK66" s="188"/>
      <c r="CL66" s="188"/>
      <c r="CM66" s="188"/>
      <c r="CN66" s="188"/>
      <c r="CO66" s="188"/>
      <c r="CP66" s="188"/>
      <c r="CQ66" s="188"/>
      <c r="CR66" s="188"/>
      <c r="CS66" s="188"/>
      <c r="CT66" s="188"/>
      <c r="CU66" s="188"/>
      <c r="CV66" s="188"/>
      <c r="CW66" s="188"/>
      <c r="CX66" s="188"/>
      <c r="CY66" s="188"/>
      <c r="CZ66" s="188"/>
      <c r="DA66" s="188"/>
      <c r="DB66" s="188"/>
      <c r="DC66" s="188"/>
      <c r="DD66" s="188"/>
      <c r="DE66" s="188"/>
      <c r="DF66" s="188"/>
      <c r="DG66" s="188"/>
      <c r="DH66" s="188"/>
      <c r="DI66" s="188"/>
      <c r="DJ66" s="188"/>
      <c r="DK66" s="188"/>
      <c r="DL66" s="188"/>
      <c r="DM66" s="188"/>
      <c r="DN66" s="188"/>
      <c r="DO66" s="188"/>
      <c r="DP66" s="188"/>
      <c r="DQ66" s="188"/>
      <c r="DR66" s="188"/>
      <c r="DS66" s="188"/>
      <c r="DT66" s="188"/>
      <c r="DU66" s="188"/>
      <c r="DV66" s="188"/>
      <c r="DW66" s="188"/>
      <c r="DX66" s="188"/>
      <c r="DY66" s="188"/>
      <c r="DZ66" s="188"/>
      <c r="EA66" s="188"/>
    </row>
    <row r="67" spans="1:131" ht="15.75" x14ac:dyDescent="0.25">
      <c r="A67" s="12">
        <f>Broadsheet!A178</f>
        <v>0</v>
      </c>
      <c r="B67" s="204" t="str">
        <f>IF(Broadsheet!B67="","",Broadsheet!B67)</f>
        <v/>
      </c>
      <c r="C67" s="24" t="str">
        <f>IF(Broadsheet!C67="","",Broadsheet!C67)</f>
        <v xml:space="preserve"> </v>
      </c>
      <c r="G67" s="24" t="str">
        <f t="shared" si="0"/>
        <v/>
      </c>
      <c r="H67" s="188" t="str">
        <f>IF(ISERROR(getgrade(Broadsheet!H178,data!$H$4:$I$9)),"#",getgrade(Broadsheet!H178,data!$H$4:$I$9))</f>
        <v/>
      </c>
      <c r="I67" s="188" t="str">
        <f>IF(ISERROR(getgrade(Broadsheet!I178,data!$H$4:$I$9)),"#",getgrade(Broadsheet!I178,data!$H$4:$I$9))</f>
        <v/>
      </c>
      <c r="J67" s="188" t="str">
        <f>IF(ISERROR(getgrade(Broadsheet!J178,data!$H$4:$I$9)),"#",getgrade(Broadsheet!J178,data!$H$4:$I$9))</f>
        <v/>
      </c>
      <c r="K67" s="188" t="str">
        <f>IF(ISERROR(getgrade(Broadsheet!K178,data!$H$4:$I$9)),"#",getgrade(Broadsheet!K178,data!$H$4:$I$9))</f>
        <v/>
      </c>
      <c r="L67" s="188" t="str">
        <f>IF(ISERROR(getgrade(Broadsheet!L178,data!$H$4:$I$9)),"#",getgrade(Broadsheet!L178,data!$H$4:$I$9))</f>
        <v/>
      </c>
      <c r="M67" s="188" t="str">
        <f>IF(ISERROR(getgrade(Broadsheet!M178,data!$H$4:$I$9)),"#",getgrade(Broadsheet!M178,data!$H$4:$I$9))</f>
        <v/>
      </c>
      <c r="N67" s="188" t="str">
        <f>IF(ISERROR(getgrade(Broadsheet!N178,data!$H$4:$I$9)),"#",getgrade(Broadsheet!N178,data!$H$4:$I$9))</f>
        <v/>
      </c>
      <c r="O67" s="188" t="str">
        <f>IF(ISERROR(getgrade(Broadsheet!O178,data!$H$4:$I$9)),"#",getgrade(Broadsheet!O178,data!$H$4:$I$9))</f>
        <v/>
      </c>
      <c r="P67" s="188" t="str">
        <f>IF(ISERROR(getgrade(Broadsheet!P178,data!$H$4:$I$9)),"#",getgrade(Broadsheet!P178,data!$H$4:$I$9))</f>
        <v/>
      </c>
      <c r="Q67" s="188" t="str">
        <f>IF(ISERROR(getgrade(Broadsheet!Q178,data!$H$4:$I$9)),"#",getgrade(Broadsheet!Q178,data!$H$4:$I$9))</f>
        <v/>
      </c>
      <c r="R67" s="188" t="str">
        <f>IF(ISERROR(getgrade(Broadsheet!R178,data!$H$4:$I$9)),"#",getgrade(Broadsheet!R178,data!$H$4:$I$9))</f>
        <v/>
      </c>
      <c r="S67" s="188" t="str">
        <f>IF(ISERROR(getgrade(Broadsheet!S178,data!$H$4:$I$9)),"#",getgrade(Broadsheet!S178,data!$H$4:$I$9))</f>
        <v/>
      </c>
      <c r="T67" s="188" t="str">
        <f>IF(ISERROR(getgrade(Broadsheet!T178,data!$H$4:$I$9)),"#",getgrade(Broadsheet!T178,data!$H$4:$I$9))</f>
        <v/>
      </c>
      <c r="U67" s="188" t="str">
        <f>IF(ISERROR(getgrade(Broadsheet!U178,data!$H$4:$I$9)),"#",getgrade(Broadsheet!U178,data!$H$4:$I$9))</f>
        <v/>
      </c>
      <c r="V67" s="188" t="str">
        <f>IF(ISERROR(getgrade(Broadsheet!V178,data!$H$4:$I$9)),"#",getgrade(Broadsheet!V178,data!$H$4:$I$9))</f>
        <v/>
      </c>
      <c r="W67" s="188" t="str">
        <f>IF(ISERROR(getgrade(Broadsheet!W178,data!$H$4:$I$9)),"#",getgrade(Broadsheet!W178,data!$H$4:$I$9))</f>
        <v/>
      </c>
      <c r="X67" s="188" t="str">
        <f>IF(ISERROR(getgrade(Broadsheet!X178,data!$H$4:$I$9)),"#",getgrade(Broadsheet!X178,data!$H$4:$I$9))</f>
        <v/>
      </c>
      <c r="Y67" s="188" t="str">
        <f>IF(ISERROR(getgrade(Broadsheet!Y178,data!$H$4:$I$9)),"#",getgrade(Broadsheet!Y178,data!$H$4:$I$9))</f>
        <v/>
      </c>
      <c r="Z67" s="188" t="str">
        <f>IF(ISERROR(getgrade(Broadsheet!Z178,data!$H$4:$I$9)),"#",getgrade(Broadsheet!Z178,data!$H$4:$I$9))</f>
        <v/>
      </c>
      <c r="AA67" s="188" t="str">
        <f>IF(ISERROR(getgrade(Broadsheet!AA178,data!$H$4:$I$9)),"#",getgrade(Broadsheet!AA178,data!$H$4:$I$9))</f>
        <v/>
      </c>
      <c r="AB67" s="188" t="str">
        <f>IF(ISERROR(getgrade(Broadsheet!AB178,data!$H$4:$I$9)),"#",getgrade(Broadsheet!AB178,data!$H$4:$I$9))</f>
        <v/>
      </c>
      <c r="AC67" s="188" t="str">
        <f>IF(ISERROR(getgrade(Broadsheet!AC178,data!$H$4:$I$9)),"#",getgrade(Broadsheet!AC178,data!$H$4:$I$9))</f>
        <v/>
      </c>
      <c r="AD67" s="188" t="str">
        <f>IF(ISERROR(getgrade(Broadsheet!AD178,data!$H$4:$I$9)),"#",getgrade(Broadsheet!AD178,data!$H$4:$I$9))</f>
        <v/>
      </c>
      <c r="AE67" s="188" t="str">
        <f>IF(ISERROR(getgrade(Broadsheet!AE178,data!$H$4:$I$9)),"#",getgrade(Broadsheet!AE178,data!$H$4:$I$9))</f>
        <v/>
      </c>
      <c r="AF67" s="188" t="str">
        <f>IF(ISERROR(getgrade(Broadsheet!AF178,data!$H$4:$I$9)),"#",getgrade(Broadsheet!AF178,data!$H$4:$I$9))</f>
        <v/>
      </c>
      <c r="AG67" s="188" t="str">
        <f>IF(ISERROR(getgrade(Broadsheet!AG178,data!$H$4:$I$9)),"#",getgrade(Broadsheet!AG178,data!$H$4:$I$9))</f>
        <v/>
      </c>
      <c r="AH67" s="188" t="str">
        <f>IF(ISERROR(getgrade(Broadsheet!AH178,data!$H$4:$I$9)),"#",getgrade(Broadsheet!AH178,data!$H$4:$I$9))</f>
        <v/>
      </c>
      <c r="AI67" s="188" t="str">
        <f>IF(ISERROR(getgrade(Broadsheet!AI178,data!$H$4:$I$9)),"#",getgrade(Broadsheet!AI178,data!$H$4:$I$9))</f>
        <v/>
      </c>
      <c r="AJ67" s="188" t="str">
        <f>IF(ISERROR(getgrade(Broadsheet!AJ178,data!$H$4:$I$9)),"#",getgrade(Broadsheet!AJ178,data!$H$4:$I$9))</f>
        <v/>
      </c>
      <c r="AK67" s="188" t="str">
        <f>IF(ISERROR(getgrade(Broadsheet!AK178,data!$H$4:$I$9)),"#",getgrade(Broadsheet!AK178,data!$H$4:$I$9))</f>
        <v/>
      </c>
      <c r="AL67" s="188" t="str">
        <f>IF(ISERROR(getgrade(Broadsheet!AL178,data!$H$4:$I$9)),"#",getgrade(Broadsheet!AL178,data!$H$4:$I$9))</f>
        <v/>
      </c>
      <c r="AM67" s="188" t="str">
        <f>IF(ISERROR(getgrade(Broadsheet!AM178,data!$H$4:$I$9)),"#",getgrade(Broadsheet!AM178,data!$H$4:$I$9))</f>
        <v/>
      </c>
      <c r="AN67" s="188" t="str">
        <f>IF(ISERROR(getgrade(Broadsheet!AN178,data!$H$4:$I$9)),"#",getgrade(Broadsheet!AN178,data!$H$4:$I$9))</f>
        <v/>
      </c>
      <c r="AO67" s="188" t="str">
        <f>IF(ISERROR(getgrade(Broadsheet!AO178,data!$H$4:$I$9)),"#",getgrade(Broadsheet!AO178,data!$H$4:$I$9))</f>
        <v/>
      </c>
      <c r="AP67" s="188" t="str">
        <f>IF(ISERROR(getgrade(Broadsheet!AP178,data!$H$4:$I$9)),"#",getgrade(Broadsheet!AP178,data!$H$4:$I$9))</f>
        <v/>
      </c>
      <c r="AQ67" s="188" t="str">
        <f>IF(ISERROR(getgrade(Broadsheet!AQ178,data!$H$4:$I$9)),"#",getgrade(Broadsheet!AQ178,data!$H$4:$I$9))</f>
        <v/>
      </c>
      <c r="AR67" s="188" t="str">
        <f>IF(ISERROR(getgrade(Broadsheet!AR178,data!$H$4:$I$9)),"#",getgrade(Broadsheet!AR178,data!$H$4:$I$9))</f>
        <v/>
      </c>
      <c r="AS67" s="188" t="str">
        <f>IF(ISERROR(getgrade(Broadsheet!AS178,data!$H$4:$I$9)),"#",getgrade(Broadsheet!AS178,data!$H$4:$I$9))</f>
        <v/>
      </c>
      <c r="AT67" s="188" t="str">
        <f>IF(ISERROR(getgrade(Broadsheet!AT178,data!$H$4:$I$9)),"#",getgrade(Broadsheet!AT178,data!$H$4:$I$9))</f>
        <v/>
      </c>
      <c r="AU67" s="188" t="str">
        <f>IF(ISERROR(getgrade(Broadsheet!AU178,data!$H$4:$I$9)),"#",getgrade(Broadsheet!AU178,data!$H$4:$I$9))</f>
        <v/>
      </c>
      <c r="AV67" s="188" t="str">
        <f>IF(ISERROR(getgrade(Broadsheet!AV178,data!$H$4:$I$9)),"#",getgrade(Broadsheet!AV178,data!$H$4:$I$9))</f>
        <v/>
      </c>
      <c r="AW67" s="188" t="str">
        <f>IF(ISERROR(getgrade(Broadsheet!AW178,data!$H$4:$I$9)),"#",getgrade(Broadsheet!AW178,data!$H$4:$I$9))</f>
        <v/>
      </c>
      <c r="AX67" s="188" t="str">
        <f>IF(ISERROR(getgrade(Broadsheet!AX178,data!$H$4:$I$9)),"#",getgrade(Broadsheet!AX178,data!$H$4:$I$9))</f>
        <v/>
      </c>
      <c r="AY67" s="188" t="str">
        <f>IF(ISERROR(getgrade(Broadsheet!AY178,data!$H$4:$I$9)),"#",getgrade(Broadsheet!AY178,data!$H$4:$I$9))</f>
        <v/>
      </c>
      <c r="AZ67" s="188" t="str">
        <f>IF(ISERROR(getgrade(Broadsheet!AZ178,data!$H$4:$I$9)),"#",getgrade(Broadsheet!AZ178,data!$H$4:$I$9))</f>
        <v/>
      </c>
      <c r="BA67" s="188" t="str">
        <f>IF(ISERROR(getgrade(Broadsheet!BA178,data!$H$4:$I$9)),"#",getgrade(Broadsheet!BA178,data!$H$4:$I$9))</f>
        <v/>
      </c>
      <c r="BB67" s="188" t="str">
        <f>IF(ISERROR(getgrade(Broadsheet!BB178,data!$H$4:$I$9)),"#",getgrade(Broadsheet!BB178,data!$H$4:$I$9))</f>
        <v/>
      </c>
      <c r="BC67" s="188" t="str">
        <f>IF(ISERROR(getgrade(Broadsheet!BC178,data!$H$4:$I$9)),"#",getgrade(Broadsheet!BC178,data!$H$4:$I$9))</f>
        <v/>
      </c>
      <c r="BD67" s="188" t="str">
        <f>IF(ISERROR(getgrade(Broadsheet!BD178,data!$H$4:$I$9)),"#",getgrade(Broadsheet!BD178,data!$H$4:$I$9))</f>
        <v/>
      </c>
      <c r="BE67" s="188" t="str">
        <f>IF(ISERROR(getgrade(Broadsheet!BE178,data!$H$4:$I$9)),"#",getgrade(Broadsheet!BE178,data!$H$4:$I$9))</f>
        <v/>
      </c>
      <c r="BF67" s="188" t="str">
        <f>IF(ISERROR(getgrade(Broadsheet!BF178,data!$H$4:$I$9)),"#",getgrade(Broadsheet!BF178,data!$H$4:$I$9))</f>
        <v/>
      </c>
      <c r="BG67" s="188" t="str">
        <f>IF(ISERROR(getgrade(Broadsheet!BG178,data!$H$4:$I$9)),"#",getgrade(Broadsheet!BG178,data!$H$4:$I$9))</f>
        <v/>
      </c>
      <c r="BH67" s="188" t="str">
        <f>IF(ISERROR(getgrade(Broadsheet!BH178,data!$H$4:$I$9)),"#",getgrade(Broadsheet!BH178,data!$H$4:$I$9))</f>
        <v/>
      </c>
      <c r="BI67" s="188" t="str">
        <f>IF(ISERROR(getgrade(Broadsheet!BI178,data!$H$4:$I$9)),"#",getgrade(Broadsheet!BI178,data!$H$4:$I$9))</f>
        <v/>
      </c>
      <c r="BJ67" s="188" t="str">
        <f>IF(ISERROR(getgrade(Broadsheet!BJ178,data!$H$4:$I$9)),"#",getgrade(Broadsheet!BJ178,data!$H$4:$I$9))</f>
        <v/>
      </c>
      <c r="BK67" s="188"/>
      <c r="BL67" s="188"/>
      <c r="BM67" s="188"/>
      <c r="BN67" s="188"/>
      <c r="BO67" s="188"/>
      <c r="BP67" s="188"/>
      <c r="BQ67" s="188"/>
      <c r="BR67" s="188"/>
      <c r="BS67" s="188"/>
      <c r="BT67" s="188"/>
      <c r="BU67" s="188"/>
      <c r="BV67" s="188"/>
      <c r="BW67" s="188"/>
      <c r="BX67" s="188"/>
      <c r="BY67" s="188"/>
      <c r="BZ67" s="188"/>
      <c r="CA67" s="188"/>
      <c r="CB67" s="188"/>
      <c r="CC67" s="188"/>
      <c r="CD67" s="188"/>
      <c r="CE67" s="188"/>
      <c r="CF67" s="188"/>
      <c r="CG67" s="188"/>
      <c r="CH67" s="188"/>
      <c r="CI67" s="188"/>
      <c r="CJ67" s="188"/>
      <c r="CK67" s="188"/>
      <c r="CL67" s="188"/>
      <c r="CM67" s="188"/>
      <c r="CN67" s="188"/>
      <c r="CO67" s="188"/>
      <c r="CP67" s="188"/>
      <c r="CQ67" s="188"/>
      <c r="CR67" s="188"/>
      <c r="CS67" s="188"/>
      <c r="CT67" s="188"/>
      <c r="CU67" s="188"/>
      <c r="CV67" s="188"/>
      <c r="CW67" s="188"/>
      <c r="CX67" s="188"/>
      <c r="CY67" s="188"/>
      <c r="CZ67" s="188"/>
      <c r="DA67" s="188"/>
      <c r="DB67" s="188"/>
      <c r="DC67" s="188"/>
      <c r="DD67" s="188"/>
      <c r="DE67" s="188"/>
      <c r="DF67" s="188"/>
      <c r="DG67" s="188"/>
      <c r="DH67" s="188"/>
      <c r="DI67" s="188"/>
      <c r="DJ67" s="188"/>
      <c r="DK67" s="188"/>
      <c r="DL67" s="188"/>
      <c r="DM67" s="188"/>
      <c r="DN67" s="188"/>
      <c r="DO67" s="188"/>
      <c r="DP67" s="188"/>
      <c r="DQ67" s="188"/>
      <c r="DR67" s="188"/>
      <c r="DS67" s="188"/>
      <c r="DT67" s="188"/>
      <c r="DU67" s="188"/>
      <c r="DV67" s="188"/>
      <c r="DW67" s="188"/>
      <c r="DX67" s="188"/>
      <c r="DY67" s="188"/>
      <c r="DZ67" s="188"/>
      <c r="EA67" s="188"/>
    </row>
    <row r="68" spans="1:131" ht="15.75" x14ac:dyDescent="0.25">
      <c r="A68" s="12">
        <f>Broadsheet!A179</f>
        <v>0</v>
      </c>
      <c r="B68" s="204" t="str">
        <f>IF(Broadsheet!B68="","",Broadsheet!B68)</f>
        <v/>
      </c>
      <c r="C68" s="24" t="str">
        <f>IF(Broadsheet!C68="","",Broadsheet!C68)</f>
        <v xml:space="preserve"> </v>
      </c>
      <c r="G68" s="24" t="str">
        <f t="shared" si="0"/>
        <v/>
      </c>
      <c r="H68" s="188" t="str">
        <f>IF(ISERROR(getgrade(Broadsheet!H179,data!$H$4:$I$9)),"#",getgrade(Broadsheet!H179,data!$H$4:$I$9))</f>
        <v/>
      </c>
      <c r="I68" s="188" t="str">
        <f>IF(ISERROR(getgrade(Broadsheet!I179,data!$H$4:$I$9)),"#",getgrade(Broadsheet!I179,data!$H$4:$I$9))</f>
        <v/>
      </c>
      <c r="J68" s="188" t="str">
        <f>IF(ISERROR(getgrade(Broadsheet!J179,data!$H$4:$I$9)),"#",getgrade(Broadsheet!J179,data!$H$4:$I$9))</f>
        <v/>
      </c>
      <c r="K68" s="188" t="str">
        <f>IF(ISERROR(getgrade(Broadsheet!K179,data!$H$4:$I$9)),"#",getgrade(Broadsheet!K179,data!$H$4:$I$9))</f>
        <v/>
      </c>
      <c r="L68" s="188" t="str">
        <f>IF(ISERROR(getgrade(Broadsheet!L179,data!$H$4:$I$9)),"#",getgrade(Broadsheet!L179,data!$H$4:$I$9))</f>
        <v/>
      </c>
      <c r="M68" s="188" t="str">
        <f>IF(ISERROR(getgrade(Broadsheet!M179,data!$H$4:$I$9)),"#",getgrade(Broadsheet!M179,data!$H$4:$I$9))</f>
        <v/>
      </c>
      <c r="N68" s="188" t="str">
        <f>IF(ISERROR(getgrade(Broadsheet!N179,data!$H$4:$I$9)),"#",getgrade(Broadsheet!N179,data!$H$4:$I$9))</f>
        <v/>
      </c>
      <c r="O68" s="188" t="str">
        <f>IF(ISERROR(getgrade(Broadsheet!O179,data!$H$4:$I$9)),"#",getgrade(Broadsheet!O179,data!$H$4:$I$9))</f>
        <v/>
      </c>
      <c r="P68" s="188" t="str">
        <f>IF(ISERROR(getgrade(Broadsheet!P179,data!$H$4:$I$9)),"#",getgrade(Broadsheet!P179,data!$H$4:$I$9))</f>
        <v/>
      </c>
      <c r="Q68" s="188" t="str">
        <f>IF(ISERROR(getgrade(Broadsheet!Q179,data!$H$4:$I$9)),"#",getgrade(Broadsheet!Q179,data!$H$4:$I$9))</f>
        <v/>
      </c>
      <c r="R68" s="188" t="str">
        <f>IF(ISERROR(getgrade(Broadsheet!R179,data!$H$4:$I$9)),"#",getgrade(Broadsheet!R179,data!$H$4:$I$9))</f>
        <v/>
      </c>
      <c r="S68" s="188" t="str">
        <f>IF(ISERROR(getgrade(Broadsheet!S179,data!$H$4:$I$9)),"#",getgrade(Broadsheet!S179,data!$H$4:$I$9))</f>
        <v/>
      </c>
      <c r="T68" s="188" t="str">
        <f>IF(ISERROR(getgrade(Broadsheet!T179,data!$H$4:$I$9)),"#",getgrade(Broadsheet!T179,data!$H$4:$I$9))</f>
        <v/>
      </c>
      <c r="U68" s="188" t="str">
        <f>IF(ISERROR(getgrade(Broadsheet!U179,data!$H$4:$I$9)),"#",getgrade(Broadsheet!U179,data!$H$4:$I$9))</f>
        <v/>
      </c>
      <c r="V68" s="188" t="str">
        <f>IF(ISERROR(getgrade(Broadsheet!V179,data!$H$4:$I$9)),"#",getgrade(Broadsheet!V179,data!$H$4:$I$9))</f>
        <v/>
      </c>
      <c r="W68" s="188" t="str">
        <f>IF(ISERROR(getgrade(Broadsheet!W179,data!$H$4:$I$9)),"#",getgrade(Broadsheet!W179,data!$H$4:$I$9))</f>
        <v/>
      </c>
      <c r="X68" s="188" t="str">
        <f>IF(ISERROR(getgrade(Broadsheet!X179,data!$H$4:$I$9)),"#",getgrade(Broadsheet!X179,data!$H$4:$I$9))</f>
        <v/>
      </c>
      <c r="Y68" s="188" t="str">
        <f>IF(ISERROR(getgrade(Broadsheet!Y179,data!$H$4:$I$9)),"#",getgrade(Broadsheet!Y179,data!$H$4:$I$9))</f>
        <v/>
      </c>
      <c r="Z68" s="188" t="str">
        <f>IF(ISERROR(getgrade(Broadsheet!Z179,data!$H$4:$I$9)),"#",getgrade(Broadsheet!Z179,data!$H$4:$I$9))</f>
        <v/>
      </c>
      <c r="AA68" s="188" t="str">
        <f>IF(ISERROR(getgrade(Broadsheet!AA179,data!$H$4:$I$9)),"#",getgrade(Broadsheet!AA179,data!$H$4:$I$9))</f>
        <v/>
      </c>
      <c r="AB68" s="188" t="str">
        <f>IF(ISERROR(getgrade(Broadsheet!AB179,data!$H$4:$I$9)),"#",getgrade(Broadsheet!AB179,data!$H$4:$I$9))</f>
        <v/>
      </c>
      <c r="AC68" s="188" t="str">
        <f>IF(ISERROR(getgrade(Broadsheet!AC179,data!$H$4:$I$9)),"#",getgrade(Broadsheet!AC179,data!$H$4:$I$9))</f>
        <v/>
      </c>
      <c r="AD68" s="188" t="str">
        <f>IF(ISERROR(getgrade(Broadsheet!AD179,data!$H$4:$I$9)),"#",getgrade(Broadsheet!AD179,data!$H$4:$I$9))</f>
        <v/>
      </c>
      <c r="AE68" s="188" t="str">
        <f>IF(ISERROR(getgrade(Broadsheet!AE179,data!$H$4:$I$9)),"#",getgrade(Broadsheet!AE179,data!$H$4:$I$9))</f>
        <v/>
      </c>
      <c r="AF68" s="188" t="str">
        <f>IF(ISERROR(getgrade(Broadsheet!AF179,data!$H$4:$I$9)),"#",getgrade(Broadsheet!AF179,data!$H$4:$I$9))</f>
        <v/>
      </c>
      <c r="AG68" s="188" t="str">
        <f>IF(ISERROR(getgrade(Broadsheet!AG179,data!$H$4:$I$9)),"#",getgrade(Broadsheet!AG179,data!$H$4:$I$9))</f>
        <v/>
      </c>
      <c r="AH68" s="188" t="str">
        <f>IF(ISERROR(getgrade(Broadsheet!AH179,data!$H$4:$I$9)),"#",getgrade(Broadsheet!AH179,data!$H$4:$I$9))</f>
        <v/>
      </c>
      <c r="AI68" s="188" t="str">
        <f>IF(ISERROR(getgrade(Broadsheet!AI179,data!$H$4:$I$9)),"#",getgrade(Broadsheet!AI179,data!$H$4:$I$9))</f>
        <v/>
      </c>
      <c r="AJ68" s="188" t="str">
        <f>IF(ISERROR(getgrade(Broadsheet!AJ179,data!$H$4:$I$9)),"#",getgrade(Broadsheet!AJ179,data!$H$4:$I$9))</f>
        <v/>
      </c>
      <c r="AK68" s="188" t="str">
        <f>IF(ISERROR(getgrade(Broadsheet!AK179,data!$H$4:$I$9)),"#",getgrade(Broadsheet!AK179,data!$H$4:$I$9))</f>
        <v/>
      </c>
      <c r="AL68" s="188" t="str">
        <f>IF(ISERROR(getgrade(Broadsheet!AL179,data!$H$4:$I$9)),"#",getgrade(Broadsheet!AL179,data!$H$4:$I$9))</f>
        <v/>
      </c>
      <c r="AM68" s="188" t="str">
        <f>IF(ISERROR(getgrade(Broadsheet!AM179,data!$H$4:$I$9)),"#",getgrade(Broadsheet!AM179,data!$H$4:$I$9))</f>
        <v/>
      </c>
      <c r="AN68" s="188" t="str">
        <f>IF(ISERROR(getgrade(Broadsheet!AN179,data!$H$4:$I$9)),"#",getgrade(Broadsheet!AN179,data!$H$4:$I$9))</f>
        <v/>
      </c>
      <c r="AO68" s="188" t="str">
        <f>IF(ISERROR(getgrade(Broadsheet!AO179,data!$H$4:$I$9)),"#",getgrade(Broadsheet!AO179,data!$H$4:$I$9))</f>
        <v/>
      </c>
      <c r="AP68" s="188" t="str">
        <f>IF(ISERROR(getgrade(Broadsheet!AP179,data!$H$4:$I$9)),"#",getgrade(Broadsheet!AP179,data!$H$4:$I$9))</f>
        <v/>
      </c>
      <c r="AQ68" s="188" t="str">
        <f>IF(ISERROR(getgrade(Broadsheet!AQ179,data!$H$4:$I$9)),"#",getgrade(Broadsheet!AQ179,data!$H$4:$I$9))</f>
        <v/>
      </c>
      <c r="AR68" s="188" t="str">
        <f>IF(ISERROR(getgrade(Broadsheet!AR179,data!$H$4:$I$9)),"#",getgrade(Broadsheet!AR179,data!$H$4:$I$9))</f>
        <v/>
      </c>
      <c r="AS68" s="188" t="str">
        <f>IF(ISERROR(getgrade(Broadsheet!AS179,data!$H$4:$I$9)),"#",getgrade(Broadsheet!AS179,data!$H$4:$I$9))</f>
        <v/>
      </c>
      <c r="AT68" s="188" t="str">
        <f>IF(ISERROR(getgrade(Broadsheet!AT179,data!$H$4:$I$9)),"#",getgrade(Broadsheet!AT179,data!$H$4:$I$9))</f>
        <v/>
      </c>
      <c r="AU68" s="188" t="str">
        <f>IF(ISERROR(getgrade(Broadsheet!AU179,data!$H$4:$I$9)),"#",getgrade(Broadsheet!AU179,data!$H$4:$I$9))</f>
        <v/>
      </c>
      <c r="AV68" s="188" t="str">
        <f>IF(ISERROR(getgrade(Broadsheet!AV179,data!$H$4:$I$9)),"#",getgrade(Broadsheet!AV179,data!$H$4:$I$9))</f>
        <v/>
      </c>
      <c r="AW68" s="188" t="str">
        <f>IF(ISERROR(getgrade(Broadsheet!AW179,data!$H$4:$I$9)),"#",getgrade(Broadsheet!AW179,data!$H$4:$I$9))</f>
        <v/>
      </c>
      <c r="AX68" s="188" t="str">
        <f>IF(ISERROR(getgrade(Broadsheet!AX179,data!$H$4:$I$9)),"#",getgrade(Broadsheet!AX179,data!$H$4:$I$9))</f>
        <v/>
      </c>
      <c r="AY68" s="188" t="str">
        <f>IF(ISERROR(getgrade(Broadsheet!AY179,data!$H$4:$I$9)),"#",getgrade(Broadsheet!AY179,data!$H$4:$I$9))</f>
        <v/>
      </c>
      <c r="AZ68" s="188" t="str">
        <f>IF(ISERROR(getgrade(Broadsheet!AZ179,data!$H$4:$I$9)),"#",getgrade(Broadsheet!AZ179,data!$H$4:$I$9))</f>
        <v/>
      </c>
      <c r="BA68" s="188" t="str">
        <f>IF(ISERROR(getgrade(Broadsheet!BA179,data!$H$4:$I$9)),"#",getgrade(Broadsheet!BA179,data!$H$4:$I$9))</f>
        <v/>
      </c>
      <c r="BB68" s="188" t="str">
        <f>IF(ISERROR(getgrade(Broadsheet!BB179,data!$H$4:$I$9)),"#",getgrade(Broadsheet!BB179,data!$H$4:$I$9))</f>
        <v/>
      </c>
      <c r="BC68" s="188" t="str">
        <f>IF(ISERROR(getgrade(Broadsheet!BC179,data!$H$4:$I$9)),"#",getgrade(Broadsheet!BC179,data!$H$4:$I$9))</f>
        <v/>
      </c>
      <c r="BD68" s="188" t="str">
        <f>IF(ISERROR(getgrade(Broadsheet!BD179,data!$H$4:$I$9)),"#",getgrade(Broadsheet!BD179,data!$H$4:$I$9))</f>
        <v/>
      </c>
      <c r="BE68" s="188" t="str">
        <f>IF(ISERROR(getgrade(Broadsheet!BE179,data!$H$4:$I$9)),"#",getgrade(Broadsheet!BE179,data!$H$4:$I$9))</f>
        <v/>
      </c>
      <c r="BF68" s="188" t="str">
        <f>IF(ISERROR(getgrade(Broadsheet!BF179,data!$H$4:$I$9)),"#",getgrade(Broadsheet!BF179,data!$H$4:$I$9))</f>
        <v/>
      </c>
      <c r="BG68" s="188" t="str">
        <f>IF(ISERROR(getgrade(Broadsheet!BG179,data!$H$4:$I$9)),"#",getgrade(Broadsheet!BG179,data!$H$4:$I$9))</f>
        <v/>
      </c>
      <c r="BH68" s="188" t="str">
        <f>IF(ISERROR(getgrade(Broadsheet!BH179,data!$H$4:$I$9)),"#",getgrade(Broadsheet!BH179,data!$H$4:$I$9))</f>
        <v/>
      </c>
      <c r="BI68" s="188" t="str">
        <f>IF(ISERROR(getgrade(Broadsheet!BI179,data!$H$4:$I$9)),"#",getgrade(Broadsheet!BI179,data!$H$4:$I$9))</f>
        <v/>
      </c>
      <c r="BJ68" s="188" t="str">
        <f>IF(ISERROR(getgrade(Broadsheet!BJ179,data!$H$4:$I$9)),"#",getgrade(Broadsheet!BJ179,data!$H$4:$I$9))</f>
        <v/>
      </c>
      <c r="BK68" s="188"/>
      <c r="BL68" s="188"/>
      <c r="BM68" s="188"/>
      <c r="BN68" s="188"/>
      <c r="BO68" s="188"/>
      <c r="BP68" s="188"/>
      <c r="BQ68" s="188"/>
      <c r="BR68" s="188"/>
      <c r="BS68" s="188"/>
      <c r="BT68" s="188"/>
      <c r="BU68" s="188"/>
      <c r="BV68" s="188"/>
      <c r="BW68" s="188"/>
      <c r="BX68" s="188"/>
      <c r="BY68" s="188"/>
      <c r="BZ68" s="188"/>
      <c r="CA68" s="188"/>
      <c r="CB68" s="188"/>
      <c r="CC68" s="188"/>
      <c r="CD68" s="188"/>
      <c r="CE68" s="188"/>
      <c r="CF68" s="188"/>
      <c r="CG68" s="188"/>
      <c r="CH68" s="188"/>
      <c r="CI68" s="188"/>
      <c r="CJ68" s="188"/>
      <c r="CK68" s="188"/>
      <c r="CL68" s="188"/>
      <c r="CM68" s="188"/>
      <c r="CN68" s="188"/>
      <c r="CO68" s="188"/>
      <c r="CP68" s="188"/>
      <c r="CQ68" s="188"/>
      <c r="CR68" s="188"/>
      <c r="CS68" s="188"/>
      <c r="CT68" s="188"/>
      <c r="CU68" s="188"/>
      <c r="CV68" s="188"/>
      <c r="CW68" s="188"/>
      <c r="CX68" s="188"/>
      <c r="CY68" s="188"/>
      <c r="CZ68" s="188"/>
      <c r="DA68" s="188"/>
      <c r="DB68" s="188"/>
      <c r="DC68" s="188"/>
      <c r="DD68" s="188"/>
      <c r="DE68" s="188"/>
      <c r="DF68" s="188"/>
      <c r="DG68" s="188"/>
      <c r="DH68" s="188"/>
      <c r="DI68" s="188"/>
      <c r="DJ68" s="188"/>
      <c r="DK68" s="188"/>
      <c r="DL68" s="188"/>
      <c r="DM68" s="188"/>
      <c r="DN68" s="188"/>
      <c r="DO68" s="188"/>
      <c r="DP68" s="188"/>
      <c r="DQ68" s="188"/>
      <c r="DR68" s="188"/>
      <c r="DS68" s="188"/>
      <c r="DT68" s="188"/>
      <c r="DU68" s="188"/>
      <c r="DV68" s="188"/>
      <c r="DW68" s="188"/>
      <c r="DX68" s="188"/>
      <c r="DY68" s="188"/>
      <c r="DZ68" s="188"/>
      <c r="EA68" s="188"/>
    </row>
    <row r="69" spans="1:131" ht="15.75" x14ac:dyDescent="0.25">
      <c r="A69" s="12">
        <f>Broadsheet!A180</f>
        <v>0</v>
      </c>
      <c r="B69" s="204" t="str">
        <f>IF(Broadsheet!B69="","",Broadsheet!B69)</f>
        <v/>
      </c>
      <c r="C69" s="24" t="str">
        <f>IF(Broadsheet!C69="","",Broadsheet!C69)</f>
        <v xml:space="preserve"> </v>
      </c>
      <c r="G69" s="24" t="str">
        <f t="shared" si="0"/>
        <v/>
      </c>
      <c r="H69" s="188" t="str">
        <f>IF(ISERROR(getgrade(Broadsheet!H180,data!$H$4:$I$9)),"#",getgrade(Broadsheet!H180,data!$H$4:$I$9))</f>
        <v/>
      </c>
      <c r="I69" s="188" t="str">
        <f>IF(ISERROR(getgrade(Broadsheet!I180,data!$H$4:$I$9)),"#",getgrade(Broadsheet!I180,data!$H$4:$I$9))</f>
        <v/>
      </c>
      <c r="J69" s="188" t="str">
        <f>IF(ISERROR(getgrade(Broadsheet!J180,data!$H$4:$I$9)),"#",getgrade(Broadsheet!J180,data!$H$4:$I$9))</f>
        <v/>
      </c>
      <c r="K69" s="188" t="str">
        <f>IF(ISERROR(getgrade(Broadsheet!K180,data!$H$4:$I$9)),"#",getgrade(Broadsheet!K180,data!$H$4:$I$9))</f>
        <v/>
      </c>
      <c r="L69" s="188" t="str">
        <f>IF(ISERROR(getgrade(Broadsheet!L180,data!$H$4:$I$9)),"#",getgrade(Broadsheet!L180,data!$H$4:$I$9))</f>
        <v/>
      </c>
      <c r="M69" s="188" t="str">
        <f>IF(ISERROR(getgrade(Broadsheet!M180,data!$H$4:$I$9)),"#",getgrade(Broadsheet!M180,data!$H$4:$I$9))</f>
        <v/>
      </c>
      <c r="N69" s="188" t="str">
        <f>IF(ISERROR(getgrade(Broadsheet!N180,data!$H$4:$I$9)),"#",getgrade(Broadsheet!N180,data!$H$4:$I$9))</f>
        <v/>
      </c>
      <c r="O69" s="188" t="str">
        <f>IF(ISERROR(getgrade(Broadsheet!O180,data!$H$4:$I$9)),"#",getgrade(Broadsheet!O180,data!$H$4:$I$9))</f>
        <v/>
      </c>
      <c r="P69" s="188" t="str">
        <f>IF(ISERROR(getgrade(Broadsheet!P180,data!$H$4:$I$9)),"#",getgrade(Broadsheet!P180,data!$H$4:$I$9))</f>
        <v/>
      </c>
      <c r="Q69" s="188" t="str">
        <f>IF(ISERROR(getgrade(Broadsheet!Q180,data!$H$4:$I$9)),"#",getgrade(Broadsheet!Q180,data!$H$4:$I$9))</f>
        <v/>
      </c>
      <c r="R69" s="188" t="str">
        <f>IF(ISERROR(getgrade(Broadsheet!R180,data!$H$4:$I$9)),"#",getgrade(Broadsheet!R180,data!$H$4:$I$9))</f>
        <v/>
      </c>
      <c r="S69" s="188" t="str">
        <f>IF(ISERROR(getgrade(Broadsheet!S180,data!$H$4:$I$9)),"#",getgrade(Broadsheet!S180,data!$H$4:$I$9))</f>
        <v/>
      </c>
      <c r="T69" s="188" t="str">
        <f>IF(ISERROR(getgrade(Broadsheet!T180,data!$H$4:$I$9)),"#",getgrade(Broadsheet!T180,data!$H$4:$I$9))</f>
        <v/>
      </c>
      <c r="U69" s="188" t="str">
        <f>IF(ISERROR(getgrade(Broadsheet!U180,data!$H$4:$I$9)),"#",getgrade(Broadsheet!U180,data!$H$4:$I$9))</f>
        <v/>
      </c>
      <c r="V69" s="188" t="str">
        <f>IF(ISERROR(getgrade(Broadsheet!V180,data!$H$4:$I$9)),"#",getgrade(Broadsheet!V180,data!$H$4:$I$9))</f>
        <v/>
      </c>
      <c r="W69" s="188" t="str">
        <f>IF(ISERROR(getgrade(Broadsheet!W180,data!$H$4:$I$9)),"#",getgrade(Broadsheet!W180,data!$H$4:$I$9))</f>
        <v/>
      </c>
      <c r="X69" s="188" t="str">
        <f>IF(ISERROR(getgrade(Broadsheet!X180,data!$H$4:$I$9)),"#",getgrade(Broadsheet!X180,data!$H$4:$I$9))</f>
        <v/>
      </c>
      <c r="Y69" s="188" t="str">
        <f>IF(ISERROR(getgrade(Broadsheet!Y180,data!$H$4:$I$9)),"#",getgrade(Broadsheet!Y180,data!$H$4:$I$9))</f>
        <v/>
      </c>
      <c r="Z69" s="188" t="str">
        <f>IF(ISERROR(getgrade(Broadsheet!Z180,data!$H$4:$I$9)),"#",getgrade(Broadsheet!Z180,data!$H$4:$I$9))</f>
        <v/>
      </c>
      <c r="AA69" s="188" t="str">
        <f>IF(ISERROR(getgrade(Broadsheet!AA180,data!$H$4:$I$9)),"#",getgrade(Broadsheet!AA180,data!$H$4:$I$9))</f>
        <v/>
      </c>
      <c r="AB69" s="188" t="str">
        <f>IF(ISERROR(getgrade(Broadsheet!AB180,data!$H$4:$I$9)),"#",getgrade(Broadsheet!AB180,data!$H$4:$I$9))</f>
        <v/>
      </c>
      <c r="AC69" s="188" t="str">
        <f>IF(ISERROR(getgrade(Broadsheet!AC180,data!$H$4:$I$9)),"#",getgrade(Broadsheet!AC180,data!$H$4:$I$9))</f>
        <v/>
      </c>
      <c r="AD69" s="188" t="str">
        <f>IF(ISERROR(getgrade(Broadsheet!AD180,data!$H$4:$I$9)),"#",getgrade(Broadsheet!AD180,data!$H$4:$I$9))</f>
        <v/>
      </c>
      <c r="AE69" s="188" t="str">
        <f>IF(ISERROR(getgrade(Broadsheet!AE180,data!$H$4:$I$9)),"#",getgrade(Broadsheet!AE180,data!$H$4:$I$9))</f>
        <v/>
      </c>
      <c r="AF69" s="188" t="str">
        <f>IF(ISERROR(getgrade(Broadsheet!AF180,data!$H$4:$I$9)),"#",getgrade(Broadsheet!AF180,data!$H$4:$I$9))</f>
        <v/>
      </c>
      <c r="AG69" s="188" t="str">
        <f>IF(ISERROR(getgrade(Broadsheet!AG180,data!$H$4:$I$9)),"#",getgrade(Broadsheet!AG180,data!$H$4:$I$9))</f>
        <v/>
      </c>
      <c r="AH69" s="188" t="str">
        <f>IF(ISERROR(getgrade(Broadsheet!AH180,data!$H$4:$I$9)),"#",getgrade(Broadsheet!AH180,data!$H$4:$I$9))</f>
        <v/>
      </c>
      <c r="AI69" s="188" t="str">
        <f>IF(ISERROR(getgrade(Broadsheet!AI180,data!$H$4:$I$9)),"#",getgrade(Broadsheet!AI180,data!$H$4:$I$9))</f>
        <v/>
      </c>
      <c r="AJ69" s="188" t="str">
        <f>IF(ISERROR(getgrade(Broadsheet!AJ180,data!$H$4:$I$9)),"#",getgrade(Broadsheet!AJ180,data!$H$4:$I$9))</f>
        <v/>
      </c>
      <c r="AK69" s="188" t="str">
        <f>IF(ISERROR(getgrade(Broadsheet!AK180,data!$H$4:$I$9)),"#",getgrade(Broadsheet!AK180,data!$H$4:$I$9))</f>
        <v/>
      </c>
      <c r="AL69" s="188" t="str">
        <f>IF(ISERROR(getgrade(Broadsheet!AL180,data!$H$4:$I$9)),"#",getgrade(Broadsheet!AL180,data!$H$4:$I$9))</f>
        <v/>
      </c>
      <c r="AM69" s="188" t="str">
        <f>IF(ISERROR(getgrade(Broadsheet!AM180,data!$H$4:$I$9)),"#",getgrade(Broadsheet!AM180,data!$H$4:$I$9))</f>
        <v/>
      </c>
      <c r="AN69" s="188" t="str">
        <f>IF(ISERROR(getgrade(Broadsheet!AN180,data!$H$4:$I$9)),"#",getgrade(Broadsheet!AN180,data!$H$4:$I$9))</f>
        <v/>
      </c>
      <c r="AO69" s="188" t="str">
        <f>IF(ISERROR(getgrade(Broadsheet!AO180,data!$H$4:$I$9)),"#",getgrade(Broadsheet!AO180,data!$H$4:$I$9))</f>
        <v/>
      </c>
      <c r="AP69" s="188" t="str">
        <f>IF(ISERROR(getgrade(Broadsheet!AP180,data!$H$4:$I$9)),"#",getgrade(Broadsheet!AP180,data!$H$4:$I$9))</f>
        <v/>
      </c>
      <c r="AQ69" s="188" t="str">
        <f>IF(ISERROR(getgrade(Broadsheet!AQ180,data!$H$4:$I$9)),"#",getgrade(Broadsheet!AQ180,data!$H$4:$I$9))</f>
        <v/>
      </c>
      <c r="AR69" s="188" t="str">
        <f>IF(ISERROR(getgrade(Broadsheet!AR180,data!$H$4:$I$9)),"#",getgrade(Broadsheet!AR180,data!$H$4:$I$9))</f>
        <v/>
      </c>
      <c r="AS69" s="188" t="str">
        <f>IF(ISERROR(getgrade(Broadsheet!AS180,data!$H$4:$I$9)),"#",getgrade(Broadsheet!AS180,data!$H$4:$I$9))</f>
        <v/>
      </c>
      <c r="AT69" s="188" t="str">
        <f>IF(ISERROR(getgrade(Broadsheet!AT180,data!$H$4:$I$9)),"#",getgrade(Broadsheet!AT180,data!$H$4:$I$9))</f>
        <v/>
      </c>
      <c r="AU69" s="188" t="str">
        <f>IF(ISERROR(getgrade(Broadsheet!AU180,data!$H$4:$I$9)),"#",getgrade(Broadsheet!AU180,data!$H$4:$I$9))</f>
        <v/>
      </c>
      <c r="AV69" s="188" t="str">
        <f>IF(ISERROR(getgrade(Broadsheet!AV180,data!$H$4:$I$9)),"#",getgrade(Broadsheet!AV180,data!$H$4:$I$9))</f>
        <v/>
      </c>
      <c r="AW69" s="188" t="str">
        <f>IF(ISERROR(getgrade(Broadsheet!AW180,data!$H$4:$I$9)),"#",getgrade(Broadsheet!AW180,data!$H$4:$I$9))</f>
        <v/>
      </c>
      <c r="AX69" s="188" t="str">
        <f>IF(ISERROR(getgrade(Broadsheet!AX180,data!$H$4:$I$9)),"#",getgrade(Broadsheet!AX180,data!$H$4:$I$9))</f>
        <v/>
      </c>
      <c r="AY69" s="188" t="str">
        <f>IF(ISERROR(getgrade(Broadsheet!AY180,data!$H$4:$I$9)),"#",getgrade(Broadsheet!AY180,data!$H$4:$I$9))</f>
        <v/>
      </c>
      <c r="AZ69" s="188" t="str">
        <f>IF(ISERROR(getgrade(Broadsheet!AZ180,data!$H$4:$I$9)),"#",getgrade(Broadsheet!AZ180,data!$H$4:$I$9))</f>
        <v/>
      </c>
      <c r="BA69" s="188" t="str">
        <f>IF(ISERROR(getgrade(Broadsheet!BA180,data!$H$4:$I$9)),"#",getgrade(Broadsheet!BA180,data!$H$4:$I$9))</f>
        <v/>
      </c>
      <c r="BB69" s="188" t="str">
        <f>IF(ISERROR(getgrade(Broadsheet!BB180,data!$H$4:$I$9)),"#",getgrade(Broadsheet!BB180,data!$H$4:$I$9))</f>
        <v/>
      </c>
      <c r="BC69" s="188" t="str">
        <f>IF(ISERROR(getgrade(Broadsheet!BC180,data!$H$4:$I$9)),"#",getgrade(Broadsheet!BC180,data!$H$4:$I$9))</f>
        <v/>
      </c>
      <c r="BD69" s="188" t="str">
        <f>IF(ISERROR(getgrade(Broadsheet!BD180,data!$H$4:$I$9)),"#",getgrade(Broadsheet!BD180,data!$H$4:$I$9))</f>
        <v/>
      </c>
      <c r="BE69" s="188" t="str">
        <f>IF(ISERROR(getgrade(Broadsheet!BE180,data!$H$4:$I$9)),"#",getgrade(Broadsheet!BE180,data!$H$4:$I$9))</f>
        <v/>
      </c>
      <c r="BF69" s="188" t="str">
        <f>IF(ISERROR(getgrade(Broadsheet!BF180,data!$H$4:$I$9)),"#",getgrade(Broadsheet!BF180,data!$H$4:$I$9))</f>
        <v/>
      </c>
      <c r="BG69" s="188" t="str">
        <f>IF(ISERROR(getgrade(Broadsheet!BG180,data!$H$4:$I$9)),"#",getgrade(Broadsheet!BG180,data!$H$4:$I$9))</f>
        <v/>
      </c>
      <c r="BH69" s="188" t="str">
        <f>IF(ISERROR(getgrade(Broadsheet!BH180,data!$H$4:$I$9)),"#",getgrade(Broadsheet!BH180,data!$H$4:$I$9))</f>
        <v/>
      </c>
      <c r="BI69" s="188" t="str">
        <f>IF(ISERROR(getgrade(Broadsheet!BI180,data!$H$4:$I$9)),"#",getgrade(Broadsheet!BI180,data!$H$4:$I$9))</f>
        <v/>
      </c>
      <c r="BJ69" s="188" t="str">
        <f>IF(ISERROR(getgrade(Broadsheet!BJ180,data!$H$4:$I$9)),"#",getgrade(Broadsheet!BJ180,data!$H$4:$I$9))</f>
        <v/>
      </c>
      <c r="BK69" s="188"/>
      <c r="BL69" s="188"/>
      <c r="BM69" s="188"/>
      <c r="BN69" s="188"/>
      <c r="BO69" s="188"/>
      <c r="BP69" s="188"/>
      <c r="BQ69" s="188"/>
      <c r="BR69" s="188"/>
      <c r="BS69" s="188"/>
      <c r="BT69" s="188"/>
      <c r="BU69" s="188"/>
      <c r="BV69" s="188"/>
      <c r="BW69" s="188"/>
      <c r="BX69" s="188"/>
      <c r="BY69" s="188"/>
      <c r="BZ69" s="188"/>
      <c r="CA69" s="188"/>
      <c r="CB69" s="188"/>
      <c r="CC69" s="188"/>
      <c r="CD69" s="188"/>
      <c r="CE69" s="188"/>
      <c r="CF69" s="188"/>
      <c r="CG69" s="188"/>
      <c r="CH69" s="188"/>
      <c r="CI69" s="188"/>
      <c r="CJ69" s="188"/>
      <c r="CK69" s="188"/>
      <c r="CL69" s="188"/>
      <c r="CM69" s="188"/>
      <c r="CN69" s="188"/>
      <c r="CO69" s="188"/>
      <c r="CP69" s="188"/>
      <c r="CQ69" s="188"/>
      <c r="CR69" s="188"/>
      <c r="CS69" s="188"/>
      <c r="CT69" s="188"/>
      <c r="CU69" s="188"/>
      <c r="CV69" s="188"/>
      <c r="CW69" s="188"/>
      <c r="CX69" s="188"/>
      <c r="CY69" s="188"/>
      <c r="CZ69" s="188"/>
      <c r="DA69" s="188"/>
      <c r="DB69" s="188"/>
      <c r="DC69" s="188"/>
      <c r="DD69" s="188"/>
      <c r="DE69" s="188"/>
      <c r="DF69" s="188"/>
      <c r="DG69" s="188"/>
      <c r="DH69" s="188"/>
      <c r="DI69" s="188"/>
      <c r="DJ69" s="188"/>
      <c r="DK69" s="188"/>
      <c r="DL69" s="188"/>
      <c r="DM69" s="188"/>
      <c r="DN69" s="188"/>
      <c r="DO69" s="188"/>
      <c r="DP69" s="188"/>
      <c r="DQ69" s="188"/>
      <c r="DR69" s="188"/>
      <c r="DS69" s="188"/>
      <c r="DT69" s="188"/>
      <c r="DU69" s="188"/>
      <c r="DV69" s="188"/>
      <c r="DW69" s="188"/>
      <c r="DX69" s="188"/>
      <c r="DY69" s="188"/>
      <c r="DZ69" s="188"/>
      <c r="EA69" s="188"/>
    </row>
    <row r="70" spans="1:131" ht="15.75" x14ac:dyDescent="0.25">
      <c r="A70" s="12">
        <f>Broadsheet!A181</f>
        <v>0</v>
      </c>
      <c r="B70" s="204" t="str">
        <f>IF(Broadsheet!B70="","",Broadsheet!B70)</f>
        <v/>
      </c>
      <c r="C70" s="24" t="str">
        <f>IF(Broadsheet!C70="","",Broadsheet!C70)</f>
        <v xml:space="preserve"> </v>
      </c>
      <c r="G70" s="24" t="str">
        <f t="shared" si="0"/>
        <v/>
      </c>
      <c r="H70" s="188" t="str">
        <f>IF(ISERROR(getgrade(Broadsheet!H181,data!$H$4:$I$9)),"#",getgrade(Broadsheet!H181,data!$H$4:$I$9))</f>
        <v/>
      </c>
      <c r="I70" s="188" t="str">
        <f>IF(ISERROR(getgrade(Broadsheet!I181,data!$H$4:$I$9)),"#",getgrade(Broadsheet!I181,data!$H$4:$I$9))</f>
        <v/>
      </c>
      <c r="J70" s="188" t="str">
        <f>IF(ISERROR(getgrade(Broadsheet!J181,data!$H$4:$I$9)),"#",getgrade(Broadsheet!J181,data!$H$4:$I$9))</f>
        <v/>
      </c>
      <c r="K70" s="188" t="str">
        <f>IF(ISERROR(getgrade(Broadsheet!K181,data!$H$4:$I$9)),"#",getgrade(Broadsheet!K181,data!$H$4:$I$9))</f>
        <v/>
      </c>
      <c r="L70" s="188" t="str">
        <f>IF(ISERROR(getgrade(Broadsheet!L181,data!$H$4:$I$9)),"#",getgrade(Broadsheet!L181,data!$H$4:$I$9))</f>
        <v/>
      </c>
      <c r="M70" s="188" t="str">
        <f>IF(ISERROR(getgrade(Broadsheet!M181,data!$H$4:$I$9)),"#",getgrade(Broadsheet!M181,data!$H$4:$I$9))</f>
        <v/>
      </c>
      <c r="N70" s="188" t="str">
        <f>IF(ISERROR(getgrade(Broadsheet!N181,data!$H$4:$I$9)),"#",getgrade(Broadsheet!N181,data!$H$4:$I$9))</f>
        <v/>
      </c>
      <c r="O70" s="188" t="str">
        <f>IF(ISERROR(getgrade(Broadsheet!O181,data!$H$4:$I$9)),"#",getgrade(Broadsheet!O181,data!$H$4:$I$9))</f>
        <v/>
      </c>
      <c r="P70" s="188" t="str">
        <f>IF(ISERROR(getgrade(Broadsheet!P181,data!$H$4:$I$9)),"#",getgrade(Broadsheet!P181,data!$H$4:$I$9))</f>
        <v/>
      </c>
      <c r="Q70" s="188" t="str">
        <f>IF(ISERROR(getgrade(Broadsheet!Q181,data!$H$4:$I$9)),"#",getgrade(Broadsheet!Q181,data!$H$4:$I$9))</f>
        <v/>
      </c>
      <c r="R70" s="188" t="str">
        <f>IF(ISERROR(getgrade(Broadsheet!R181,data!$H$4:$I$9)),"#",getgrade(Broadsheet!R181,data!$H$4:$I$9))</f>
        <v/>
      </c>
      <c r="S70" s="188" t="str">
        <f>IF(ISERROR(getgrade(Broadsheet!S181,data!$H$4:$I$9)),"#",getgrade(Broadsheet!S181,data!$H$4:$I$9))</f>
        <v/>
      </c>
      <c r="T70" s="188" t="str">
        <f>IF(ISERROR(getgrade(Broadsheet!T181,data!$H$4:$I$9)),"#",getgrade(Broadsheet!T181,data!$H$4:$I$9))</f>
        <v/>
      </c>
      <c r="U70" s="188" t="str">
        <f>IF(ISERROR(getgrade(Broadsheet!U181,data!$H$4:$I$9)),"#",getgrade(Broadsheet!U181,data!$H$4:$I$9))</f>
        <v/>
      </c>
      <c r="V70" s="188" t="str">
        <f>IF(ISERROR(getgrade(Broadsheet!V181,data!$H$4:$I$9)),"#",getgrade(Broadsheet!V181,data!$H$4:$I$9))</f>
        <v/>
      </c>
      <c r="W70" s="188" t="str">
        <f>IF(ISERROR(getgrade(Broadsheet!W181,data!$H$4:$I$9)),"#",getgrade(Broadsheet!W181,data!$H$4:$I$9))</f>
        <v/>
      </c>
      <c r="X70" s="188" t="str">
        <f>IF(ISERROR(getgrade(Broadsheet!X181,data!$H$4:$I$9)),"#",getgrade(Broadsheet!X181,data!$H$4:$I$9))</f>
        <v/>
      </c>
      <c r="Y70" s="188" t="str">
        <f>IF(ISERROR(getgrade(Broadsheet!Y181,data!$H$4:$I$9)),"#",getgrade(Broadsheet!Y181,data!$H$4:$I$9))</f>
        <v/>
      </c>
      <c r="Z70" s="188" t="str">
        <f>IF(ISERROR(getgrade(Broadsheet!Z181,data!$H$4:$I$9)),"#",getgrade(Broadsheet!Z181,data!$H$4:$I$9))</f>
        <v/>
      </c>
      <c r="AA70" s="188" t="str">
        <f>IF(ISERROR(getgrade(Broadsheet!AA181,data!$H$4:$I$9)),"#",getgrade(Broadsheet!AA181,data!$H$4:$I$9))</f>
        <v/>
      </c>
      <c r="AB70" s="188" t="str">
        <f>IF(ISERROR(getgrade(Broadsheet!AB181,data!$H$4:$I$9)),"#",getgrade(Broadsheet!AB181,data!$H$4:$I$9))</f>
        <v/>
      </c>
      <c r="AC70" s="188" t="str">
        <f>IF(ISERROR(getgrade(Broadsheet!AC181,data!$H$4:$I$9)),"#",getgrade(Broadsheet!AC181,data!$H$4:$I$9))</f>
        <v/>
      </c>
      <c r="AD70" s="188" t="str">
        <f>IF(ISERROR(getgrade(Broadsheet!AD181,data!$H$4:$I$9)),"#",getgrade(Broadsheet!AD181,data!$H$4:$I$9))</f>
        <v/>
      </c>
      <c r="AE70" s="188" t="str">
        <f>IF(ISERROR(getgrade(Broadsheet!AE181,data!$H$4:$I$9)),"#",getgrade(Broadsheet!AE181,data!$H$4:$I$9))</f>
        <v/>
      </c>
      <c r="AF70" s="188" t="str">
        <f>IF(ISERROR(getgrade(Broadsheet!AF181,data!$H$4:$I$9)),"#",getgrade(Broadsheet!AF181,data!$H$4:$I$9))</f>
        <v/>
      </c>
      <c r="AG70" s="188" t="str">
        <f>IF(ISERROR(getgrade(Broadsheet!AG181,data!$H$4:$I$9)),"#",getgrade(Broadsheet!AG181,data!$H$4:$I$9))</f>
        <v/>
      </c>
      <c r="AH70" s="188" t="str">
        <f>IF(ISERROR(getgrade(Broadsheet!AH181,data!$H$4:$I$9)),"#",getgrade(Broadsheet!AH181,data!$H$4:$I$9))</f>
        <v/>
      </c>
      <c r="AI70" s="188" t="str">
        <f>IF(ISERROR(getgrade(Broadsheet!AI181,data!$H$4:$I$9)),"#",getgrade(Broadsheet!AI181,data!$H$4:$I$9))</f>
        <v/>
      </c>
      <c r="AJ70" s="188" t="str">
        <f>IF(ISERROR(getgrade(Broadsheet!AJ181,data!$H$4:$I$9)),"#",getgrade(Broadsheet!AJ181,data!$H$4:$I$9))</f>
        <v/>
      </c>
      <c r="AK70" s="188" t="str">
        <f>IF(ISERROR(getgrade(Broadsheet!AK181,data!$H$4:$I$9)),"#",getgrade(Broadsheet!AK181,data!$H$4:$I$9))</f>
        <v/>
      </c>
      <c r="AL70" s="188" t="str">
        <f>IF(ISERROR(getgrade(Broadsheet!AL181,data!$H$4:$I$9)),"#",getgrade(Broadsheet!AL181,data!$H$4:$I$9))</f>
        <v/>
      </c>
      <c r="AM70" s="188" t="str">
        <f>IF(ISERROR(getgrade(Broadsheet!AM181,data!$H$4:$I$9)),"#",getgrade(Broadsheet!AM181,data!$H$4:$I$9))</f>
        <v/>
      </c>
      <c r="AN70" s="188" t="str">
        <f>IF(ISERROR(getgrade(Broadsheet!AN181,data!$H$4:$I$9)),"#",getgrade(Broadsheet!AN181,data!$H$4:$I$9))</f>
        <v/>
      </c>
      <c r="AO70" s="188" t="str">
        <f>IF(ISERROR(getgrade(Broadsheet!AO181,data!$H$4:$I$9)),"#",getgrade(Broadsheet!AO181,data!$H$4:$I$9))</f>
        <v/>
      </c>
      <c r="AP70" s="188" t="str">
        <f>IF(ISERROR(getgrade(Broadsheet!AP181,data!$H$4:$I$9)),"#",getgrade(Broadsheet!AP181,data!$H$4:$I$9))</f>
        <v/>
      </c>
      <c r="AQ70" s="188" t="str">
        <f>IF(ISERROR(getgrade(Broadsheet!AQ181,data!$H$4:$I$9)),"#",getgrade(Broadsheet!AQ181,data!$H$4:$I$9))</f>
        <v/>
      </c>
      <c r="AR70" s="188" t="str">
        <f>IF(ISERROR(getgrade(Broadsheet!AR181,data!$H$4:$I$9)),"#",getgrade(Broadsheet!AR181,data!$H$4:$I$9))</f>
        <v/>
      </c>
      <c r="AS70" s="188" t="str">
        <f>IF(ISERROR(getgrade(Broadsheet!AS181,data!$H$4:$I$9)),"#",getgrade(Broadsheet!AS181,data!$H$4:$I$9))</f>
        <v/>
      </c>
      <c r="AT70" s="188" t="str">
        <f>IF(ISERROR(getgrade(Broadsheet!AT181,data!$H$4:$I$9)),"#",getgrade(Broadsheet!AT181,data!$H$4:$I$9))</f>
        <v/>
      </c>
      <c r="AU70" s="188" t="str">
        <f>IF(ISERROR(getgrade(Broadsheet!AU181,data!$H$4:$I$9)),"#",getgrade(Broadsheet!AU181,data!$H$4:$I$9))</f>
        <v/>
      </c>
      <c r="AV70" s="188" t="str">
        <f>IF(ISERROR(getgrade(Broadsheet!AV181,data!$H$4:$I$9)),"#",getgrade(Broadsheet!AV181,data!$H$4:$I$9))</f>
        <v/>
      </c>
      <c r="AW70" s="188" t="str">
        <f>IF(ISERROR(getgrade(Broadsheet!AW181,data!$H$4:$I$9)),"#",getgrade(Broadsheet!AW181,data!$H$4:$I$9))</f>
        <v/>
      </c>
      <c r="AX70" s="188" t="str">
        <f>IF(ISERROR(getgrade(Broadsheet!AX181,data!$H$4:$I$9)),"#",getgrade(Broadsheet!AX181,data!$H$4:$I$9))</f>
        <v/>
      </c>
      <c r="AY70" s="188" t="str">
        <f>IF(ISERROR(getgrade(Broadsheet!AY181,data!$H$4:$I$9)),"#",getgrade(Broadsheet!AY181,data!$H$4:$I$9))</f>
        <v/>
      </c>
      <c r="AZ70" s="188" t="str">
        <f>IF(ISERROR(getgrade(Broadsheet!AZ181,data!$H$4:$I$9)),"#",getgrade(Broadsheet!AZ181,data!$H$4:$I$9))</f>
        <v/>
      </c>
      <c r="BA70" s="188" t="str">
        <f>IF(ISERROR(getgrade(Broadsheet!BA181,data!$H$4:$I$9)),"#",getgrade(Broadsheet!BA181,data!$H$4:$I$9))</f>
        <v/>
      </c>
      <c r="BB70" s="188" t="str">
        <f>IF(ISERROR(getgrade(Broadsheet!BB181,data!$H$4:$I$9)),"#",getgrade(Broadsheet!BB181,data!$H$4:$I$9))</f>
        <v/>
      </c>
      <c r="BC70" s="188" t="str">
        <f>IF(ISERROR(getgrade(Broadsheet!BC181,data!$H$4:$I$9)),"#",getgrade(Broadsheet!BC181,data!$H$4:$I$9))</f>
        <v/>
      </c>
      <c r="BD70" s="188" t="str">
        <f>IF(ISERROR(getgrade(Broadsheet!BD181,data!$H$4:$I$9)),"#",getgrade(Broadsheet!BD181,data!$H$4:$I$9))</f>
        <v/>
      </c>
      <c r="BE70" s="188" t="str">
        <f>IF(ISERROR(getgrade(Broadsheet!BE181,data!$H$4:$I$9)),"#",getgrade(Broadsheet!BE181,data!$H$4:$I$9))</f>
        <v/>
      </c>
      <c r="BF70" s="188" t="str">
        <f>IF(ISERROR(getgrade(Broadsheet!BF181,data!$H$4:$I$9)),"#",getgrade(Broadsheet!BF181,data!$H$4:$I$9))</f>
        <v/>
      </c>
      <c r="BG70" s="188" t="str">
        <f>IF(ISERROR(getgrade(Broadsheet!BG181,data!$H$4:$I$9)),"#",getgrade(Broadsheet!BG181,data!$H$4:$I$9))</f>
        <v/>
      </c>
      <c r="BH70" s="188" t="str">
        <f>IF(ISERROR(getgrade(Broadsheet!BH181,data!$H$4:$I$9)),"#",getgrade(Broadsheet!BH181,data!$H$4:$I$9))</f>
        <v/>
      </c>
      <c r="BI70" s="188" t="str">
        <f>IF(ISERROR(getgrade(Broadsheet!BI181,data!$H$4:$I$9)),"#",getgrade(Broadsheet!BI181,data!$H$4:$I$9))</f>
        <v/>
      </c>
      <c r="BJ70" s="188" t="str">
        <f>IF(ISERROR(getgrade(Broadsheet!BJ181,data!$H$4:$I$9)),"#",getgrade(Broadsheet!BJ181,data!$H$4:$I$9))</f>
        <v/>
      </c>
      <c r="BK70" s="188"/>
      <c r="BL70" s="188"/>
      <c r="BM70" s="188"/>
      <c r="BN70" s="188"/>
      <c r="BO70" s="188"/>
      <c r="BP70" s="188"/>
      <c r="BQ70" s="188"/>
      <c r="BR70" s="188"/>
      <c r="BS70" s="188"/>
      <c r="BT70" s="188"/>
      <c r="BU70" s="188"/>
      <c r="BV70" s="188"/>
      <c r="BW70" s="188"/>
      <c r="BX70" s="188"/>
      <c r="BY70" s="188"/>
      <c r="BZ70" s="188"/>
      <c r="CA70" s="188"/>
      <c r="CB70" s="188"/>
      <c r="CC70" s="188"/>
      <c r="CD70" s="188"/>
      <c r="CE70" s="188"/>
      <c r="CF70" s="188"/>
      <c r="CG70" s="188"/>
      <c r="CH70" s="188"/>
      <c r="CI70" s="188"/>
      <c r="CJ70" s="188"/>
      <c r="CK70" s="188"/>
      <c r="CL70" s="188"/>
      <c r="CM70" s="188"/>
      <c r="CN70" s="188"/>
      <c r="CO70" s="188"/>
      <c r="CP70" s="188"/>
      <c r="CQ70" s="188"/>
      <c r="CR70" s="188"/>
      <c r="CS70" s="188"/>
      <c r="CT70" s="188"/>
      <c r="CU70" s="188"/>
      <c r="CV70" s="188"/>
      <c r="CW70" s="188"/>
      <c r="CX70" s="188"/>
      <c r="CY70" s="188"/>
      <c r="CZ70" s="188"/>
      <c r="DA70" s="188"/>
      <c r="DB70" s="188"/>
      <c r="DC70" s="188"/>
      <c r="DD70" s="188"/>
      <c r="DE70" s="188"/>
      <c r="DF70" s="188"/>
      <c r="DG70" s="188"/>
      <c r="DH70" s="188"/>
      <c r="DI70" s="188"/>
      <c r="DJ70" s="188"/>
      <c r="DK70" s="188"/>
      <c r="DL70" s="188"/>
      <c r="DM70" s="188"/>
      <c r="DN70" s="188"/>
      <c r="DO70" s="188"/>
      <c r="DP70" s="188"/>
      <c r="DQ70" s="188"/>
      <c r="DR70" s="188"/>
      <c r="DS70" s="188"/>
      <c r="DT70" s="188"/>
      <c r="DU70" s="188"/>
      <c r="DV70" s="188"/>
      <c r="DW70" s="188"/>
      <c r="DX70" s="188"/>
      <c r="DY70" s="188"/>
      <c r="DZ70" s="188"/>
      <c r="EA70" s="188"/>
    </row>
    <row r="71" spans="1:131" ht="15.75" x14ac:dyDescent="0.25">
      <c r="A71" s="12">
        <f>Broadsheet!A182</f>
        <v>0</v>
      </c>
      <c r="B71" s="204" t="str">
        <f>IF(Broadsheet!B71="","",Broadsheet!B71)</f>
        <v/>
      </c>
      <c r="C71" s="24" t="str">
        <f>IF(Broadsheet!C71="","",Broadsheet!C71)</f>
        <v xml:space="preserve"> </v>
      </c>
      <c r="G71" s="24" t="str">
        <f t="shared" si="0"/>
        <v/>
      </c>
      <c r="H71" s="188" t="str">
        <f>IF(ISERROR(getgrade(Broadsheet!H182,data!$H$4:$I$9)),"#",getgrade(Broadsheet!H182,data!$H$4:$I$9))</f>
        <v/>
      </c>
      <c r="I71" s="188" t="str">
        <f>IF(ISERROR(getgrade(Broadsheet!I182,data!$H$4:$I$9)),"#",getgrade(Broadsheet!I182,data!$H$4:$I$9))</f>
        <v/>
      </c>
      <c r="J71" s="188" t="str">
        <f>IF(ISERROR(getgrade(Broadsheet!J182,data!$H$4:$I$9)),"#",getgrade(Broadsheet!J182,data!$H$4:$I$9))</f>
        <v/>
      </c>
      <c r="K71" s="188" t="str">
        <f>IF(ISERROR(getgrade(Broadsheet!K182,data!$H$4:$I$9)),"#",getgrade(Broadsheet!K182,data!$H$4:$I$9))</f>
        <v/>
      </c>
      <c r="L71" s="188" t="str">
        <f>IF(ISERROR(getgrade(Broadsheet!L182,data!$H$4:$I$9)),"#",getgrade(Broadsheet!L182,data!$H$4:$I$9))</f>
        <v/>
      </c>
      <c r="M71" s="188" t="str">
        <f>IF(ISERROR(getgrade(Broadsheet!M182,data!$H$4:$I$9)),"#",getgrade(Broadsheet!M182,data!$H$4:$I$9))</f>
        <v/>
      </c>
      <c r="N71" s="188" t="str">
        <f>IF(ISERROR(getgrade(Broadsheet!N182,data!$H$4:$I$9)),"#",getgrade(Broadsheet!N182,data!$H$4:$I$9))</f>
        <v/>
      </c>
      <c r="O71" s="188" t="str">
        <f>IF(ISERROR(getgrade(Broadsheet!O182,data!$H$4:$I$9)),"#",getgrade(Broadsheet!O182,data!$H$4:$I$9))</f>
        <v/>
      </c>
      <c r="P71" s="188" t="str">
        <f>IF(ISERROR(getgrade(Broadsheet!P182,data!$H$4:$I$9)),"#",getgrade(Broadsheet!P182,data!$H$4:$I$9))</f>
        <v/>
      </c>
      <c r="Q71" s="188" t="str">
        <f>IF(ISERROR(getgrade(Broadsheet!Q182,data!$H$4:$I$9)),"#",getgrade(Broadsheet!Q182,data!$H$4:$I$9))</f>
        <v/>
      </c>
      <c r="R71" s="188" t="str">
        <f>IF(ISERROR(getgrade(Broadsheet!R182,data!$H$4:$I$9)),"#",getgrade(Broadsheet!R182,data!$H$4:$I$9))</f>
        <v/>
      </c>
      <c r="S71" s="188" t="str">
        <f>IF(ISERROR(getgrade(Broadsheet!S182,data!$H$4:$I$9)),"#",getgrade(Broadsheet!S182,data!$H$4:$I$9))</f>
        <v/>
      </c>
      <c r="T71" s="188" t="str">
        <f>IF(ISERROR(getgrade(Broadsheet!T182,data!$H$4:$I$9)),"#",getgrade(Broadsheet!T182,data!$H$4:$I$9))</f>
        <v/>
      </c>
      <c r="U71" s="188" t="str">
        <f>IF(ISERROR(getgrade(Broadsheet!U182,data!$H$4:$I$9)),"#",getgrade(Broadsheet!U182,data!$H$4:$I$9))</f>
        <v/>
      </c>
      <c r="V71" s="188" t="str">
        <f>IF(ISERROR(getgrade(Broadsheet!V182,data!$H$4:$I$9)),"#",getgrade(Broadsheet!V182,data!$H$4:$I$9))</f>
        <v/>
      </c>
      <c r="W71" s="188" t="str">
        <f>IF(ISERROR(getgrade(Broadsheet!W182,data!$H$4:$I$9)),"#",getgrade(Broadsheet!W182,data!$H$4:$I$9))</f>
        <v/>
      </c>
      <c r="X71" s="188" t="str">
        <f>IF(ISERROR(getgrade(Broadsheet!X182,data!$H$4:$I$9)),"#",getgrade(Broadsheet!X182,data!$H$4:$I$9))</f>
        <v/>
      </c>
      <c r="Y71" s="188" t="str">
        <f>IF(ISERROR(getgrade(Broadsheet!Y182,data!$H$4:$I$9)),"#",getgrade(Broadsheet!Y182,data!$H$4:$I$9))</f>
        <v/>
      </c>
      <c r="Z71" s="188" t="str">
        <f>IF(ISERROR(getgrade(Broadsheet!Z182,data!$H$4:$I$9)),"#",getgrade(Broadsheet!Z182,data!$H$4:$I$9))</f>
        <v/>
      </c>
      <c r="AA71" s="188" t="str">
        <f>IF(ISERROR(getgrade(Broadsheet!AA182,data!$H$4:$I$9)),"#",getgrade(Broadsheet!AA182,data!$H$4:$I$9))</f>
        <v/>
      </c>
      <c r="AB71" s="188" t="str">
        <f>IF(ISERROR(getgrade(Broadsheet!AB182,data!$H$4:$I$9)),"#",getgrade(Broadsheet!AB182,data!$H$4:$I$9))</f>
        <v/>
      </c>
      <c r="AC71" s="188" t="str">
        <f>IF(ISERROR(getgrade(Broadsheet!AC182,data!$H$4:$I$9)),"#",getgrade(Broadsheet!AC182,data!$H$4:$I$9))</f>
        <v/>
      </c>
      <c r="AD71" s="188" t="str">
        <f>IF(ISERROR(getgrade(Broadsheet!AD182,data!$H$4:$I$9)),"#",getgrade(Broadsheet!AD182,data!$H$4:$I$9))</f>
        <v/>
      </c>
      <c r="AE71" s="188" t="str">
        <f>IF(ISERROR(getgrade(Broadsheet!AE182,data!$H$4:$I$9)),"#",getgrade(Broadsheet!AE182,data!$H$4:$I$9))</f>
        <v/>
      </c>
      <c r="AF71" s="188" t="str">
        <f>IF(ISERROR(getgrade(Broadsheet!AF182,data!$H$4:$I$9)),"#",getgrade(Broadsheet!AF182,data!$H$4:$I$9))</f>
        <v/>
      </c>
      <c r="AG71" s="188" t="str">
        <f>IF(ISERROR(getgrade(Broadsheet!AG182,data!$H$4:$I$9)),"#",getgrade(Broadsheet!AG182,data!$H$4:$I$9))</f>
        <v/>
      </c>
      <c r="AH71" s="188" t="str">
        <f>IF(ISERROR(getgrade(Broadsheet!AH182,data!$H$4:$I$9)),"#",getgrade(Broadsheet!AH182,data!$H$4:$I$9))</f>
        <v/>
      </c>
      <c r="AI71" s="188" t="str">
        <f>IF(ISERROR(getgrade(Broadsheet!AI182,data!$H$4:$I$9)),"#",getgrade(Broadsheet!AI182,data!$H$4:$I$9))</f>
        <v/>
      </c>
      <c r="AJ71" s="188" t="str">
        <f>IF(ISERROR(getgrade(Broadsheet!AJ182,data!$H$4:$I$9)),"#",getgrade(Broadsheet!AJ182,data!$H$4:$I$9))</f>
        <v/>
      </c>
      <c r="AK71" s="188" t="str">
        <f>IF(ISERROR(getgrade(Broadsheet!AK182,data!$H$4:$I$9)),"#",getgrade(Broadsheet!AK182,data!$H$4:$I$9))</f>
        <v/>
      </c>
      <c r="AL71" s="188" t="str">
        <f>IF(ISERROR(getgrade(Broadsheet!AL182,data!$H$4:$I$9)),"#",getgrade(Broadsheet!AL182,data!$H$4:$I$9))</f>
        <v/>
      </c>
      <c r="AM71" s="188" t="str">
        <f>IF(ISERROR(getgrade(Broadsheet!AM182,data!$H$4:$I$9)),"#",getgrade(Broadsheet!AM182,data!$H$4:$I$9))</f>
        <v/>
      </c>
      <c r="AN71" s="188" t="str">
        <f>IF(ISERROR(getgrade(Broadsheet!AN182,data!$H$4:$I$9)),"#",getgrade(Broadsheet!AN182,data!$H$4:$I$9))</f>
        <v/>
      </c>
      <c r="AO71" s="188" t="str">
        <f>IF(ISERROR(getgrade(Broadsheet!AO182,data!$H$4:$I$9)),"#",getgrade(Broadsheet!AO182,data!$H$4:$I$9))</f>
        <v/>
      </c>
      <c r="AP71" s="188" t="str">
        <f>IF(ISERROR(getgrade(Broadsheet!AP182,data!$H$4:$I$9)),"#",getgrade(Broadsheet!AP182,data!$H$4:$I$9))</f>
        <v/>
      </c>
      <c r="AQ71" s="188" t="str">
        <f>IF(ISERROR(getgrade(Broadsheet!AQ182,data!$H$4:$I$9)),"#",getgrade(Broadsheet!AQ182,data!$H$4:$I$9))</f>
        <v/>
      </c>
      <c r="AR71" s="188" t="str">
        <f>IF(ISERROR(getgrade(Broadsheet!AR182,data!$H$4:$I$9)),"#",getgrade(Broadsheet!AR182,data!$H$4:$I$9))</f>
        <v/>
      </c>
      <c r="AS71" s="188" t="str">
        <f>IF(ISERROR(getgrade(Broadsheet!AS182,data!$H$4:$I$9)),"#",getgrade(Broadsheet!AS182,data!$H$4:$I$9))</f>
        <v/>
      </c>
      <c r="AT71" s="188" t="str">
        <f>IF(ISERROR(getgrade(Broadsheet!AT182,data!$H$4:$I$9)),"#",getgrade(Broadsheet!AT182,data!$H$4:$I$9))</f>
        <v/>
      </c>
      <c r="AU71" s="188" t="str">
        <f>IF(ISERROR(getgrade(Broadsheet!AU182,data!$H$4:$I$9)),"#",getgrade(Broadsheet!AU182,data!$H$4:$I$9))</f>
        <v/>
      </c>
      <c r="AV71" s="188" t="str">
        <f>IF(ISERROR(getgrade(Broadsheet!AV182,data!$H$4:$I$9)),"#",getgrade(Broadsheet!AV182,data!$H$4:$I$9))</f>
        <v/>
      </c>
      <c r="AW71" s="188" t="str">
        <f>IF(ISERROR(getgrade(Broadsheet!AW182,data!$H$4:$I$9)),"#",getgrade(Broadsheet!AW182,data!$H$4:$I$9))</f>
        <v/>
      </c>
      <c r="AX71" s="188" t="str">
        <f>IF(ISERROR(getgrade(Broadsheet!AX182,data!$H$4:$I$9)),"#",getgrade(Broadsheet!AX182,data!$H$4:$I$9))</f>
        <v/>
      </c>
      <c r="AY71" s="188" t="str">
        <f>IF(ISERROR(getgrade(Broadsheet!AY182,data!$H$4:$I$9)),"#",getgrade(Broadsheet!AY182,data!$H$4:$I$9))</f>
        <v/>
      </c>
      <c r="AZ71" s="188" t="str">
        <f>IF(ISERROR(getgrade(Broadsheet!AZ182,data!$H$4:$I$9)),"#",getgrade(Broadsheet!AZ182,data!$H$4:$I$9))</f>
        <v/>
      </c>
      <c r="BA71" s="188" t="str">
        <f>IF(ISERROR(getgrade(Broadsheet!BA182,data!$H$4:$I$9)),"#",getgrade(Broadsheet!BA182,data!$H$4:$I$9))</f>
        <v/>
      </c>
      <c r="BB71" s="188" t="str">
        <f>IF(ISERROR(getgrade(Broadsheet!BB182,data!$H$4:$I$9)),"#",getgrade(Broadsheet!BB182,data!$H$4:$I$9))</f>
        <v/>
      </c>
      <c r="BC71" s="188" t="str">
        <f>IF(ISERROR(getgrade(Broadsheet!BC182,data!$H$4:$I$9)),"#",getgrade(Broadsheet!BC182,data!$H$4:$I$9))</f>
        <v/>
      </c>
      <c r="BD71" s="188" t="str">
        <f>IF(ISERROR(getgrade(Broadsheet!BD182,data!$H$4:$I$9)),"#",getgrade(Broadsheet!BD182,data!$H$4:$I$9))</f>
        <v/>
      </c>
      <c r="BE71" s="188" t="str">
        <f>IF(ISERROR(getgrade(Broadsheet!BE182,data!$H$4:$I$9)),"#",getgrade(Broadsheet!BE182,data!$H$4:$I$9))</f>
        <v/>
      </c>
      <c r="BF71" s="188" t="str">
        <f>IF(ISERROR(getgrade(Broadsheet!BF182,data!$H$4:$I$9)),"#",getgrade(Broadsheet!BF182,data!$H$4:$I$9))</f>
        <v/>
      </c>
      <c r="BG71" s="188" t="str">
        <f>IF(ISERROR(getgrade(Broadsheet!BG182,data!$H$4:$I$9)),"#",getgrade(Broadsheet!BG182,data!$H$4:$I$9))</f>
        <v/>
      </c>
      <c r="BH71" s="188" t="str">
        <f>IF(ISERROR(getgrade(Broadsheet!BH182,data!$H$4:$I$9)),"#",getgrade(Broadsheet!BH182,data!$H$4:$I$9))</f>
        <v/>
      </c>
      <c r="BI71" s="188" t="str">
        <f>IF(ISERROR(getgrade(Broadsheet!BI182,data!$H$4:$I$9)),"#",getgrade(Broadsheet!BI182,data!$H$4:$I$9))</f>
        <v/>
      </c>
      <c r="BJ71" s="188" t="str">
        <f>IF(ISERROR(getgrade(Broadsheet!BJ182,data!$H$4:$I$9)),"#",getgrade(Broadsheet!BJ182,data!$H$4:$I$9))</f>
        <v/>
      </c>
      <c r="BK71" s="188"/>
      <c r="BL71" s="188"/>
      <c r="BM71" s="188"/>
      <c r="BN71" s="188"/>
      <c r="BO71" s="188"/>
      <c r="BP71" s="188"/>
      <c r="BQ71" s="188"/>
      <c r="BR71" s="188"/>
      <c r="BS71" s="188"/>
      <c r="BT71" s="188"/>
      <c r="BU71" s="188"/>
      <c r="BV71" s="188"/>
      <c r="BW71" s="188"/>
      <c r="BX71" s="188"/>
      <c r="BY71" s="188"/>
      <c r="BZ71" s="188"/>
      <c r="CA71" s="188"/>
      <c r="CB71" s="188"/>
      <c r="CC71" s="188"/>
      <c r="CD71" s="188"/>
      <c r="CE71" s="188"/>
      <c r="CF71" s="188"/>
      <c r="CG71" s="188"/>
      <c r="CH71" s="188"/>
      <c r="CI71" s="188"/>
      <c r="CJ71" s="188"/>
      <c r="CK71" s="188"/>
      <c r="CL71" s="188"/>
      <c r="CM71" s="188"/>
      <c r="CN71" s="188"/>
      <c r="CO71" s="188"/>
      <c r="CP71" s="188"/>
      <c r="CQ71" s="188"/>
      <c r="CR71" s="188"/>
      <c r="CS71" s="188"/>
      <c r="CT71" s="188"/>
      <c r="CU71" s="188"/>
      <c r="CV71" s="188"/>
      <c r="CW71" s="188"/>
      <c r="CX71" s="188"/>
      <c r="CY71" s="188"/>
      <c r="CZ71" s="188"/>
      <c r="DA71" s="188"/>
      <c r="DB71" s="188"/>
      <c r="DC71" s="188"/>
      <c r="DD71" s="188"/>
      <c r="DE71" s="188"/>
      <c r="DF71" s="188"/>
      <c r="DG71" s="188"/>
      <c r="DH71" s="188"/>
      <c r="DI71" s="188"/>
      <c r="DJ71" s="188"/>
      <c r="DK71" s="188"/>
      <c r="DL71" s="188"/>
      <c r="DM71" s="188"/>
      <c r="DN71" s="188"/>
      <c r="DO71" s="188"/>
      <c r="DP71" s="188"/>
      <c r="DQ71" s="188"/>
      <c r="DR71" s="188"/>
      <c r="DS71" s="188"/>
      <c r="DT71" s="188"/>
      <c r="DU71" s="188"/>
      <c r="DV71" s="188"/>
      <c r="DW71" s="188"/>
      <c r="DX71" s="188"/>
      <c r="DY71" s="188"/>
      <c r="DZ71" s="188"/>
      <c r="EA71" s="188"/>
    </row>
    <row r="72" spans="1:131" ht="15.75" x14ac:dyDescent="0.25">
      <c r="A72" s="12">
        <f>Broadsheet!A183</f>
        <v>0</v>
      </c>
      <c r="B72" s="204" t="str">
        <f>IF(Broadsheet!B72="","",Broadsheet!B72)</f>
        <v/>
      </c>
      <c r="C72" s="24" t="str">
        <f>IF(Broadsheet!C72="","",Broadsheet!C72)</f>
        <v xml:space="preserve"> </v>
      </c>
      <c r="G72" s="24" t="str">
        <f t="shared" si="0"/>
        <v/>
      </c>
      <c r="H72" s="188" t="str">
        <f>IF(ISERROR(getgrade(Broadsheet!H183,data!$H$4:$I$9)),"#",getgrade(Broadsheet!H183,data!$H$4:$I$9))</f>
        <v/>
      </c>
      <c r="I72" s="188" t="str">
        <f>IF(ISERROR(getgrade(Broadsheet!I183,data!$H$4:$I$9)),"#",getgrade(Broadsheet!I183,data!$H$4:$I$9))</f>
        <v/>
      </c>
      <c r="J72" s="188" t="str">
        <f>IF(ISERROR(getgrade(Broadsheet!J183,data!$H$4:$I$9)),"#",getgrade(Broadsheet!J183,data!$H$4:$I$9))</f>
        <v/>
      </c>
      <c r="K72" s="188" t="str">
        <f>IF(ISERROR(getgrade(Broadsheet!K183,data!$H$4:$I$9)),"#",getgrade(Broadsheet!K183,data!$H$4:$I$9))</f>
        <v/>
      </c>
      <c r="L72" s="188" t="str">
        <f>IF(ISERROR(getgrade(Broadsheet!L183,data!$H$4:$I$9)),"#",getgrade(Broadsheet!L183,data!$H$4:$I$9))</f>
        <v/>
      </c>
      <c r="M72" s="188" t="str">
        <f>IF(ISERROR(getgrade(Broadsheet!M183,data!$H$4:$I$9)),"#",getgrade(Broadsheet!M183,data!$H$4:$I$9))</f>
        <v/>
      </c>
      <c r="N72" s="188" t="str">
        <f>IF(ISERROR(getgrade(Broadsheet!N183,data!$H$4:$I$9)),"#",getgrade(Broadsheet!N183,data!$H$4:$I$9))</f>
        <v/>
      </c>
      <c r="O72" s="188" t="str">
        <f>IF(ISERROR(getgrade(Broadsheet!O183,data!$H$4:$I$9)),"#",getgrade(Broadsheet!O183,data!$H$4:$I$9))</f>
        <v/>
      </c>
      <c r="P72" s="188" t="str">
        <f>IF(ISERROR(getgrade(Broadsheet!P183,data!$H$4:$I$9)),"#",getgrade(Broadsheet!P183,data!$H$4:$I$9))</f>
        <v/>
      </c>
      <c r="Q72" s="188" t="str">
        <f>IF(ISERROR(getgrade(Broadsheet!Q183,data!$H$4:$I$9)),"#",getgrade(Broadsheet!Q183,data!$H$4:$I$9))</f>
        <v/>
      </c>
      <c r="R72" s="188" t="str">
        <f>IF(ISERROR(getgrade(Broadsheet!R183,data!$H$4:$I$9)),"#",getgrade(Broadsheet!R183,data!$H$4:$I$9))</f>
        <v/>
      </c>
      <c r="S72" s="188" t="str">
        <f>IF(ISERROR(getgrade(Broadsheet!S183,data!$H$4:$I$9)),"#",getgrade(Broadsheet!S183,data!$H$4:$I$9))</f>
        <v/>
      </c>
      <c r="T72" s="188" t="str">
        <f>IF(ISERROR(getgrade(Broadsheet!T183,data!$H$4:$I$9)),"#",getgrade(Broadsheet!T183,data!$H$4:$I$9))</f>
        <v/>
      </c>
      <c r="U72" s="188" t="str">
        <f>IF(ISERROR(getgrade(Broadsheet!U183,data!$H$4:$I$9)),"#",getgrade(Broadsheet!U183,data!$H$4:$I$9))</f>
        <v/>
      </c>
      <c r="V72" s="188" t="str">
        <f>IF(ISERROR(getgrade(Broadsheet!V183,data!$H$4:$I$9)),"#",getgrade(Broadsheet!V183,data!$H$4:$I$9))</f>
        <v/>
      </c>
      <c r="W72" s="188" t="str">
        <f>IF(ISERROR(getgrade(Broadsheet!W183,data!$H$4:$I$9)),"#",getgrade(Broadsheet!W183,data!$H$4:$I$9))</f>
        <v/>
      </c>
      <c r="X72" s="188" t="str">
        <f>IF(ISERROR(getgrade(Broadsheet!X183,data!$H$4:$I$9)),"#",getgrade(Broadsheet!X183,data!$H$4:$I$9))</f>
        <v/>
      </c>
      <c r="Y72" s="188" t="str">
        <f>IF(ISERROR(getgrade(Broadsheet!Y183,data!$H$4:$I$9)),"#",getgrade(Broadsheet!Y183,data!$H$4:$I$9))</f>
        <v/>
      </c>
      <c r="Z72" s="188" t="str">
        <f>IF(ISERROR(getgrade(Broadsheet!Z183,data!$H$4:$I$9)),"#",getgrade(Broadsheet!Z183,data!$H$4:$I$9))</f>
        <v/>
      </c>
      <c r="AA72" s="188" t="str">
        <f>IF(ISERROR(getgrade(Broadsheet!AA183,data!$H$4:$I$9)),"#",getgrade(Broadsheet!AA183,data!$H$4:$I$9))</f>
        <v/>
      </c>
      <c r="AB72" s="188" t="str">
        <f>IF(ISERROR(getgrade(Broadsheet!AB183,data!$H$4:$I$9)),"#",getgrade(Broadsheet!AB183,data!$H$4:$I$9))</f>
        <v/>
      </c>
      <c r="AC72" s="188" t="str">
        <f>IF(ISERROR(getgrade(Broadsheet!AC183,data!$H$4:$I$9)),"#",getgrade(Broadsheet!AC183,data!$H$4:$I$9))</f>
        <v/>
      </c>
      <c r="AD72" s="188" t="str">
        <f>IF(ISERROR(getgrade(Broadsheet!AD183,data!$H$4:$I$9)),"#",getgrade(Broadsheet!AD183,data!$H$4:$I$9))</f>
        <v/>
      </c>
      <c r="AE72" s="188" t="str">
        <f>IF(ISERROR(getgrade(Broadsheet!AE183,data!$H$4:$I$9)),"#",getgrade(Broadsheet!AE183,data!$H$4:$I$9))</f>
        <v/>
      </c>
      <c r="AF72" s="188" t="str">
        <f>IF(ISERROR(getgrade(Broadsheet!AF183,data!$H$4:$I$9)),"#",getgrade(Broadsheet!AF183,data!$H$4:$I$9))</f>
        <v/>
      </c>
      <c r="AG72" s="188" t="str">
        <f>IF(ISERROR(getgrade(Broadsheet!AG183,data!$H$4:$I$9)),"#",getgrade(Broadsheet!AG183,data!$H$4:$I$9))</f>
        <v/>
      </c>
      <c r="AH72" s="188" t="str">
        <f>IF(ISERROR(getgrade(Broadsheet!AH183,data!$H$4:$I$9)),"#",getgrade(Broadsheet!AH183,data!$H$4:$I$9))</f>
        <v/>
      </c>
      <c r="AI72" s="188" t="str">
        <f>IF(ISERROR(getgrade(Broadsheet!AI183,data!$H$4:$I$9)),"#",getgrade(Broadsheet!AI183,data!$H$4:$I$9))</f>
        <v/>
      </c>
      <c r="AJ72" s="188" t="str">
        <f>IF(ISERROR(getgrade(Broadsheet!AJ183,data!$H$4:$I$9)),"#",getgrade(Broadsheet!AJ183,data!$H$4:$I$9))</f>
        <v/>
      </c>
      <c r="AK72" s="188" t="str">
        <f>IF(ISERROR(getgrade(Broadsheet!AK183,data!$H$4:$I$9)),"#",getgrade(Broadsheet!AK183,data!$H$4:$I$9))</f>
        <v/>
      </c>
      <c r="AL72" s="188" t="str">
        <f>IF(ISERROR(getgrade(Broadsheet!AL183,data!$H$4:$I$9)),"#",getgrade(Broadsheet!AL183,data!$H$4:$I$9))</f>
        <v/>
      </c>
      <c r="AM72" s="188" t="str">
        <f>IF(ISERROR(getgrade(Broadsheet!AM183,data!$H$4:$I$9)),"#",getgrade(Broadsheet!AM183,data!$H$4:$I$9))</f>
        <v/>
      </c>
      <c r="AN72" s="188" t="str">
        <f>IF(ISERROR(getgrade(Broadsheet!AN183,data!$H$4:$I$9)),"#",getgrade(Broadsheet!AN183,data!$H$4:$I$9))</f>
        <v/>
      </c>
      <c r="AO72" s="188" t="str">
        <f>IF(ISERROR(getgrade(Broadsheet!AO183,data!$H$4:$I$9)),"#",getgrade(Broadsheet!AO183,data!$H$4:$I$9))</f>
        <v/>
      </c>
      <c r="AP72" s="188" t="str">
        <f>IF(ISERROR(getgrade(Broadsheet!AP183,data!$H$4:$I$9)),"#",getgrade(Broadsheet!AP183,data!$H$4:$I$9))</f>
        <v/>
      </c>
      <c r="AQ72" s="188" t="str">
        <f>IF(ISERROR(getgrade(Broadsheet!AQ183,data!$H$4:$I$9)),"#",getgrade(Broadsheet!AQ183,data!$H$4:$I$9))</f>
        <v/>
      </c>
      <c r="AR72" s="188" t="str">
        <f>IF(ISERROR(getgrade(Broadsheet!AR183,data!$H$4:$I$9)),"#",getgrade(Broadsheet!AR183,data!$H$4:$I$9))</f>
        <v/>
      </c>
      <c r="AS72" s="188" t="str">
        <f>IF(ISERROR(getgrade(Broadsheet!AS183,data!$H$4:$I$9)),"#",getgrade(Broadsheet!AS183,data!$H$4:$I$9))</f>
        <v/>
      </c>
      <c r="AT72" s="188" t="str">
        <f>IF(ISERROR(getgrade(Broadsheet!AT183,data!$H$4:$I$9)),"#",getgrade(Broadsheet!AT183,data!$H$4:$I$9))</f>
        <v/>
      </c>
      <c r="AU72" s="188" t="str">
        <f>IF(ISERROR(getgrade(Broadsheet!AU183,data!$H$4:$I$9)),"#",getgrade(Broadsheet!AU183,data!$H$4:$I$9))</f>
        <v/>
      </c>
      <c r="AV72" s="188" t="str">
        <f>IF(ISERROR(getgrade(Broadsheet!AV183,data!$H$4:$I$9)),"#",getgrade(Broadsheet!AV183,data!$H$4:$I$9))</f>
        <v/>
      </c>
      <c r="AW72" s="188" t="str">
        <f>IF(ISERROR(getgrade(Broadsheet!AW183,data!$H$4:$I$9)),"#",getgrade(Broadsheet!AW183,data!$H$4:$I$9))</f>
        <v/>
      </c>
      <c r="AX72" s="188" t="str">
        <f>IF(ISERROR(getgrade(Broadsheet!AX183,data!$H$4:$I$9)),"#",getgrade(Broadsheet!AX183,data!$H$4:$I$9))</f>
        <v/>
      </c>
      <c r="AY72" s="188" t="str">
        <f>IF(ISERROR(getgrade(Broadsheet!AY183,data!$H$4:$I$9)),"#",getgrade(Broadsheet!AY183,data!$H$4:$I$9))</f>
        <v/>
      </c>
      <c r="AZ72" s="188" t="str">
        <f>IF(ISERROR(getgrade(Broadsheet!AZ183,data!$H$4:$I$9)),"#",getgrade(Broadsheet!AZ183,data!$H$4:$I$9))</f>
        <v/>
      </c>
      <c r="BA72" s="188" t="str">
        <f>IF(ISERROR(getgrade(Broadsheet!BA183,data!$H$4:$I$9)),"#",getgrade(Broadsheet!BA183,data!$H$4:$I$9))</f>
        <v/>
      </c>
      <c r="BB72" s="188" t="str">
        <f>IF(ISERROR(getgrade(Broadsheet!BB183,data!$H$4:$I$9)),"#",getgrade(Broadsheet!BB183,data!$H$4:$I$9))</f>
        <v/>
      </c>
      <c r="BC72" s="188" t="str">
        <f>IF(ISERROR(getgrade(Broadsheet!BC183,data!$H$4:$I$9)),"#",getgrade(Broadsheet!BC183,data!$H$4:$I$9))</f>
        <v/>
      </c>
      <c r="BD72" s="188" t="str">
        <f>IF(ISERROR(getgrade(Broadsheet!BD183,data!$H$4:$I$9)),"#",getgrade(Broadsheet!BD183,data!$H$4:$I$9))</f>
        <v/>
      </c>
      <c r="BE72" s="188" t="str">
        <f>IF(ISERROR(getgrade(Broadsheet!BE183,data!$H$4:$I$9)),"#",getgrade(Broadsheet!BE183,data!$H$4:$I$9))</f>
        <v/>
      </c>
      <c r="BF72" s="188" t="str">
        <f>IF(ISERROR(getgrade(Broadsheet!BF183,data!$H$4:$I$9)),"#",getgrade(Broadsheet!BF183,data!$H$4:$I$9))</f>
        <v/>
      </c>
      <c r="BG72" s="188" t="str">
        <f>IF(ISERROR(getgrade(Broadsheet!BG183,data!$H$4:$I$9)),"#",getgrade(Broadsheet!BG183,data!$H$4:$I$9))</f>
        <v/>
      </c>
      <c r="BH72" s="188" t="str">
        <f>IF(ISERROR(getgrade(Broadsheet!BH183,data!$H$4:$I$9)),"#",getgrade(Broadsheet!BH183,data!$H$4:$I$9))</f>
        <v/>
      </c>
      <c r="BI72" s="188" t="str">
        <f>IF(ISERROR(getgrade(Broadsheet!BI183,data!$H$4:$I$9)),"#",getgrade(Broadsheet!BI183,data!$H$4:$I$9))</f>
        <v/>
      </c>
      <c r="BJ72" s="188" t="str">
        <f>IF(ISERROR(getgrade(Broadsheet!BJ183,data!$H$4:$I$9)),"#",getgrade(Broadsheet!BJ183,data!$H$4:$I$9))</f>
        <v/>
      </c>
      <c r="BK72" s="188"/>
      <c r="BL72" s="188"/>
      <c r="BM72" s="188"/>
      <c r="BN72" s="188"/>
      <c r="BO72" s="188"/>
      <c r="BP72" s="188"/>
      <c r="BQ72" s="188"/>
      <c r="BR72" s="188"/>
      <c r="BS72" s="188"/>
      <c r="BT72" s="188"/>
      <c r="BU72" s="188"/>
      <c r="BV72" s="188"/>
      <c r="BW72" s="188"/>
      <c r="BX72" s="188"/>
      <c r="BY72" s="188"/>
      <c r="BZ72" s="188"/>
      <c r="CA72" s="188"/>
      <c r="CB72" s="188"/>
      <c r="CC72" s="188"/>
      <c r="CD72" s="188"/>
      <c r="CE72" s="188"/>
      <c r="CF72" s="188"/>
      <c r="CG72" s="188"/>
      <c r="CH72" s="188"/>
      <c r="CI72" s="188"/>
      <c r="CJ72" s="188"/>
      <c r="CK72" s="188"/>
      <c r="CL72" s="188"/>
      <c r="CM72" s="188"/>
      <c r="CN72" s="188"/>
      <c r="CO72" s="188"/>
      <c r="CP72" s="188"/>
      <c r="CQ72" s="188"/>
      <c r="CR72" s="188"/>
      <c r="CS72" s="188"/>
      <c r="CT72" s="188"/>
      <c r="CU72" s="188"/>
      <c r="CV72" s="188"/>
      <c r="CW72" s="188"/>
      <c r="CX72" s="188"/>
      <c r="CY72" s="188"/>
      <c r="CZ72" s="188"/>
      <c r="DA72" s="188"/>
      <c r="DB72" s="188"/>
      <c r="DC72" s="188"/>
      <c r="DD72" s="188"/>
      <c r="DE72" s="188"/>
      <c r="DF72" s="188"/>
      <c r="DG72" s="188"/>
      <c r="DH72" s="188"/>
      <c r="DI72" s="188"/>
      <c r="DJ72" s="188"/>
      <c r="DK72" s="188"/>
      <c r="DL72" s="188"/>
      <c r="DM72" s="188"/>
      <c r="DN72" s="188"/>
      <c r="DO72" s="188"/>
      <c r="DP72" s="188"/>
      <c r="DQ72" s="188"/>
      <c r="DR72" s="188"/>
      <c r="DS72" s="188"/>
      <c r="DT72" s="188"/>
      <c r="DU72" s="188"/>
      <c r="DV72" s="188"/>
      <c r="DW72" s="188"/>
      <c r="DX72" s="188"/>
      <c r="DY72" s="188"/>
      <c r="DZ72" s="188"/>
      <c r="EA72" s="188"/>
    </row>
    <row r="73" spans="1:131" ht="15.75" x14ac:dyDescent="0.25">
      <c r="A73" s="12">
        <f>Broadsheet!A184</f>
        <v>0</v>
      </c>
      <c r="B73" s="204" t="str">
        <f>IF(Broadsheet!B73="","",Broadsheet!B73)</f>
        <v/>
      </c>
      <c r="C73" s="24" t="str">
        <f>IF(Broadsheet!C73="","",Broadsheet!C73)</f>
        <v xml:space="preserve"> </v>
      </c>
      <c r="G73" s="24" t="str">
        <f t="shared" si="0"/>
        <v/>
      </c>
      <c r="H73" s="188" t="str">
        <f>IF(ISERROR(getgrade(Broadsheet!H184,data!$H$4:$I$9)),"#",getgrade(Broadsheet!H184,data!$H$4:$I$9))</f>
        <v/>
      </c>
      <c r="I73" s="188" t="str">
        <f>IF(ISERROR(getgrade(Broadsheet!I184,data!$H$4:$I$9)),"#",getgrade(Broadsheet!I184,data!$H$4:$I$9))</f>
        <v/>
      </c>
      <c r="J73" s="188" t="str">
        <f>IF(ISERROR(getgrade(Broadsheet!J184,data!$H$4:$I$9)),"#",getgrade(Broadsheet!J184,data!$H$4:$I$9))</f>
        <v/>
      </c>
      <c r="K73" s="188" t="str">
        <f>IF(ISERROR(getgrade(Broadsheet!K184,data!$H$4:$I$9)),"#",getgrade(Broadsheet!K184,data!$H$4:$I$9))</f>
        <v/>
      </c>
      <c r="L73" s="188" t="str">
        <f>IF(ISERROR(getgrade(Broadsheet!L184,data!$H$4:$I$9)),"#",getgrade(Broadsheet!L184,data!$H$4:$I$9))</f>
        <v/>
      </c>
      <c r="M73" s="188" t="str">
        <f>IF(ISERROR(getgrade(Broadsheet!M184,data!$H$4:$I$9)),"#",getgrade(Broadsheet!M184,data!$H$4:$I$9))</f>
        <v/>
      </c>
      <c r="N73" s="188" t="str">
        <f>IF(ISERROR(getgrade(Broadsheet!N184,data!$H$4:$I$9)),"#",getgrade(Broadsheet!N184,data!$H$4:$I$9))</f>
        <v/>
      </c>
      <c r="O73" s="188" t="str">
        <f>IF(ISERROR(getgrade(Broadsheet!O184,data!$H$4:$I$9)),"#",getgrade(Broadsheet!O184,data!$H$4:$I$9))</f>
        <v/>
      </c>
      <c r="P73" s="188" t="str">
        <f>IF(ISERROR(getgrade(Broadsheet!P184,data!$H$4:$I$9)),"#",getgrade(Broadsheet!P184,data!$H$4:$I$9))</f>
        <v/>
      </c>
      <c r="Q73" s="188" t="str">
        <f>IF(ISERROR(getgrade(Broadsheet!Q184,data!$H$4:$I$9)),"#",getgrade(Broadsheet!Q184,data!$H$4:$I$9))</f>
        <v/>
      </c>
      <c r="R73" s="188" t="str">
        <f>IF(ISERROR(getgrade(Broadsheet!R184,data!$H$4:$I$9)),"#",getgrade(Broadsheet!R184,data!$H$4:$I$9))</f>
        <v/>
      </c>
      <c r="S73" s="188" t="str">
        <f>IF(ISERROR(getgrade(Broadsheet!S184,data!$H$4:$I$9)),"#",getgrade(Broadsheet!S184,data!$H$4:$I$9))</f>
        <v/>
      </c>
      <c r="T73" s="188" t="str">
        <f>IF(ISERROR(getgrade(Broadsheet!T184,data!$H$4:$I$9)),"#",getgrade(Broadsheet!T184,data!$H$4:$I$9))</f>
        <v/>
      </c>
      <c r="U73" s="188" t="str">
        <f>IF(ISERROR(getgrade(Broadsheet!U184,data!$H$4:$I$9)),"#",getgrade(Broadsheet!U184,data!$H$4:$I$9))</f>
        <v/>
      </c>
      <c r="V73" s="188" t="str">
        <f>IF(ISERROR(getgrade(Broadsheet!V184,data!$H$4:$I$9)),"#",getgrade(Broadsheet!V184,data!$H$4:$I$9))</f>
        <v/>
      </c>
      <c r="W73" s="188" t="str">
        <f>IF(ISERROR(getgrade(Broadsheet!W184,data!$H$4:$I$9)),"#",getgrade(Broadsheet!W184,data!$H$4:$I$9))</f>
        <v/>
      </c>
      <c r="X73" s="188" t="str">
        <f>IF(ISERROR(getgrade(Broadsheet!X184,data!$H$4:$I$9)),"#",getgrade(Broadsheet!X184,data!$H$4:$I$9))</f>
        <v/>
      </c>
      <c r="Y73" s="188" t="str">
        <f>IF(ISERROR(getgrade(Broadsheet!Y184,data!$H$4:$I$9)),"#",getgrade(Broadsheet!Y184,data!$H$4:$I$9))</f>
        <v/>
      </c>
      <c r="Z73" s="188" t="str">
        <f>IF(ISERROR(getgrade(Broadsheet!Z184,data!$H$4:$I$9)),"#",getgrade(Broadsheet!Z184,data!$H$4:$I$9))</f>
        <v/>
      </c>
      <c r="AA73" s="188" t="str">
        <f>IF(ISERROR(getgrade(Broadsheet!AA184,data!$H$4:$I$9)),"#",getgrade(Broadsheet!AA184,data!$H$4:$I$9))</f>
        <v/>
      </c>
      <c r="AB73" s="188" t="str">
        <f>IF(ISERROR(getgrade(Broadsheet!AB184,data!$H$4:$I$9)),"#",getgrade(Broadsheet!AB184,data!$H$4:$I$9))</f>
        <v/>
      </c>
      <c r="AC73" s="188" t="str">
        <f>IF(ISERROR(getgrade(Broadsheet!AC184,data!$H$4:$I$9)),"#",getgrade(Broadsheet!AC184,data!$H$4:$I$9))</f>
        <v/>
      </c>
      <c r="AD73" s="188" t="str">
        <f>IF(ISERROR(getgrade(Broadsheet!AD184,data!$H$4:$I$9)),"#",getgrade(Broadsheet!AD184,data!$H$4:$I$9))</f>
        <v/>
      </c>
      <c r="AE73" s="188" t="str">
        <f>IF(ISERROR(getgrade(Broadsheet!AE184,data!$H$4:$I$9)),"#",getgrade(Broadsheet!AE184,data!$H$4:$I$9))</f>
        <v/>
      </c>
      <c r="AF73" s="188" t="str">
        <f>IF(ISERROR(getgrade(Broadsheet!AF184,data!$H$4:$I$9)),"#",getgrade(Broadsheet!AF184,data!$H$4:$I$9))</f>
        <v/>
      </c>
      <c r="AG73" s="188" t="str">
        <f>IF(ISERROR(getgrade(Broadsheet!AG184,data!$H$4:$I$9)),"#",getgrade(Broadsheet!AG184,data!$H$4:$I$9))</f>
        <v/>
      </c>
      <c r="AH73" s="188" t="str">
        <f>IF(ISERROR(getgrade(Broadsheet!AH184,data!$H$4:$I$9)),"#",getgrade(Broadsheet!AH184,data!$H$4:$I$9))</f>
        <v/>
      </c>
      <c r="AI73" s="188" t="str">
        <f>IF(ISERROR(getgrade(Broadsheet!AI184,data!$H$4:$I$9)),"#",getgrade(Broadsheet!AI184,data!$H$4:$I$9))</f>
        <v/>
      </c>
      <c r="AJ73" s="188" t="str">
        <f>IF(ISERROR(getgrade(Broadsheet!AJ184,data!$H$4:$I$9)),"#",getgrade(Broadsheet!AJ184,data!$H$4:$I$9))</f>
        <v/>
      </c>
      <c r="AK73" s="188" t="str">
        <f>IF(ISERROR(getgrade(Broadsheet!AK184,data!$H$4:$I$9)),"#",getgrade(Broadsheet!AK184,data!$H$4:$I$9))</f>
        <v/>
      </c>
      <c r="AL73" s="188" t="str">
        <f>IF(ISERROR(getgrade(Broadsheet!AL184,data!$H$4:$I$9)),"#",getgrade(Broadsheet!AL184,data!$H$4:$I$9))</f>
        <v/>
      </c>
      <c r="AM73" s="188" t="str">
        <f>IF(ISERROR(getgrade(Broadsheet!AM184,data!$H$4:$I$9)),"#",getgrade(Broadsheet!AM184,data!$H$4:$I$9))</f>
        <v/>
      </c>
      <c r="AN73" s="188" t="str">
        <f>IF(ISERROR(getgrade(Broadsheet!AN184,data!$H$4:$I$9)),"#",getgrade(Broadsheet!AN184,data!$H$4:$I$9))</f>
        <v/>
      </c>
      <c r="AO73" s="188" t="str">
        <f>IF(ISERROR(getgrade(Broadsheet!AO184,data!$H$4:$I$9)),"#",getgrade(Broadsheet!AO184,data!$H$4:$I$9))</f>
        <v/>
      </c>
      <c r="AP73" s="188" t="str">
        <f>IF(ISERROR(getgrade(Broadsheet!AP184,data!$H$4:$I$9)),"#",getgrade(Broadsheet!AP184,data!$H$4:$I$9))</f>
        <v/>
      </c>
      <c r="AQ73" s="188" t="str">
        <f>IF(ISERROR(getgrade(Broadsheet!AQ184,data!$H$4:$I$9)),"#",getgrade(Broadsheet!AQ184,data!$H$4:$I$9))</f>
        <v/>
      </c>
      <c r="AR73" s="188" t="str">
        <f>IF(ISERROR(getgrade(Broadsheet!AR184,data!$H$4:$I$9)),"#",getgrade(Broadsheet!AR184,data!$H$4:$I$9))</f>
        <v/>
      </c>
      <c r="AS73" s="188" t="str">
        <f>IF(ISERROR(getgrade(Broadsheet!AS184,data!$H$4:$I$9)),"#",getgrade(Broadsheet!AS184,data!$H$4:$I$9))</f>
        <v/>
      </c>
      <c r="AT73" s="188" t="str">
        <f>IF(ISERROR(getgrade(Broadsheet!AT184,data!$H$4:$I$9)),"#",getgrade(Broadsheet!AT184,data!$H$4:$I$9))</f>
        <v/>
      </c>
      <c r="AU73" s="188" t="str">
        <f>IF(ISERROR(getgrade(Broadsheet!AU184,data!$H$4:$I$9)),"#",getgrade(Broadsheet!AU184,data!$H$4:$I$9))</f>
        <v/>
      </c>
      <c r="AV73" s="188" t="str">
        <f>IF(ISERROR(getgrade(Broadsheet!AV184,data!$H$4:$I$9)),"#",getgrade(Broadsheet!AV184,data!$H$4:$I$9))</f>
        <v/>
      </c>
      <c r="AW73" s="188" t="str">
        <f>IF(ISERROR(getgrade(Broadsheet!AW184,data!$H$4:$I$9)),"#",getgrade(Broadsheet!AW184,data!$H$4:$I$9))</f>
        <v/>
      </c>
      <c r="AX73" s="188" t="str">
        <f>IF(ISERROR(getgrade(Broadsheet!AX184,data!$H$4:$I$9)),"#",getgrade(Broadsheet!AX184,data!$H$4:$I$9))</f>
        <v/>
      </c>
      <c r="AY73" s="188" t="str">
        <f>IF(ISERROR(getgrade(Broadsheet!AY184,data!$H$4:$I$9)),"#",getgrade(Broadsheet!AY184,data!$H$4:$I$9))</f>
        <v/>
      </c>
      <c r="AZ73" s="188" t="str">
        <f>IF(ISERROR(getgrade(Broadsheet!AZ184,data!$H$4:$I$9)),"#",getgrade(Broadsheet!AZ184,data!$H$4:$I$9))</f>
        <v/>
      </c>
      <c r="BA73" s="188" t="str">
        <f>IF(ISERROR(getgrade(Broadsheet!BA184,data!$H$4:$I$9)),"#",getgrade(Broadsheet!BA184,data!$H$4:$I$9))</f>
        <v/>
      </c>
      <c r="BB73" s="188" t="str">
        <f>IF(ISERROR(getgrade(Broadsheet!BB184,data!$H$4:$I$9)),"#",getgrade(Broadsheet!BB184,data!$H$4:$I$9))</f>
        <v/>
      </c>
      <c r="BC73" s="188" t="str">
        <f>IF(ISERROR(getgrade(Broadsheet!BC184,data!$H$4:$I$9)),"#",getgrade(Broadsheet!BC184,data!$H$4:$I$9))</f>
        <v/>
      </c>
      <c r="BD73" s="188" t="str">
        <f>IF(ISERROR(getgrade(Broadsheet!BD184,data!$H$4:$I$9)),"#",getgrade(Broadsheet!BD184,data!$H$4:$I$9))</f>
        <v/>
      </c>
      <c r="BE73" s="188" t="str">
        <f>IF(ISERROR(getgrade(Broadsheet!BE184,data!$H$4:$I$9)),"#",getgrade(Broadsheet!BE184,data!$H$4:$I$9))</f>
        <v/>
      </c>
      <c r="BF73" s="188" t="str">
        <f>IF(ISERROR(getgrade(Broadsheet!BF184,data!$H$4:$I$9)),"#",getgrade(Broadsheet!BF184,data!$H$4:$I$9))</f>
        <v/>
      </c>
      <c r="BG73" s="188" t="str">
        <f>IF(ISERROR(getgrade(Broadsheet!BG184,data!$H$4:$I$9)),"#",getgrade(Broadsheet!BG184,data!$H$4:$I$9))</f>
        <v/>
      </c>
      <c r="BH73" s="188" t="str">
        <f>IF(ISERROR(getgrade(Broadsheet!BH184,data!$H$4:$I$9)),"#",getgrade(Broadsheet!BH184,data!$H$4:$I$9))</f>
        <v/>
      </c>
      <c r="BI73" s="188" t="str">
        <f>IF(ISERROR(getgrade(Broadsheet!BI184,data!$H$4:$I$9)),"#",getgrade(Broadsheet!BI184,data!$H$4:$I$9))</f>
        <v/>
      </c>
      <c r="BJ73" s="188" t="str">
        <f>IF(ISERROR(getgrade(Broadsheet!BJ184,data!$H$4:$I$9)),"#",getgrade(Broadsheet!BJ184,data!$H$4:$I$9))</f>
        <v/>
      </c>
      <c r="BK73" s="188"/>
      <c r="BL73" s="188"/>
      <c r="BM73" s="188"/>
      <c r="BN73" s="188"/>
      <c r="BO73" s="188"/>
      <c r="BP73" s="188"/>
      <c r="BQ73" s="188"/>
      <c r="BR73" s="188"/>
      <c r="BS73" s="188"/>
      <c r="BT73" s="188"/>
      <c r="BU73" s="188"/>
      <c r="BV73" s="188"/>
      <c r="BW73" s="188"/>
      <c r="BX73" s="188"/>
      <c r="BY73" s="188"/>
      <c r="BZ73" s="188"/>
      <c r="CA73" s="188"/>
      <c r="CB73" s="188"/>
      <c r="CC73" s="188"/>
      <c r="CD73" s="188"/>
      <c r="CE73" s="188"/>
      <c r="CF73" s="188"/>
      <c r="CG73" s="188"/>
      <c r="CH73" s="188"/>
      <c r="CI73" s="188"/>
      <c r="CJ73" s="188"/>
      <c r="CK73" s="188"/>
      <c r="CL73" s="188"/>
      <c r="CM73" s="188"/>
      <c r="CN73" s="188"/>
      <c r="CO73" s="188"/>
      <c r="CP73" s="188"/>
      <c r="CQ73" s="188"/>
      <c r="CR73" s="188"/>
      <c r="CS73" s="188"/>
      <c r="CT73" s="188"/>
      <c r="CU73" s="188"/>
      <c r="CV73" s="188"/>
      <c r="CW73" s="188"/>
      <c r="CX73" s="188"/>
      <c r="CY73" s="188"/>
      <c r="CZ73" s="188"/>
      <c r="DA73" s="188"/>
      <c r="DB73" s="188"/>
      <c r="DC73" s="188"/>
      <c r="DD73" s="188"/>
      <c r="DE73" s="188"/>
      <c r="DF73" s="188"/>
      <c r="DG73" s="188"/>
      <c r="DH73" s="188"/>
      <c r="DI73" s="188"/>
      <c r="DJ73" s="188"/>
      <c r="DK73" s="188"/>
      <c r="DL73" s="188"/>
      <c r="DM73" s="188"/>
      <c r="DN73" s="188"/>
      <c r="DO73" s="188"/>
      <c r="DP73" s="188"/>
      <c r="DQ73" s="188"/>
      <c r="DR73" s="188"/>
      <c r="DS73" s="188"/>
      <c r="DT73" s="188"/>
      <c r="DU73" s="188"/>
      <c r="DV73" s="188"/>
      <c r="DW73" s="188"/>
      <c r="DX73" s="188"/>
      <c r="DY73" s="188"/>
      <c r="DZ73" s="188"/>
      <c r="EA73" s="188"/>
    </row>
    <row r="74" spans="1:131" ht="15.75" x14ac:dyDescent="0.25">
      <c r="A74" s="12">
        <f>Broadsheet!A185</f>
        <v>0</v>
      </c>
      <c r="B74" s="204" t="str">
        <f>IF(Broadsheet!B74="","",Broadsheet!B74)</f>
        <v/>
      </c>
      <c r="C74" s="24" t="str">
        <f>IF(Broadsheet!C74="","",Broadsheet!C74)</f>
        <v xml:space="preserve"> </v>
      </c>
      <c r="G74" s="24" t="str">
        <f t="shared" si="0"/>
        <v/>
      </c>
      <c r="H74" s="188" t="str">
        <f>IF(ISERROR(getgrade(Broadsheet!H185,data!$H$4:$I$9)),"#",getgrade(Broadsheet!H185,data!$H$4:$I$9))</f>
        <v/>
      </c>
      <c r="I74" s="188" t="str">
        <f>IF(ISERROR(getgrade(Broadsheet!I185,data!$H$4:$I$9)),"#",getgrade(Broadsheet!I185,data!$H$4:$I$9))</f>
        <v/>
      </c>
      <c r="J74" s="188" t="str">
        <f>IF(ISERROR(getgrade(Broadsheet!J185,data!$H$4:$I$9)),"#",getgrade(Broadsheet!J185,data!$H$4:$I$9))</f>
        <v/>
      </c>
      <c r="K74" s="188" t="str">
        <f>IF(ISERROR(getgrade(Broadsheet!K185,data!$H$4:$I$9)),"#",getgrade(Broadsheet!K185,data!$H$4:$I$9))</f>
        <v/>
      </c>
      <c r="L74" s="188" t="str">
        <f>IF(ISERROR(getgrade(Broadsheet!L185,data!$H$4:$I$9)),"#",getgrade(Broadsheet!L185,data!$H$4:$I$9))</f>
        <v/>
      </c>
      <c r="M74" s="188" t="str">
        <f>IF(ISERROR(getgrade(Broadsheet!M185,data!$H$4:$I$9)),"#",getgrade(Broadsheet!M185,data!$H$4:$I$9))</f>
        <v/>
      </c>
      <c r="N74" s="188" t="str">
        <f>IF(ISERROR(getgrade(Broadsheet!N185,data!$H$4:$I$9)),"#",getgrade(Broadsheet!N185,data!$H$4:$I$9))</f>
        <v/>
      </c>
      <c r="O74" s="188" t="str">
        <f>IF(ISERROR(getgrade(Broadsheet!O185,data!$H$4:$I$9)),"#",getgrade(Broadsheet!O185,data!$H$4:$I$9))</f>
        <v/>
      </c>
      <c r="P74" s="188" t="str">
        <f>IF(ISERROR(getgrade(Broadsheet!P185,data!$H$4:$I$9)),"#",getgrade(Broadsheet!P185,data!$H$4:$I$9))</f>
        <v/>
      </c>
      <c r="Q74" s="188" t="str">
        <f>IF(ISERROR(getgrade(Broadsheet!Q185,data!$H$4:$I$9)),"#",getgrade(Broadsheet!Q185,data!$H$4:$I$9))</f>
        <v/>
      </c>
      <c r="R74" s="188" t="str">
        <f>IF(ISERROR(getgrade(Broadsheet!R185,data!$H$4:$I$9)),"#",getgrade(Broadsheet!R185,data!$H$4:$I$9))</f>
        <v/>
      </c>
      <c r="S74" s="188" t="str">
        <f>IF(ISERROR(getgrade(Broadsheet!S185,data!$H$4:$I$9)),"#",getgrade(Broadsheet!S185,data!$H$4:$I$9))</f>
        <v/>
      </c>
      <c r="T74" s="188" t="str">
        <f>IF(ISERROR(getgrade(Broadsheet!T185,data!$H$4:$I$9)),"#",getgrade(Broadsheet!T185,data!$H$4:$I$9))</f>
        <v/>
      </c>
      <c r="U74" s="188" t="str">
        <f>IF(ISERROR(getgrade(Broadsheet!U185,data!$H$4:$I$9)),"#",getgrade(Broadsheet!U185,data!$H$4:$I$9))</f>
        <v/>
      </c>
      <c r="V74" s="188" t="str">
        <f>IF(ISERROR(getgrade(Broadsheet!V185,data!$H$4:$I$9)),"#",getgrade(Broadsheet!V185,data!$H$4:$I$9))</f>
        <v/>
      </c>
      <c r="W74" s="188" t="str">
        <f>IF(ISERROR(getgrade(Broadsheet!W185,data!$H$4:$I$9)),"#",getgrade(Broadsheet!W185,data!$H$4:$I$9))</f>
        <v/>
      </c>
      <c r="X74" s="188" t="str">
        <f>IF(ISERROR(getgrade(Broadsheet!X185,data!$H$4:$I$9)),"#",getgrade(Broadsheet!X185,data!$H$4:$I$9))</f>
        <v/>
      </c>
      <c r="Y74" s="188" t="str">
        <f>IF(ISERROR(getgrade(Broadsheet!Y185,data!$H$4:$I$9)),"#",getgrade(Broadsheet!Y185,data!$H$4:$I$9))</f>
        <v/>
      </c>
      <c r="Z74" s="188" t="str">
        <f>IF(ISERROR(getgrade(Broadsheet!Z185,data!$H$4:$I$9)),"#",getgrade(Broadsheet!Z185,data!$H$4:$I$9))</f>
        <v/>
      </c>
      <c r="AA74" s="188" t="str">
        <f>IF(ISERROR(getgrade(Broadsheet!AA185,data!$H$4:$I$9)),"#",getgrade(Broadsheet!AA185,data!$H$4:$I$9))</f>
        <v/>
      </c>
      <c r="AB74" s="188" t="str">
        <f>IF(ISERROR(getgrade(Broadsheet!AB185,data!$H$4:$I$9)),"#",getgrade(Broadsheet!AB185,data!$H$4:$I$9))</f>
        <v/>
      </c>
      <c r="AC74" s="188" t="str">
        <f>IF(ISERROR(getgrade(Broadsheet!AC185,data!$H$4:$I$9)),"#",getgrade(Broadsheet!AC185,data!$H$4:$I$9))</f>
        <v/>
      </c>
      <c r="AD74" s="188" t="str">
        <f>IF(ISERROR(getgrade(Broadsheet!AD185,data!$H$4:$I$9)),"#",getgrade(Broadsheet!AD185,data!$H$4:$I$9))</f>
        <v/>
      </c>
      <c r="AE74" s="188" t="str">
        <f>IF(ISERROR(getgrade(Broadsheet!AE185,data!$H$4:$I$9)),"#",getgrade(Broadsheet!AE185,data!$H$4:$I$9))</f>
        <v/>
      </c>
      <c r="AF74" s="188" t="str">
        <f>IF(ISERROR(getgrade(Broadsheet!AF185,data!$H$4:$I$9)),"#",getgrade(Broadsheet!AF185,data!$H$4:$I$9))</f>
        <v/>
      </c>
      <c r="AG74" s="188" t="str">
        <f>IF(ISERROR(getgrade(Broadsheet!AG185,data!$H$4:$I$9)),"#",getgrade(Broadsheet!AG185,data!$H$4:$I$9))</f>
        <v/>
      </c>
      <c r="AH74" s="188" t="str">
        <f>IF(ISERROR(getgrade(Broadsheet!AH185,data!$H$4:$I$9)),"#",getgrade(Broadsheet!AH185,data!$H$4:$I$9))</f>
        <v/>
      </c>
      <c r="AI74" s="188" t="str">
        <f>IF(ISERROR(getgrade(Broadsheet!AI185,data!$H$4:$I$9)),"#",getgrade(Broadsheet!AI185,data!$H$4:$I$9))</f>
        <v/>
      </c>
      <c r="AJ74" s="188" t="str">
        <f>IF(ISERROR(getgrade(Broadsheet!AJ185,data!$H$4:$I$9)),"#",getgrade(Broadsheet!AJ185,data!$H$4:$I$9))</f>
        <v/>
      </c>
      <c r="AK74" s="188" t="str">
        <f>IF(ISERROR(getgrade(Broadsheet!AK185,data!$H$4:$I$9)),"#",getgrade(Broadsheet!AK185,data!$H$4:$I$9))</f>
        <v/>
      </c>
      <c r="AL74" s="188" t="str">
        <f>IF(ISERROR(getgrade(Broadsheet!AL185,data!$H$4:$I$9)),"#",getgrade(Broadsheet!AL185,data!$H$4:$I$9))</f>
        <v/>
      </c>
      <c r="AM74" s="188" t="str">
        <f>IF(ISERROR(getgrade(Broadsheet!AM185,data!$H$4:$I$9)),"#",getgrade(Broadsheet!AM185,data!$H$4:$I$9))</f>
        <v/>
      </c>
      <c r="AN74" s="188" t="str">
        <f>IF(ISERROR(getgrade(Broadsheet!AN185,data!$H$4:$I$9)),"#",getgrade(Broadsheet!AN185,data!$H$4:$I$9))</f>
        <v/>
      </c>
      <c r="AO74" s="188" t="str">
        <f>IF(ISERROR(getgrade(Broadsheet!AO185,data!$H$4:$I$9)),"#",getgrade(Broadsheet!AO185,data!$H$4:$I$9))</f>
        <v/>
      </c>
      <c r="AP74" s="188" t="str">
        <f>IF(ISERROR(getgrade(Broadsheet!AP185,data!$H$4:$I$9)),"#",getgrade(Broadsheet!AP185,data!$H$4:$I$9))</f>
        <v/>
      </c>
      <c r="AQ74" s="188" t="str">
        <f>IF(ISERROR(getgrade(Broadsheet!AQ185,data!$H$4:$I$9)),"#",getgrade(Broadsheet!AQ185,data!$H$4:$I$9))</f>
        <v/>
      </c>
      <c r="AR74" s="188" t="str">
        <f>IF(ISERROR(getgrade(Broadsheet!AR185,data!$H$4:$I$9)),"#",getgrade(Broadsheet!AR185,data!$H$4:$I$9))</f>
        <v/>
      </c>
      <c r="AS74" s="188" t="str">
        <f>IF(ISERROR(getgrade(Broadsheet!AS185,data!$H$4:$I$9)),"#",getgrade(Broadsheet!AS185,data!$H$4:$I$9))</f>
        <v/>
      </c>
      <c r="AT74" s="188" t="str">
        <f>IF(ISERROR(getgrade(Broadsheet!AT185,data!$H$4:$I$9)),"#",getgrade(Broadsheet!AT185,data!$H$4:$I$9))</f>
        <v/>
      </c>
      <c r="AU74" s="188" t="str">
        <f>IF(ISERROR(getgrade(Broadsheet!AU185,data!$H$4:$I$9)),"#",getgrade(Broadsheet!AU185,data!$H$4:$I$9))</f>
        <v/>
      </c>
      <c r="AV74" s="188" t="str">
        <f>IF(ISERROR(getgrade(Broadsheet!AV185,data!$H$4:$I$9)),"#",getgrade(Broadsheet!AV185,data!$H$4:$I$9))</f>
        <v/>
      </c>
      <c r="AW74" s="188" t="str">
        <f>IF(ISERROR(getgrade(Broadsheet!AW185,data!$H$4:$I$9)),"#",getgrade(Broadsheet!AW185,data!$H$4:$I$9))</f>
        <v/>
      </c>
      <c r="AX74" s="188" t="str">
        <f>IF(ISERROR(getgrade(Broadsheet!AX185,data!$H$4:$I$9)),"#",getgrade(Broadsheet!AX185,data!$H$4:$I$9))</f>
        <v/>
      </c>
      <c r="AY74" s="188" t="str">
        <f>IF(ISERROR(getgrade(Broadsheet!AY185,data!$H$4:$I$9)),"#",getgrade(Broadsheet!AY185,data!$H$4:$I$9))</f>
        <v/>
      </c>
      <c r="AZ74" s="188" t="str">
        <f>IF(ISERROR(getgrade(Broadsheet!AZ185,data!$H$4:$I$9)),"#",getgrade(Broadsheet!AZ185,data!$H$4:$I$9))</f>
        <v/>
      </c>
      <c r="BA74" s="188" t="str">
        <f>IF(ISERROR(getgrade(Broadsheet!BA185,data!$H$4:$I$9)),"#",getgrade(Broadsheet!BA185,data!$H$4:$I$9))</f>
        <v/>
      </c>
      <c r="BB74" s="188" t="str">
        <f>IF(ISERROR(getgrade(Broadsheet!BB185,data!$H$4:$I$9)),"#",getgrade(Broadsheet!BB185,data!$H$4:$I$9))</f>
        <v/>
      </c>
      <c r="BC74" s="188" t="str">
        <f>IF(ISERROR(getgrade(Broadsheet!BC185,data!$H$4:$I$9)),"#",getgrade(Broadsheet!BC185,data!$H$4:$I$9))</f>
        <v/>
      </c>
      <c r="BD74" s="188" t="str">
        <f>IF(ISERROR(getgrade(Broadsheet!BD185,data!$H$4:$I$9)),"#",getgrade(Broadsheet!BD185,data!$H$4:$I$9))</f>
        <v/>
      </c>
      <c r="BE74" s="188" t="str">
        <f>IF(ISERROR(getgrade(Broadsheet!BE185,data!$H$4:$I$9)),"#",getgrade(Broadsheet!BE185,data!$H$4:$I$9))</f>
        <v/>
      </c>
      <c r="BF74" s="188" t="str">
        <f>IF(ISERROR(getgrade(Broadsheet!BF185,data!$H$4:$I$9)),"#",getgrade(Broadsheet!BF185,data!$H$4:$I$9))</f>
        <v/>
      </c>
      <c r="BG74" s="188" t="str">
        <f>IF(ISERROR(getgrade(Broadsheet!BG185,data!$H$4:$I$9)),"#",getgrade(Broadsheet!BG185,data!$H$4:$I$9))</f>
        <v/>
      </c>
      <c r="BH74" s="188" t="str">
        <f>IF(ISERROR(getgrade(Broadsheet!BH185,data!$H$4:$I$9)),"#",getgrade(Broadsheet!BH185,data!$H$4:$I$9))</f>
        <v/>
      </c>
      <c r="BI74" s="188" t="str">
        <f>IF(ISERROR(getgrade(Broadsheet!BI185,data!$H$4:$I$9)),"#",getgrade(Broadsheet!BI185,data!$H$4:$I$9))</f>
        <v/>
      </c>
      <c r="BJ74" s="188" t="str">
        <f>IF(ISERROR(getgrade(Broadsheet!BJ185,data!$H$4:$I$9)),"#",getgrade(Broadsheet!BJ185,data!$H$4:$I$9))</f>
        <v/>
      </c>
      <c r="BK74" s="188"/>
      <c r="BL74" s="188"/>
      <c r="BM74" s="188"/>
      <c r="BN74" s="188"/>
      <c r="BO74" s="188"/>
      <c r="BP74" s="188"/>
      <c r="BQ74" s="188"/>
      <c r="BR74" s="188"/>
      <c r="BS74" s="188"/>
      <c r="BT74" s="188"/>
      <c r="BU74" s="188"/>
      <c r="BV74" s="188"/>
      <c r="BW74" s="188"/>
      <c r="BX74" s="188"/>
      <c r="BY74" s="188"/>
      <c r="BZ74" s="188"/>
      <c r="CA74" s="188"/>
      <c r="CB74" s="188"/>
      <c r="CC74" s="188"/>
      <c r="CD74" s="188"/>
      <c r="CE74" s="188"/>
      <c r="CF74" s="188"/>
      <c r="CG74" s="188"/>
      <c r="CH74" s="188"/>
      <c r="CI74" s="188"/>
      <c r="CJ74" s="188"/>
      <c r="CK74" s="188"/>
      <c r="CL74" s="188"/>
      <c r="CM74" s="188"/>
      <c r="CN74" s="188"/>
      <c r="CO74" s="188"/>
      <c r="CP74" s="188"/>
      <c r="CQ74" s="188"/>
      <c r="CR74" s="188"/>
      <c r="CS74" s="188"/>
      <c r="CT74" s="188"/>
      <c r="CU74" s="188"/>
      <c r="CV74" s="188"/>
      <c r="CW74" s="188"/>
      <c r="CX74" s="188"/>
      <c r="CY74" s="188"/>
      <c r="CZ74" s="188"/>
      <c r="DA74" s="188"/>
      <c r="DB74" s="188"/>
      <c r="DC74" s="188"/>
      <c r="DD74" s="188"/>
      <c r="DE74" s="188"/>
      <c r="DF74" s="188"/>
      <c r="DG74" s="188"/>
      <c r="DH74" s="188"/>
      <c r="DI74" s="188"/>
      <c r="DJ74" s="188"/>
      <c r="DK74" s="188"/>
      <c r="DL74" s="188"/>
      <c r="DM74" s="188"/>
      <c r="DN74" s="188"/>
      <c r="DO74" s="188"/>
      <c r="DP74" s="188"/>
      <c r="DQ74" s="188"/>
      <c r="DR74" s="188"/>
      <c r="DS74" s="188"/>
      <c r="DT74" s="188"/>
      <c r="DU74" s="188"/>
      <c r="DV74" s="188"/>
      <c r="DW74" s="188"/>
      <c r="DX74" s="188"/>
      <c r="DY74" s="188"/>
      <c r="DZ74" s="188"/>
      <c r="EA74" s="188"/>
    </row>
    <row r="75" spans="1:131" ht="15.75" x14ac:dyDescent="0.25">
      <c r="A75" s="12">
        <f>Broadsheet!A186</f>
        <v>0</v>
      </c>
      <c r="B75" s="204" t="str">
        <f>IF(Broadsheet!B75="","",Broadsheet!B75)</f>
        <v/>
      </c>
      <c r="C75" s="24" t="str">
        <f>IF(Broadsheet!C75="","",Broadsheet!C75)</f>
        <v xml:space="preserve"> </v>
      </c>
      <c r="G75" s="24" t="str">
        <f t="shared" si="0"/>
        <v/>
      </c>
      <c r="H75" s="188" t="str">
        <f>IF(ISERROR(getgrade(Broadsheet!H186,data!$H$4:$I$9)),"#",getgrade(Broadsheet!H186,data!$H$4:$I$9))</f>
        <v/>
      </c>
      <c r="I75" s="188" t="str">
        <f>IF(ISERROR(getgrade(Broadsheet!I186,data!$H$4:$I$9)),"#",getgrade(Broadsheet!I186,data!$H$4:$I$9))</f>
        <v/>
      </c>
      <c r="J75" s="188" t="str">
        <f>IF(ISERROR(getgrade(Broadsheet!J186,data!$H$4:$I$9)),"#",getgrade(Broadsheet!J186,data!$H$4:$I$9))</f>
        <v/>
      </c>
      <c r="K75" s="188" t="str">
        <f>IF(ISERROR(getgrade(Broadsheet!K186,data!$H$4:$I$9)),"#",getgrade(Broadsheet!K186,data!$H$4:$I$9))</f>
        <v/>
      </c>
      <c r="L75" s="188" t="str">
        <f>IF(ISERROR(getgrade(Broadsheet!L186,data!$H$4:$I$9)),"#",getgrade(Broadsheet!L186,data!$H$4:$I$9))</f>
        <v/>
      </c>
      <c r="M75" s="188" t="str">
        <f>IF(ISERROR(getgrade(Broadsheet!M186,data!$H$4:$I$9)),"#",getgrade(Broadsheet!M186,data!$H$4:$I$9))</f>
        <v/>
      </c>
      <c r="N75" s="188" t="str">
        <f>IF(ISERROR(getgrade(Broadsheet!N186,data!$H$4:$I$9)),"#",getgrade(Broadsheet!N186,data!$H$4:$I$9))</f>
        <v/>
      </c>
      <c r="O75" s="188" t="str">
        <f>IF(ISERROR(getgrade(Broadsheet!O186,data!$H$4:$I$9)),"#",getgrade(Broadsheet!O186,data!$H$4:$I$9))</f>
        <v/>
      </c>
      <c r="P75" s="188" t="str">
        <f>IF(ISERROR(getgrade(Broadsheet!P186,data!$H$4:$I$9)),"#",getgrade(Broadsheet!P186,data!$H$4:$I$9))</f>
        <v/>
      </c>
      <c r="Q75" s="188" t="str">
        <f>IF(ISERROR(getgrade(Broadsheet!Q186,data!$H$4:$I$9)),"#",getgrade(Broadsheet!Q186,data!$H$4:$I$9))</f>
        <v/>
      </c>
      <c r="R75" s="188" t="str">
        <f>IF(ISERROR(getgrade(Broadsheet!R186,data!$H$4:$I$9)),"#",getgrade(Broadsheet!R186,data!$H$4:$I$9))</f>
        <v/>
      </c>
      <c r="S75" s="188" t="str">
        <f>IF(ISERROR(getgrade(Broadsheet!S186,data!$H$4:$I$9)),"#",getgrade(Broadsheet!S186,data!$H$4:$I$9))</f>
        <v/>
      </c>
      <c r="T75" s="188" t="str">
        <f>IF(ISERROR(getgrade(Broadsheet!T186,data!$H$4:$I$9)),"#",getgrade(Broadsheet!T186,data!$H$4:$I$9))</f>
        <v/>
      </c>
      <c r="U75" s="188" t="str">
        <f>IF(ISERROR(getgrade(Broadsheet!U186,data!$H$4:$I$9)),"#",getgrade(Broadsheet!U186,data!$H$4:$I$9))</f>
        <v/>
      </c>
      <c r="V75" s="188" t="str">
        <f>IF(ISERROR(getgrade(Broadsheet!V186,data!$H$4:$I$9)),"#",getgrade(Broadsheet!V186,data!$H$4:$I$9))</f>
        <v/>
      </c>
      <c r="W75" s="188" t="str">
        <f>IF(ISERROR(getgrade(Broadsheet!W186,data!$H$4:$I$9)),"#",getgrade(Broadsheet!W186,data!$H$4:$I$9))</f>
        <v/>
      </c>
      <c r="X75" s="188" t="str">
        <f>IF(ISERROR(getgrade(Broadsheet!X186,data!$H$4:$I$9)),"#",getgrade(Broadsheet!X186,data!$H$4:$I$9))</f>
        <v/>
      </c>
      <c r="Y75" s="188" t="str">
        <f>IF(ISERROR(getgrade(Broadsheet!Y186,data!$H$4:$I$9)),"#",getgrade(Broadsheet!Y186,data!$H$4:$I$9))</f>
        <v/>
      </c>
      <c r="Z75" s="188" t="str">
        <f>IF(ISERROR(getgrade(Broadsheet!Z186,data!$H$4:$I$9)),"#",getgrade(Broadsheet!Z186,data!$H$4:$I$9))</f>
        <v/>
      </c>
      <c r="AA75" s="188" t="str">
        <f>IF(ISERROR(getgrade(Broadsheet!AA186,data!$H$4:$I$9)),"#",getgrade(Broadsheet!AA186,data!$H$4:$I$9))</f>
        <v/>
      </c>
      <c r="AB75" s="188" t="str">
        <f>IF(ISERROR(getgrade(Broadsheet!AB186,data!$H$4:$I$9)),"#",getgrade(Broadsheet!AB186,data!$H$4:$I$9))</f>
        <v/>
      </c>
      <c r="AC75" s="188" t="str">
        <f>IF(ISERROR(getgrade(Broadsheet!AC186,data!$H$4:$I$9)),"#",getgrade(Broadsheet!AC186,data!$H$4:$I$9))</f>
        <v/>
      </c>
      <c r="AD75" s="188" t="str">
        <f>IF(ISERROR(getgrade(Broadsheet!AD186,data!$H$4:$I$9)),"#",getgrade(Broadsheet!AD186,data!$H$4:$I$9))</f>
        <v/>
      </c>
      <c r="AE75" s="188" t="str">
        <f>IF(ISERROR(getgrade(Broadsheet!AE186,data!$H$4:$I$9)),"#",getgrade(Broadsheet!AE186,data!$H$4:$I$9))</f>
        <v/>
      </c>
      <c r="AF75" s="188" t="str">
        <f>IF(ISERROR(getgrade(Broadsheet!AF186,data!$H$4:$I$9)),"#",getgrade(Broadsheet!AF186,data!$H$4:$I$9))</f>
        <v/>
      </c>
      <c r="AG75" s="188" t="str">
        <f>IF(ISERROR(getgrade(Broadsheet!AG186,data!$H$4:$I$9)),"#",getgrade(Broadsheet!AG186,data!$H$4:$I$9))</f>
        <v/>
      </c>
      <c r="AH75" s="188" t="str">
        <f>IF(ISERROR(getgrade(Broadsheet!AH186,data!$H$4:$I$9)),"#",getgrade(Broadsheet!AH186,data!$H$4:$I$9))</f>
        <v/>
      </c>
      <c r="AI75" s="188" t="str">
        <f>IF(ISERROR(getgrade(Broadsheet!AI186,data!$H$4:$I$9)),"#",getgrade(Broadsheet!AI186,data!$H$4:$I$9))</f>
        <v/>
      </c>
      <c r="AJ75" s="188" t="str">
        <f>IF(ISERROR(getgrade(Broadsheet!AJ186,data!$H$4:$I$9)),"#",getgrade(Broadsheet!AJ186,data!$H$4:$I$9))</f>
        <v/>
      </c>
      <c r="AK75" s="188" t="str">
        <f>IF(ISERROR(getgrade(Broadsheet!AK186,data!$H$4:$I$9)),"#",getgrade(Broadsheet!AK186,data!$H$4:$I$9))</f>
        <v/>
      </c>
      <c r="AL75" s="188" t="str">
        <f>IF(ISERROR(getgrade(Broadsheet!AL186,data!$H$4:$I$9)),"#",getgrade(Broadsheet!AL186,data!$H$4:$I$9))</f>
        <v/>
      </c>
      <c r="AM75" s="188" t="str">
        <f>IF(ISERROR(getgrade(Broadsheet!AM186,data!$H$4:$I$9)),"#",getgrade(Broadsheet!AM186,data!$H$4:$I$9))</f>
        <v/>
      </c>
      <c r="AN75" s="188" t="str">
        <f>IF(ISERROR(getgrade(Broadsheet!AN186,data!$H$4:$I$9)),"#",getgrade(Broadsheet!AN186,data!$H$4:$I$9))</f>
        <v/>
      </c>
      <c r="AO75" s="188" t="str">
        <f>IF(ISERROR(getgrade(Broadsheet!AO186,data!$H$4:$I$9)),"#",getgrade(Broadsheet!AO186,data!$H$4:$I$9))</f>
        <v/>
      </c>
      <c r="AP75" s="188" t="str">
        <f>IF(ISERROR(getgrade(Broadsheet!AP186,data!$H$4:$I$9)),"#",getgrade(Broadsheet!AP186,data!$H$4:$I$9))</f>
        <v/>
      </c>
      <c r="AQ75" s="188" t="str">
        <f>IF(ISERROR(getgrade(Broadsheet!AQ186,data!$H$4:$I$9)),"#",getgrade(Broadsheet!AQ186,data!$H$4:$I$9))</f>
        <v/>
      </c>
      <c r="AR75" s="188" t="str">
        <f>IF(ISERROR(getgrade(Broadsheet!AR186,data!$H$4:$I$9)),"#",getgrade(Broadsheet!AR186,data!$H$4:$I$9))</f>
        <v/>
      </c>
      <c r="AS75" s="188" t="str">
        <f>IF(ISERROR(getgrade(Broadsheet!AS186,data!$H$4:$I$9)),"#",getgrade(Broadsheet!AS186,data!$H$4:$I$9))</f>
        <v/>
      </c>
      <c r="AT75" s="188" t="str">
        <f>IF(ISERROR(getgrade(Broadsheet!AT186,data!$H$4:$I$9)),"#",getgrade(Broadsheet!AT186,data!$H$4:$I$9))</f>
        <v/>
      </c>
      <c r="AU75" s="188" t="str">
        <f>IF(ISERROR(getgrade(Broadsheet!AU186,data!$H$4:$I$9)),"#",getgrade(Broadsheet!AU186,data!$H$4:$I$9))</f>
        <v/>
      </c>
      <c r="AV75" s="188" t="str">
        <f>IF(ISERROR(getgrade(Broadsheet!AV186,data!$H$4:$I$9)),"#",getgrade(Broadsheet!AV186,data!$H$4:$I$9))</f>
        <v/>
      </c>
      <c r="AW75" s="188" t="str">
        <f>IF(ISERROR(getgrade(Broadsheet!AW186,data!$H$4:$I$9)),"#",getgrade(Broadsheet!AW186,data!$H$4:$I$9))</f>
        <v/>
      </c>
      <c r="AX75" s="188" t="str">
        <f>IF(ISERROR(getgrade(Broadsheet!AX186,data!$H$4:$I$9)),"#",getgrade(Broadsheet!AX186,data!$H$4:$I$9))</f>
        <v/>
      </c>
      <c r="AY75" s="188" t="str">
        <f>IF(ISERROR(getgrade(Broadsheet!AY186,data!$H$4:$I$9)),"#",getgrade(Broadsheet!AY186,data!$H$4:$I$9))</f>
        <v/>
      </c>
      <c r="AZ75" s="188" t="str">
        <f>IF(ISERROR(getgrade(Broadsheet!AZ186,data!$H$4:$I$9)),"#",getgrade(Broadsheet!AZ186,data!$H$4:$I$9))</f>
        <v/>
      </c>
      <c r="BA75" s="188" t="str">
        <f>IF(ISERROR(getgrade(Broadsheet!BA186,data!$H$4:$I$9)),"#",getgrade(Broadsheet!BA186,data!$H$4:$I$9))</f>
        <v/>
      </c>
      <c r="BB75" s="188" t="str">
        <f>IF(ISERROR(getgrade(Broadsheet!BB186,data!$H$4:$I$9)),"#",getgrade(Broadsheet!BB186,data!$H$4:$I$9))</f>
        <v/>
      </c>
      <c r="BC75" s="188" t="str">
        <f>IF(ISERROR(getgrade(Broadsheet!BC186,data!$H$4:$I$9)),"#",getgrade(Broadsheet!BC186,data!$H$4:$I$9))</f>
        <v/>
      </c>
      <c r="BD75" s="188" t="str">
        <f>IF(ISERROR(getgrade(Broadsheet!BD186,data!$H$4:$I$9)),"#",getgrade(Broadsheet!BD186,data!$H$4:$I$9))</f>
        <v/>
      </c>
      <c r="BE75" s="188" t="str">
        <f>IF(ISERROR(getgrade(Broadsheet!BE186,data!$H$4:$I$9)),"#",getgrade(Broadsheet!BE186,data!$H$4:$I$9))</f>
        <v/>
      </c>
      <c r="BF75" s="188" t="str">
        <f>IF(ISERROR(getgrade(Broadsheet!BF186,data!$H$4:$I$9)),"#",getgrade(Broadsheet!BF186,data!$H$4:$I$9))</f>
        <v/>
      </c>
      <c r="BG75" s="188" t="str">
        <f>IF(ISERROR(getgrade(Broadsheet!BG186,data!$H$4:$I$9)),"#",getgrade(Broadsheet!BG186,data!$H$4:$I$9))</f>
        <v/>
      </c>
      <c r="BH75" s="188" t="str">
        <f>IF(ISERROR(getgrade(Broadsheet!BH186,data!$H$4:$I$9)),"#",getgrade(Broadsheet!BH186,data!$H$4:$I$9))</f>
        <v/>
      </c>
      <c r="BI75" s="188" t="str">
        <f>IF(ISERROR(getgrade(Broadsheet!BI186,data!$H$4:$I$9)),"#",getgrade(Broadsheet!BI186,data!$H$4:$I$9))</f>
        <v/>
      </c>
      <c r="BJ75" s="188" t="str">
        <f>IF(ISERROR(getgrade(Broadsheet!BJ186,data!$H$4:$I$9)),"#",getgrade(Broadsheet!BJ186,data!$H$4:$I$9))</f>
        <v/>
      </c>
      <c r="BK75" s="188"/>
      <c r="BL75" s="188"/>
      <c r="BM75" s="188"/>
      <c r="BN75" s="188"/>
      <c r="BO75" s="188"/>
      <c r="BP75" s="188"/>
      <c r="BQ75" s="188"/>
      <c r="BR75" s="188"/>
      <c r="BS75" s="188"/>
      <c r="BT75" s="188"/>
      <c r="BU75" s="188"/>
      <c r="BV75" s="188"/>
      <c r="BW75" s="188"/>
      <c r="BX75" s="188"/>
      <c r="BY75" s="188"/>
      <c r="BZ75" s="188"/>
      <c r="CA75" s="188"/>
      <c r="CB75" s="188"/>
      <c r="CC75" s="188"/>
      <c r="CD75" s="188"/>
      <c r="CE75" s="188"/>
      <c r="CF75" s="188"/>
      <c r="CG75" s="188"/>
      <c r="CH75" s="188"/>
      <c r="CI75" s="188"/>
      <c r="CJ75" s="188"/>
      <c r="CK75" s="188"/>
      <c r="CL75" s="188"/>
      <c r="CM75" s="188"/>
      <c r="CN75" s="188"/>
      <c r="CO75" s="188"/>
      <c r="CP75" s="188"/>
      <c r="CQ75" s="188"/>
      <c r="CR75" s="188"/>
      <c r="CS75" s="188"/>
      <c r="CT75" s="188"/>
      <c r="CU75" s="188"/>
      <c r="CV75" s="188"/>
      <c r="CW75" s="188"/>
      <c r="CX75" s="188"/>
      <c r="CY75" s="188"/>
      <c r="CZ75" s="188"/>
      <c r="DA75" s="188"/>
      <c r="DB75" s="188"/>
      <c r="DC75" s="188"/>
      <c r="DD75" s="188"/>
      <c r="DE75" s="188"/>
      <c r="DF75" s="188"/>
      <c r="DG75" s="188"/>
      <c r="DH75" s="188"/>
      <c r="DI75" s="188"/>
      <c r="DJ75" s="188"/>
      <c r="DK75" s="188"/>
      <c r="DL75" s="188"/>
      <c r="DM75" s="188"/>
      <c r="DN75" s="188"/>
      <c r="DO75" s="188"/>
      <c r="DP75" s="188"/>
      <c r="DQ75" s="188"/>
      <c r="DR75" s="188"/>
      <c r="DS75" s="188"/>
      <c r="DT75" s="188"/>
      <c r="DU75" s="188"/>
      <c r="DV75" s="188"/>
      <c r="DW75" s="188"/>
      <c r="DX75" s="188"/>
      <c r="DY75" s="188"/>
      <c r="DZ75" s="188"/>
      <c r="EA75" s="188"/>
    </row>
    <row r="76" spans="1:131" ht="15.75" x14ac:dyDescent="0.25">
      <c r="A76" s="12">
        <f>Broadsheet!A187</f>
        <v>0</v>
      </c>
      <c r="B76" s="204" t="str">
        <f>IF(Broadsheet!B76="","",Broadsheet!B76)</f>
        <v/>
      </c>
      <c r="C76" s="24" t="str">
        <f>IF(Broadsheet!C76="","",Broadsheet!C76)</f>
        <v xml:space="preserve"> </v>
      </c>
      <c r="G76" s="24" t="str">
        <f t="shared" ref="G76:G139" si="1">IF(H76&lt;&gt;"", $H$7 &amp; "/" &amp; $H$9 &amp; "/" &amp; H76 &amp; ", ","") &amp; IF(I76&lt;&gt;"", $I$7 &amp; "/" &amp; $I$9 &amp; "/" &amp; I76 &amp; ", ","") &amp; IF(J76&lt;&gt;"", $J$7 &amp; "/" &amp; $J$9 &amp; "/" &amp; J76 &amp; ", ","") &amp; IF(K76&lt;&gt;"", $K$7 &amp; "/" &amp; $K$9 &amp; "/" &amp; K76 &amp; ", ","") &amp; IF(L76&lt;&gt;"", $L$7 &amp; "/" &amp; $L$9 &amp; "/" &amp; L76 &amp; ", ","") &amp; IF(M76&lt;&gt;"", $M$7 &amp; "/" &amp; $M$9 &amp; "/" &amp; M76 &amp; ", ","") &amp; IF(N76&lt;&gt;"", $N$7 &amp; "/" &amp; $N$9 &amp; "/" &amp; N76 &amp; ", ","") &amp; IF(O76&lt;&gt;"", $O$7 &amp; "/" &amp; $O$9 &amp; "/" &amp; O76 &amp; ", ","") &amp; IF(P76&lt;&gt;"", $P$7 &amp; "/" &amp; $P$9 &amp; "/" &amp; P76 &amp; ", ","") &amp; IF(Q76&lt;&gt;"", $Q$7 &amp; "/" &amp; $Q$9 &amp; "/" &amp; Q76 &amp; ", ","") &amp; IF(R76&lt;&gt;"", $R$7 &amp; "/" &amp; $R$9 &amp; "/" &amp; R76 &amp; ", ","") &amp; IF(S76&lt;&gt;"", $S$7 &amp; "/" &amp; $S$9 &amp; "/" &amp; S76 &amp; ", ","") &amp; IF(T76&lt;&gt;"", $T$7 &amp; "/" &amp; $T$9 &amp; "/" &amp; T76 &amp; ", ","") &amp; IF(AY76&lt;&gt;"", $AY$7 &amp; "/" &amp; $AY$9 &amp; "/" &amp; AY76 &amp; ", ","") &amp; IF(AZ76&lt;&gt;"", $AZ$7 &amp; "/" &amp; $AZ$9 &amp; "/" &amp; AZ76 &amp; ", ","") &amp; IF(BA76&lt;&gt;"", $BA$7 &amp; "/" &amp; $BA$9 &amp; "/" &amp; BA76 &amp; ", ","") &amp; IF(BB76&lt;&gt;"", $BB$7 &amp; "/" &amp; $BB$9 &amp; "/" &amp; BB76 &amp; ", ","") &amp; IF(BC76&lt;&gt;"", $BC$7 &amp; "/" &amp; $BC$9 &amp; "/" &amp; BC76 &amp; ", ","") &amp; IF(BD76&lt;&gt;"", $BD$7 &amp; "/" &amp; $BD$9 &amp; "/" &amp; BD76 &amp; ", ","") &amp; IF(BE76&lt;&gt;"", $BE$7 &amp; "/" &amp; $BE$9 &amp; "/" &amp; BE76 &amp; ", ","") &amp; IF(BF76&lt;&gt;"", $BF$7 &amp; "/" &amp; $BF$9 &amp; "/" &amp; BF76 &amp; ", ","") &amp; IF(BG76&lt;&gt;"", $BG$7 &amp; "/" &amp; $BG$9 &amp; "/" &amp; BG76 &amp; ", ","") &amp; IF(BH76&lt;&gt;"", $BH$7 &amp; "/" &amp; $BH$9 &amp; "/" &amp; BH76 &amp; ", ","") &amp; IF(BI76&lt;&gt;"", $BI$7 &amp; "/" &amp; $BI$9 &amp; "/" &amp; BI76 &amp; ", ","") &amp; IF(BJ76&lt;&gt;"", $BJ$7 &amp; "/" &amp; $BJ$9 &amp; "/" &amp; BJ76 &amp; ", ","")</f>
        <v/>
      </c>
      <c r="H76" s="188" t="str">
        <f>IF(ISERROR(getgrade(Broadsheet!H187,data!$H$4:$I$9)),"#",getgrade(Broadsheet!H187,data!$H$4:$I$9))</f>
        <v/>
      </c>
      <c r="I76" s="188" t="str">
        <f>IF(ISERROR(getgrade(Broadsheet!I187,data!$H$4:$I$9)),"#",getgrade(Broadsheet!I187,data!$H$4:$I$9))</f>
        <v/>
      </c>
      <c r="J76" s="188" t="str">
        <f>IF(ISERROR(getgrade(Broadsheet!J187,data!$H$4:$I$9)),"#",getgrade(Broadsheet!J187,data!$H$4:$I$9))</f>
        <v/>
      </c>
      <c r="K76" s="188" t="str">
        <f>IF(ISERROR(getgrade(Broadsheet!K187,data!$H$4:$I$9)),"#",getgrade(Broadsheet!K187,data!$H$4:$I$9))</f>
        <v/>
      </c>
      <c r="L76" s="188" t="str">
        <f>IF(ISERROR(getgrade(Broadsheet!L187,data!$H$4:$I$9)),"#",getgrade(Broadsheet!L187,data!$H$4:$I$9))</f>
        <v/>
      </c>
      <c r="M76" s="188" t="str">
        <f>IF(ISERROR(getgrade(Broadsheet!M187,data!$H$4:$I$9)),"#",getgrade(Broadsheet!M187,data!$H$4:$I$9))</f>
        <v/>
      </c>
      <c r="N76" s="188" t="str">
        <f>IF(ISERROR(getgrade(Broadsheet!N187,data!$H$4:$I$9)),"#",getgrade(Broadsheet!N187,data!$H$4:$I$9))</f>
        <v/>
      </c>
      <c r="O76" s="188" t="str">
        <f>IF(ISERROR(getgrade(Broadsheet!O187,data!$H$4:$I$9)),"#",getgrade(Broadsheet!O187,data!$H$4:$I$9))</f>
        <v/>
      </c>
      <c r="P76" s="188" t="str">
        <f>IF(ISERROR(getgrade(Broadsheet!P187,data!$H$4:$I$9)),"#",getgrade(Broadsheet!P187,data!$H$4:$I$9))</f>
        <v/>
      </c>
      <c r="Q76" s="188" t="str">
        <f>IF(ISERROR(getgrade(Broadsheet!Q187,data!$H$4:$I$9)),"#",getgrade(Broadsheet!Q187,data!$H$4:$I$9))</f>
        <v/>
      </c>
      <c r="R76" s="188" t="str">
        <f>IF(ISERROR(getgrade(Broadsheet!R187,data!$H$4:$I$9)),"#",getgrade(Broadsheet!R187,data!$H$4:$I$9))</f>
        <v/>
      </c>
      <c r="S76" s="188" t="str">
        <f>IF(ISERROR(getgrade(Broadsheet!S187,data!$H$4:$I$9)),"#",getgrade(Broadsheet!S187,data!$H$4:$I$9))</f>
        <v/>
      </c>
      <c r="T76" s="188" t="str">
        <f>IF(ISERROR(getgrade(Broadsheet!T187,data!$H$4:$I$9)),"#",getgrade(Broadsheet!T187,data!$H$4:$I$9))</f>
        <v/>
      </c>
      <c r="U76" s="188" t="str">
        <f>IF(ISERROR(getgrade(Broadsheet!U187,data!$H$4:$I$9)),"#",getgrade(Broadsheet!U187,data!$H$4:$I$9))</f>
        <v/>
      </c>
      <c r="V76" s="188" t="str">
        <f>IF(ISERROR(getgrade(Broadsheet!V187,data!$H$4:$I$9)),"#",getgrade(Broadsheet!V187,data!$H$4:$I$9))</f>
        <v/>
      </c>
      <c r="W76" s="188" t="str">
        <f>IF(ISERROR(getgrade(Broadsheet!W187,data!$H$4:$I$9)),"#",getgrade(Broadsheet!W187,data!$H$4:$I$9))</f>
        <v/>
      </c>
      <c r="X76" s="188" t="str">
        <f>IF(ISERROR(getgrade(Broadsheet!X187,data!$H$4:$I$9)),"#",getgrade(Broadsheet!X187,data!$H$4:$I$9))</f>
        <v/>
      </c>
      <c r="Y76" s="188" t="str">
        <f>IF(ISERROR(getgrade(Broadsheet!Y187,data!$H$4:$I$9)),"#",getgrade(Broadsheet!Y187,data!$H$4:$I$9))</f>
        <v/>
      </c>
      <c r="Z76" s="188" t="str">
        <f>IF(ISERROR(getgrade(Broadsheet!Z187,data!$H$4:$I$9)),"#",getgrade(Broadsheet!Z187,data!$H$4:$I$9))</f>
        <v/>
      </c>
      <c r="AA76" s="188" t="str">
        <f>IF(ISERROR(getgrade(Broadsheet!AA187,data!$H$4:$I$9)),"#",getgrade(Broadsheet!AA187,data!$H$4:$I$9))</f>
        <v/>
      </c>
      <c r="AB76" s="188" t="str">
        <f>IF(ISERROR(getgrade(Broadsheet!AB187,data!$H$4:$I$9)),"#",getgrade(Broadsheet!AB187,data!$H$4:$I$9))</f>
        <v/>
      </c>
      <c r="AC76" s="188" t="str">
        <f>IF(ISERROR(getgrade(Broadsheet!AC187,data!$H$4:$I$9)),"#",getgrade(Broadsheet!AC187,data!$H$4:$I$9))</f>
        <v/>
      </c>
      <c r="AD76" s="188" t="str">
        <f>IF(ISERROR(getgrade(Broadsheet!AD187,data!$H$4:$I$9)),"#",getgrade(Broadsheet!AD187,data!$H$4:$I$9))</f>
        <v/>
      </c>
      <c r="AE76" s="188" t="str">
        <f>IF(ISERROR(getgrade(Broadsheet!AE187,data!$H$4:$I$9)),"#",getgrade(Broadsheet!AE187,data!$H$4:$I$9))</f>
        <v/>
      </c>
      <c r="AF76" s="188" t="str">
        <f>IF(ISERROR(getgrade(Broadsheet!AF187,data!$H$4:$I$9)),"#",getgrade(Broadsheet!AF187,data!$H$4:$I$9))</f>
        <v/>
      </c>
      <c r="AG76" s="188" t="str">
        <f>IF(ISERROR(getgrade(Broadsheet!AG187,data!$H$4:$I$9)),"#",getgrade(Broadsheet!AG187,data!$H$4:$I$9))</f>
        <v/>
      </c>
      <c r="AH76" s="188" t="str">
        <f>IF(ISERROR(getgrade(Broadsheet!AH187,data!$H$4:$I$9)),"#",getgrade(Broadsheet!AH187,data!$H$4:$I$9))</f>
        <v/>
      </c>
      <c r="AI76" s="188" t="str">
        <f>IF(ISERROR(getgrade(Broadsheet!AI187,data!$H$4:$I$9)),"#",getgrade(Broadsheet!AI187,data!$H$4:$I$9))</f>
        <v/>
      </c>
      <c r="AJ76" s="188" t="str">
        <f>IF(ISERROR(getgrade(Broadsheet!AJ187,data!$H$4:$I$9)),"#",getgrade(Broadsheet!AJ187,data!$H$4:$I$9))</f>
        <v/>
      </c>
      <c r="AK76" s="188" t="str">
        <f>IF(ISERROR(getgrade(Broadsheet!AK187,data!$H$4:$I$9)),"#",getgrade(Broadsheet!AK187,data!$H$4:$I$9))</f>
        <v/>
      </c>
      <c r="AL76" s="188" t="str">
        <f>IF(ISERROR(getgrade(Broadsheet!AL187,data!$H$4:$I$9)),"#",getgrade(Broadsheet!AL187,data!$H$4:$I$9))</f>
        <v/>
      </c>
      <c r="AM76" s="188" t="str">
        <f>IF(ISERROR(getgrade(Broadsheet!AM187,data!$H$4:$I$9)),"#",getgrade(Broadsheet!AM187,data!$H$4:$I$9))</f>
        <v/>
      </c>
      <c r="AN76" s="188" t="str">
        <f>IF(ISERROR(getgrade(Broadsheet!AN187,data!$H$4:$I$9)),"#",getgrade(Broadsheet!AN187,data!$H$4:$I$9))</f>
        <v/>
      </c>
      <c r="AO76" s="188" t="str">
        <f>IF(ISERROR(getgrade(Broadsheet!AO187,data!$H$4:$I$9)),"#",getgrade(Broadsheet!AO187,data!$H$4:$I$9))</f>
        <v/>
      </c>
      <c r="AP76" s="188" t="str">
        <f>IF(ISERROR(getgrade(Broadsheet!AP187,data!$H$4:$I$9)),"#",getgrade(Broadsheet!AP187,data!$H$4:$I$9))</f>
        <v/>
      </c>
      <c r="AQ76" s="188" t="str">
        <f>IF(ISERROR(getgrade(Broadsheet!AQ187,data!$H$4:$I$9)),"#",getgrade(Broadsheet!AQ187,data!$H$4:$I$9))</f>
        <v/>
      </c>
      <c r="AR76" s="188" t="str">
        <f>IF(ISERROR(getgrade(Broadsheet!AR187,data!$H$4:$I$9)),"#",getgrade(Broadsheet!AR187,data!$H$4:$I$9))</f>
        <v/>
      </c>
      <c r="AS76" s="188" t="str">
        <f>IF(ISERROR(getgrade(Broadsheet!AS187,data!$H$4:$I$9)),"#",getgrade(Broadsheet!AS187,data!$H$4:$I$9))</f>
        <v/>
      </c>
      <c r="AT76" s="188" t="str">
        <f>IF(ISERROR(getgrade(Broadsheet!AT187,data!$H$4:$I$9)),"#",getgrade(Broadsheet!AT187,data!$H$4:$I$9))</f>
        <v/>
      </c>
      <c r="AU76" s="188" t="str">
        <f>IF(ISERROR(getgrade(Broadsheet!AU187,data!$H$4:$I$9)),"#",getgrade(Broadsheet!AU187,data!$H$4:$I$9))</f>
        <v/>
      </c>
      <c r="AV76" s="188" t="str">
        <f>IF(ISERROR(getgrade(Broadsheet!AV187,data!$H$4:$I$9)),"#",getgrade(Broadsheet!AV187,data!$H$4:$I$9))</f>
        <v/>
      </c>
      <c r="AW76" s="188" t="str">
        <f>IF(ISERROR(getgrade(Broadsheet!AW187,data!$H$4:$I$9)),"#",getgrade(Broadsheet!AW187,data!$H$4:$I$9))</f>
        <v/>
      </c>
      <c r="AX76" s="188" t="str">
        <f>IF(ISERROR(getgrade(Broadsheet!AX187,data!$H$4:$I$9)),"#",getgrade(Broadsheet!AX187,data!$H$4:$I$9))</f>
        <v/>
      </c>
      <c r="AY76" s="188" t="str">
        <f>IF(ISERROR(getgrade(Broadsheet!AY187,data!$H$4:$I$9)),"#",getgrade(Broadsheet!AY187,data!$H$4:$I$9))</f>
        <v/>
      </c>
      <c r="AZ76" s="188" t="str">
        <f>IF(ISERROR(getgrade(Broadsheet!AZ187,data!$H$4:$I$9)),"#",getgrade(Broadsheet!AZ187,data!$H$4:$I$9))</f>
        <v/>
      </c>
      <c r="BA76" s="188" t="str">
        <f>IF(ISERROR(getgrade(Broadsheet!BA187,data!$H$4:$I$9)),"#",getgrade(Broadsheet!BA187,data!$H$4:$I$9))</f>
        <v/>
      </c>
      <c r="BB76" s="188" t="str">
        <f>IF(ISERROR(getgrade(Broadsheet!BB187,data!$H$4:$I$9)),"#",getgrade(Broadsheet!BB187,data!$H$4:$I$9))</f>
        <v/>
      </c>
      <c r="BC76" s="188" t="str">
        <f>IF(ISERROR(getgrade(Broadsheet!BC187,data!$H$4:$I$9)),"#",getgrade(Broadsheet!BC187,data!$H$4:$I$9))</f>
        <v/>
      </c>
      <c r="BD76" s="188" t="str">
        <f>IF(ISERROR(getgrade(Broadsheet!BD187,data!$H$4:$I$9)),"#",getgrade(Broadsheet!BD187,data!$H$4:$I$9))</f>
        <v/>
      </c>
      <c r="BE76" s="188" t="str">
        <f>IF(ISERROR(getgrade(Broadsheet!BE187,data!$H$4:$I$9)),"#",getgrade(Broadsheet!BE187,data!$H$4:$I$9))</f>
        <v/>
      </c>
      <c r="BF76" s="188" t="str">
        <f>IF(ISERROR(getgrade(Broadsheet!BF187,data!$H$4:$I$9)),"#",getgrade(Broadsheet!BF187,data!$H$4:$I$9))</f>
        <v/>
      </c>
      <c r="BG76" s="188" t="str">
        <f>IF(ISERROR(getgrade(Broadsheet!BG187,data!$H$4:$I$9)),"#",getgrade(Broadsheet!BG187,data!$H$4:$I$9))</f>
        <v/>
      </c>
      <c r="BH76" s="188" t="str">
        <f>IF(ISERROR(getgrade(Broadsheet!BH187,data!$H$4:$I$9)),"#",getgrade(Broadsheet!BH187,data!$H$4:$I$9))</f>
        <v/>
      </c>
      <c r="BI76" s="188" t="str">
        <f>IF(ISERROR(getgrade(Broadsheet!BI187,data!$H$4:$I$9)),"#",getgrade(Broadsheet!BI187,data!$H$4:$I$9))</f>
        <v/>
      </c>
      <c r="BJ76" s="188" t="str">
        <f>IF(ISERROR(getgrade(Broadsheet!BJ187,data!$H$4:$I$9)),"#",getgrade(Broadsheet!BJ187,data!$H$4:$I$9))</f>
        <v/>
      </c>
      <c r="BK76" s="188"/>
      <c r="BL76" s="188"/>
      <c r="BM76" s="188"/>
      <c r="BN76" s="188"/>
      <c r="BO76" s="188"/>
      <c r="BP76" s="188"/>
      <c r="BQ76" s="188"/>
      <c r="BR76" s="188"/>
      <c r="BS76" s="188"/>
      <c r="BT76" s="188"/>
      <c r="BU76" s="188"/>
      <c r="BV76" s="188"/>
      <c r="BW76" s="188"/>
      <c r="BX76" s="188"/>
      <c r="BY76" s="188"/>
      <c r="BZ76" s="188"/>
      <c r="CA76" s="188"/>
      <c r="CB76" s="188"/>
      <c r="CC76" s="188"/>
      <c r="CD76" s="188"/>
      <c r="CE76" s="188"/>
      <c r="CF76" s="188"/>
      <c r="CG76" s="188"/>
      <c r="CH76" s="188"/>
      <c r="CI76" s="188"/>
      <c r="CJ76" s="188"/>
      <c r="CK76" s="188"/>
      <c r="CL76" s="188"/>
      <c r="CM76" s="188"/>
      <c r="CN76" s="188"/>
      <c r="CO76" s="188"/>
      <c r="CP76" s="188"/>
      <c r="CQ76" s="188"/>
      <c r="CR76" s="188"/>
      <c r="CS76" s="188"/>
      <c r="CT76" s="188"/>
      <c r="CU76" s="188"/>
      <c r="CV76" s="188"/>
      <c r="CW76" s="188"/>
      <c r="CX76" s="188"/>
      <c r="CY76" s="188"/>
      <c r="CZ76" s="188"/>
      <c r="DA76" s="188"/>
      <c r="DB76" s="188"/>
      <c r="DC76" s="188"/>
      <c r="DD76" s="188"/>
      <c r="DE76" s="188"/>
      <c r="DF76" s="188"/>
      <c r="DG76" s="188"/>
      <c r="DH76" s="188"/>
      <c r="DI76" s="188"/>
      <c r="DJ76" s="188"/>
      <c r="DK76" s="188"/>
      <c r="DL76" s="188"/>
      <c r="DM76" s="188"/>
      <c r="DN76" s="188"/>
      <c r="DO76" s="188"/>
      <c r="DP76" s="188"/>
      <c r="DQ76" s="188"/>
      <c r="DR76" s="188"/>
      <c r="DS76" s="188"/>
      <c r="DT76" s="188"/>
      <c r="DU76" s="188"/>
      <c r="DV76" s="188"/>
      <c r="DW76" s="188"/>
      <c r="DX76" s="188"/>
      <c r="DY76" s="188"/>
      <c r="DZ76" s="188"/>
      <c r="EA76" s="188"/>
    </row>
    <row r="77" spans="1:131" ht="15.75" x14ac:dyDescent="0.25">
      <c r="A77" s="12">
        <f>Broadsheet!A188</f>
        <v>0</v>
      </c>
      <c r="B77" s="204" t="str">
        <f>IF(Broadsheet!B77="","",Broadsheet!B77)</f>
        <v/>
      </c>
      <c r="C77" s="24" t="str">
        <f>IF(Broadsheet!C77="","",Broadsheet!C77)</f>
        <v xml:space="preserve"> </v>
      </c>
      <c r="G77" s="24" t="str">
        <f t="shared" si="1"/>
        <v/>
      </c>
      <c r="H77" s="188" t="str">
        <f>IF(ISERROR(getgrade(Broadsheet!H188,data!$H$4:$I$9)),"#",getgrade(Broadsheet!H188,data!$H$4:$I$9))</f>
        <v/>
      </c>
      <c r="I77" s="188" t="str">
        <f>IF(ISERROR(getgrade(Broadsheet!I188,data!$H$4:$I$9)),"#",getgrade(Broadsheet!I188,data!$H$4:$I$9))</f>
        <v/>
      </c>
      <c r="J77" s="188" t="str">
        <f>IF(ISERROR(getgrade(Broadsheet!J188,data!$H$4:$I$9)),"#",getgrade(Broadsheet!J188,data!$H$4:$I$9))</f>
        <v/>
      </c>
      <c r="K77" s="188" t="str">
        <f>IF(ISERROR(getgrade(Broadsheet!K188,data!$H$4:$I$9)),"#",getgrade(Broadsheet!K188,data!$H$4:$I$9))</f>
        <v/>
      </c>
      <c r="L77" s="188" t="str">
        <f>IF(ISERROR(getgrade(Broadsheet!L188,data!$H$4:$I$9)),"#",getgrade(Broadsheet!L188,data!$H$4:$I$9))</f>
        <v/>
      </c>
      <c r="M77" s="188" t="str">
        <f>IF(ISERROR(getgrade(Broadsheet!M188,data!$H$4:$I$9)),"#",getgrade(Broadsheet!M188,data!$H$4:$I$9))</f>
        <v/>
      </c>
      <c r="N77" s="188" t="str">
        <f>IF(ISERROR(getgrade(Broadsheet!N188,data!$H$4:$I$9)),"#",getgrade(Broadsheet!N188,data!$H$4:$I$9))</f>
        <v/>
      </c>
      <c r="O77" s="188" t="str">
        <f>IF(ISERROR(getgrade(Broadsheet!O188,data!$H$4:$I$9)),"#",getgrade(Broadsheet!O188,data!$H$4:$I$9))</f>
        <v/>
      </c>
      <c r="P77" s="188" t="str">
        <f>IF(ISERROR(getgrade(Broadsheet!P188,data!$H$4:$I$9)),"#",getgrade(Broadsheet!P188,data!$H$4:$I$9))</f>
        <v/>
      </c>
      <c r="Q77" s="188" t="str">
        <f>IF(ISERROR(getgrade(Broadsheet!Q188,data!$H$4:$I$9)),"#",getgrade(Broadsheet!Q188,data!$H$4:$I$9))</f>
        <v/>
      </c>
      <c r="R77" s="188" t="str">
        <f>IF(ISERROR(getgrade(Broadsheet!R188,data!$H$4:$I$9)),"#",getgrade(Broadsheet!R188,data!$H$4:$I$9))</f>
        <v/>
      </c>
      <c r="S77" s="188" t="str">
        <f>IF(ISERROR(getgrade(Broadsheet!S188,data!$H$4:$I$9)),"#",getgrade(Broadsheet!S188,data!$H$4:$I$9))</f>
        <v/>
      </c>
      <c r="T77" s="188" t="str">
        <f>IF(ISERROR(getgrade(Broadsheet!T188,data!$H$4:$I$9)),"#",getgrade(Broadsheet!T188,data!$H$4:$I$9))</f>
        <v/>
      </c>
      <c r="U77" s="188" t="str">
        <f>IF(ISERROR(getgrade(Broadsheet!U188,data!$H$4:$I$9)),"#",getgrade(Broadsheet!U188,data!$H$4:$I$9))</f>
        <v/>
      </c>
      <c r="V77" s="188" t="str">
        <f>IF(ISERROR(getgrade(Broadsheet!V188,data!$H$4:$I$9)),"#",getgrade(Broadsheet!V188,data!$H$4:$I$9))</f>
        <v/>
      </c>
      <c r="W77" s="188" t="str">
        <f>IF(ISERROR(getgrade(Broadsheet!W188,data!$H$4:$I$9)),"#",getgrade(Broadsheet!W188,data!$H$4:$I$9))</f>
        <v/>
      </c>
      <c r="X77" s="188" t="str">
        <f>IF(ISERROR(getgrade(Broadsheet!X188,data!$H$4:$I$9)),"#",getgrade(Broadsheet!X188,data!$H$4:$I$9))</f>
        <v/>
      </c>
      <c r="Y77" s="188" t="str">
        <f>IF(ISERROR(getgrade(Broadsheet!Y188,data!$H$4:$I$9)),"#",getgrade(Broadsheet!Y188,data!$H$4:$I$9))</f>
        <v/>
      </c>
      <c r="Z77" s="188" t="str">
        <f>IF(ISERROR(getgrade(Broadsheet!Z188,data!$H$4:$I$9)),"#",getgrade(Broadsheet!Z188,data!$H$4:$I$9))</f>
        <v/>
      </c>
      <c r="AA77" s="188" t="str">
        <f>IF(ISERROR(getgrade(Broadsheet!AA188,data!$H$4:$I$9)),"#",getgrade(Broadsheet!AA188,data!$H$4:$I$9))</f>
        <v/>
      </c>
      <c r="AB77" s="188" t="str">
        <f>IF(ISERROR(getgrade(Broadsheet!AB188,data!$H$4:$I$9)),"#",getgrade(Broadsheet!AB188,data!$H$4:$I$9))</f>
        <v/>
      </c>
      <c r="AC77" s="188" t="str">
        <f>IF(ISERROR(getgrade(Broadsheet!AC188,data!$H$4:$I$9)),"#",getgrade(Broadsheet!AC188,data!$H$4:$I$9))</f>
        <v/>
      </c>
      <c r="AD77" s="188" t="str">
        <f>IF(ISERROR(getgrade(Broadsheet!AD188,data!$H$4:$I$9)),"#",getgrade(Broadsheet!AD188,data!$H$4:$I$9))</f>
        <v/>
      </c>
      <c r="AE77" s="188" t="str">
        <f>IF(ISERROR(getgrade(Broadsheet!AE188,data!$H$4:$I$9)),"#",getgrade(Broadsheet!AE188,data!$H$4:$I$9))</f>
        <v/>
      </c>
      <c r="AF77" s="188" t="str">
        <f>IF(ISERROR(getgrade(Broadsheet!AF188,data!$H$4:$I$9)),"#",getgrade(Broadsheet!AF188,data!$H$4:$I$9))</f>
        <v/>
      </c>
      <c r="AG77" s="188" t="str">
        <f>IF(ISERROR(getgrade(Broadsheet!AG188,data!$H$4:$I$9)),"#",getgrade(Broadsheet!AG188,data!$H$4:$I$9))</f>
        <v/>
      </c>
      <c r="AH77" s="188" t="str">
        <f>IF(ISERROR(getgrade(Broadsheet!AH188,data!$H$4:$I$9)),"#",getgrade(Broadsheet!AH188,data!$H$4:$I$9))</f>
        <v/>
      </c>
      <c r="AI77" s="188" t="str">
        <f>IF(ISERROR(getgrade(Broadsheet!AI188,data!$H$4:$I$9)),"#",getgrade(Broadsheet!AI188,data!$H$4:$I$9))</f>
        <v/>
      </c>
      <c r="AJ77" s="188" t="str">
        <f>IF(ISERROR(getgrade(Broadsheet!AJ188,data!$H$4:$I$9)),"#",getgrade(Broadsheet!AJ188,data!$H$4:$I$9))</f>
        <v/>
      </c>
      <c r="AK77" s="188" t="str">
        <f>IF(ISERROR(getgrade(Broadsheet!AK188,data!$H$4:$I$9)),"#",getgrade(Broadsheet!AK188,data!$H$4:$I$9))</f>
        <v/>
      </c>
      <c r="AL77" s="188" t="str">
        <f>IF(ISERROR(getgrade(Broadsheet!AL188,data!$H$4:$I$9)),"#",getgrade(Broadsheet!AL188,data!$H$4:$I$9))</f>
        <v/>
      </c>
      <c r="AM77" s="188" t="str">
        <f>IF(ISERROR(getgrade(Broadsheet!AM188,data!$H$4:$I$9)),"#",getgrade(Broadsheet!AM188,data!$H$4:$I$9))</f>
        <v/>
      </c>
      <c r="AN77" s="188" t="str">
        <f>IF(ISERROR(getgrade(Broadsheet!AN188,data!$H$4:$I$9)),"#",getgrade(Broadsheet!AN188,data!$H$4:$I$9))</f>
        <v/>
      </c>
      <c r="AO77" s="188" t="str">
        <f>IF(ISERROR(getgrade(Broadsheet!AO188,data!$H$4:$I$9)),"#",getgrade(Broadsheet!AO188,data!$H$4:$I$9))</f>
        <v/>
      </c>
      <c r="AP77" s="188" t="str">
        <f>IF(ISERROR(getgrade(Broadsheet!AP188,data!$H$4:$I$9)),"#",getgrade(Broadsheet!AP188,data!$H$4:$I$9))</f>
        <v/>
      </c>
      <c r="AQ77" s="188" t="str">
        <f>IF(ISERROR(getgrade(Broadsheet!AQ188,data!$H$4:$I$9)),"#",getgrade(Broadsheet!AQ188,data!$H$4:$I$9))</f>
        <v/>
      </c>
      <c r="AR77" s="188" t="str">
        <f>IF(ISERROR(getgrade(Broadsheet!AR188,data!$H$4:$I$9)),"#",getgrade(Broadsheet!AR188,data!$H$4:$I$9))</f>
        <v/>
      </c>
      <c r="AS77" s="188" t="str">
        <f>IF(ISERROR(getgrade(Broadsheet!AS188,data!$H$4:$I$9)),"#",getgrade(Broadsheet!AS188,data!$H$4:$I$9))</f>
        <v/>
      </c>
      <c r="AT77" s="188" t="str">
        <f>IF(ISERROR(getgrade(Broadsheet!AT188,data!$H$4:$I$9)),"#",getgrade(Broadsheet!AT188,data!$H$4:$I$9))</f>
        <v/>
      </c>
      <c r="AU77" s="188" t="str">
        <f>IF(ISERROR(getgrade(Broadsheet!AU188,data!$H$4:$I$9)),"#",getgrade(Broadsheet!AU188,data!$H$4:$I$9))</f>
        <v/>
      </c>
      <c r="AV77" s="188" t="str">
        <f>IF(ISERROR(getgrade(Broadsheet!AV188,data!$H$4:$I$9)),"#",getgrade(Broadsheet!AV188,data!$H$4:$I$9))</f>
        <v/>
      </c>
      <c r="AW77" s="188" t="str">
        <f>IF(ISERROR(getgrade(Broadsheet!AW188,data!$H$4:$I$9)),"#",getgrade(Broadsheet!AW188,data!$H$4:$I$9))</f>
        <v/>
      </c>
      <c r="AX77" s="188" t="str">
        <f>IF(ISERROR(getgrade(Broadsheet!AX188,data!$H$4:$I$9)),"#",getgrade(Broadsheet!AX188,data!$H$4:$I$9))</f>
        <v/>
      </c>
      <c r="AY77" s="188" t="str">
        <f>IF(ISERROR(getgrade(Broadsheet!AY188,data!$H$4:$I$9)),"#",getgrade(Broadsheet!AY188,data!$H$4:$I$9))</f>
        <v/>
      </c>
      <c r="AZ77" s="188" t="str">
        <f>IF(ISERROR(getgrade(Broadsheet!AZ188,data!$H$4:$I$9)),"#",getgrade(Broadsheet!AZ188,data!$H$4:$I$9))</f>
        <v/>
      </c>
      <c r="BA77" s="188" t="str">
        <f>IF(ISERROR(getgrade(Broadsheet!BA188,data!$H$4:$I$9)),"#",getgrade(Broadsheet!BA188,data!$H$4:$I$9))</f>
        <v/>
      </c>
      <c r="BB77" s="188" t="str">
        <f>IF(ISERROR(getgrade(Broadsheet!BB188,data!$H$4:$I$9)),"#",getgrade(Broadsheet!BB188,data!$H$4:$I$9))</f>
        <v/>
      </c>
      <c r="BC77" s="188" t="str">
        <f>IF(ISERROR(getgrade(Broadsheet!BC188,data!$H$4:$I$9)),"#",getgrade(Broadsheet!BC188,data!$H$4:$I$9))</f>
        <v/>
      </c>
      <c r="BD77" s="188" t="str">
        <f>IF(ISERROR(getgrade(Broadsheet!BD188,data!$H$4:$I$9)),"#",getgrade(Broadsheet!BD188,data!$H$4:$I$9))</f>
        <v/>
      </c>
      <c r="BE77" s="188" t="str">
        <f>IF(ISERROR(getgrade(Broadsheet!BE188,data!$H$4:$I$9)),"#",getgrade(Broadsheet!BE188,data!$H$4:$I$9))</f>
        <v/>
      </c>
      <c r="BF77" s="188" t="str">
        <f>IF(ISERROR(getgrade(Broadsheet!BF188,data!$H$4:$I$9)),"#",getgrade(Broadsheet!BF188,data!$H$4:$I$9))</f>
        <v/>
      </c>
      <c r="BG77" s="188" t="str">
        <f>IF(ISERROR(getgrade(Broadsheet!BG188,data!$H$4:$I$9)),"#",getgrade(Broadsheet!BG188,data!$H$4:$I$9))</f>
        <v/>
      </c>
      <c r="BH77" s="188" t="str">
        <f>IF(ISERROR(getgrade(Broadsheet!BH188,data!$H$4:$I$9)),"#",getgrade(Broadsheet!BH188,data!$H$4:$I$9))</f>
        <v/>
      </c>
      <c r="BI77" s="188" t="str">
        <f>IF(ISERROR(getgrade(Broadsheet!BI188,data!$H$4:$I$9)),"#",getgrade(Broadsheet!BI188,data!$H$4:$I$9))</f>
        <v/>
      </c>
      <c r="BJ77" s="188" t="str">
        <f>IF(ISERROR(getgrade(Broadsheet!BJ188,data!$H$4:$I$9)),"#",getgrade(Broadsheet!BJ188,data!$H$4:$I$9))</f>
        <v/>
      </c>
      <c r="BK77" s="188"/>
      <c r="BL77" s="188"/>
      <c r="BM77" s="188"/>
      <c r="BN77" s="188"/>
      <c r="BO77" s="188"/>
      <c r="BP77" s="188"/>
      <c r="BQ77" s="188"/>
      <c r="BR77" s="188"/>
      <c r="BS77" s="188"/>
      <c r="BT77" s="188"/>
      <c r="BU77" s="188"/>
      <c r="BV77" s="188"/>
      <c r="BW77" s="188"/>
      <c r="BX77" s="188"/>
      <c r="BY77" s="188"/>
      <c r="BZ77" s="188"/>
      <c r="CA77" s="188"/>
      <c r="CB77" s="188"/>
      <c r="CC77" s="188"/>
      <c r="CD77" s="188"/>
      <c r="CE77" s="188"/>
      <c r="CF77" s="188"/>
      <c r="CG77" s="188"/>
      <c r="CH77" s="188"/>
      <c r="CI77" s="188"/>
      <c r="CJ77" s="188"/>
      <c r="CK77" s="188"/>
      <c r="CL77" s="188"/>
      <c r="CM77" s="188"/>
      <c r="CN77" s="188"/>
      <c r="CO77" s="188"/>
      <c r="CP77" s="188"/>
      <c r="CQ77" s="188"/>
      <c r="CR77" s="188"/>
      <c r="CS77" s="188"/>
      <c r="CT77" s="188"/>
      <c r="CU77" s="188"/>
      <c r="CV77" s="188"/>
      <c r="CW77" s="188"/>
      <c r="CX77" s="188"/>
      <c r="CY77" s="188"/>
      <c r="CZ77" s="188"/>
      <c r="DA77" s="188"/>
      <c r="DB77" s="188"/>
      <c r="DC77" s="188"/>
      <c r="DD77" s="188"/>
      <c r="DE77" s="188"/>
      <c r="DF77" s="188"/>
      <c r="DG77" s="188"/>
      <c r="DH77" s="188"/>
      <c r="DI77" s="188"/>
      <c r="DJ77" s="188"/>
      <c r="DK77" s="188"/>
      <c r="DL77" s="188"/>
      <c r="DM77" s="188"/>
      <c r="DN77" s="188"/>
      <c r="DO77" s="188"/>
      <c r="DP77" s="188"/>
      <c r="DQ77" s="188"/>
      <c r="DR77" s="188"/>
      <c r="DS77" s="188"/>
      <c r="DT77" s="188"/>
      <c r="DU77" s="188"/>
      <c r="DV77" s="188"/>
      <c r="DW77" s="188"/>
      <c r="DX77" s="188"/>
      <c r="DY77" s="188"/>
      <c r="DZ77" s="188"/>
      <c r="EA77" s="188"/>
    </row>
    <row r="78" spans="1:131" ht="15.75" x14ac:dyDescent="0.25">
      <c r="A78" s="12">
        <f>Broadsheet!A189</f>
        <v>0</v>
      </c>
      <c r="B78" s="204" t="str">
        <f>IF(Broadsheet!B78="","",Broadsheet!B78)</f>
        <v/>
      </c>
      <c r="C78" s="24" t="str">
        <f>IF(Broadsheet!C78="","",Broadsheet!C78)</f>
        <v xml:space="preserve"> </v>
      </c>
      <c r="G78" s="24" t="str">
        <f t="shared" si="1"/>
        <v/>
      </c>
      <c r="H78" s="188" t="str">
        <f>IF(ISERROR(getgrade(Broadsheet!H189,data!$H$4:$I$9)),"#",getgrade(Broadsheet!H189,data!$H$4:$I$9))</f>
        <v/>
      </c>
      <c r="I78" s="188" t="str">
        <f>IF(ISERROR(getgrade(Broadsheet!I189,data!$H$4:$I$9)),"#",getgrade(Broadsheet!I189,data!$H$4:$I$9))</f>
        <v/>
      </c>
      <c r="J78" s="188" t="str">
        <f>IF(ISERROR(getgrade(Broadsheet!J189,data!$H$4:$I$9)),"#",getgrade(Broadsheet!J189,data!$H$4:$I$9))</f>
        <v/>
      </c>
      <c r="K78" s="188" t="str">
        <f>IF(ISERROR(getgrade(Broadsheet!K189,data!$H$4:$I$9)),"#",getgrade(Broadsheet!K189,data!$H$4:$I$9))</f>
        <v/>
      </c>
      <c r="L78" s="188" t="str">
        <f>IF(ISERROR(getgrade(Broadsheet!L189,data!$H$4:$I$9)),"#",getgrade(Broadsheet!L189,data!$H$4:$I$9))</f>
        <v/>
      </c>
      <c r="M78" s="188" t="str">
        <f>IF(ISERROR(getgrade(Broadsheet!M189,data!$H$4:$I$9)),"#",getgrade(Broadsheet!M189,data!$H$4:$I$9))</f>
        <v/>
      </c>
      <c r="N78" s="188" t="str">
        <f>IF(ISERROR(getgrade(Broadsheet!N189,data!$H$4:$I$9)),"#",getgrade(Broadsheet!N189,data!$H$4:$I$9))</f>
        <v/>
      </c>
      <c r="O78" s="188" t="str">
        <f>IF(ISERROR(getgrade(Broadsheet!O189,data!$H$4:$I$9)),"#",getgrade(Broadsheet!O189,data!$H$4:$I$9))</f>
        <v/>
      </c>
      <c r="P78" s="188" t="str">
        <f>IF(ISERROR(getgrade(Broadsheet!P189,data!$H$4:$I$9)),"#",getgrade(Broadsheet!P189,data!$H$4:$I$9))</f>
        <v/>
      </c>
      <c r="Q78" s="188" t="str">
        <f>IF(ISERROR(getgrade(Broadsheet!Q189,data!$H$4:$I$9)),"#",getgrade(Broadsheet!Q189,data!$H$4:$I$9))</f>
        <v/>
      </c>
      <c r="R78" s="188" t="str">
        <f>IF(ISERROR(getgrade(Broadsheet!R189,data!$H$4:$I$9)),"#",getgrade(Broadsheet!R189,data!$H$4:$I$9))</f>
        <v/>
      </c>
      <c r="S78" s="188" t="str">
        <f>IF(ISERROR(getgrade(Broadsheet!S189,data!$H$4:$I$9)),"#",getgrade(Broadsheet!S189,data!$H$4:$I$9))</f>
        <v/>
      </c>
      <c r="T78" s="188" t="str">
        <f>IF(ISERROR(getgrade(Broadsheet!T189,data!$H$4:$I$9)),"#",getgrade(Broadsheet!T189,data!$H$4:$I$9))</f>
        <v/>
      </c>
      <c r="U78" s="188" t="str">
        <f>IF(ISERROR(getgrade(Broadsheet!U189,data!$H$4:$I$9)),"#",getgrade(Broadsheet!U189,data!$H$4:$I$9))</f>
        <v/>
      </c>
      <c r="V78" s="188" t="str">
        <f>IF(ISERROR(getgrade(Broadsheet!V189,data!$H$4:$I$9)),"#",getgrade(Broadsheet!V189,data!$H$4:$I$9))</f>
        <v/>
      </c>
      <c r="W78" s="188" t="str">
        <f>IF(ISERROR(getgrade(Broadsheet!W189,data!$H$4:$I$9)),"#",getgrade(Broadsheet!W189,data!$H$4:$I$9))</f>
        <v/>
      </c>
      <c r="X78" s="188" t="str">
        <f>IF(ISERROR(getgrade(Broadsheet!X189,data!$H$4:$I$9)),"#",getgrade(Broadsheet!X189,data!$H$4:$I$9))</f>
        <v/>
      </c>
      <c r="Y78" s="188" t="str">
        <f>IF(ISERROR(getgrade(Broadsheet!Y189,data!$H$4:$I$9)),"#",getgrade(Broadsheet!Y189,data!$H$4:$I$9))</f>
        <v/>
      </c>
      <c r="Z78" s="188" t="str">
        <f>IF(ISERROR(getgrade(Broadsheet!Z189,data!$H$4:$I$9)),"#",getgrade(Broadsheet!Z189,data!$H$4:$I$9))</f>
        <v/>
      </c>
      <c r="AA78" s="188" t="str">
        <f>IF(ISERROR(getgrade(Broadsheet!AA189,data!$H$4:$I$9)),"#",getgrade(Broadsheet!AA189,data!$H$4:$I$9))</f>
        <v/>
      </c>
      <c r="AB78" s="188" t="str">
        <f>IF(ISERROR(getgrade(Broadsheet!AB189,data!$H$4:$I$9)),"#",getgrade(Broadsheet!AB189,data!$H$4:$I$9))</f>
        <v/>
      </c>
      <c r="AC78" s="188" t="str">
        <f>IF(ISERROR(getgrade(Broadsheet!AC189,data!$H$4:$I$9)),"#",getgrade(Broadsheet!AC189,data!$H$4:$I$9))</f>
        <v/>
      </c>
      <c r="AD78" s="188" t="str">
        <f>IF(ISERROR(getgrade(Broadsheet!AD189,data!$H$4:$I$9)),"#",getgrade(Broadsheet!AD189,data!$H$4:$I$9))</f>
        <v/>
      </c>
      <c r="AE78" s="188" t="str">
        <f>IF(ISERROR(getgrade(Broadsheet!AE189,data!$H$4:$I$9)),"#",getgrade(Broadsheet!AE189,data!$H$4:$I$9))</f>
        <v/>
      </c>
      <c r="AF78" s="188" t="str">
        <f>IF(ISERROR(getgrade(Broadsheet!AF189,data!$H$4:$I$9)),"#",getgrade(Broadsheet!AF189,data!$H$4:$I$9))</f>
        <v/>
      </c>
      <c r="AG78" s="188" t="str">
        <f>IF(ISERROR(getgrade(Broadsheet!AG189,data!$H$4:$I$9)),"#",getgrade(Broadsheet!AG189,data!$H$4:$I$9))</f>
        <v/>
      </c>
      <c r="AH78" s="188" t="str">
        <f>IF(ISERROR(getgrade(Broadsheet!AH189,data!$H$4:$I$9)),"#",getgrade(Broadsheet!AH189,data!$H$4:$I$9))</f>
        <v/>
      </c>
      <c r="AI78" s="188" t="str">
        <f>IF(ISERROR(getgrade(Broadsheet!AI189,data!$H$4:$I$9)),"#",getgrade(Broadsheet!AI189,data!$H$4:$I$9))</f>
        <v/>
      </c>
      <c r="AJ78" s="188" t="str">
        <f>IF(ISERROR(getgrade(Broadsheet!AJ189,data!$H$4:$I$9)),"#",getgrade(Broadsheet!AJ189,data!$H$4:$I$9))</f>
        <v/>
      </c>
      <c r="AK78" s="188" t="str">
        <f>IF(ISERROR(getgrade(Broadsheet!AK189,data!$H$4:$I$9)),"#",getgrade(Broadsheet!AK189,data!$H$4:$I$9))</f>
        <v/>
      </c>
      <c r="AL78" s="188" t="str">
        <f>IF(ISERROR(getgrade(Broadsheet!AL189,data!$H$4:$I$9)),"#",getgrade(Broadsheet!AL189,data!$H$4:$I$9))</f>
        <v/>
      </c>
      <c r="AM78" s="188" t="str">
        <f>IF(ISERROR(getgrade(Broadsheet!AM189,data!$H$4:$I$9)),"#",getgrade(Broadsheet!AM189,data!$H$4:$I$9))</f>
        <v/>
      </c>
      <c r="AN78" s="188" t="str">
        <f>IF(ISERROR(getgrade(Broadsheet!AN189,data!$H$4:$I$9)),"#",getgrade(Broadsheet!AN189,data!$H$4:$I$9))</f>
        <v/>
      </c>
      <c r="AO78" s="188" t="str">
        <f>IF(ISERROR(getgrade(Broadsheet!AO189,data!$H$4:$I$9)),"#",getgrade(Broadsheet!AO189,data!$H$4:$I$9))</f>
        <v/>
      </c>
      <c r="AP78" s="188" t="str">
        <f>IF(ISERROR(getgrade(Broadsheet!AP189,data!$H$4:$I$9)),"#",getgrade(Broadsheet!AP189,data!$H$4:$I$9))</f>
        <v/>
      </c>
      <c r="AQ78" s="188" t="str">
        <f>IF(ISERROR(getgrade(Broadsheet!AQ189,data!$H$4:$I$9)),"#",getgrade(Broadsheet!AQ189,data!$H$4:$I$9))</f>
        <v/>
      </c>
      <c r="AR78" s="188" t="str">
        <f>IF(ISERROR(getgrade(Broadsheet!AR189,data!$H$4:$I$9)),"#",getgrade(Broadsheet!AR189,data!$H$4:$I$9))</f>
        <v/>
      </c>
      <c r="AS78" s="188" t="str">
        <f>IF(ISERROR(getgrade(Broadsheet!AS189,data!$H$4:$I$9)),"#",getgrade(Broadsheet!AS189,data!$H$4:$I$9))</f>
        <v/>
      </c>
      <c r="AT78" s="188" t="str">
        <f>IF(ISERROR(getgrade(Broadsheet!AT189,data!$H$4:$I$9)),"#",getgrade(Broadsheet!AT189,data!$H$4:$I$9))</f>
        <v/>
      </c>
      <c r="AU78" s="188" t="str">
        <f>IF(ISERROR(getgrade(Broadsheet!AU189,data!$H$4:$I$9)),"#",getgrade(Broadsheet!AU189,data!$H$4:$I$9))</f>
        <v/>
      </c>
      <c r="AV78" s="188" t="str">
        <f>IF(ISERROR(getgrade(Broadsheet!AV189,data!$H$4:$I$9)),"#",getgrade(Broadsheet!AV189,data!$H$4:$I$9))</f>
        <v/>
      </c>
      <c r="AW78" s="188" t="str">
        <f>IF(ISERROR(getgrade(Broadsheet!AW189,data!$H$4:$I$9)),"#",getgrade(Broadsheet!AW189,data!$H$4:$I$9))</f>
        <v/>
      </c>
      <c r="AX78" s="188" t="str">
        <f>IF(ISERROR(getgrade(Broadsheet!AX189,data!$H$4:$I$9)),"#",getgrade(Broadsheet!AX189,data!$H$4:$I$9))</f>
        <v/>
      </c>
      <c r="AY78" s="188" t="str">
        <f>IF(ISERROR(getgrade(Broadsheet!AY189,data!$H$4:$I$9)),"#",getgrade(Broadsheet!AY189,data!$H$4:$I$9))</f>
        <v/>
      </c>
      <c r="AZ78" s="188" t="str">
        <f>IF(ISERROR(getgrade(Broadsheet!AZ189,data!$H$4:$I$9)),"#",getgrade(Broadsheet!AZ189,data!$H$4:$I$9))</f>
        <v/>
      </c>
      <c r="BA78" s="188" t="str">
        <f>IF(ISERROR(getgrade(Broadsheet!BA189,data!$H$4:$I$9)),"#",getgrade(Broadsheet!BA189,data!$H$4:$I$9))</f>
        <v/>
      </c>
      <c r="BB78" s="188" t="str">
        <f>IF(ISERROR(getgrade(Broadsheet!BB189,data!$H$4:$I$9)),"#",getgrade(Broadsheet!BB189,data!$H$4:$I$9))</f>
        <v/>
      </c>
      <c r="BC78" s="188" t="str">
        <f>IF(ISERROR(getgrade(Broadsheet!BC189,data!$H$4:$I$9)),"#",getgrade(Broadsheet!BC189,data!$H$4:$I$9))</f>
        <v/>
      </c>
      <c r="BD78" s="188" t="str">
        <f>IF(ISERROR(getgrade(Broadsheet!BD189,data!$H$4:$I$9)),"#",getgrade(Broadsheet!BD189,data!$H$4:$I$9))</f>
        <v/>
      </c>
      <c r="BE78" s="188" t="str">
        <f>IF(ISERROR(getgrade(Broadsheet!BE189,data!$H$4:$I$9)),"#",getgrade(Broadsheet!BE189,data!$H$4:$I$9))</f>
        <v/>
      </c>
      <c r="BF78" s="188" t="str">
        <f>IF(ISERROR(getgrade(Broadsheet!BF189,data!$H$4:$I$9)),"#",getgrade(Broadsheet!BF189,data!$H$4:$I$9))</f>
        <v/>
      </c>
      <c r="BG78" s="188" t="str">
        <f>IF(ISERROR(getgrade(Broadsheet!BG189,data!$H$4:$I$9)),"#",getgrade(Broadsheet!BG189,data!$H$4:$I$9))</f>
        <v/>
      </c>
      <c r="BH78" s="188" t="str">
        <f>IF(ISERROR(getgrade(Broadsheet!BH189,data!$H$4:$I$9)),"#",getgrade(Broadsheet!BH189,data!$H$4:$I$9))</f>
        <v/>
      </c>
      <c r="BI78" s="188" t="str">
        <f>IF(ISERROR(getgrade(Broadsheet!BI189,data!$H$4:$I$9)),"#",getgrade(Broadsheet!BI189,data!$H$4:$I$9))</f>
        <v/>
      </c>
      <c r="BJ78" s="188" t="str">
        <f>IF(ISERROR(getgrade(Broadsheet!BJ189,data!$H$4:$I$9)),"#",getgrade(Broadsheet!BJ189,data!$H$4:$I$9))</f>
        <v/>
      </c>
      <c r="BK78" s="188"/>
      <c r="BL78" s="188"/>
      <c r="BM78" s="188"/>
      <c r="BN78" s="188"/>
      <c r="BO78" s="188"/>
      <c r="BP78" s="188"/>
      <c r="BQ78" s="188"/>
      <c r="BR78" s="188"/>
      <c r="BS78" s="188"/>
      <c r="BT78" s="188"/>
      <c r="BU78" s="188"/>
      <c r="BV78" s="188"/>
      <c r="BW78" s="188"/>
      <c r="BX78" s="188"/>
      <c r="BY78" s="188"/>
      <c r="BZ78" s="188"/>
      <c r="CA78" s="188"/>
      <c r="CB78" s="188"/>
      <c r="CC78" s="188"/>
      <c r="CD78" s="188"/>
      <c r="CE78" s="188"/>
      <c r="CF78" s="188"/>
      <c r="CG78" s="188"/>
      <c r="CH78" s="188"/>
      <c r="CI78" s="188"/>
      <c r="CJ78" s="188"/>
      <c r="CK78" s="188"/>
      <c r="CL78" s="188"/>
      <c r="CM78" s="188"/>
      <c r="CN78" s="188"/>
      <c r="CO78" s="188"/>
      <c r="CP78" s="188"/>
      <c r="CQ78" s="188"/>
      <c r="CR78" s="188"/>
      <c r="CS78" s="188"/>
      <c r="CT78" s="188"/>
      <c r="CU78" s="188"/>
      <c r="CV78" s="188"/>
      <c r="CW78" s="188"/>
      <c r="CX78" s="188"/>
      <c r="CY78" s="188"/>
      <c r="CZ78" s="188"/>
      <c r="DA78" s="188"/>
      <c r="DB78" s="188"/>
      <c r="DC78" s="188"/>
      <c r="DD78" s="188"/>
      <c r="DE78" s="188"/>
      <c r="DF78" s="188"/>
      <c r="DG78" s="188"/>
      <c r="DH78" s="188"/>
      <c r="DI78" s="188"/>
      <c r="DJ78" s="188"/>
      <c r="DK78" s="188"/>
      <c r="DL78" s="188"/>
      <c r="DM78" s="188"/>
      <c r="DN78" s="188"/>
      <c r="DO78" s="188"/>
      <c r="DP78" s="188"/>
      <c r="DQ78" s="188"/>
      <c r="DR78" s="188"/>
      <c r="DS78" s="188"/>
      <c r="DT78" s="188"/>
      <c r="DU78" s="188"/>
      <c r="DV78" s="188"/>
      <c r="DW78" s="188"/>
      <c r="DX78" s="188"/>
      <c r="DY78" s="188"/>
      <c r="DZ78" s="188"/>
      <c r="EA78" s="188"/>
    </row>
    <row r="79" spans="1:131" ht="15.75" x14ac:dyDescent="0.25">
      <c r="A79" s="12">
        <f>Broadsheet!A190</f>
        <v>0</v>
      </c>
      <c r="B79" s="204" t="str">
        <f>IF(Broadsheet!B79="","",Broadsheet!B79)</f>
        <v/>
      </c>
      <c r="C79" s="24" t="str">
        <f>IF(Broadsheet!C79="","",Broadsheet!C79)</f>
        <v xml:space="preserve"> </v>
      </c>
      <c r="G79" s="24" t="str">
        <f t="shared" si="1"/>
        <v/>
      </c>
      <c r="H79" s="188" t="str">
        <f>IF(ISERROR(getgrade(Broadsheet!H190,data!$H$4:$I$9)),"#",getgrade(Broadsheet!H190,data!$H$4:$I$9))</f>
        <v/>
      </c>
      <c r="I79" s="188" t="str">
        <f>IF(ISERROR(getgrade(Broadsheet!I190,data!$H$4:$I$9)),"#",getgrade(Broadsheet!I190,data!$H$4:$I$9))</f>
        <v/>
      </c>
      <c r="J79" s="188" t="str">
        <f>IF(ISERROR(getgrade(Broadsheet!J190,data!$H$4:$I$9)),"#",getgrade(Broadsheet!J190,data!$H$4:$I$9))</f>
        <v/>
      </c>
      <c r="K79" s="188" t="str">
        <f>IF(ISERROR(getgrade(Broadsheet!K190,data!$H$4:$I$9)),"#",getgrade(Broadsheet!K190,data!$H$4:$I$9))</f>
        <v/>
      </c>
      <c r="L79" s="188" t="str">
        <f>IF(ISERROR(getgrade(Broadsheet!L190,data!$H$4:$I$9)),"#",getgrade(Broadsheet!L190,data!$H$4:$I$9))</f>
        <v/>
      </c>
      <c r="M79" s="188" t="str">
        <f>IF(ISERROR(getgrade(Broadsheet!M190,data!$H$4:$I$9)),"#",getgrade(Broadsheet!M190,data!$H$4:$I$9))</f>
        <v/>
      </c>
      <c r="N79" s="188" t="str">
        <f>IF(ISERROR(getgrade(Broadsheet!N190,data!$H$4:$I$9)),"#",getgrade(Broadsheet!N190,data!$H$4:$I$9))</f>
        <v/>
      </c>
      <c r="O79" s="188" t="str">
        <f>IF(ISERROR(getgrade(Broadsheet!O190,data!$H$4:$I$9)),"#",getgrade(Broadsheet!O190,data!$H$4:$I$9))</f>
        <v/>
      </c>
      <c r="P79" s="188" t="str">
        <f>IF(ISERROR(getgrade(Broadsheet!P190,data!$H$4:$I$9)),"#",getgrade(Broadsheet!P190,data!$H$4:$I$9))</f>
        <v/>
      </c>
      <c r="Q79" s="188" t="str">
        <f>IF(ISERROR(getgrade(Broadsheet!Q190,data!$H$4:$I$9)),"#",getgrade(Broadsheet!Q190,data!$H$4:$I$9))</f>
        <v/>
      </c>
      <c r="R79" s="188" t="str">
        <f>IF(ISERROR(getgrade(Broadsheet!R190,data!$H$4:$I$9)),"#",getgrade(Broadsheet!R190,data!$H$4:$I$9))</f>
        <v/>
      </c>
      <c r="S79" s="188" t="str">
        <f>IF(ISERROR(getgrade(Broadsheet!S190,data!$H$4:$I$9)),"#",getgrade(Broadsheet!S190,data!$H$4:$I$9))</f>
        <v/>
      </c>
      <c r="T79" s="188" t="str">
        <f>IF(ISERROR(getgrade(Broadsheet!T190,data!$H$4:$I$9)),"#",getgrade(Broadsheet!T190,data!$H$4:$I$9))</f>
        <v/>
      </c>
      <c r="U79" s="188" t="str">
        <f>IF(ISERROR(getgrade(Broadsheet!U190,data!$H$4:$I$9)),"#",getgrade(Broadsheet!U190,data!$H$4:$I$9))</f>
        <v/>
      </c>
      <c r="V79" s="188" t="str">
        <f>IF(ISERROR(getgrade(Broadsheet!V190,data!$H$4:$I$9)),"#",getgrade(Broadsheet!V190,data!$H$4:$I$9))</f>
        <v/>
      </c>
      <c r="W79" s="188" t="str">
        <f>IF(ISERROR(getgrade(Broadsheet!W190,data!$H$4:$I$9)),"#",getgrade(Broadsheet!W190,data!$H$4:$I$9))</f>
        <v/>
      </c>
      <c r="X79" s="188" t="str">
        <f>IF(ISERROR(getgrade(Broadsheet!X190,data!$H$4:$I$9)),"#",getgrade(Broadsheet!X190,data!$H$4:$I$9))</f>
        <v/>
      </c>
      <c r="Y79" s="188" t="str">
        <f>IF(ISERROR(getgrade(Broadsheet!Y190,data!$H$4:$I$9)),"#",getgrade(Broadsheet!Y190,data!$H$4:$I$9))</f>
        <v/>
      </c>
      <c r="Z79" s="188" t="str">
        <f>IF(ISERROR(getgrade(Broadsheet!Z190,data!$H$4:$I$9)),"#",getgrade(Broadsheet!Z190,data!$H$4:$I$9))</f>
        <v/>
      </c>
      <c r="AA79" s="188" t="str">
        <f>IF(ISERROR(getgrade(Broadsheet!AA190,data!$H$4:$I$9)),"#",getgrade(Broadsheet!AA190,data!$H$4:$I$9))</f>
        <v/>
      </c>
      <c r="AB79" s="188" t="str">
        <f>IF(ISERROR(getgrade(Broadsheet!AB190,data!$H$4:$I$9)),"#",getgrade(Broadsheet!AB190,data!$H$4:$I$9))</f>
        <v/>
      </c>
      <c r="AC79" s="188" t="str">
        <f>IF(ISERROR(getgrade(Broadsheet!AC190,data!$H$4:$I$9)),"#",getgrade(Broadsheet!AC190,data!$H$4:$I$9))</f>
        <v/>
      </c>
      <c r="AD79" s="188" t="str">
        <f>IF(ISERROR(getgrade(Broadsheet!AD190,data!$H$4:$I$9)),"#",getgrade(Broadsheet!AD190,data!$H$4:$I$9))</f>
        <v/>
      </c>
      <c r="AE79" s="188" t="str">
        <f>IF(ISERROR(getgrade(Broadsheet!AE190,data!$H$4:$I$9)),"#",getgrade(Broadsheet!AE190,data!$H$4:$I$9))</f>
        <v/>
      </c>
      <c r="AF79" s="188" t="str">
        <f>IF(ISERROR(getgrade(Broadsheet!AF190,data!$H$4:$I$9)),"#",getgrade(Broadsheet!AF190,data!$H$4:$I$9))</f>
        <v/>
      </c>
      <c r="AG79" s="188" t="str">
        <f>IF(ISERROR(getgrade(Broadsheet!AG190,data!$H$4:$I$9)),"#",getgrade(Broadsheet!AG190,data!$H$4:$I$9))</f>
        <v/>
      </c>
      <c r="AH79" s="188" t="str">
        <f>IF(ISERROR(getgrade(Broadsheet!AH190,data!$H$4:$I$9)),"#",getgrade(Broadsheet!AH190,data!$H$4:$I$9))</f>
        <v/>
      </c>
      <c r="AI79" s="188" t="str">
        <f>IF(ISERROR(getgrade(Broadsheet!AI190,data!$H$4:$I$9)),"#",getgrade(Broadsheet!AI190,data!$H$4:$I$9))</f>
        <v/>
      </c>
      <c r="AJ79" s="188" t="str">
        <f>IF(ISERROR(getgrade(Broadsheet!AJ190,data!$H$4:$I$9)),"#",getgrade(Broadsheet!AJ190,data!$H$4:$I$9))</f>
        <v/>
      </c>
      <c r="AK79" s="188" t="str">
        <f>IF(ISERROR(getgrade(Broadsheet!AK190,data!$H$4:$I$9)),"#",getgrade(Broadsheet!AK190,data!$H$4:$I$9))</f>
        <v/>
      </c>
      <c r="AL79" s="188" t="str">
        <f>IF(ISERROR(getgrade(Broadsheet!AL190,data!$H$4:$I$9)),"#",getgrade(Broadsheet!AL190,data!$H$4:$I$9))</f>
        <v/>
      </c>
      <c r="AM79" s="188" t="str">
        <f>IF(ISERROR(getgrade(Broadsheet!AM190,data!$H$4:$I$9)),"#",getgrade(Broadsheet!AM190,data!$H$4:$I$9))</f>
        <v/>
      </c>
      <c r="AN79" s="188" t="str">
        <f>IF(ISERROR(getgrade(Broadsheet!AN190,data!$H$4:$I$9)),"#",getgrade(Broadsheet!AN190,data!$H$4:$I$9))</f>
        <v/>
      </c>
      <c r="AO79" s="188" t="str">
        <f>IF(ISERROR(getgrade(Broadsheet!AO190,data!$H$4:$I$9)),"#",getgrade(Broadsheet!AO190,data!$H$4:$I$9))</f>
        <v/>
      </c>
      <c r="AP79" s="188" t="str">
        <f>IF(ISERROR(getgrade(Broadsheet!AP190,data!$H$4:$I$9)),"#",getgrade(Broadsheet!AP190,data!$H$4:$I$9))</f>
        <v/>
      </c>
      <c r="AQ79" s="188" t="str">
        <f>IF(ISERROR(getgrade(Broadsheet!AQ190,data!$H$4:$I$9)),"#",getgrade(Broadsheet!AQ190,data!$H$4:$I$9))</f>
        <v/>
      </c>
      <c r="AR79" s="188" t="str">
        <f>IF(ISERROR(getgrade(Broadsheet!AR190,data!$H$4:$I$9)),"#",getgrade(Broadsheet!AR190,data!$H$4:$I$9))</f>
        <v/>
      </c>
      <c r="AS79" s="188" t="str">
        <f>IF(ISERROR(getgrade(Broadsheet!AS190,data!$H$4:$I$9)),"#",getgrade(Broadsheet!AS190,data!$H$4:$I$9))</f>
        <v/>
      </c>
      <c r="AT79" s="188" t="str">
        <f>IF(ISERROR(getgrade(Broadsheet!AT190,data!$H$4:$I$9)),"#",getgrade(Broadsheet!AT190,data!$H$4:$I$9))</f>
        <v/>
      </c>
      <c r="AU79" s="188" t="str">
        <f>IF(ISERROR(getgrade(Broadsheet!AU190,data!$H$4:$I$9)),"#",getgrade(Broadsheet!AU190,data!$H$4:$I$9))</f>
        <v/>
      </c>
      <c r="AV79" s="188" t="str">
        <f>IF(ISERROR(getgrade(Broadsheet!AV190,data!$H$4:$I$9)),"#",getgrade(Broadsheet!AV190,data!$H$4:$I$9))</f>
        <v/>
      </c>
      <c r="AW79" s="188" t="str">
        <f>IF(ISERROR(getgrade(Broadsheet!AW190,data!$H$4:$I$9)),"#",getgrade(Broadsheet!AW190,data!$H$4:$I$9))</f>
        <v/>
      </c>
      <c r="AX79" s="188" t="str">
        <f>IF(ISERROR(getgrade(Broadsheet!AX190,data!$H$4:$I$9)),"#",getgrade(Broadsheet!AX190,data!$H$4:$I$9))</f>
        <v/>
      </c>
      <c r="AY79" s="188" t="str">
        <f>IF(ISERROR(getgrade(Broadsheet!AY190,data!$H$4:$I$9)),"#",getgrade(Broadsheet!AY190,data!$H$4:$I$9))</f>
        <v/>
      </c>
      <c r="AZ79" s="188" t="str">
        <f>IF(ISERROR(getgrade(Broadsheet!AZ190,data!$H$4:$I$9)),"#",getgrade(Broadsheet!AZ190,data!$H$4:$I$9))</f>
        <v/>
      </c>
      <c r="BA79" s="188" t="str">
        <f>IF(ISERROR(getgrade(Broadsheet!BA190,data!$H$4:$I$9)),"#",getgrade(Broadsheet!BA190,data!$H$4:$I$9))</f>
        <v/>
      </c>
      <c r="BB79" s="188" t="str">
        <f>IF(ISERROR(getgrade(Broadsheet!BB190,data!$H$4:$I$9)),"#",getgrade(Broadsheet!BB190,data!$H$4:$I$9))</f>
        <v/>
      </c>
      <c r="BC79" s="188" t="str">
        <f>IF(ISERROR(getgrade(Broadsheet!BC190,data!$H$4:$I$9)),"#",getgrade(Broadsheet!BC190,data!$H$4:$I$9))</f>
        <v/>
      </c>
      <c r="BD79" s="188" t="str">
        <f>IF(ISERROR(getgrade(Broadsheet!BD190,data!$H$4:$I$9)),"#",getgrade(Broadsheet!BD190,data!$H$4:$I$9))</f>
        <v/>
      </c>
      <c r="BE79" s="188" t="str">
        <f>IF(ISERROR(getgrade(Broadsheet!BE190,data!$H$4:$I$9)),"#",getgrade(Broadsheet!BE190,data!$H$4:$I$9))</f>
        <v/>
      </c>
      <c r="BF79" s="188" t="str">
        <f>IF(ISERROR(getgrade(Broadsheet!BF190,data!$H$4:$I$9)),"#",getgrade(Broadsheet!BF190,data!$H$4:$I$9))</f>
        <v/>
      </c>
      <c r="BG79" s="188" t="str">
        <f>IF(ISERROR(getgrade(Broadsheet!BG190,data!$H$4:$I$9)),"#",getgrade(Broadsheet!BG190,data!$H$4:$I$9))</f>
        <v/>
      </c>
      <c r="BH79" s="188" t="str">
        <f>IF(ISERROR(getgrade(Broadsheet!BH190,data!$H$4:$I$9)),"#",getgrade(Broadsheet!BH190,data!$H$4:$I$9))</f>
        <v/>
      </c>
      <c r="BI79" s="188" t="str">
        <f>IF(ISERROR(getgrade(Broadsheet!BI190,data!$H$4:$I$9)),"#",getgrade(Broadsheet!BI190,data!$H$4:$I$9))</f>
        <v/>
      </c>
      <c r="BJ79" s="188" t="str">
        <f>IF(ISERROR(getgrade(Broadsheet!BJ190,data!$H$4:$I$9)),"#",getgrade(Broadsheet!BJ190,data!$H$4:$I$9))</f>
        <v/>
      </c>
      <c r="BK79" s="188"/>
      <c r="BL79" s="188"/>
      <c r="BM79" s="188"/>
      <c r="BN79" s="188"/>
      <c r="BO79" s="188"/>
      <c r="BP79" s="188"/>
      <c r="BQ79" s="188"/>
      <c r="BR79" s="188"/>
      <c r="BS79" s="188"/>
      <c r="BT79" s="188"/>
      <c r="BU79" s="188"/>
      <c r="BV79" s="188"/>
      <c r="BW79" s="188"/>
      <c r="BX79" s="188"/>
      <c r="BY79" s="188"/>
      <c r="BZ79" s="188"/>
      <c r="CA79" s="188"/>
      <c r="CB79" s="188"/>
      <c r="CC79" s="188"/>
      <c r="CD79" s="188"/>
      <c r="CE79" s="188"/>
      <c r="CF79" s="188"/>
      <c r="CG79" s="188"/>
      <c r="CH79" s="188"/>
      <c r="CI79" s="188"/>
      <c r="CJ79" s="188"/>
      <c r="CK79" s="188"/>
      <c r="CL79" s="188"/>
      <c r="CM79" s="188"/>
      <c r="CN79" s="188"/>
      <c r="CO79" s="188"/>
      <c r="CP79" s="188"/>
      <c r="CQ79" s="188"/>
      <c r="CR79" s="188"/>
      <c r="CS79" s="188"/>
      <c r="CT79" s="188"/>
      <c r="CU79" s="188"/>
      <c r="CV79" s="188"/>
      <c r="CW79" s="188"/>
      <c r="CX79" s="188"/>
      <c r="CY79" s="188"/>
      <c r="CZ79" s="188"/>
      <c r="DA79" s="188"/>
      <c r="DB79" s="188"/>
      <c r="DC79" s="188"/>
      <c r="DD79" s="188"/>
      <c r="DE79" s="188"/>
      <c r="DF79" s="188"/>
      <c r="DG79" s="188"/>
      <c r="DH79" s="188"/>
      <c r="DI79" s="188"/>
      <c r="DJ79" s="188"/>
      <c r="DK79" s="188"/>
      <c r="DL79" s="188"/>
      <c r="DM79" s="188"/>
      <c r="DN79" s="188"/>
      <c r="DO79" s="188"/>
      <c r="DP79" s="188"/>
      <c r="DQ79" s="188"/>
      <c r="DR79" s="188"/>
      <c r="DS79" s="188"/>
      <c r="DT79" s="188"/>
      <c r="DU79" s="188"/>
      <c r="DV79" s="188"/>
      <c r="DW79" s="188"/>
      <c r="DX79" s="188"/>
      <c r="DY79" s="188"/>
      <c r="DZ79" s="188"/>
      <c r="EA79" s="188"/>
    </row>
    <row r="80" spans="1:131" ht="15.75" x14ac:dyDescent="0.25">
      <c r="A80" s="12">
        <f>Broadsheet!A191</f>
        <v>0</v>
      </c>
      <c r="B80" s="204" t="str">
        <f>IF(Broadsheet!B80="","",Broadsheet!B80)</f>
        <v/>
      </c>
      <c r="C80" s="24" t="str">
        <f>IF(Broadsheet!C80="","",Broadsheet!C80)</f>
        <v xml:space="preserve"> </v>
      </c>
      <c r="G80" s="24" t="str">
        <f t="shared" si="1"/>
        <v/>
      </c>
      <c r="H80" s="188" t="str">
        <f>IF(ISERROR(getgrade(Broadsheet!H191,data!$H$4:$I$9)),"#",getgrade(Broadsheet!H191,data!$H$4:$I$9))</f>
        <v/>
      </c>
      <c r="I80" s="188" t="str">
        <f>IF(ISERROR(getgrade(Broadsheet!I191,data!$H$4:$I$9)),"#",getgrade(Broadsheet!I191,data!$H$4:$I$9))</f>
        <v/>
      </c>
      <c r="J80" s="188" t="str">
        <f>IF(ISERROR(getgrade(Broadsheet!J191,data!$H$4:$I$9)),"#",getgrade(Broadsheet!J191,data!$H$4:$I$9))</f>
        <v/>
      </c>
      <c r="K80" s="188" t="str">
        <f>IF(ISERROR(getgrade(Broadsheet!K191,data!$H$4:$I$9)),"#",getgrade(Broadsheet!K191,data!$H$4:$I$9))</f>
        <v/>
      </c>
      <c r="L80" s="188" t="str">
        <f>IF(ISERROR(getgrade(Broadsheet!L191,data!$H$4:$I$9)),"#",getgrade(Broadsheet!L191,data!$H$4:$I$9))</f>
        <v/>
      </c>
      <c r="M80" s="188" t="str">
        <f>IF(ISERROR(getgrade(Broadsheet!M191,data!$H$4:$I$9)),"#",getgrade(Broadsheet!M191,data!$H$4:$I$9))</f>
        <v/>
      </c>
      <c r="N80" s="188" t="str">
        <f>IF(ISERROR(getgrade(Broadsheet!N191,data!$H$4:$I$9)),"#",getgrade(Broadsheet!N191,data!$H$4:$I$9))</f>
        <v/>
      </c>
      <c r="O80" s="188" t="str">
        <f>IF(ISERROR(getgrade(Broadsheet!O191,data!$H$4:$I$9)),"#",getgrade(Broadsheet!O191,data!$H$4:$I$9))</f>
        <v/>
      </c>
      <c r="P80" s="188" t="str">
        <f>IF(ISERROR(getgrade(Broadsheet!P191,data!$H$4:$I$9)),"#",getgrade(Broadsheet!P191,data!$H$4:$I$9))</f>
        <v/>
      </c>
      <c r="Q80" s="188" t="str">
        <f>IF(ISERROR(getgrade(Broadsheet!Q191,data!$H$4:$I$9)),"#",getgrade(Broadsheet!Q191,data!$H$4:$I$9))</f>
        <v/>
      </c>
      <c r="R80" s="188" t="str">
        <f>IF(ISERROR(getgrade(Broadsheet!R191,data!$H$4:$I$9)),"#",getgrade(Broadsheet!R191,data!$H$4:$I$9))</f>
        <v/>
      </c>
      <c r="S80" s="188" t="str">
        <f>IF(ISERROR(getgrade(Broadsheet!S191,data!$H$4:$I$9)),"#",getgrade(Broadsheet!S191,data!$H$4:$I$9))</f>
        <v/>
      </c>
      <c r="T80" s="188" t="str">
        <f>IF(ISERROR(getgrade(Broadsheet!T191,data!$H$4:$I$9)),"#",getgrade(Broadsheet!T191,data!$H$4:$I$9))</f>
        <v/>
      </c>
      <c r="U80" s="188" t="str">
        <f>IF(ISERROR(getgrade(Broadsheet!U191,data!$H$4:$I$9)),"#",getgrade(Broadsheet!U191,data!$H$4:$I$9))</f>
        <v/>
      </c>
      <c r="V80" s="188" t="str">
        <f>IF(ISERROR(getgrade(Broadsheet!V191,data!$H$4:$I$9)),"#",getgrade(Broadsheet!V191,data!$H$4:$I$9))</f>
        <v/>
      </c>
      <c r="W80" s="188" t="str">
        <f>IF(ISERROR(getgrade(Broadsheet!W191,data!$H$4:$I$9)),"#",getgrade(Broadsheet!W191,data!$H$4:$I$9))</f>
        <v/>
      </c>
      <c r="X80" s="188" t="str">
        <f>IF(ISERROR(getgrade(Broadsheet!X191,data!$H$4:$I$9)),"#",getgrade(Broadsheet!X191,data!$H$4:$I$9))</f>
        <v/>
      </c>
      <c r="Y80" s="188" t="str">
        <f>IF(ISERROR(getgrade(Broadsheet!Y191,data!$H$4:$I$9)),"#",getgrade(Broadsheet!Y191,data!$H$4:$I$9))</f>
        <v/>
      </c>
      <c r="Z80" s="188" t="str">
        <f>IF(ISERROR(getgrade(Broadsheet!Z191,data!$H$4:$I$9)),"#",getgrade(Broadsheet!Z191,data!$H$4:$I$9))</f>
        <v/>
      </c>
      <c r="AA80" s="188" t="str">
        <f>IF(ISERROR(getgrade(Broadsheet!AA191,data!$H$4:$I$9)),"#",getgrade(Broadsheet!AA191,data!$H$4:$I$9))</f>
        <v/>
      </c>
      <c r="AB80" s="188" t="str">
        <f>IF(ISERROR(getgrade(Broadsheet!AB191,data!$H$4:$I$9)),"#",getgrade(Broadsheet!AB191,data!$H$4:$I$9))</f>
        <v/>
      </c>
      <c r="AC80" s="188" t="str">
        <f>IF(ISERROR(getgrade(Broadsheet!AC191,data!$H$4:$I$9)),"#",getgrade(Broadsheet!AC191,data!$H$4:$I$9))</f>
        <v/>
      </c>
      <c r="AD80" s="188" t="str">
        <f>IF(ISERROR(getgrade(Broadsheet!AD191,data!$H$4:$I$9)),"#",getgrade(Broadsheet!AD191,data!$H$4:$I$9))</f>
        <v/>
      </c>
      <c r="AE80" s="188" t="str">
        <f>IF(ISERROR(getgrade(Broadsheet!AE191,data!$H$4:$I$9)),"#",getgrade(Broadsheet!AE191,data!$H$4:$I$9))</f>
        <v/>
      </c>
      <c r="AF80" s="188" t="str">
        <f>IF(ISERROR(getgrade(Broadsheet!AF191,data!$H$4:$I$9)),"#",getgrade(Broadsheet!AF191,data!$H$4:$I$9))</f>
        <v/>
      </c>
      <c r="AG80" s="188" t="str">
        <f>IF(ISERROR(getgrade(Broadsheet!AG191,data!$H$4:$I$9)),"#",getgrade(Broadsheet!AG191,data!$H$4:$I$9))</f>
        <v/>
      </c>
      <c r="AH80" s="188" t="str">
        <f>IF(ISERROR(getgrade(Broadsheet!AH191,data!$H$4:$I$9)),"#",getgrade(Broadsheet!AH191,data!$H$4:$I$9))</f>
        <v/>
      </c>
      <c r="AI80" s="188" t="str">
        <f>IF(ISERROR(getgrade(Broadsheet!AI191,data!$H$4:$I$9)),"#",getgrade(Broadsheet!AI191,data!$H$4:$I$9))</f>
        <v/>
      </c>
      <c r="AJ80" s="188" t="str">
        <f>IF(ISERROR(getgrade(Broadsheet!AJ191,data!$H$4:$I$9)),"#",getgrade(Broadsheet!AJ191,data!$H$4:$I$9))</f>
        <v/>
      </c>
      <c r="AK80" s="188" t="str">
        <f>IF(ISERROR(getgrade(Broadsheet!AK191,data!$H$4:$I$9)),"#",getgrade(Broadsheet!AK191,data!$H$4:$I$9))</f>
        <v/>
      </c>
      <c r="AL80" s="188" t="str">
        <f>IF(ISERROR(getgrade(Broadsheet!AL191,data!$H$4:$I$9)),"#",getgrade(Broadsheet!AL191,data!$H$4:$I$9))</f>
        <v/>
      </c>
      <c r="AM80" s="188" t="str">
        <f>IF(ISERROR(getgrade(Broadsheet!AM191,data!$H$4:$I$9)),"#",getgrade(Broadsheet!AM191,data!$H$4:$I$9))</f>
        <v/>
      </c>
      <c r="AN80" s="188" t="str">
        <f>IF(ISERROR(getgrade(Broadsheet!AN191,data!$H$4:$I$9)),"#",getgrade(Broadsheet!AN191,data!$H$4:$I$9))</f>
        <v/>
      </c>
      <c r="AO80" s="188" t="str">
        <f>IF(ISERROR(getgrade(Broadsheet!AO191,data!$H$4:$I$9)),"#",getgrade(Broadsheet!AO191,data!$H$4:$I$9))</f>
        <v/>
      </c>
      <c r="AP80" s="188" t="str">
        <f>IF(ISERROR(getgrade(Broadsheet!AP191,data!$H$4:$I$9)),"#",getgrade(Broadsheet!AP191,data!$H$4:$I$9))</f>
        <v/>
      </c>
      <c r="AQ80" s="188" t="str">
        <f>IF(ISERROR(getgrade(Broadsheet!AQ191,data!$H$4:$I$9)),"#",getgrade(Broadsheet!AQ191,data!$H$4:$I$9))</f>
        <v/>
      </c>
      <c r="AR80" s="188" t="str">
        <f>IF(ISERROR(getgrade(Broadsheet!AR191,data!$H$4:$I$9)),"#",getgrade(Broadsheet!AR191,data!$H$4:$I$9))</f>
        <v/>
      </c>
      <c r="AS80" s="188" t="str">
        <f>IF(ISERROR(getgrade(Broadsheet!AS191,data!$H$4:$I$9)),"#",getgrade(Broadsheet!AS191,data!$H$4:$I$9))</f>
        <v/>
      </c>
      <c r="AT80" s="188" t="str">
        <f>IF(ISERROR(getgrade(Broadsheet!AT191,data!$H$4:$I$9)),"#",getgrade(Broadsheet!AT191,data!$H$4:$I$9))</f>
        <v/>
      </c>
      <c r="AU80" s="188" t="str">
        <f>IF(ISERROR(getgrade(Broadsheet!AU191,data!$H$4:$I$9)),"#",getgrade(Broadsheet!AU191,data!$H$4:$I$9))</f>
        <v/>
      </c>
      <c r="AV80" s="188" t="str">
        <f>IF(ISERROR(getgrade(Broadsheet!AV191,data!$H$4:$I$9)),"#",getgrade(Broadsheet!AV191,data!$H$4:$I$9))</f>
        <v/>
      </c>
      <c r="AW80" s="188" t="str">
        <f>IF(ISERROR(getgrade(Broadsheet!AW191,data!$H$4:$I$9)),"#",getgrade(Broadsheet!AW191,data!$H$4:$I$9))</f>
        <v/>
      </c>
      <c r="AX80" s="188" t="str">
        <f>IF(ISERROR(getgrade(Broadsheet!AX191,data!$H$4:$I$9)),"#",getgrade(Broadsheet!AX191,data!$H$4:$I$9))</f>
        <v/>
      </c>
      <c r="AY80" s="188" t="str">
        <f>IF(ISERROR(getgrade(Broadsheet!AY191,data!$H$4:$I$9)),"#",getgrade(Broadsheet!AY191,data!$H$4:$I$9))</f>
        <v/>
      </c>
      <c r="AZ80" s="188" t="str">
        <f>IF(ISERROR(getgrade(Broadsheet!AZ191,data!$H$4:$I$9)),"#",getgrade(Broadsheet!AZ191,data!$H$4:$I$9))</f>
        <v/>
      </c>
      <c r="BA80" s="188" t="str">
        <f>IF(ISERROR(getgrade(Broadsheet!BA191,data!$H$4:$I$9)),"#",getgrade(Broadsheet!BA191,data!$H$4:$I$9))</f>
        <v/>
      </c>
      <c r="BB80" s="188" t="str">
        <f>IF(ISERROR(getgrade(Broadsheet!BB191,data!$H$4:$I$9)),"#",getgrade(Broadsheet!BB191,data!$H$4:$I$9))</f>
        <v/>
      </c>
      <c r="BC80" s="188" t="str">
        <f>IF(ISERROR(getgrade(Broadsheet!BC191,data!$H$4:$I$9)),"#",getgrade(Broadsheet!BC191,data!$H$4:$I$9))</f>
        <v/>
      </c>
      <c r="BD80" s="188" t="str">
        <f>IF(ISERROR(getgrade(Broadsheet!BD191,data!$H$4:$I$9)),"#",getgrade(Broadsheet!BD191,data!$H$4:$I$9))</f>
        <v/>
      </c>
      <c r="BE80" s="188" t="str">
        <f>IF(ISERROR(getgrade(Broadsheet!BE191,data!$H$4:$I$9)),"#",getgrade(Broadsheet!BE191,data!$H$4:$I$9))</f>
        <v/>
      </c>
      <c r="BF80" s="188" t="str">
        <f>IF(ISERROR(getgrade(Broadsheet!BF191,data!$H$4:$I$9)),"#",getgrade(Broadsheet!BF191,data!$H$4:$I$9))</f>
        <v/>
      </c>
      <c r="BG80" s="188" t="str">
        <f>IF(ISERROR(getgrade(Broadsheet!BG191,data!$H$4:$I$9)),"#",getgrade(Broadsheet!BG191,data!$H$4:$I$9))</f>
        <v/>
      </c>
      <c r="BH80" s="188" t="str">
        <f>IF(ISERROR(getgrade(Broadsheet!BH191,data!$H$4:$I$9)),"#",getgrade(Broadsheet!BH191,data!$H$4:$I$9))</f>
        <v/>
      </c>
      <c r="BI80" s="188" t="str">
        <f>IF(ISERROR(getgrade(Broadsheet!BI191,data!$H$4:$I$9)),"#",getgrade(Broadsheet!BI191,data!$H$4:$I$9))</f>
        <v/>
      </c>
      <c r="BJ80" s="188" t="str">
        <f>IF(ISERROR(getgrade(Broadsheet!BJ191,data!$H$4:$I$9)),"#",getgrade(Broadsheet!BJ191,data!$H$4:$I$9))</f>
        <v/>
      </c>
      <c r="BK80" s="188"/>
      <c r="BL80" s="188"/>
      <c r="BM80" s="188"/>
      <c r="BN80" s="188"/>
      <c r="BO80" s="188"/>
      <c r="BP80" s="188"/>
      <c r="BQ80" s="188"/>
      <c r="BR80" s="188"/>
      <c r="BS80" s="188"/>
      <c r="BT80" s="188"/>
      <c r="BU80" s="188"/>
      <c r="BV80" s="188"/>
      <c r="BW80" s="188"/>
      <c r="BX80" s="188"/>
      <c r="BY80" s="188"/>
      <c r="BZ80" s="188"/>
      <c r="CA80" s="188"/>
      <c r="CB80" s="188"/>
      <c r="CC80" s="188"/>
      <c r="CD80" s="188"/>
      <c r="CE80" s="188"/>
      <c r="CF80" s="188"/>
      <c r="CG80" s="188"/>
      <c r="CH80" s="188"/>
      <c r="CI80" s="188"/>
      <c r="CJ80" s="188"/>
      <c r="CK80" s="188"/>
      <c r="CL80" s="188"/>
      <c r="CM80" s="188"/>
      <c r="CN80" s="188"/>
      <c r="CO80" s="188"/>
      <c r="CP80" s="188"/>
      <c r="CQ80" s="188"/>
      <c r="CR80" s="188"/>
      <c r="CS80" s="188"/>
      <c r="CT80" s="188"/>
      <c r="CU80" s="188"/>
      <c r="CV80" s="188"/>
      <c r="CW80" s="188"/>
      <c r="CX80" s="188"/>
      <c r="CY80" s="188"/>
      <c r="CZ80" s="188"/>
      <c r="DA80" s="188"/>
      <c r="DB80" s="188"/>
      <c r="DC80" s="188"/>
      <c r="DD80" s="188"/>
      <c r="DE80" s="188"/>
      <c r="DF80" s="188"/>
      <c r="DG80" s="188"/>
      <c r="DH80" s="188"/>
      <c r="DI80" s="188"/>
      <c r="DJ80" s="188"/>
      <c r="DK80" s="188"/>
      <c r="DL80" s="188"/>
      <c r="DM80" s="188"/>
      <c r="DN80" s="188"/>
      <c r="DO80" s="188"/>
      <c r="DP80" s="188"/>
      <c r="DQ80" s="188"/>
      <c r="DR80" s="188"/>
      <c r="DS80" s="188"/>
      <c r="DT80" s="188"/>
      <c r="DU80" s="188"/>
      <c r="DV80" s="188"/>
      <c r="DW80" s="188"/>
      <c r="DX80" s="188"/>
      <c r="DY80" s="188"/>
      <c r="DZ80" s="188"/>
      <c r="EA80" s="188"/>
    </row>
    <row r="81" spans="1:131" ht="15.75" x14ac:dyDescent="0.25">
      <c r="A81" s="12">
        <f>Broadsheet!A192</f>
        <v>0</v>
      </c>
      <c r="B81" s="204" t="str">
        <f>IF(Broadsheet!B81="","",Broadsheet!B81)</f>
        <v/>
      </c>
      <c r="C81" s="24" t="str">
        <f>IF(Broadsheet!C81="","",Broadsheet!C81)</f>
        <v xml:space="preserve"> </v>
      </c>
      <c r="G81" s="24" t="str">
        <f t="shared" si="1"/>
        <v/>
      </c>
      <c r="H81" s="188" t="str">
        <f>IF(ISERROR(getgrade(Broadsheet!H192,data!$H$4:$I$9)),"#",getgrade(Broadsheet!H192,data!$H$4:$I$9))</f>
        <v/>
      </c>
      <c r="I81" s="188" t="str">
        <f>IF(ISERROR(getgrade(Broadsheet!I192,data!$H$4:$I$9)),"#",getgrade(Broadsheet!I192,data!$H$4:$I$9))</f>
        <v/>
      </c>
      <c r="J81" s="188" t="str">
        <f>IF(ISERROR(getgrade(Broadsheet!J192,data!$H$4:$I$9)),"#",getgrade(Broadsheet!J192,data!$H$4:$I$9))</f>
        <v/>
      </c>
      <c r="K81" s="188" t="str">
        <f>IF(ISERROR(getgrade(Broadsheet!K192,data!$H$4:$I$9)),"#",getgrade(Broadsheet!K192,data!$H$4:$I$9))</f>
        <v/>
      </c>
      <c r="L81" s="188" t="str">
        <f>IF(ISERROR(getgrade(Broadsheet!L192,data!$H$4:$I$9)),"#",getgrade(Broadsheet!L192,data!$H$4:$I$9))</f>
        <v/>
      </c>
      <c r="M81" s="188" t="str">
        <f>IF(ISERROR(getgrade(Broadsheet!M192,data!$H$4:$I$9)),"#",getgrade(Broadsheet!M192,data!$H$4:$I$9))</f>
        <v/>
      </c>
      <c r="N81" s="188" t="str">
        <f>IF(ISERROR(getgrade(Broadsheet!N192,data!$H$4:$I$9)),"#",getgrade(Broadsheet!N192,data!$H$4:$I$9))</f>
        <v/>
      </c>
      <c r="O81" s="188" t="str">
        <f>IF(ISERROR(getgrade(Broadsheet!O192,data!$H$4:$I$9)),"#",getgrade(Broadsheet!O192,data!$H$4:$I$9))</f>
        <v/>
      </c>
      <c r="P81" s="188" t="str">
        <f>IF(ISERROR(getgrade(Broadsheet!P192,data!$H$4:$I$9)),"#",getgrade(Broadsheet!P192,data!$H$4:$I$9))</f>
        <v/>
      </c>
      <c r="Q81" s="188" t="str">
        <f>IF(ISERROR(getgrade(Broadsheet!Q192,data!$H$4:$I$9)),"#",getgrade(Broadsheet!Q192,data!$H$4:$I$9))</f>
        <v/>
      </c>
      <c r="R81" s="188" t="str">
        <f>IF(ISERROR(getgrade(Broadsheet!R192,data!$H$4:$I$9)),"#",getgrade(Broadsheet!R192,data!$H$4:$I$9))</f>
        <v/>
      </c>
      <c r="S81" s="188" t="str">
        <f>IF(ISERROR(getgrade(Broadsheet!S192,data!$H$4:$I$9)),"#",getgrade(Broadsheet!S192,data!$H$4:$I$9))</f>
        <v/>
      </c>
      <c r="T81" s="188" t="str">
        <f>IF(ISERROR(getgrade(Broadsheet!T192,data!$H$4:$I$9)),"#",getgrade(Broadsheet!T192,data!$H$4:$I$9))</f>
        <v/>
      </c>
      <c r="U81" s="188" t="str">
        <f>IF(ISERROR(getgrade(Broadsheet!U192,data!$H$4:$I$9)),"#",getgrade(Broadsheet!U192,data!$H$4:$I$9))</f>
        <v/>
      </c>
      <c r="V81" s="188" t="str">
        <f>IF(ISERROR(getgrade(Broadsheet!V192,data!$H$4:$I$9)),"#",getgrade(Broadsheet!V192,data!$H$4:$I$9))</f>
        <v/>
      </c>
      <c r="W81" s="188" t="str">
        <f>IF(ISERROR(getgrade(Broadsheet!W192,data!$H$4:$I$9)),"#",getgrade(Broadsheet!W192,data!$H$4:$I$9))</f>
        <v/>
      </c>
      <c r="X81" s="188" t="str">
        <f>IF(ISERROR(getgrade(Broadsheet!X192,data!$H$4:$I$9)),"#",getgrade(Broadsheet!X192,data!$H$4:$I$9))</f>
        <v/>
      </c>
      <c r="Y81" s="188" t="str">
        <f>IF(ISERROR(getgrade(Broadsheet!Y192,data!$H$4:$I$9)),"#",getgrade(Broadsheet!Y192,data!$H$4:$I$9))</f>
        <v/>
      </c>
      <c r="Z81" s="188" t="str">
        <f>IF(ISERROR(getgrade(Broadsheet!Z192,data!$H$4:$I$9)),"#",getgrade(Broadsheet!Z192,data!$H$4:$I$9))</f>
        <v/>
      </c>
      <c r="AA81" s="188" t="str">
        <f>IF(ISERROR(getgrade(Broadsheet!AA192,data!$H$4:$I$9)),"#",getgrade(Broadsheet!AA192,data!$H$4:$I$9))</f>
        <v/>
      </c>
      <c r="AB81" s="188" t="str">
        <f>IF(ISERROR(getgrade(Broadsheet!AB192,data!$H$4:$I$9)),"#",getgrade(Broadsheet!AB192,data!$H$4:$I$9))</f>
        <v/>
      </c>
      <c r="AC81" s="188" t="str">
        <f>IF(ISERROR(getgrade(Broadsheet!AC192,data!$H$4:$I$9)),"#",getgrade(Broadsheet!AC192,data!$H$4:$I$9))</f>
        <v/>
      </c>
      <c r="AD81" s="188" t="str">
        <f>IF(ISERROR(getgrade(Broadsheet!AD192,data!$H$4:$I$9)),"#",getgrade(Broadsheet!AD192,data!$H$4:$I$9))</f>
        <v/>
      </c>
      <c r="AE81" s="188" t="str">
        <f>IF(ISERROR(getgrade(Broadsheet!AE192,data!$H$4:$I$9)),"#",getgrade(Broadsheet!AE192,data!$H$4:$I$9))</f>
        <v/>
      </c>
      <c r="AF81" s="188" t="str">
        <f>IF(ISERROR(getgrade(Broadsheet!AF192,data!$H$4:$I$9)),"#",getgrade(Broadsheet!AF192,data!$H$4:$I$9))</f>
        <v/>
      </c>
      <c r="AG81" s="188" t="str">
        <f>IF(ISERROR(getgrade(Broadsheet!AG192,data!$H$4:$I$9)),"#",getgrade(Broadsheet!AG192,data!$H$4:$I$9))</f>
        <v/>
      </c>
      <c r="AH81" s="188" t="str">
        <f>IF(ISERROR(getgrade(Broadsheet!AH192,data!$H$4:$I$9)),"#",getgrade(Broadsheet!AH192,data!$H$4:$I$9))</f>
        <v/>
      </c>
      <c r="AI81" s="188" t="str">
        <f>IF(ISERROR(getgrade(Broadsheet!AI192,data!$H$4:$I$9)),"#",getgrade(Broadsheet!AI192,data!$H$4:$I$9))</f>
        <v/>
      </c>
      <c r="AJ81" s="188" t="str">
        <f>IF(ISERROR(getgrade(Broadsheet!AJ192,data!$H$4:$I$9)),"#",getgrade(Broadsheet!AJ192,data!$H$4:$I$9))</f>
        <v/>
      </c>
      <c r="AK81" s="188" t="str">
        <f>IF(ISERROR(getgrade(Broadsheet!AK192,data!$H$4:$I$9)),"#",getgrade(Broadsheet!AK192,data!$H$4:$I$9))</f>
        <v/>
      </c>
      <c r="AL81" s="188" t="str">
        <f>IF(ISERROR(getgrade(Broadsheet!AL192,data!$H$4:$I$9)),"#",getgrade(Broadsheet!AL192,data!$H$4:$I$9))</f>
        <v/>
      </c>
      <c r="AM81" s="188" t="str">
        <f>IF(ISERROR(getgrade(Broadsheet!AM192,data!$H$4:$I$9)),"#",getgrade(Broadsheet!AM192,data!$H$4:$I$9))</f>
        <v/>
      </c>
      <c r="AN81" s="188" t="str">
        <f>IF(ISERROR(getgrade(Broadsheet!AN192,data!$H$4:$I$9)),"#",getgrade(Broadsheet!AN192,data!$H$4:$I$9))</f>
        <v/>
      </c>
      <c r="AO81" s="188" t="str">
        <f>IF(ISERROR(getgrade(Broadsheet!AO192,data!$H$4:$I$9)),"#",getgrade(Broadsheet!AO192,data!$H$4:$I$9))</f>
        <v/>
      </c>
      <c r="AP81" s="188" t="str">
        <f>IF(ISERROR(getgrade(Broadsheet!AP192,data!$H$4:$I$9)),"#",getgrade(Broadsheet!AP192,data!$H$4:$I$9))</f>
        <v/>
      </c>
      <c r="AQ81" s="188" t="str">
        <f>IF(ISERROR(getgrade(Broadsheet!AQ192,data!$H$4:$I$9)),"#",getgrade(Broadsheet!AQ192,data!$H$4:$I$9))</f>
        <v/>
      </c>
      <c r="AR81" s="188" t="str">
        <f>IF(ISERROR(getgrade(Broadsheet!AR192,data!$H$4:$I$9)),"#",getgrade(Broadsheet!AR192,data!$H$4:$I$9))</f>
        <v/>
      </c>
      <c r="AS81" s="188" t="str">
        <f>IF(ISERROR(getgrade(Broadsheet!AS192,data!$H$4:$I$9)),"#",getgrade(Broadsheet!AS192,data!$H$4:$I$9))</f>
        <v/>
      </c>
      <c r="AT81" s="188" t="str">
        <f>IF(ISERROR(getgrade(Broadsheet!AT192,data!$H$4:$I$9)),"#",getgrade(Broadsheet!AT192,data!$H$4:$I$9))</f>
        <v/>
      </c>
      <c r="AU81" s="188" t="str">
        <f>IF(ISERROR(getgrade(Broadsheet!AU192,data!$H$4:$I$9)),"#",getgrade(Broadsheet!AU192,data!$H$4:$I$9))</f>
        <v/>
      </c>
      <c r="AV81" s="188" t="str">
        <f>IF(ISERROR(getgrade(Broadsheet!AV192,data!$H$4:$I$9)),"#",getgrade(Broadsheet!AV192,data!$H$4:$I$9))</f>
        <v/>
      </c>
      <c r="AW81" s="188" t="str">
        <f>IF(ISERROR(getgrade(Broadsheet!AW192,data!$H$4:$I$9)),"#",getgrade(Broadsheet!AW192,data!$H$4:$I$9))</f>
        <v/>
      </c>
      <c r="AX81" s="188" t="str">
        <f>IF(ISERROR(getgrade(Broadsheet!AX192,data!$H$4:$I$9)),"#",getgrade(Broadsheet!AX192,data!$H$4:$I$9))</f>
        <v/>
      </c>
      <c r="AY81" s="188" t="str">
        <f>IF(ISERROR(getgrade(Broadsheet!AY192,data!$H$4:$I$9)),"#",getgrade(Broadsheet!AY192,data!$H$4:$I$9))</f>
        <v/>
      </c>
      <c r="AZ81" s="188" t="str">
        <f>IF(ISERROR(getgrade(Broadsheet!AZ192,data!$H$4:$I$9)),"#",getgrade(Broadsheet!AZ192,data!$H$4:$I$9))</f>
        <v/>
      </c>
      <c r="BA81" s="188" t="str">
        <f>IF(ISERROR(getgrade(Broadsheet!BA192,data!$H$4:$I$9)),"#",getgrade(Broadsheet!BA192,data!$H$4:$I$9))</f>
        <v/>
      </c>
      <c r="BB81" s="188" t="str">
        <f>IF(ISERROR(getgrade(Broadsheet!BB192,data!$H$4:$I$9)),"#",getgrade(Broadsheet!BB192,data!$H$4:$I$9))</f>
        <v/>
      </c>
      <c r="BC81" s="188" t="str">
        <f>IF(ISERROR(getgrade(Broadsheet!BC192,data!$H$4:$I$9)),"#",getgrade(Broadsheet!BC192,data!$H$4:$I$9))</f>
        <v/>
      </c>
      <c r="BD81" s="188" t="str">
        <f>IF(ISERROR(getgrade(Broadsheet!BD192,data!$H$4:$I$9)),"#",getgrade(Broadsheet!BD192,data!$H$4:$I$9))</f>
        <v/>
      </c>
      <c r="BE81" s="188" t="str">
        <f>IF(ISERROR(getgrade(Broadsheet!BE192,data!$H$4:$I$9)),"#",getgrade(Broadsheet!BE192,data!$H$4:$I$9))</f>
        <v/>
      </c>
      <c r="BF81" s="188" t="str">
        <f>IF(ISERROR(getgrade(Broadsheet!BF192,data!$H$4:$I$9)),"#",getgrade(Broadsheet!BF192,data!$H$4:$I$9))</f>
        <v/>
      </c>
      <c r="BG81" s="188" t="str">
        <f>IF(ISERROR(getgrade(Broadsheet!BG192,data!$H$4:$I$9)),"#",getgrade(Broadsheet!BG192,data!$H$4:$I$9))</f>
        <v/>
      </c>
      <c r="BH81" s="188" t="str">
        <f>IF(ISERROR(getgrade(Broadsheet!BH192,data!$H$4:$I$9)),"#",getgrade(Broadsheet!BH192,data!$H$4:$I$9))</f>
        <v/>
      </c>
      <c r="BI81" s="188" t="str">
        <f>IF(ISERROR(getgrade(Broadsheet!BI192,data!$H$4:$I$9)),"#",getgrade(Broadsheet!BI192,data!$H$4:$I$9))</f>
        <v/>
      </c>
      <c r="BJ81" s="188" t="str">
        <f>IF(ISERROR(getgrade(Broadsheet!BJ192,data!$H$4:$I$9)),"#",getgrade(Broadsheet!BJ192,data!$H$4:$I$9))</f>
        <v/>
      </c>
      <c r="BK81" s="188"/>
      <c r="BL81" s="188"/>
      <c r="BM81" s="188"/>
      <c r="BN81" s="188"/>
      <c r="BO81" s="188"/>
      <c r="BP81" s="188"/>
      <c r="BQ81" s="188"/>
      <c r="BR81" s="188"/>
      <c r="BS81" s="188"/>
      <c r="BT81" s="188"/>
      <c r="BU81" s="188"/>
      <c r="BV81" s="188"/>
      <c r="BW81" s="188"/>
      <c r="BX81" s="188"/>
      <c r="BY81" s="188"/>
      <c r="BZ81" s="188"/>
      <c r="CA81" s="188"/>
      <c r="CB81" s="188"/>
      <c r="CC81" s="188"/>
      <c r="CD81" s="188"/>
      <c r="CE81" s="188"/>
      <c r="CF81" s="188"/>
      <c r="CG81" s="188"/>
      <c r="CH81" s="188"/>
      <c r="CI81" s="188"/>
      <c r="CJ81" s="188"/>
      <c r="CK81" s="188"/>
      <c r="CL81" s="188"/>
      <c r="CM81" s="188"/>
      <c r="CN81" s="188"/>
      <c r="CO81" s="188"/>
      <c r="CP81" s="188"/>
      <c r="CQ81" s="188"/>
      <c r="CR81" s="188"/>
      <c r="CS81" s="188"/>
      <c r="CT81" s="188"/>
      <c r="CU81" s="188"/>
      <c r="CV81" s="188"/>
      <c r="CW81" s="188"/>
      <c r="CX81" s="188"/>
      <c r="CY81" s="188"/>
      <c r="CZ81" s="188"/>
      <c r="DA81" s="188"/>
      <c r="DB81" s="188"/>
      <c r="DC81" s="188"/>
      <c r="DD81" s="188"/>
      <c r="DE81" s="188"/>
      <c r="DF81" s="188"/>
      <c r="DG81" s="188"/>
      <c r="DH81" s="188"/>
      <c r="DI81" s="188"/>
      <c r="DJ81" s="188"/>
      <c r="DK81" s="188"/>
      <c r="DL81" s="188"/>
      <c r="DM81" s="188"/>
      <c r="DN81" s="188"/>
      <c r="DO81" s="188"/>
      <c r="DP81" s="188"/>
      <c r="DQ81" s="188"/>
      <c r="DR81" s="188"/>
      <c r="DS81" s="188"/>
      <c r="DT81" s="188"/>
      <c r="DU81" s="188"/>
      <c r="DV81" s="188"/>
      <c r="DW81" s="188"/>
      <c r="DX81" s="188"/>
      <c r="DY81" s="188"/>
      <c r="DZ81" s="188"/>
      <c r="EA81" s="188"/>
    </row>
    <row r="82" spans="1:131" ht="15.75" x14ac:dyDescent="0.25">
      <c r="A82" s="12">
        <f>Broadsheet!A193</f>
        <v>0</v>
      </c>
      <c r="B82" s="204" t="str">
        <f>IF(Broadsheet!B82="","",Broadsheet!B82)</f>
        <v/>
      </c>
      <c r="C82" s="24" t="str">
        <f>IF(Broadsheet!C82="","",Broadsheet!C82)</f>
        <v xml:space="preserve"> </v>
      </c>
      <c r="G82" s="24" t="str">
        <f t="shared" si="1"/>
        <v/>
      </c>
      <c r="H82" s="188" t="str">
        <f>IF(ISERROR(getgrade(Broadsheet!H193,data!$H$4:$I$9)),"#",getgrade(Broadsheet!H193,data!$H$4:$I$9))</f>
        <v/>
      </c>
      <c r="I82" s="188" t="str">
        <f>IF(ISERROR(getgrade(Broadsheet!I193,data!$H$4:$I$9)),"#",getgrade(Broadsheet!I193,data!$H$4:$I$9))</f>
        <v/>
      </c>
      <c r="J82" s="188" t="str">
        <f>IF(ISERROR(getgrade(Broadsheet!J193,data!$H$4:$I$9)),"#",getgrade(Broadsheet!J193,data!$H$4:$I$9))</f>
        <v/>
      </c>
      <c r="K82" s="188" t="str">
        <f>IF(ISERROR(getgrade(Broadsheet!K193,data!$H$4:$I$9)),"#",getgrade(Broadsheet!K193,data!$H$4:$I$9))</f>
        <v/>
      </c>
      <c r="L82" s="188" t="str">
        <f>IF(ISERROR(getgrade(Broadsheet!L193,data!$H$4:$I$9)),"#",getgrade(Broadsheet!L193,data!$H$4:$I$9))</f>
        <v/>
      </c>
      <c r="M82" s="188" t="str">
        <f>IF(ISERROR(getgrade(Broadsheet!M193,data!$H$4:$I$9)),"#",getgrade(Broadsheet!M193,data!$H$4:$I$9))</f>
        <v/>
      </c>
      <c r="N82" s="188" t="str">
        <f>IF(ISERROR(getgrade(Broadsheet!N193,data!$H$4:$I$9)),"#",getgrade(Broadsheet!N193,data!$H$4:$I$9))</f>
        <v/>
      </c>
      <c r="O82" s="188" t="str">
        <f>IF(ISERROR(getgrade(Broadsheet!O193,data!$H$4:$I$9)),"#",getgrade(Broadsheet!O193,data!$H$4:$I$9))</f>
        <v/>
      </c>
      <c r="P82" s="188" t="str">
        <f>IF(ISERROR(getgrade(Broadsheet!P193,data!$H$4:$I$9)),"#",getgrade(Broadsheet!P193,data!$H$4:$I$9))</f>
        <v/>
      </c>
      <c r="Q82" s="188" t="str">
        <f>IF(ISERROR(getgrade(Broadsheet!Q193,data!$H$4:$I$9)),"#",getgrade(Broadsheet!Q193,data!$H$4:$I$9))</f>
        <v/>
      </c>
      <c r="R82" s="188" t="str">
        <f>IF(ISERROR(getgrade(Broadsheet!R193,data!$H$4:$I$9)),"#",getgrade(Broadsheet!R193,data!$H$4:$I$9))</f>
        <v/>
      </c>
      <c r="S82" s="188" t="str">
        <f>IF(ISERROR(getgrade(Broadsheet!S193,data!$H$4:$I$9)),"#",getgrade(Broadsheet!S193,data!$H$4:$I$9))</f>
        <v/>
      </c>
      <c r="T82" s="188" t="str">
        <f>IF(ISERROR(getgrade(Broadsheet!T193,data!$H$4:$I$9)),"#",getgrade(Broadsheet!T193,data!$H$4:$I$9))</f>
        <v/>
      </c>
      <c r="U82" s="188" t="str">
        <f>IF(ISERROR(getgrade(Broadsheet!U193,data!$H$4:$I$9)),"#",getgrade(Broadsheet!U193,data!$H$4:$I$9))</f>
        <v/>
      </c>
      <c r="V82" s="188" t="str">
        <f>IF(ISERROR(getgrade(Broadsheet!V193,data!$H$4:$I$9)),"#",getgrade(Broadsheet!V193,data!$H$4:$I$9))</f>
        <v/>
      </c>
      <c r="W82" s="188" t="str">
        <f>IF(ISERROR(getgrade(Broadsheet!W193,data!$H$4:$I$9)),"#",getgrade(Broadsheet!W193,data!$H$4:$I$9))</f>
        <v/>
      </c>
      <c r="X82" s="188" t="str">
        <f>IF(ISERROR(getgrade(Broadsheet!X193,data!$H$4:$I$9)),"#",getgrade(Broadsheet!X193,data!$H$4:$I$9))</f>
        <v/>
      </c>
      <c r="Y82" s="188" t="str">
        <f>IF(ISERROR(getgrade(Broadsheet!Y193,data!$H$4:$I$9)),"#",getgrade(Broadsheet!Y193,data!$H$4:$I$9))</f>
        <v/>
      </c>
      <c r="Z82" s="188" t="str">
        <f>IF(ISERROR(getgrade(Broadsheet!Z193,data!$H$4:$I$9)),"#",getgrade(Broadsheet!Z193,data!$H$4:$I$9))</f>
        <v/>
      </c>
      <c r="AA82" s="188" t="str">
        <f>IF(ISERROR(getgrade(Broadsheet!AA193,data!$H$4:$I$9)),"#",getgrade(Broadsheet!AA193,data!$H$4:$I$9))</f>
        <v/>
      </c>
      <c r="AB82" s="188" t="str">
        <f>IF(ISERROR(getgrade(Broadsheet!AB193,data!$H$4:$I$9)),"#",getgrade(Broadsheet!AB193,data!$H$4:$I$9))</f>
        <v/>
      </c>
      <c r="AC82" s="188" t="str">
        <f>IF(ISERROR(getgrade(Broadsheet!AC193,data!$H$4:$I$9)),"#",getgrade(Broadsheet!AC193,data!$H$4:$I$9))</f>
        <v/>
      </c>
      <c r="AD82" s="188" t="str">
        <f>IF(ISERROR(getgrade(Broadsheet!AD193,data!$H$4:$I$9)),"#",getgrade(Broadsheet!AD193,data!$H$4:$I$9))</f>
        <v/>
      </c>
      <c r="AE82" s="188" t="str">
        <f>IF(ISERROR(getgrade(Broadsheet!AE193,data!$H$4:$I$9)),"#",getgrade(Broadsheet!AE193,data!$H$4:$I$9))</f>
        <v/>
      </c>
      <c r="AF82" s="188" t="str">
        <f>IF(ISERROR(getgrade(Broadsheet!AF193,data!$H$4:$I$9)),"#",getgrade(Broadsheet!AF193,data!$H$4:$I$9))</f>
        <v/>
      </c>
      <c r="AG82" s="188" t="str">
        <f>IF(ISERROR(getgrade(Broadsheet!AG193,data!$H$4:$I$9)),"#",getgrade(Broadsheet!AG193,data!$H$4:$I$9))</f>
        <v/>
      </c>
      <c r="AH82" s="188" t="str">
        <f>IF(ISERROR(getgrade(Broadsheet!AH193,data!$H$4:$I$9)),"#",getgrade(Broadsheet!AH193,data!$H$4:$I$9))</f>
        <v/>
      </c>
      <c r="AI82" s="188" t="str">
        <f>IF(ISERROR(getgrade(Broadsheet!AI193,data!$H$4:$I$9)),"#",getgrade(Broadsheet!AI193,data!$H$4:$I$9))</f>
        <v/>
      </c>
      <c r="AJ82" s="188" t="str">
        <f>IF(ISERROR(getgrade(Broadsheet!AJ193,data!$H$4:$I$9)),"#",getgrade(Broadsheet!AJ193,data!$H$4:$I$9))</f>
        <v/>
      </c>
      <c r="AK82" s="188" t="str">
        <f>IF(ISERROR(getgrade(Broadsheet!AK193,data!$H$4:$I$9)),"#",getgrade(Broadsheet!AK193,data!$H$4:$I$9))</f>
        <v/>
      </c>
      <c r="AL82" s="188" t="str">
        <f>IF(ISERROR(getgrade(Broadsheet!AL193,data!$H$4:$I$9)),"#",getgrade(Broadsheet!AL193,data!$H$4:$I$9))</f>
        <v/>
      </c>
      <c r="AM82" s="188" t="str">
        <f>IF(ISERROR(getgrade(Broadsheet!AM193,data!$H$4:$I$9)),"#",getgrade(Broadsheet!AM193,data!$H$4:$I$9))</f>
        <v/>
      </c>
      <c r="AN82" s="188" t="str">
        <f>IF(ISERROR(getgrade(Broadsheet!AN193,data!$H$4:$I$9)),"#",getgrade(Broadsheet!AN193,data!$H$4:$I$9))</f>
        <v/>
      </c>
      <c r="AO82" s="188" t="str">
        <f>IF(ISERROR(getgrade(Broadsheet!AO193,data!$H$4:$I$9)),"#",getgrade(Broadsheet!AO193,data!$H$4:$I$9))</f>
        <v/>
      </c>
      <c r="AP82" s="188" t="str">
        <f>IF(ISERROR(getgrade(Broadsheet!AP193,data!$H$4:$I$9)),"#",getgrade(Broadsheet!AP193,data!$H$4:$I$9))</f>
        <v/>
      </c>
      <c r="AQ82" s="188" t="str">
        <f>IF(ISERROR(getgrade(Broadsheet!AQ193,data!$H$4:$I$9)),"#",getgrade(Broadsheet!AQ193,data!$H$4:$I$9))</f>
        <v/>
      </c>
      <c r="AR82" s="188" t="str">
        <f>IF(ISERROR(getgrade(Broadsheet!AR193,data!$H$4:$I$9)),"#",getgrade(Broadsheet!AR193,data!$H$4:$I$9))</f>
        <v/>
      </c>
      <c r="AS82" s="188" t="str">
        <f>IF(ISERROR(getgrade(Broadsheet!AS193,data!$H$4:$I$9)),"#",getgrade(Broadsheet!AS193,data!$H$4:$I$9))</f>
        <v/>
      </c>
      <c r="AT82" s="188" t="str">
        <f>IF(ISERROR(getgrade(Broadsheet!AT193,data!$H$4:$I$9)),"#",getgrade(Broadsheet!AT193,data!$H$4:$I$9))</f>
        <v/>
      </c>
      <c r="AU82" s="188" t="str">
        <f>IF(ISERROR(getgrade(Broadsheet!AU193,data!$H$4:$I$9)),"#",getgrade(Broadsheet!AU193,data!$H$4:$I$9))</f>
        <v/>
      </c>
      <c r="AV82" s="188" t="str">
        <f>IF(ISERROR(getgrade(Broadsheet!AV193,data!$H$4:$I$9)),"#",getgrade(Broadsheet!AV193,data!$H$4:$I$9))</f>
        <v/>
      </c>
      <c r="AW82" s="188" t="str">
        <f>IF(ISERROR(getgrade(Broadsheet!AW193,data!$H$4:$I$9)),"#",getgrade(Broadsheet!AW193,data!$H$4:$I$9))</f>
        <v/>
      </c>
      <c r="AX82" s="188" t="str">
        <f>IF(ISERROR(getgrade(Broadsheet!AX193,data!$H$4:$I$9)),"#",getgrade(Broadsheet!AX193,data!$H$4:$I$9))</f>
        <v/>
      </c>
      <c r="AY82" s="188" t="str">
        <f>IF(ISERROR(getgrade(Broadsheet!AY193,data!$H$4:$I$9)),"#",getgrade(Broadsheet!AY193,data!$H$4:$I$9))</f>
        <v/>
      </c>
      <c r="AZ82" s="188" t="str">
        <f>IF(ISERROR(getgrade(Broadsheet!AZ193,data!$H$4:$I$9)),"#",getgrade(Broadsheet!AZ193,data!$H$4:$I$9))</f>
        <v/>
      </c>
      <c r="BA82" s="188" t="str">
        <f>IF(ISERROR(getgrade(Broadsheet!BA193,data!$H$4:$I$9)),"#",getgrade(Broadsheet!BA193,data!$H$4:$I$9))</f>
        <v/>
      </c>
      <c r="BB82" s="188" t="str">
        <f>IF(ISERROR(getgrade(Broadsheet!BB193,data!$H$4:$I$9)),"#",getgrade(Broadsheet!BB193,data!$H$4:$I$9))</f>
        <v/>
      </c>
      <c r="BC82" s="188" t="str">
        <f>IF(ISERROR(getgrade(Broadsheet!BC193,data!$H$4:$I$9)),"#",getgrade(Broadsheet!BC193,data!$H$4:$I$9))</f>
        <v/>
      </c>
      <c r="BD82" s="188" t="str">
        <f>IF(ISERROR(getgrade(Broadsheet!BD193,data!$H$4:$I$9)),"#",getgrade(Broadsheet!BD193,data!$H$4:$I$9))</f>
        <v/>
      </c>
      <c r="BE82" s="188" t="str">
        <f>IF(ISERROR(getgrade(Broadsheet!BE193,data!$H$4:$I$9)),"#",getgrade(Broadsheet!BE193,data!$H$4:$I$9))</f>
        <v/>
      </c>
      <c r="BF82" s="188" t="str">
        <f>IF(ISERROR(getgrade(Broadsheet!BF193,data!$H$4:$I$9)),"#",getgrade(Broadsheet!BF193,data!$H$4:$I$9))</f>
        <v/>
      </c>
      <c r="BG82" s="188" t="str">
        <f>IF(ISERROR(getgrade(Broadsheet!BG193,data!$H$4:$I$9)),"#",getgrade(Broadsheet!BG193,data!$H$4:$I$9))</f>
        <v/>
      </c>
      <c r="BH82" s="188" t="str">
        <f>IF(ISERROR(getgrade(Broadsheet!BH193,data!$H$4:$I$9)),"#",getgrade(Broadsheet!BH193,data!$H$4:$I$9))</f>
        <v/>
      </c>
      <c r="BI82" s="188" t="str">
        <f>IF(ISERROR(getgrade(Broadsheet!BI193,data!$H$4:$I$9)),"#",getgrade(Broadsheet!BI193,data!$H$4:$I$9))</f>
        <v/>
      </c>
      <c r="BJ82" s="188" t="str">
        <f>IF(ISERROR(getgrade(Broadsheet!BJ193,data!$H$4:$I$9)),"#",getgrade(Broadsheet!BJ193,data!$H$4:$I$9))</f>
        <v/>
      </c>
      <c r="BK82" s="188"/>
      <c r="BL82" s="188"/>
      <c r="BM82" s="188"/>
      <c r="BN82" s="188"/>
      <c r="BO82" s="188"/>
      <c r="BP82" s="188"/>
      <c r="BQ82" s="188"/>
      <c r="BR82" s="188"/>
      <c r="BS82" s="188"/>
      <c r="BT82" s="188"/>
      <c r="BU82" s="188"/>
      <c r="BV82" s="188"/>
      <c r="BW82" s="188"/>
      <c r="BX82" s="188"/>
      <c r="BY82" s="188"/>
      <c r="BZ82" s="188"/>
      <c r="CA82" s="188"/>
      <c r="CB82" s="188"/>
      <c r="CC82" s="188"/>
      <c r="CD82" s="188"/>
      <c r="CE82" s="188"/>
      <c r="CF82" s="188"/>
      <c r="CG82" s="188"/>
      <c r="CH82" s="188"/>
      <c r="CI82" s="188"/>
      <c r="CJ82" s="188"/>
      <c r="CK82" s="188"/>
      <c r="CL82" s="188"/>
      <c r="CM82" s="188"/>
      <c r="CN82" s="188"/>
      <c r="CO82" s="188"/>
      <c r="CP82" s="188"/>
      <c r="CQ82" s="188"/>
      <c r="CR82" s="188"/>
      <c r="CS82" s="188"/>
      <c r="CT82" s="188"/>
      <c r="CU82" s="188"/>
      <c r="CV82" s="188"/>
      <c r="CW82" s="188"/>
      <c r="CX82" s="188"/>
      <c r="CY82" s="188"/>
      <c r="CZ82" s="188"/>
      <c r="DA82" s="188"/>
      <c r="DB82" s="188"/>
      <c r="DC82" s="188"/>
      <c r="DD82" s="188"/>
      <c r="DE82" s="188"/>
      <c r="DF82" s="188"/>
      <c r="DG82" s="188"/>
      <c r="DH82" s="188"/>
      <c r="DI82" s="188"/>
      <c r="DJ82" s="188"/>
      <c r="DK82" s="188"/>
      <c r="DL82" s="188"/>
      <c r="DM82" s="188"/>
      <c r="DN82" s="188"/>
      <c r="DO82" s="188"/>
      <c r="DP82" s="188"/>
      <c r="DQ82" s="188"/>
      <c r="DR82" s="188"/>
      <c r="DS82" s="188"/>
      <c r="DT82" s="188"/>
      <c r="DU82" s="188"/>
      <c r="DV82" s="188"/>
      <c r="DW82" s="188"/>
      <c r="DX82" s="188"/>
      <c r="DY82" s="188"/>
      <c r="DZ82" s="188"/>
      <c r="EA82" s="188"/>
    </row>
    <row r="83" spans="1:131" ht="15.75" x14ac:dyDescent="0.25">
      <c r="A83" s="12">
        <f>Broadsheet!A194</f>
        <v>0</v>
      </c>
      <c r="B83" s="204" t="str">
        <f>IF(Broadsheet!B83="","",Broadsheet!B83)</f>
        <v/>
      </c>
      <c r="C83" s="24" t="str">
        <f>IF(Broadsheet!C83="","",Broadsheet!C83)</f>
        <v xml:space="preserve"> </v>
      </c>
      <c r="G83" s="24" t="str">
        <f t="shared" si="1"/>
        <v/>
      </c>
      <c r="H83" s="188" t="str">
        <f>IF(ISERROR(getgrade(Broadsheet!H194,data!$H$4:$I$9)),"#",getgrade(Broadsheet!H194,data!$H$4:$I$9))</f>
        <v/>
      </c>
      <c r="I83" s="188" t="str">
        <f>IF(ISERROR(getgrade(Broadsheet!I194,data!$H$4:$I$9)),"#",getgrade(Broadsheet!I194,data!$H$4:$I$9))</f>
        <v/>
      </c>
      <c r="J83" s="188" t="str">
        <f>IF(ISERROR(getgrade(Broadsheet!J194,data!$H$4:$I$9)),"#",getgrade(Broadsheet!J194,data!$H$4:$I$9))</f>
        <v/>
      </c>
      <c r="K83" s="188" t="str">
        <f>IF(ISERROR(getgrade(Broadsheet!K194,data!$H$4:$I$9)),"#",getgrade(Broadsheet!K194,data!$H$4:$I$9))</f>
        <v/>
      </c>
      <c r="L83" s="188" t="str">
        <f>IF(ISERROR(getgrade(Broadsheet!L194,data!$H$4:$I$9)),"#",getgrade(Broadsheet!L194,data!$H$4:$I$9))</f>
        <v/>
      </c>
      <c r="M83" s="188" t="str">
        <f>IF(ISERROR(getgrade(Broadsheet!M194,data!$H$4:$I$9)),"#",getgrade(Broadsheet!M194,data!$H$4:$I$9))</f>
        <v/>
      </c>
      <c r="N83" s="188" t="str">
        <f>IF(ISERROR(getgrade(Broadsheet!N194,data!$H$4:$I$9)),"#",getgrade(Broadsheet!N194,data!$H$4:$I$9))</f>
        <v/>
      </c>
      <c r="O83" s="188" t="str">
        <f>IF(ISERROR(getgrade(Broadsheet!O194,data!$H$4:$I$9)),"#",getgrade(Broadsheet!O194,data!$H$4:$I$9))</f>
        <v/>
      </c>
      <c r="P83" s="188" t="str">
        <f>IF(ISERROR(getgrade(Broadsheet!P194,data!$H$4:$I$9)),"#",getgrade(Broadsheet!P194,data!$H$4:$I$9))</f>
        <v/>
      </c>
      <c r="Q83" s="188" t="str">
        <f>IF(ISERROR(getgrade(Broadsheet!Q194,data!$H$4:$I$9)),"#",getgrade(Broadsheet!Q194,data!$H$4:$I$9))</f>
        <v/>
      </c>
      <c r="R83" s="188" t="str">
        <f>IF(ISERROR(getgrade(Broadsheet!R194,data!$H$4:$I$9)),"#",getgrade(Broadsheet!R194,data!$H$4:$I$9))</f>
        <v/>
      </c>
      <c r="S83" s="188" t="str">
        <f>IF(ISERROR(getgrade(Broadsheet!S194,data!$H$4:$I$9)),"#",getgrade(Broadsheet!S194,data!$H$4:$I$9))</f>
        <v/>
      </c>
      <c r="T83" s="188" t="str">
        <f>IF(ISERROR(getgrade(Broadsheet!T194,data!$H$4:$I$9)),"#",getgrade(Broadsheet!T194,data!$H$4:$I$9))</f>
        <v/>
      </c>
      <c r="U83" s="188" t="str">
        <f>IF(ISERROR(getgrade(Broadsheet!U194,data!$H$4:$I$9)),"#",getgrade(Broadsheet!U194,data!$H$4:$I$9))</f>
        <v/>
      </c>
      <c r="V83" s="188" t="str">
        <f>IF(ISERROR(getgrade(Broadsheet!V194,data!$H$4:$I$9)),"#",getgrade(Broadsheet!V194,data!$H$4:$I$9))</f>
        <v/>
      </c>
      <c r="W83" s="188" t="str">
        <f>IF(ISERROR(getgrade(Broadsheet!W194,data!$H$4:$I$9)),"#",getgrade(Broadsheet!W194,data!$H$4:$I$9))</f>
        <v/>
      </c>
      <c r="X83" s="188" t="str">
        <f>IF(ISERROR(getgrade(Broadsheet!X194,data!$H$4:$I$9)),"#",getgrade(Broadsheet!X194,data!$H$4:$I$9))</f>
        <v/>
      </c>
      <c r="Y83" s="188" t="str">
        <f>IF(ISERROR(getgrade(Broadsheet!Y194,data!$H$4:$I$9)),"#",getgrade(Broadsheet!Y194,data!$H$4:$I$9))</f>
        <v/>
      </c>
      <c r="Z83" s="188" t="str">
        <f>IF(ISERROR(getgrade(Broadsheet!Z194,data!$H$4:$I$9)),"#",getgrade(Broadsheet!Z194,data!$H$4:$I$9))</f>
        <v/>
      </c>
      <c r="AA83" s="188" t="str">
        <f>IF(ISERROR(getgrade(Broadsheet!AA194,data!$H$4:$I$9)),"#",getgrade(Broadsheet!AA194,data!$H$4:$I$9))</f>
        <v/>
      </c>
      <c r="AB83" s="188" t="str">
        <f>IF(ISERROR(getgrade(Broadsheet!AB194,data!$H$4:$I$9)),"#",getgrade(Broadsheet!AB194,data!$H$4:$I$9))</f>
        <v/>
      </c>
      <c r="AC83" s="188" t="str">
        <f>IF(ISERROR(getgrade(Broadsheet!AC194,data!$H$4:$I$9)),"#",getgrade(Broadsheet!AC194,data!$H$4:$I$9))</f>
        <v/>
      </c>
      <c r="AD83" s="188" t="str">
        <f>IF(ISERROR(getgrade(Broadsheet!AD194,data!$H$4:$I$9)),"#",getgrade(Broadsheet!AD194,data!$H$4:$I$9))</f>
        <v/>
      </c>
      <c r="AE83" s="188" t="str">
        <f>IF(ISERROR(getgrade(Broadsheet!AE194,data!$H$4:$I$9)),"#",getgrade(Broadsheet!AE194,data!$H$4:$I$9))</f>
        <v/>
      </c>
      <c r="AF83" s="188" t="str">
        <f>IF(ISERROR(getgrade(Broadsheet!AF194,data!$H$4:$I$9)),"#",getgrade(Broadsheet!AF194,data!$H$4:$I$9))</f>
        <v/>
      </c>
      <c r="AG83" s="188" t="str">
        <f>IF(ISERROR(getgrade(Broadsheet!AG194,data!$H$4:$I$9)),"#",getgrade(Broadsheet!AG194,data!$H$4:$I$9))</f>
        <v/>
      </c>
      <c r="AH83" s="188" t="str">
        <f>IF(ISERROR(getgrade(Broadsheet!AH194,data!$H$4:$I$9)),"#",getgrade(Broadsheet!AH194,data!$H$4:$I$9))</f>
        <v/>
      </c>
      <c r="AI83" s="188" t="str">
        <f>IF(ISERROR(getgrade(Broadsheet!AI194,data!$H$4:$I$9)),"#",getgrade(Broadsheet!AI194,data!$H$4:$I$9))</f>
        <v/>
      </c>
      <c r="AJ83" s="188" t="str">
        <f>IF(ISERROR(getgrade(Broadsheet!AJ194,data!$H$4:$I$9)),"#",getgrade(Broadsheet!AJ194,data!$H$4:$I$9))</f>
        <v/>
      </c>
      <c r="AK83" s="188" t="str">
        <f>IF(ISERROR(getgrade(Broadsheet!AK194,data!$H$4:$I$9)),"#",getgrade(Broadsheet!AK194,data!$H$4:$I$9))</f>
        <v/>
      </c>
      <c r="AL83" s="188" t="str">
        <f>IF(ISERROR(getgrade(Broadsheet!AL194,data!$H$4:$I$9)),"#",getgrade(Broadsheet!AL194,data!$H$4:$I$9))</f>
        <v/>
      </c>
      <c r="AM83" s="188" t="str">
        <f>IF(ISERROR(getgrade(Broadsheet!AM194,data!$H$4:$I$9)),"#",getgrade(Broadsheet!AM194,data!$H$4:$I$9))</f>
        <v/>
      </c>
      <c r="AN83" s="188" t="str">
        <f>IF(ISERROR(getgrade(Broadsheet!AN194,data!$H$4:$I$9)),"#",getgrade(Broadsheet!AN194,data!$H$4:$I$9))</f>
        <v/>
      </c>
      <c r="AO83" s="188" t="str">
        <f>IF(ISERROR(getgrade(Broadsheet!AO194,data!$H$4:$I$9)),"#",getgrade(Broadsheet!AO194,data!$H$4:$I$9))</f>
        <v/>
      </c>
      <c r="AP83" s="188" t="str">
        <f>IF(ISERROR(getgrade(Broadsheet!AP194,data!$H$4:$I$9)),"#",getgrade(Broadsheet!AP194,data!$H$4:$I$9))</f>
        <v/>
      </c>
      <c r="AQ83" s="188" t="str">
        <f>IF(ISERROR(getgrade(Broadsheet!AQ194,data!$H$4:$I$9)),"#",getgrade(Broadsheet!AQ194,data!$H$4:$I$9))</f>
        <v/>
      </c>
      <c r="AR83" s="188" t="str">
        <f>IF(ISERROR(getgrade(Broadsheet!AR194,data!$H$4:$I$9)),"#",getgrade(Broadsheet!AR194,data!$H$4:$I$9))</f>
        <v/>
      </c>
      <c r="AS83" s="188" t="str">
        <f>IF(ISERROR(getgrade(Broadsheet!AS194,data!$H$4:$I$9)),"#",getgrade(Broadsheet!AS194,data!$H$4:$I$9))</f>
        <v/>
      </c>
      <c r="AT83" s="188" t="str">
        <f>IF(ISERROR(getgrade(Broadsheet!AT194,data!$H$4:$I$9)),"#",getgrade(Broadsheet!AT194,data!$H$4:$I$9))</f>
        <v/>
      </c>
      <c r="AU83" s="188" t="str">
        <f>IF(ISERROR(getgrade(Broadsheet!AU194,data!$H$4:$I$9)),"#",getgrade(Broadsheet!AU194,data!$H$4:$I$9))</f>
        <v/>
      </c>
      <c r="AV83" s="188" t="str">
        <f>IF(ISERROR(getgrade(Broadsheet!AV194,data!$H$4:$I$9)),"#",getgrade(Broadsheet!AV194,data!$H$4:$I$9))</f>
        <v/>
      </c>
      <c r="AW83" s="188" t="str">
        <f>IF(ISERROR(getgrade(Broadsheet!AW194,data!$H$4:$I$9)),"#",getgrade(Broadsheet!AW194,data!$H$4:$I$9))</f>
        <v/>
      </c>
      <c r="AX83" s="188" t="str">
        <f>IF(ISERROR(getgrade(Broadsheet!AX194,data!$H$4:$I$9)),"#",getgrade(Broadsheet!AX194,data!$H$4:$I$9))</f>
        <v/>
      </c>
      <c r="AY83" s="188" t="str">
        <f>IF(ISERROR(getgrade(Broadsheet!AY194,data!$H$4:$I$9)),"#",getgrade(Broadsheet!AY194,data!$H$4:$I$9))</f>
        <v/>
      </c>
      <c r="AZ83" s="188" t="str">
        <f>IF(ISERROR(getgrade(Broadsheet!AZ194,data!$H$4:$I$9)),"#",getgrade(Broadsheet!AZ194,data!$H$4:$I$9))</f>
        <v/>
      </c>
      <c r="BA83" s="188" t="str">
        <f>IF(ISERROR(getgrade(Broadsheet!BA194,data!$H$4:$I$9)),"#",getgrade(Broadsheet!BA194,data!$H$4:$I$9))</f>
        <v/>
      </c>
      <c r="BB83" s="188" t="str">
        <f>IF(ISERROR(getgrade(Broadsheet!BB194,data!$H$4:$I$9)),"#",getgrade(Broadsheet!BB194,data!$H$4:$I$9))</f>
        <v/>
      </c>
      <c r="BC83" s="188" t="str">
        <f>IF(ISERROR(getgrade(Broadsheet!BC194,data!$H$4:$I$9)),"#",getgrade(Broadsheet!BC194,data!$H$4:$I$9))</f>
        <v/>
      </c>
      <c r="BD83" s="188" t="str">
        <f>IF(ISERROR(getgrade(Broadsheet!BD194,data!$H$4:$I$9)),"#",getgrade(Broadsheet!BD194,data!$H$4:$I$9))</f>
        <v/>
      </c>
      <c r="BE83" s="188" t="str">
        <f>IF(ISERROR(getgrade(Broadsheet!BE194,data!$H$4:$I$9)),"#",getgrade(Broadsheet!BE194,data!$H$4:$I$9))</f>
        <v/>
      </c>
      <c r="BF83" s="188" t="str">
        <f>IF(ISERROR(getgrade(Broadsheet!BF194,data!$H$4:$I$9)),"#",getgrade(Broadsheet!BF194,data!$H$4:$I$9))</f>
        <v/>
      </c>
      <c r="BG83" s="188" t="str">
        <f>IF(ISERROR(getgrade(Broadsheet!BG194,data!$H$4:$I$9)),"#",getgrade(Broadsheet!BG194,data!$H$4:$I$9))</f>
        <v/>
      </c>
      <c r="BH83" s="188" t="str">
        <f>IF(ISERROR(getgrade(Broadsheet!BH194,data!$H$4:$I$9)),"#",getgrade(Broadsheet!BH194,data!$H$4:$I$9))</f>
        <v/>
      </c>
      <c r="BI83" s="188" t="str">
        <f>IF(ISERROR(getgrade(Broadsheet!BI194,data!$H$4:$I$9)),"#",getgrade(Broadsheet!BI194,data!$H$4:$I$9))</f>
        <v/>
      </c>
      <c r="BJ83" s="188" t="str">
        <f>IF(ISERROR(getgrade(Broadsheet!BJ194,data!$H$4:$I$9)),"#",getgrade(Broadsheet!BJ194,data!$H$4:$I$9))</f>
        <v/>
      </c>
      <c r="BK83" s="188"/>
      <c r="BL83" s="188"/>
      <c r="BM83" s="188"/>
      <c r="BN83" s="188"/>
      <c r="BO83" s="188"/>
      <c r="BP83" s="188"/>
      <c r="BQ83" s="188"/>
      <c r="BR83" s="188"/>
      <c r="BS83" s="188"/>
      <c r="BT83" s="188"/>
      <c r="BU83" s="188"/>
      <c r="BV83" s="188"/>
      <c r="BW83" s="188"/>
      <c r="BX83" s="188"/>
      <c r="BY83" s="188"/>
      <c r="BZ83" s="188"/>
      <c r="CA83" s="188"/>
      <c r="CB83" s="188"/>
      <c r="CC83" s="188"/>
      <c r="CD83" s="188"/>
      <c r="CE83" s="188"/>
      <c r="CF83" s="188"/>
      <c r="CG83" s="188"/>
      <c r="CH83" s="188"/>
      <c r="CI83" s="188"/>
      <c r="CJ83" s="188"/>
      <c r="CK83" s="188"/>
      <c r="CL83" s="188"/>
      <c r="CM83" s="188"/>
      <c r="CN83" s="188"/>
      <c r="CO83" s="188"/>
      <c r="CP83" s="188"/>
      <c r="CQ83" s="188"/>
      <c r="CR83" s="188"/>
      <c r="CS83" s="188"/>
      <c r="CT83" s="188"/>
      <c r="CU83" s="188"/>
      <c r="CV83" s="188"/>
      <c r="CW83" s="188"/>
      <c r="CX83" s="188"/>
      <c r="CY83" s="188"/>
      <c r="CZ83" s="188"/>
      <c r="DA83" s="188"/>
      <c r="DB83" s="188"/>
      <c r="DC83" s="188"/>
      <c r="DD83" s="188"/>
      <c r="DE83" s="188"/>
      <c r="DF83" s="188"/>
      <c r="DG83" s="188"/>
      <c r="DH83" s="188"/>
      <c r="DI83" s="188"/>
      <c r="DJ83" s="188"/>
      <c r="DK83" s="188"/>
      <c r="DL83" s="188"/>
      <c r="DM83" s="188"/>
      <c r="DN83" s="188"/>
      <c r="DO83" s="188"/>
      <c r="DP83" s="188"/>
      <c r="DQ83" s="188"/>
      <c r="DR83" s="188"/>
      <c r="DS83" s="188"/>
      <c r="DT83" s="188"/>
      <c r="DU83" s="188"/>
      <c r="DV83" s="188"/>
      <c r="DW83" s="188"/>
      <c r="DX83" s="188"/>
      <c r="DY83" s="188"/>
      <c r="DZ83" s="188"/>
      <c r="EA83" s="188"/>
    </row>
    <row r="84" spans="1:131" ht="15.75" x14ac:dyDescent="0.25">
      <c r="A84" s="12">
        <f>Broadsheet!A195</f>
        <v>0</v>
      </c>
      <c r="B84" s="204" t="str">
        <f>IF(Broadsheet!B84="","",Broadsheet!B84)</f>
        <v/>
      </c>
      <c r="C84" s="24" t="str">
        <f>IF(Broadsheet!C84="","",Broadsheet!C84)</f>
        <v xml:space="preserve"> </v>
      </c>
      <c r="G84" s="24" t="str">
        <f t="shared" si="1"/>
        <v/>
      </c>
      <c r="H84" s="188" t="str">
        <f>IF(ISERROR(getgrade(Broadsheet!H195,data!$H$4:$I$9)),"#",getgrade(Broadsheet!H195,data!$H$4:$I$9))</f>
        <v/>
      </c>
      <c r="I84" s="188" t="str">
        <f>IF(ISERROR(getgrade(Broadsheet!I195,data!$H$4:$I$9)),"#",getgrade(Broadsheet!I195,data!$H$4:$I$9))</f>
        <v/>
      </c>
      <c r="J84" s="188" t="str">
        <f>IF(ISERROR(getgrade(Broadsheet!J195,data!$H$4:$I$9)),"#",getgrade(Broadsheet!J195,data!$H$4:$I$9))</f>
        <v/>
      </c>
      <c r="K84" s="188" t="str">
        <f>IF(ISERROR(getgrade(Broadsheet!K195,data!$H$4:$I$9)),"#",getgrade(Broadsheet!K195,data!$H$4:$I$9))</f>
        <v/>
      </c>
      <c r="L84" s="188" t="str">
        <f>IF(ISERROR(getgrade(Broadsheet!L195,data!$H$4:$I$9)),"#",getgrade(Broadsheet!L195,data!$H$4:$I$9))</f>
        <v/>
      </c>
      <c r="M84" s="188" t="str">
        <f>IF(ISERROR(getgrade(Broadsheet!M195,data!$H$4:$I$9)),"#",getgrade(Broadsheet!M195,data!$H$4:$I$9))</f>
        <v/>
      </c>
      <c r="N84" s="188" t="str">
        <f>IF(ISERROR(getgrade(Broadsheet!N195,data!$H$4:$I$9)),"#",getgrade(Broadsheet!N195,data!$H$4:$I$9))</f>
        <v/>
      </c>
      <c r="O84" s="188" t="str">
        <f>IF(ISERROR(getgrade(Broadsheet!O195,data!$H$4:$I$9)),"#",getgrade(Broadsheet!O195,data!$H$4:$I$9))</f>
        <v/>
      </c>
      <c r="P84" s="188" t="str">
        <f>IF(ISERROR(getgrade(Broadsheet!P195,data!$H$4:$I$9)),"#",getgrade(Broadsheet!P195,data!$H$4:$I$9))</f>
        <v/>
      </c>
      <c r="Q84" s="188" t="str">
        <f>IF(ISERROR(getgrade(Broadsheet!Q195,data!$H$4:$I$9)),"#",getgrade(Broadsheet!Q195,data!$H$4:$I$9))</f>
        <v/>
      </c>
      <c r="R84" s="188" t="str">
        <f>IF(ISERROR(getgrade(Broadsheet!R195,data!$H$4:$I$9)),"#",getgrade(Broadsheet!R195,data!$H$4:$I$9))</f>
        <v/>
      </c>
      <c r="S84" s="188" t="str">
        <f>IF(ISERROR(getgrade(Broadsheet!S195,data!$H$4:$I$9)),"#",getgrade(Broadsheet!S195,data!$H$4:$I$9))</f>
        <v/>
      </c>
      <c r="T84" s="188" t="str">
        <f>IF(ISERROR(getgrade(Broadsheet!T195,data!$H$4:$I$9)),"#",getgrade(Broadsheet!T195,data!$H$4:$I$9))</f>
        <v/>
      </c>
      <c r="U84" s="188" t="str">
        <f>IF(ISERROR(getgrade(Broadsheet!U195,data!$H$4:$I$9)),"#",getgrade(Broadsheet!U195,data!$H$4:$I$9))</f>
        <v/>
      </c>
      <c r="V84" s="188" t="str">
        <f>IF(ISERROR(getgrade(Broadsheet!V195,data!$H$4:$I$9)),"#",getgrade(Broadsheet!V195,data!$H$4:$I$9))</f>
        <v/>
      </c>
      <c r="W84" s="188" t="str">
        <f>IF(ISERROR(getgrade(Broadsheet!W195,data!$H$4:$I$9)),"#",getgrade(Broadsheet!W195,data!$H$4:$I$9))</f>
        <v/>
      </c>
      <c r="X84" s="188" t="str">
        <f>IF(ISERROR(getgrade(Broadsheet!X195,data!$H$4:$I$9)),"#",getgrade(Broadsheet!X195,data!$H$4:$I$9))</f>
        <v/>
      </c>
      <c r="Y84" s="188" t="str">
        <f>IF(ISERROR(getgrade(Broadsheet!Y195,data!$H$4:$I$9)),"#",getgrade(Broadsheet!Y195,data!$H$4:$I$9))</f>
        <v/>
      </c>
      <c r="Z84" s="188" t="str">
        <f>IF(ISERROR(getgrade(Broadsheet!Z195,data!$H$4:$I$9)),"#",getgrade(Broadsheet!Z195,data!$H$4:$I$9))</f>
        <v/>
      </c>
      <c r="AA84" s="188" t="str">
        <f>IF(ISERROR(getgrade(Broadsheet!AA195,data!$H$4:$I$9)),"#",getgrade(Broadsheet!AA195,data!$H$4:$I$9))</f>
        <v/>
      </c>
      <c r="AB84" s="188" t="str">
        <f>IF(ISERROR(getgrade(Broadsheet!AB195,data!$H$4:$I$9)),"#",getgrade(Broadsheet!AB195,data!$H$4:$I$9))</f>
        <v/>
      </c>
      <c r="AC84" s="188" t="str">
        <f>IF(ISERROR(getgrade(Broadsheet!AC195,data!$H$4:$I$9)),"#",getgrade(Broadsheet!AC195,data!$H$4:$I$9))</f>
        <v/>
      </c>
      <c r="AD84" s="188" t="str">
        <f>IF(ISERROR(getgrade(Broadsheet!AD195,data!$H$4:$I$9)),"#",getgrade(Broadsheet!AD195,data!$H$4:$I$9))</f>
        <v/>
      </c>
      <c r="AE84" s="188" t="str">
        <f>IF(ISERROR(getgrade(Broadsheet!AE195,data!$H$4:$I$9)),"#",getgrade(Broadsheet!AE195,data!$H$4:$I$9))</f>
        <v/>
      </c>
      <c r="AF84" s="188" t="str">
        <f>IF(ISERROR(getgrade(Broadsheet!AF195,data!$H$4:$I$9)),"#",getgrade(Broadsheet!AF195,data!$H$4:$I$9))</f>
        <v/>
      </c>
      <c r="AG84" s="188" t="str">
        <f>IF(ISERROR(getgrade(Broadsheet!AG195,data!$H$4:$I$9)),"#",getgrade(Broadsheet!AG195,data!$H$4:$I$9))</f>
        <v/>
      </c>
      <c r="AH84" s="188" t="str">
        <f>IF(ISERROR(getgrade(Broadsheet!AH195,data!$H$4:$I$9)),"#",getgrade(Broadsheet!AH195,data!$H$4:$I$9))</f>
        <v/>
      </c>
      <c r="AI84" s="188" t="str">
        <f>IF(ISERROR(getgrade(Broadsheet!AI195,data!$H$4:$I$9)),"#",getgrade(Broadsheet!AI195,data!$H$4:$I$9))</f>
        <v/>
      </c>
      <c r="AJ84" s="188" t="str">
        <f>IF(ISERROR(getgrade(Broadsheet!AJ195,data!$H$4:$I$9)),"#",getgrade(Broadsheet!AJ195,data!$H$4:$I$9))</f>
        <v/>
      </c>
      <c r="AK84" s="188" t="str">
        <f>IF(ISERROR(getgrade(Broadsheet!AK195,data!$H$4:$I$9)),"#",getgrade(Broadsheet!AK195,data!$H$4:$I$9))</f>
        <v/>
      </c>
      <c r="AL84" s="188" t="str">
        <f>IF(ISERROR(getgrade(Broadsheet!AL195,data!$H$4:$I$9)),"#",getgrade(Broadsheet!AL195,data!$H$4:$I$9))</f>
        <v/>
      </c>
      <c r="AM84" s="188" t="str">
        <f>IF(ISERROR(getgrade(Broadsheet!AM195,data!$H$4:$I$9)),"#",getgrade(Broadsheet!AM195,data!$H$4:$I$9))</f>
        <v/>
      </c>
      <c r="AN84" s="188" t="str">
        <f>IF(ISERROR(getgrade(Broadsheet!AN195,data!$H$4:$I$9)),"#",getgrade(Broadsheet!AN195,data!$H$4:$I$9))</f>
        <v/>
      </c>
      <c r="AO84" s="188" t="str">
        <f>IF(ISERROR(getgrade(Broadsheet!AO195,data!$H$4:$I$9)),"#",getgrade(Broadsheet!AO195,data!$H$4:$I$9))</f>
        <v/>
      </c>
      <c r="AP84" s="188" t="str">
        <f>IF(ISERROR(getgrade(Broadsheet!AP195,data!$H$4:$I$9)),"#",getgrade(Broadsheet!AP195,data!$H$4:$I$9))</f>
        <v/>
      </c>
      <c r="AQ84" s="188" t="str">
        <f>IF(ISERROR(getgrade(Broadsheet!AQ195,data!$H$4:$I$9)),"#",getgrade(Broadsheet!AQ195,data!$H$4:$I$9))</f>
        <v/>
      </c>
      <c r="AR84" s="188" t="str">
        <f>IF(ISERROR(getgrade(Broadsheet!AR195,data!$H$4:$I$9)),"#",getgrade(Broadsheet!AR195,data!$H$4:$I$9))</f>
        <v/>
      </c>
      <c r="AS84" s="188" t="str">
        <f>IF(ISERROR(getgrade(Broadsheet!AS195,data!$H$4:$I$9)),"#",getgrade(Broadsheet!AS195,data!$H$4:$I$9))</f>
        <v/>
      </c>
      <c r="AT84" s="188" t="str">
        <f>IF(ISERROR(getgrade(Broadsheet!AT195,data!$H$4:$I$9)),"#",getgrade(Broadsheet!AT195,data!$H$4:$I$9))</f>
        <v/>
      </c>
      <c r="AU84" s="188" t="str">
        <f>IF(ISERROR(getgrade(Broadsheet!AU195,data!$H$4:$I$9)),"#",getgrade(Broadsheet!AU195,data!$H$4:$I$9))</f>
        <v/>
      </c>
      <c r="AV84" s="188" t="str">
        <f>IF(ISERROR(getgrade(Broadsheet!AV195,data!$H$4:$I$9)),"#",getgrade(Broadsheet!AV195,data!$H$4:$I$9))</f>
        <v/>
      </c>
      <c r="AW84" s="188" t="str">
        <f>IF(ISERROR(getgrade(Broadsheet!AW195,data!$H$4:$I$9)),"#",getgrade(Broadsheet!AW195,data!$H$4:$I$9))</f>
        <v/>
      </c>
      <c r="AX84" s="188" t="str">
        <f>IF(ISERROR(getgrade(Broadsheet!AX195,data!$H$4:$I$9)),"#",getgrade(Broadsheet!AX195,data!$H$4:$I$9))</f>
        <v/>
      </c>
      <c r="AY84" s="188" t="str">
        <f>IF(ISERROR(getgrade(Broadsheet!AY195,data!$H$4:$I$9)),"#",getgrade(Broadsheet!AY195,data!$H$4:$I$9))</f>
        <v/>
      </c>
      <c r="AZ84" s="188" t="str">
        <f>IF(ISERROR(getgrade(Broadsheet!AZ195,data!$H$4:$I$9)),"#",getgrade(Broadsheet!AZ195,data!$H$4:$I$9))</f>
        <v/>
      </c>
      <c r="BA84" s="188" t="str">
        <f>IF(ISERROR(getgrade(Broadsheet!BA195,data!$H$4:$I$9)),"#",getgrade(Broadsheet!BA195,data!$H$4:$I$9))</f>
        <v/>
      </c>
      <c r="BB84" s="188" t="str">
        <f>IF(ISERROR(getgrade(Broadsheet!BB195,data!$H$4:$I$9)),"#",getgrade(Broadsheet!BB195,data!$H$4:$I$9))</f>
        <v/>
      </c>
      <c r="BC84" s="188" t="str">
        <f>IF(ISERROR(getgrade(Broadsheet!BC195,data!$H$4:$I$9)),"#",getgrade(Broadsheet!BC195,data!$H$4:$I$9))</f>
        <v/>
      </c>
      <c r="BD84" s="188" t="str">
        <f>IF(ISERROR(getgrade(Broadsheet!BD195,data!$H$4:$I$9)),"#",getgrade(Broadsheet!BD195,data!$H$4:$I$9))</f>
        <v/>
      </c>
      <c r="BE84" s="188" t="str">
        <f>IF(ISERROR(getgrade(Broadsheet!BE195,data!$H$4:$I$9)),"#",getgrade(Broadsheet!BE195,data!$H$4:$I$9))</f>
        <v/>
      </c>
      <c r="BF84" s="188" t="str">
        <f>IF(ISERROR(getgrade(Broadsheet!BF195,data!$H$4:$I$9)),"#",getgrade(Broadsheet!BF195,data!$H$4:$I$9))</f>
        <v/>
      </c>
      <c r="BG84" s="188" t="str">
        <f>IF(ISERROR(getgrade(Broadsheet!BG195,data!$H$4:$I$9)),"#",getgrade(Broadsheet!BG195,data!$H$4:$I$9))</f>
        <v/>
      </c>
      <c r="BH84" s="188" t="str">
        <f>IF(ISERROR(getgrade(Broadsheet!BH195,data!$H$4:$I$9)),"#",getgrade(Broadsheet!BH195,data!$H$4:$I$9))</f>
        <v/>
      </c>
      <c r="BI84" s="188" t="str">
        <f>IF(ISERROR(getgrade(Broadsheet!BI195,data!$H$4:$I$9)),"#",getgrade(Broadsheet!BI195,data!$H$4:$I$9))</f>
        <v/>
      </c>
      <c r="BJ84" s="188" t="str">
        <f>IF(ISERROR(getgrade(Broadsheet!BJ195,data!$H$4:$I$9)),"#",getgrade(Broadsheet!BJ195,data!$H$4:$I$9))</f>
        <v/>
      </c>
      <c r="BK84" s="188"/>
      <c r="BL84" s="188"/>
      <c r="BM84" s="188"/>
      <c r="BN84" s="188"/>
      <c r="BO84" s="188"/>
      <c r="BP84" s="188"/>
      <c r="BQ84" s="188"/>
      <c r="BR84" s="188"/>
      <c r="BS84" s="188"/>
      <c r="BT84" s="188"/>
      <c r="BU84" s="188"/>
      <c r="BV84" s="188"/>
      <c r="BW84" s="188"/>
      <c r="BX84" s="188"/>
      <c r="BY84" s="188"/>
      <c r="BZ84" s="188"/>
      <c r="CA84" s="188"/>
      <c r="CB84" s="188"/>
      <c r="CC84" s="188"/>
      <c r="CD84" s="188"/>
      <c r="CE84" s="188"/>
      <c r="CF84" s="188"/>
      <c r="CG84" s="188"/>
      <c r="CH84" s="188"/>
      <c r="CI84" s="188"/>
      <c r="CJ84" s="188"/>
      <c r="CK84" s="188"/>
      <c r="CL84" s="188"/>
      <c r="CM84" s="188"/>
      <c r="CN84" s="188"/>
      <c r="CO84" s="188"/>
      <c r="CP84" s="188"/>
      <c r="CQ84" s="188"/>
      <c r="CR84" s="188"/>
      <c r="CS84" s="188"/>
      <c r="CT84" s="188"/>
      <c r="CU84" s="188"/>
      <c r="CV84" s="188"/>
      <c r="CW84" s="188"/>
      <c r="CX84" s="188"/>
      <c r="CY84" s="188"/>
      <c r="CZ84" s="188"/>
      <c r="DA84" s="188"/>
      <c r="DB84" s="188"/>
      <c r="DC84" s="188"/>
      <c r="DD84" s="188"/>
      <c r="DE84" s="188"/>
      <c r="DF84" s="188"/>
      <c r="DG84" s="188"/>
      <c r="DH84" s="188"/>
      <c r="DI84" s="188"/>
      <c r="DJ84" s="188"/>
      <c r="DK84" s="188"/>
      <c r="DL84" s="188"/>
      <c r="DM84" s="188"/>
      <c r="DN84" s="188"/>
      <c r="DO84" s="188"/>
      <c r="DP84" s="188"/>
      <c r="DQ84" s="188"/>
      <c r="DR84" s="188"/>
      <c r="DS84" s="188"/>
      <c r="DT84" s="188"/>
      <c r="DU84" s="188"/>
      <c r="DV84" s="188"/>
      <c r="DW84" s="188"/>
      <c r="DX84" s="188"/>
      <c r="DY84" s="188"/>
      <c r="DZ84" s="188"/>
      <c r="EA84" s="188"/>
    </row>
    <row r="85" spans="1:131" ht="15.75" x14ac:dyDescent="0.25">
      <c r="A85" s="12">
        <f>Broadsheet!A196</f>
        <v>0</v>
      </c>
      <c r="B85" s="204" t="str">
        <f>IF(Broadsheet!B85="","",Broadsheet!B85)</f>
        <v/>
      </c>
      <c r="C85" s="24" t="str">
        <f>IF(Broadsheet!C85="","",Broadsheet!C85)</f>
        <v xml:space="preserve"> </v>
      </c>
      <c r="G85" s="24" t="str">
        <f t="shared" si="1"/>
        <v/>
      </c>
      <c r="H85" s="188" t="str">
        <f>IF(ISERROR(getgrade(Broadsheet!H196,data!$H$4:$I$9)),"#",getgrade(Broadsheet!H196,data!$H$4:$I$9))</f>
        <v/>
      </c>
      <c r="I85" s="188" t="str">
        <f>IF(ISERROR(getgrade(Broadsheet!I196,data!$H$4:$I$9)),"#",getgrade(Broadsheet!I196,data!$H$4:$I$9))</f>
        <v/>
      </c>
      <c r="J85" s="188" t="str">
        <f>IF(ISERROR(getgrade(Broadsheet!J196,data!$H$4:$I$9)),"#",getgrade(Broadsheet!J196,data!$H$4:$I$9))</f>
        <v/>
      </c>
      <c r="K85" s="188" t="str">
        <f>IF(ISERROR(getgrade(Broadsheet!K196,data!$H$4:$I$9)),"#",getgrade(Broadsheet!K196,data!$H$4:$I$9))</f>
        <v/>
      </c>
      <c r="L85" s="188" t="str">
        <f>IF(ISERROR(getgrade(Broadsheet!L196,data!$H$4:$I$9)),"#",getgrade(Broadsheet!L196,data!$H$4:$I$9))</f>
        <v/>
      </c>
      <c r="M85" s="188" t="str">
        <f>IF(ISERROR(getgrade(Broadsheet!M196,data!$H$4:$I$9)),"#",getgrade(Broadsheet!M196,data!$H$4:$I$9))</f>
        <v/>
      </c>
      <c r="N85" s="188" t="str">
        <f>IF(ISERROR(getgrade(Broadsheet!N196,data!$H$4:$I$9)),"#",getgrade(Broadsheet!N196,data!$H$4:$I$9))</f>
        <v/>
      </c>
      <c r="O85" s="188" t="str">
        <f>IF(ISERROR(getgrade(Broadsheet!O196,data!$H$4:$I$9)),"#",getgrade(Broadsheet!O196,data!$H$4:$I$9))</f>
        <v/>
      </c>
      <c r="P85" s="188" t="str">
        <f>IF(ISERROR(getgrade(Broadsheet!P196,data!$H$4:$I$9)),"#",getgrade(Broadsheet!P196,data!$H$4:$I$9))</f>
        <v/>
      </c>
      <c r="Q85" s="188" t="str">
        <f>IF(ISERROR(getgrade(Broadsheet!Q196,data!$H$4:$I$9)),"#",getgrade(Broadsheet!Q196,data!$H$4:$I$9))</f>
        <v/>
      </c>
      <c r="R85" s="188" t="str">
        <f>IF(ISERROR(getgrade(Broadsheet!R196,data!$H$4:$I$9)),"#",getgrade(Broadsheet!R196,data!$H$4:$I$9))</f>
        <v/>
      </c>
      <c r="S85" s="188" t="str">
        <f>IF(ISERROR(getgrade(Broadsheet!S196,data!$H$4:$I$9)),"#",getgrade(Broadsheet!S196,data!$H$4:$I$9))</f>
        <v/>
      </c>
      <c r="T85" s="188" t="str">
        <f>IF(ISERROR(getgrade(Broadsheet!T196,data!$H$4:$I$9)),"#",getgrade(Broadsheet!T196,data!$H$4:$I$9))</f>
        <v/>
      </c>
      <c r="U85" s="188" t="str">
        <f>IF(ISERROR(getgrade(Broadsheet!U196,data!$H$4:$I$9)),"#",getgrade(Broadsheet!U196,data!$H$4:$I$9))</f>
        <v/>
      </c>
      <c r="V85" s="188" t="str">
        <f>IF(ISERROR(getgrade(Broadsheet!V196,data!$H$4:$I$9)),"#",getgrade(Broadsheet!V196,data!$H$4:$I$9))</f>
        <v/>
      </c>
      <c r="W85" s="188" t="str">
        <f>IF(ISERROR(getgrade(Broadsheet!W196,data!$H$4:$I$9)),"#",getgrade(Broadsheet!W196,data!$H$4:$I$9))</f>
        <v/>
      </c>
      <c r="X85" s="188" t="str">
        <f>IF(ISERROR(getgrade(Broadsheet!X196,data!$H$4:$I$9)),"#",getgrade(Broadsheet!X196,data!$H$4:$I$9))</f>
        <v/>
      </c>
      <c r="Y85" s="188" t="str">
        <f>IF(ISERROR(getgrade(Broadsheet!Y196,data!$H$4:$I$9)),"#",getgrade(Broadsheet!Y196,data!$H$4:$I$9))</f>
        <v/>
      </c>
      <c r="Z85" s="188" t="str">
        <f>IF(ISERROR(getgrade(Broadsheet!Z196,data!$H$4:$I$9)),"#",getgrade(Broadsheet!Z196,data!$H$4:$I$9))</f>
        <v/>
      </c>
      <c r="AA85" s="188" t="str">
        <f>IF(ISERROR(getgrade(Broadsheet!AA196,data!$H$4:$I$9)),"#",getgrade(Broadsheet!AA196,data!$H$4:$I$9))</f>
        <v/>
      </c>
      <c r="AB85" s="188" t="str">
        <f>IF(ISERROR(getgrade(Broadsheet!AB196,data!$H$4:$I$9)),"#",getgrade(Broadsheet!AB196,data!$H$4:$I$9))</f>
        <v/>
      </c>
      <c r="AC85" s="188" t="str">
        <f>IF(ISERROR(getgrade(Broadsheet!AC196,data!$H$4:$I$9)),"#",getgrade(Broadsheet!AC196,data!$H$4:$I$9))</f>
        <v/>
      </c>
      <c r="AD85" s="188" t="str">
        <f>IF(ISERROR(getgrade(Broadsheet!AD196,data!$H$4:$I$9)),"#",getgrade(Broadsheet!AD196,data!$H$4:$I$9))</f>
        <v/>
      </c>
      <c r="AE85" s="188" t="str">
        <f>IF(ISERROR(getgrade(Broadsheet!AE196,data!$H$4:$I$9)),"#",getgrade(Broadsheet!AE196,data!$H$4:$I$9))</f>
        <v/>
      </c>
      <c r="AF85" s="188" t="str">
        <f>IF(ISERROR(getgrade(Broadsheet!AF196,data!$H$4:$I$9)),"#",getgrade(Broadsheet!AF196,data!$H$4:$I$9))</f>
        <v/>
      </c>
      <c r="AG85" s="188" t="str">
        <f>IF(ISERROR(getgrade(Broadsheet!AG196,data!$H$4:$I$9)),"#",getgrade(Broadsheet!AG196,data!$H$4:$I$9))</f>
        <v/>
      </c>
      <c r="AH85" s="188" t="str">
        <f>IF(ISERROR(getgrade(Broadsheet!AH196,data!$H$4:$I$9)),"#",getgrade(Broadsheet!AH196,data!$H$4:$I$9))</f>
        <v/>
      </c>
      <c r="AI85" s="188" t="str">
        <f>IF(ISERROR(getgrade(Broadsheet!AI196,data!$H$4:$I$9)),"#",getgrade(Broadsheet!AI196,data!$H$4:$I$9))</f>
        <v/>
      </c>
      <c r="AJ85" s="188" t="str">
        <f>IF(ISERROR(getgrade(Broadsheet!AJ196,data!$H$4:$I$9)),"#",getgrade(Broadsheet!AJ196,data!$H$4:$I$9))</f>
        <v/>
      </c>
      <c r="AK85" s="188" t="str">
        <f>IF(ISERROR(getgrade(Broadsheet!AK196,data!$H$4:$I$9)),"#",getgrade(Broadsheet!AK196,data!$H$4:$I$9))</f>
        <v/>
      </c>
      <c r="AL85" s="188" t="str">
        <f>IF(ISERROR(getgrade(Broadsheet!AL196,data!$H$4:$I$9)),"#",getgrade(Broadsheet!AL196,data!$H$4:$I$9))</f>
        <v/>
      </c>
      <c r="AM85" s="188" t="str">
        <f>IF(ISERROR(getgrade(Broadsheet!AM196,data!$H$4:$I$9)),"#",getgrade(Broadsheet!AM196,data!$H$4:$I$9))</f>
        <v/>
      </c>
      <c r="AN85" s="188" t="str">
        <f>IF(ISERROR(getgrade(Broadsheet!AN196,data!$H$4:$I$9)),"#",getgrade(Broadsheet!AN196,data!$H$4:$I$9))</f>
        <v/>
      </c>
      <c r="AO85" s="188" t="str">
        <f>IF(ISERROR(getgrade(Broadsheet!AO196,data!$H$4:$I$9)),"#",getgrade(Broadsheet!AO196,data!$H$4:$I$9))</f>
        <v/>
      </c>
      <c r="AP85" s="188" t="str">
        <f>IF(ISERROR(getgrade(Broadsheet!AP196,data!$H$4:$I$9)),"#",getgrade(Broadsheet!AP196,data!$H$4:$I$9))</f>
        <v/>
      </c>
      <c r="AQ85" s="188" t="str">
        <f>IF(ISERROR(getgrade(Broadsheet!AQ196,data!$H$4:$I$9)),"#",getgrade(Broadsheet!AQ196,data!$H$4:$I$9))</f>
        <v/>
      </c>
      <c r="AR85" s="188" t="str">
        <f>IF(ISERROR(getgrade(Broadsheet!AR196,data!$H$4:$I$9)),"#",getgrade(Broadsheet!AR196,data!$H$4:$I$9))</f>
        <v/>
      </c>
      <c r="AS85" s="188" t="str">
        <f>IF(ISERROR(getgrade(Broadsheet!AS196,data!$H$4:$I$9)),"#",getgrade(Broadsheet!AS196,data!$H$4:$I$9))</f>
        <v/>
      </c>
      <c r="AT85" s="188" t="str">
        <f>IF(ISERROR(getgrade(Broadsheet!AT196,data!$H$4:$I$9)),"#",getgrade(Broadsheet!AT196,data!$H$4:$I$9))</f>
        <v/>
      </c>
      <c r="AU85" s="188" t="str">
        <f>IF(ISERROR(getgrade(Broadsheet!AU196,data!$H$4:$I$9)),"#",getgrade(Broadsheet!AU196,data!$H$4:$I$9))</f>
        <v/>
      </c>
      <c r="AV85" s="188" t="str">
        <f>IF(ISERROR(getgrade(Broadsheet!AV196,data!$H$4:$I$9)),"#",getgrade(Broadsheet!AV196,data!$H$4:$I$9))</f>
        <v/>
      </c>
      <c r="AW85" s="188" t="str">
        <f>IF(ISERROR(getgrade(Broadsheet!AW196,data!$H$4:$I$9)),"#",getgrade(Broadsheet!AW196,data!$H$4:$I$9))</f>
        <v/>
      </c>
      <c r="AX85" s="188" t="str">
        <f>IF(ISERROR(getgrade(Broadsheet!AX196,data!$H$4:$I$9)),"#",getgrade(Broadsheet!AX196,data!$H$4:$I$9))</f>
        <v/>
      </c>
      <c r="AY85" s="188" t="str">
        <f>IF(ISERROR(getgrade(Broadsheet!AY196,data!$H$4:$I$9)),"#",getgrade(Broadsheet!AY196,data!$H$4:$I$9))</f>
        <v/>
      </c>
      <c r="AZ85" s="188" t="str">
        <f>IF(ISERROR(getgrade(Broadsheet!AZ196,data!$H$4:$I$9)),"#",getgrade(Broadsheet!AZ196,data!$H$4:$I$9))</f>
        <v/>
      </c>
      <c r="BA85" s="188" t="str">
        <f>IF(ISERROR(getgrade(Broadsheet!BA196,data!$H$4:$I$9)),"#",getgrade(Broadsheet!BA196,data!$H$4:$I$9))</f>
        <v/>
      </c>
      <c r="BB85" s="188" t="str">
        <f>IF(ISERROR(getgrade(Broadsheet!BB196,data!$H$4:$I$9)),"#",getgrade(Broadsheet!BB196,data!$H$4:$I$9))</f>
        <v/>
      </c>
      <c r="BC85" s="188" t="str">
        <f>IF(ISERROR(getgrade(Broadsheet!BC196,data!$H$4:$I$9)),"#",getgrade(Broadsheet!BC196,data!$H$4:$I$9))</f>
        <v/>
      </c>
      <c r="BD85" s="188" t="str">
        <f>IF(ISERROR(getgrade(Broadsheet!BD196,data!$H$4:$I$9)),"#",getgrade(Broadsheet!BD196,data!$H$4:$I$9))</f>
        <v/>
      </c>
      <c r="BE85" s="188" t="str">
        <f>IF(ISERROR(getgrade(Broadsheet!BE196,data!$H$4:$I$9)),"#",getgrade(Broadsheet!BE196,data!$H$4:$I$9))</f>
        <v/>
      </c>
      <c r="BF85" s="188" t="str">
        <f>IF(ISERROR(getgrade(Broadsheet!BF196,data!$H$4:$I$9)),"#",getgrade(Broadsheet!BF196,data!$H$4:$I$9))</f>
        <v/>
      </c>
      <c r="BG85" s="188" t="str">
        <f>IF(ISERROR(getgrade(Broadsheet!BG196,data!$H$4:$I$9)),"#",getgrade(Broadsheet!BG196,data!$H$4:$I$9))</f>
        <v/>
      </c>
      <c r="BH85" s="188" t="str">
        <f>IF(ISERROR(getgrade(Broadsheet!BH196,data!$H$4:$I$9)),"#",getgrade(Broadsheet!BH196,data!$H$4:$I$9))</f>
        <v/>
      </c>
      <c r="BI85" s="188" t="str">
        <f>IF(ISERROR(getgrade(Broadsheet!BI196,data!$H$4:$I$9)),"#",getgrade(Broadsheet!BI196,data!$H$4:$I$9))</f>
        <v/>
      </c>
      <c r="BJ85" s="188" t="str">
        <f>IF(ISERROR(getgrade(Broadsheet!BJ196,data!$H$4:$I$9)),"#",getgrade(Broadsheet!BJ196,data!$H$4:$I$9))</f>
        <v/>
      </c>
      <c r="BK85" s="188"/>
      <c r="BL85" s="188"/>
      <c r="BM85" s="188"/>
      <c r="BN85" s="188"/>
      <c r="BO85" s="188"/>
      <c r="BP85" s="188"/>
      <c r="BQ85" s="188"/>
      <c r="BR85" s="188"/>
      <c r="BS85" s="188"/>
      <c r="BT85" s="188"/>
      <c r="BU85" s="188"/>
      <c r="BV85" s="188"/>
      <c r="BW85" s="188"/>
      <c r="BX85" s="188"/>
      <c r="BY85" s="188"/>
      <c r="BZ85" s="188"/>
      <c r="CA85" s="188"/>
      <c r="CB85" s="188"/>
      <c r="CC85" s="188"/>
      <c r="CD85" s="188"/>
      <c r="CE85" s="188"/>
      <c r="CF85" s="188"/>
      <c r="CG85" s="188"/>
      <c r="CH85" s="188"/>
      <c r="CI85" s="188"/>
      <c r="CJ85" s="188"/>
      <c r="CK85" s="188"/>
      <c r="CL85" s="188"/>
      <c r="CM85" s="188"/>
      <c r="CN85" s="188"/>
      <c r="CO85" s="188"/>
      <c r="CP85" s="188"/>
      <c r="CQ85" s="188"/>
      <c r="CR85" s="188"/>
      <c r="CS85" s="188"/>
      <c r="CT85" s="188"/>
      <c r="CU85" s="188"/>
      <c r="CV85" s="188"/>
      <c r="CW85" s="188"/>
      <c r="CX85" s="188"/>
      <c r="CY85" s="188"/>
      <c r="CZ85" s="188"/>
      <c r="DA85" s="188"/>
      <c r="DB85" s="188"/>
      <c r="DC85" s="188"/>
      <c r="DD85" s="188"/>
      <c r="DE85" s="188"/>
      <c r="DF85" s="188"/>
      <c r="DG85" s="188"/>
      <c r="DH85" s="188"/>
      <c r="DI85" s="188"/>
      <c r="DJ85" s="188"/>
      <c r="DK85" s="188"/>
      <c r="DL85" s="188"/>
      <c r="DM85" s="188"/>
      <c r="DN85" s="188"/>
      <c r="DO85" s="188"/>
      <c r="DP85" s="188"/>
      <c r="DQ85" s="188"/>
      <c r="DR85" s="188"/>
      <c r="DS85" s="188"/>
      <c r="DT85" s="188"/>
      <c r="DU85" s="188"/>
      <c r="DV85" s="188"/>
      <c r="DW85" s="188"/>
      <c r="DX85" s="188"/>
      <c r="DY85" s="188"/>
      <c r="DZ85" s="188"/>
      <c r="EA85" s="188"/>
    </row>
    <row r="86" spans="1:131" ht="15.75" x14ac:dyDescent="0.25">
      <c r="A86" s="12">
        <f>Broadsheet!A197</f>
        <v>0</v>
      </c>
      <c r="B86" s="204" t="str">
        <f>IF(Broadsheet!B86="","",Broadsheet!B86)</f>
        <v/>
      </c>
      <c r="C86" s="24" t="str">
        <f>IF(Broadsheet!C86="","",Broadsheet!C86)</f>
        <v xml:space="preserve"> </v>
      </c>
      <c r="G86" s="24" t="str">
        <f t="shared" si="1"/>
        <v/>
      </c>
      <c r="H86" s="188" t="str">
        <f>IF(ISERROR(getgrade(Broadsheet!H197,data!$H$4:$I$9)),"#",getgrade(Broadsheet!H197,data!$H$4:$I$9))</f>
        <v/>
      </c>
      <c r="I86" s="188" t="str">
        <f>IF(ISERROR(getgrade(Broadsheet!I197,data!$H$4:$I$9)),"#",getgrade(Broadsheet!I197,data!$H$4:$I$9))</f>
        <v/>
      </c>
      <c r="J86" s="188" t="str">
        <f>IF(ISERROR(getgrade(Broadsheet!J197,data!$H$4:$I$9)),"#",getgrade(Broadsheet!J197,data!$H$4:$I$9))</f>
        <v/>
      </c>
      <c r="K86" s="188" t="str">
        <f>IF(ISERROR(getgrade(Broadsheet!K197,data!$H$4:$I$9)),"#",getgrade(Broadsheet!K197,data!$H$4:$I$9))</f>
        <v/>
      </c>
      <c r="L86" s="188" t="str">
        <f>IF(ISERROR(getgrade(Broadsheet!L197,data!$H$4:$I$9)),"#",getgrade(Broadsheet!L197,data!$H$4:$I$9))</f>
        <v/>
      </c>
      <c r="M86" s="188" t="str">
        <f>IF(ISERROR(getgrade(Broadsheet!M197,data!$H$4:$I$9)),"#",getgrade(Broadsheet!M197,data!$H$4:$I$9))</f>
        <v/>
      </c>
      <c r="N86" s="188" t="str">
        <f>IF(ISERROR(getgrade(Broadsheet!N197,data!$H$4:$I$9)),"#",getgrade(Broadsheet!N197,data!$H$4:$I$9))</f>
        <v/>
      </c>
      <c r="O86" s="188" t="str">
        <f>IF(ISERROR(getgrade(Broadsheet!O197,data!$H$4:$I$9)),"#",getgrade(Broadsheet!O197,data!$H$4:$I$9))</f>
        <v/>
      </c>
      <c r="P86" s="188" t="str">
        <f>IF(ISERROR(getgrade(Broadsheet!P197,data!$H$4:$I$9)),"#",getgrade(Broadsheet!P197,data!$H$4:$I$9))</f>
        <v/>
      </c>
      <c r="Q86" s="188" t="str">
        <f>IF(ISERROR(getgrade(Broadsheet!Q197,data!$H$4:$I$9)),"#",getgrade(Broadsheet!Q197,data!$H$4:$I$9))</f>
        <v/>
      </c>
      <c r="R86" s="188" t="str">
        <f>IF(ISERROR(getgrade(Broadsheet!R197,data!$H$4:$I$9)),"#",getgrade(Broadsheet!R197,data!$H$4:$I$9))</f>
        <v/>
      </c>
      <c r="S86" s="188" t="str">
        <f>IF(ISERROR(getgrade(Broadsheet!S197,data!$H$4:$I$9)),"#",getgrade(Broadsheet!S197,data!$H$4:$I$9))</f>
        <v/>
      </c>
      <c r="T86" s="188" t="str">
        <f>IF(ISERROR(getgrade(Broadsheet!T197,data!$H$4:$I$9)),"#",getgrade(Broadsheet!T197,data!$H$4:$I$9))</f>
        <v/>
      </c>
      <c r="U86" s="188" t="str">
        <f>IF(ISERROR(getgrade(Broadsheet!U197,data!$H$4:$I$9)),"#",getgrade(Broadsheet!U197,data!$H$4:$I$9))</f>
        <v/>
      </c>
      <c r="V86" s="188" t="str">
        <f>IF(ISERROR(getgrade(Broadsheet!V197,data!$H$4:$I$9)),"#",getgrade(Broadsheet!V197,data!$H$4:$I$9))</f>
        <v/>
      </c>
      <c r="W86" s="188" t="str">
        <f>IF(ISERROR(getgrade(Broadsheet!W197,data!$H$4:$I$9)),"#",getgrade(Broadsheet!W197,data!$H$4:$I$9))</f>
        <v/>
      </c>
      <c r="X86" s="188" t="str">
        <f>IF(ISERROR(getgrade(Broadsheet!X197,data!$H$4:$I$9)),"#",getgrade(Broadsheet!X197,data!$H$4:$I$9))</f>
        <v/>
      </c>
      <c r="Y86" s="188" t="str">
        <f>IF(ISERROR(getgrade(Broadsheet!Y197,data!$H$4:$I$9)),"#",getgrade(Broadsheet!Y197,data!$H$4:$I$9))</f>
        <v/>
      </c>
      <c r="Z86" s="188" t="str">
        <f>IF(ISERROR(getgrade(Broadsheet!Z197,data!$H$4:$I$9)),"#",getgrade(Broadsheet!Z197,data!$H$4:$I$9))</f>
        <v/>
      </c>
      <c r="AA86" s="188" t="str">
        <f>IF(ISERROR(getgrade(Broadsheet!AA197,data!$H$4:$I$9)),"#",getgrade(Broadsheet!AA197,data!$H$4:$I$9))</f>
        <v/>
      </c>
      <c r="AB86" s="188" t="str">
        <f>IF(ISERROR(getgrade(Broadsheet!AB197,data!$H$4:$I$9)),"#",getgrade(Broadsheet!AB197,data!$H$4:$I$9))</f>
        <v/>
      </c>
      <c r="AC86" s="188" t="str">
        <f>IF(ISERROR(getgrade(Broadsheet!AC197,data!$H$4:$I$9)),"#",getgrade(Broadsheet!AC197,data!$H$4:$I$9))</f>
        <v/>
      </c>
      <c r="AD86" s="188" t="str">
        <f>IF(ISERROR(getgrade(Broadsheet!AD197,data!$H$4:$I$9)),"#",getgrade(Broadsheet!AD197,data!$H$4:$I$9))</f>
        <v/>
      </c>
      <c r="AE86" s="188" t="str">
        <f>IF(ISERROR(getgrade(Broadsheet!AE197,data!$H$4:$I$9)),"#",getgrade(Broadsheet!AE197,data!$H$4:$I$9))</f>
        <v/>
      </c>
      <c r="AF86" s="188" t="str">
        <f>IF(ISERROR(getgrade(Broadsheet!AF197,data!$H$4:$I$9)),"#",getgrade(Broadsheet!AF197,data!$H$4:$I$9))</f>
        <v/>
      </c>
      <c r="AG86" s="188" t="str">
        <f>IF(ISERROR(getgrade(Broadsheet!AG197,data!$H$4:$I$9)),"#",getgrade(Broadsheet!AG197,data!$H$4:$I$9))</f>
        <v/>
      </c>
      <c r="AH86" s="188" t="str">
        <f>IF(ISERROR(getgrade(Broadsheet!AH197,data!$H$4:$I$9)),"#",getgrade(Broadsheet!AH197,data!$H$4:$I$9))</f>
        <v/>
      </c>
      <c r="AI86" s="188" t="str">
        <f>IF(ISERROR(getgrade(Broadsheet!AI197,data!$H$4:$I$9)),"#",getgrade(Broadsheet!AI197,data!$H$4:$I$9))</f>
        <v/>
      </c>
      <c r="AJ86" s="188" t="str">
        <f>IF(ISERROR(getgrade(Broadsheet!AJ197,data!$H$4:$I$9)),"#",getgrade(Broadsheet!AJ197,data!$H$4:$I$9))</f>
        <v/>
      </c>
      <c r="AK86" s="188" t="str">
        <f>IF(ISERROR(getgrade(Broadsheet!AK197,data!$H$4:$I$9)),"#",getgrade(Broadsheet!AK197,data!$H$4:$I$9))</f>
        <v/>
      </c>
      <c r="AL86" s="188" t="str">
        <f>IF(ISERROR(getgrade(Broadsheet!AL197,data!$H$4:$I$9)),"#",getgrade(Broadsheet!AL197,data!$H$4:$I$9))</f>
        <v/>
      </c>
      <c r="AM86" s="188" t="str">
        <f>IF(ISERROR(getgrade(Broadsheet!AM197,data!$H$4:$I$9)),"#",getgrade(Broadsheet!AM197,data!$H$4:$I$9))</f>
        <v/>
      </c>
      <c r="AN86" s="188" t="str">
        <f>IF(ISERROR(getgrade(Broadsheet!AN197,data!$H$4:$I$9)),"#",getgrade(Broadsheet!AN197,data!$H$4:$I$9))</f>
        <v/>
      </c>
      <c r="AO86" s="188" t="str">
        <f>IF(ISERROR(getgrade(Broadsheet!AO197,data!$H$4:$I$9)),"#",getgrade(Broadsheet!AO197,data!$H$4:$I$9))</f>
        <v/>
      </c>
      <c r="AP86" s="188" t="str">
        <f>IF(ISERROR(getgrade(Broadsheet!AP197,data!$H$4:$I$9)),"#",getgrade(Broadsheet!AP197,data!$H$4:$I$9))</f>
        <v/>
      </c>
      <c r="AQ86" s="188" t="str">
        <f>IF(ISERROR(getgrade(Broadsheet!AQ197,data!$H$4:$I$9)),"#",getgrade(Broadsheet!AQ197,data!$H$4:$I$9))</f>
        <v/>
      </c>
      <c r="AR86" s="188" t="str">
        <f>IF(ISERROR(getgrade(Broadsheet!AR197,data!$H$4:$I$9)),"#",getgrade(Broadsheet!AR197,data!$H$4:$I$9))</f>
        <v/>
      </c>
      <c r="AS86" s="188" t="str">
        <f>IF(ISERROR(getgrade(Broadsheet!AS197,data!$H$4:$I$9)),"#",getgrade(Broadsheet!AS197,data!$H$4:$I$9))</f>
        <v/>
      </c>
      <c r="AT86" s="188" t="str">
        <f>IF(ISERROR(getgrade(Broadsheet!AT197,data!$H$4:$I$9)),"#",getgrade(Broadsheet!AT197,data!$H$4:$I$9))</f>
        <v/>
      </c>
      <c r="AU86" s="188" t="str">
        <f>IF(ISERROR(getgrade(Broadsheet!AU197,data!$H$4:$I$9)),"#",getgrade(Broadsheet!AU197,data!$H$4:$I$9))</f>
        <v/>
      </c>
      <c r="AV86" s="188" t="str">
        <f>IF(ISERROR(getgrade(Broadsheet!AV197,data!$H$4:$I$9)),"#",getgrade(Broadsheet!AV197,data!$H$4:$I$9))</f>
        <v/>
      </c>
      <c r="AW86" s="188" t="str">
        <f>IF(ISERROR(getgrade(Broadsheet!AW197,data!$H$4:$I$9)),"#",getgrade(Broadsheet!AW197,data!$H$4:$I$9))</f>
        <v/>
      </c>
      <c r="AX86" s="188" t="str">
        <f>IF(ISERROR(getgrade(Broadsheet!AX197,data!$H$4:$I$9)),"#",getgrade(Broadsheet!AX197,data!$H$4:$I$9))</f>
        <v/>
      </c>
      <c r="AY86" s="188" t="str">
        <f>IF(ISERROR(getgrade(Broadsheet!AY197,data!$H$4:$I$9)),"#",getgrade(Broadsheet!AY197,data!$H$4:$I$9))</f>
        <v/>
      </c>
      <c r="AZ86" s="188" t="str">
        <f>IF(ISERROR(getgrade(Broadsheet!AZ197,data!$H$4:$I$9)),"#",getgrade(Broadsheet!AZ197,data!$H$4:$I$9))</f>
        <v/>
      </c>
      <c r="BA86" s="188" t="str">
        <f>IF(ISERROR(getgrade(Broadsheet!BA197,data!$H$4:$I$9)),"#",getgrade(Broadsheet!BA197,data!$H$4:$I$9))</f>
        <v/>
      </c>
      <c r="BB86" s="188" t="str">
        <f>IF(ISERROR(getgrade(Broadsheet!BB197,data!$H$4:$I$9)),"#",getgrade(Broadsheet!BB197,data!$H$4:$I$9))</f>
        <v/>
      </c>
      <c r="BC86" s="188" t="str">
        <f>IF(ISERROR(getgrade(Broadsheet!BC197,data!$H$4:$I$9)),"#",getgrade(Broadsheet!BC197,data!$H$4:$I$9))</f>
        <v/>
      </c>
      <c r="BD86" s="188" t="str">
        <f>IF(ISERROR(getgrade(Broadsheet!BD197,data!$H$4:$I$9)),"#",getgrade(Broadsheet!BD197,data!$H$4:$I$9))</f>
        <v/>
      </c>
      <c r="BE86" s="188" t="str">
        <f>IF(ISERROR(getgrade(Broadsheet!BE197,data!$H$4:$I$9)),"#",getgrade(Broadsheet!BE197,data!$H$4:$I$9))</f>
        <v/>
      </c>
      <c r="BF86" s="188" t="str">
        <f>IF(ISERROR(getgrade(Broadsheet!BF197,data!$H$4:$I$9)),"#",getgrade(Broadsheet!BF197,data!$H$4:$I$9))</f>
        <v/>
      </c>
      <c r="BG86" s="188" t="str">
        <f>IF(ISERROR(getgrade(Broadsheet!BG197,data!$H$4:$I$9)),"#",getgrade(Broadsheet!BG197,data!$H$4:$I$9))</f>
        <v/>
      </c>
      <c r="BH86" s="188" t="str">
        <f>IF(ISERROR(getgrade(Broadsheet!BH197,data!$H$4:$I$9)),"#",getgrade(Broadsheet!BH197,data!$H$4:$I$9))</f>
        <v/>
      </c>
      <c r="BI86" s="188" t="str">
        <f>IF(ISERROR(getgrade(Broadsheet!BI197,data!$H$4:$I$9)),"#",getgrade(Broadsheet!BI197,data!$H$4:$I$9))</f>
        <v/>
      </c>
      <c r="BJ86" s="188" t="str">
        <f>IF(ISERROR(getgrade(Broadsheet!BJ197,data!$H$4:$I$9)),"#",getgrade(Broadsheet!BJ197,data!$H$4:$I$9))</f>
        <v/>
      </c>
      <c r="BK86" s="188"/>
      <c r="BL86" s="188"/>
      <c r="BM86" s="188"/>
      <c r="BN86" s="188"/>
      <c r="BO86" s="188"/>
      <c r="BP86" s="188"/>
      <c r="BQ86" s="188"/>
      <c r="BR86" s="188"/>
      <c r="BS86" s="188"/>
      <c r="BT86" s="188"/>
      <c r="BU86" s="188"/>
      <c r="BV86" s="188"/>
      <c r="BW86" s="188"/>
      <c r="BX86" s="188"/>
      <c r="BY86" s="188"/>
      <c r="BZ86" s="188"/>
      <c r="CA86" s="188"/>
      <c r="CB86" s="188"/>
      <c r="CC86" s="188"/>
      <c r="CD86" s="188"/>
      <c r="CE86" s="188"/>
      <c r="CF86" s="188"/>
      <c r="CG86" s="188"/>
      <c r="CH86" s="188"/>
      <c r="CI86" s="188"/>
      <c r="CJ86" s="188"/>
      <c r="CK86" s="188"/>
      <c r="CL86" s="188"/>
      <c r="CM86" s="188"/>
      <c r="CN86" s="188"/>
      <c r="CO86" s="188"/>
      <c r="CP86" s="188"/>
      <c r="CQ86" s="188"/>
      <c r="CR86" s="188"/>
      <c r="CS86" s="188"/>
      <c r="CT86" s="188"/>
      <c r="CU86" s="188"/>
      <c r="CV86" s="188"/>
      <c r="CW86" s="188"/>
      <c r="CX86" s="188"/>
      <c r="CY86" s="188"/>
      <c r="CZ86" s="188"/>
      <c r="DA86" s="188"/>
      <c r="DB86" s="188"/>
      <c r="DC86" s="188"/>
      <c r="DD86" s="188"/>
      <c r="DE86" s="188"/>
      <c r="DF86" s="188"/>
      <c r="DG86" s="188"/>
      <c r="DH86" s="188"/>
      <c r="DI86" s="188"/>
      <c r="DJ86" s="188"/>
      <c r="DK86" s="188"/>
      <c r="DL86" s="188"/>
      <c r="DM86" s="188"/>
      <c r="DN86" s="188"/>
      <c r="DO86" s="188"/>
      <c r="DP86" s="188"/>
      <c r="DQ86" s="188"/>
      <c r="DR86" s="188"/>
      <c r="DS86" s="188"/>
      <c r="DT86" s="188"/>
      <c r="DU86" s="188"/>
      <c r="DV86" s="188"/>
      <c r="DW86" s="188"/>
      <c r="DX86" s="188"/>
      <c r="DY86" s="188"/>
      <c r="DZ86" s="188"/>
      <c r="EA86" s="188"/>
    </row>
    <row r="87" spans="1:131" ht="15.75" x14ac:dyDescent="0.25">
      <c r="A87" s="12">
        <f>Broadsheet!A198</f>
        <v>0</v>
      </c>
      <c r="B87" s="204" t="str">
        <f>IF(Broadsheet!B87="","",Broadsheet!B87)</f>
        <v/>
      </c>
      <c r="C87" s="24" t="str">
        <f>IF(Broadsheet!C87="","",Broadsheet!C87)</f>
        <v xml:space="preserve"> </v>
      </c>
      <c r="G87" s="24" t="str">
        <f t="shared" si="1"/>
        <v/>
      </c>
      <c r="H87" s="188" t="str">
        <f>IF(ISERROR(getgrade(Broadsheet!H198,data!$H$4:$I$9)),"#",getgrade(Broadsheet!H198,data!$H$4:$I$9))</f>
        <v/>
      </c>
      <c r="I87" s="188" t="str">
        <f>IF(ISERROR(getgrade(Broadsheet!I198,data!$H$4:$I$9)),"#",getgrade(Broadsheet!I198,data!$H$4:$I$9))</f>
        <v/>
      </c>
      <c r="J87" s="188" t="str">
        <f>IF(ISERROR(getgrade(Broadsheet!J198,data!$H$4:$I$9)),"#",getgrade(Broadsheet!J198,data!$H$4:$I$9))</f>
        <v/>
      </c>
      <c r="K87" s="188" t="str">
        <f>IF(ISERROR(getgrade(Broadsheet!K198,data!$H$4:$I$9)),"#",getgrade(Broadsheet!K198,data!$H$4:$I$9))</f>
        <v/>
      </c>
      <c r="L87" s="188" t="str">
        <f>IF(ISERROR(getgrade(Broadsheet!L198,data!$H$4:$I$9)),"#",getgrade(Broadsheet!L198,data!$H$4:$I$9))</f>
        <v/>
      </c>
      <c r="M87" s="188" t="str">
        <f>IF(ISERROR(getgrade(Broadsheet!M198,data!$H$4:$I$9)),"#",getgrade(Broadsheet!M198,data!$H$4:$I$9))</f>
        <v/>
      </c>
      <c r="N87" s="188" t="str">
        <f>IF(ISERROR(getgrade(Broadsheet!N198,data!$H$4:$I$9)),"#",getgrade(Broadsheet!N198,data!$H$4:$I$9))</f>
        <v/>
      </c>
      <c r="O87" s="188" t="str">
        <f>IF(ISERROR(getgrade(Broadsheet!O198,data!$H$4:$I$9)),"#",getgrade(Broadsheet!O198,data!$H$4:$I$9))</f>
        <v/>
      </c>
      <c r="P87" s="188" t="str">
        <f>IF(ISERROR(getgrade(Broadsheet!P198,data!$H$4:$I$9)),"#",getgrade(Broadsheet!P198,data!$H$4:$I$9))</f>
        <v/>
      </c>
      <c r="Q87" s="188" t="str">
        <f>IF(ISERROR(getgrade(Broadsheet!Q198,data!$H$4:$I$9)),"#",getgrade(Broadsheet!Q198,data!$H$4:$I$9))</f>
        <v/>
      </c>
      <c r="R87" s="188" t="str">
        <f>IF(ISERROR(getgrade(Broadsheet!R198,data!$H$4:$I$9)),"#",getgrade(Broadsheet!R198,data!$H$4:$I$9))</f>
        <v/>
      </c>
      <c r="S87" s="188" t="str">
        <f>IF(ISERROR(getgrade(Broadsheet!S198,data!$H$4:$I$9)),"#",getgrade(Broadsheet!S198,data!$H$4:$I$9))</f>
        <v/>
      </c>
      <c r="T87" s="188" t="str">
        <f>IF(ISERROR(getgrade(Broadsheet!T198,data!$H$4:$I$9)),"#",getgrade(Broadsheet!T198,data!$H$4:$I$9))</f>
        <v/>
      </c>
      <c r="U87" s="188" t="str">
        <f>IF(ISERROR(getgrade(Broadsheet!U198,data!$H$4:$I$9)),"#",getgrade(Broadsheet!U198,data!$H$4:$I$9))</f>
        <v/>
      </c>
      <c r="V87" s="188" t="str">
        <f>IF(ISERROR(getgrade(Broadsheet!V198,data!$H$4:$I$9)),"#",getgrade(Broadsheet!V198,data!$H$4:$I$9))</f>
        <v/>
      </c>
      <c r="W87" s="188" t="str">
        <f>IF(ISERROR(getgrade(Broadsheet!W198,data!$H$4:$I$9)),"#",getgrade(Broadsheet!W198,data!$H$4:$I$9))</f>
        <v/>
      </c>
      <c r="X87" s="188" t="str">
        <f>IF(ISERROR(getgrade(Broadsheet!X198,data!$H$4:$I$9)),"#",getgrade(Broadsheet!X198,data!$H$4:$I$9))</f>
        <v/>
      </c>
      <c r="Y87" s="188" t="str">
        <f>IF(ISERROR(getgrade(Broadsheet!Y198,data!$H$4:$I$9)),"#",getgrade(Broadsheet!Y198,data!$H$4:$I$9))</f>
        <v/>
      </c>
      <c r="Z87" s="188" t="str">
        <f>IF(ISERROR(getgrade(Broadsheet!Z198,data!$H$4:$I$9)),"#",getgrade(Broadsheet!Z198,data!$H$4:$I$9))</f>
        <v/>
      </c>
      <c r="AA87" s="188" t="str">
        <f>IF(ISERROR(getgrade(Broadsheet!AA198,data!$H$4:$I$9)),"#",getgrade(Broadsheet!AA198,data!$H$4:$I$9))</f>
        <v/>
      </c>
      <c r="AB87" s="188" t="str">
        <f>IF(ISERROR(getgrade(Broadsheet!AB198,data!$H$4:$I$9)),"#",getgrade(Broadsheet!AB198,data!$H$4:$I$9))</f>
        <v/>
      </c>
      <c r="AC87" s="188" t="str">
        <f>IF(ISERROR(getgrade(Broadsheet!AC198,data!$H$4:$I$9)),"#",getgrade(Broadsheet!AC198,data!$H$4:$I$9))</f>
        <v/>
      </c>
      <c r="AD87" s="188" t="str">
        <f>IF(ISERROR(getgrade(Broadsheet!AD198,data!$H$4:$I$9)),"#",getgrade(Broadsheet!AD198,data!$H$4:$I$9))</f>
        <v/>
      </c>
      <c r="AE87" s="188" t="str">
        <f>IF(ISERROR(getgrade(Broadsheet!AE198,data!$H$4:$I$9)),"#",getgrade(Broadsheet!AE198,data!$H$4:$I$9))</f>
        <v/>
      </c>
      <c r="AF87" s="188" t="str">
        <f>IF(ISERROR(getgrade(Broadsheet!AF198,data!$H$4:$I$9)),"#",getgrade(Broadsheet!AF198,data!$H$4:$I$9))</f>
        <v/>
      </c>
      <c r="AG87" s="188" t="str">
        <f>IF(ISERROR(getgrade(Broadsheet!AG198,data!$H$4:$I$9)),"#",getgrade(Broadsheet!AG198,data!$H$4:$I$9))</f>
        <v/>
      </c>
      <c r="AH87" s="188" t="str">
        <f>IF(ISERROR(getgrade(Broadsheet!AH198,data!$H$4:$I$9)),"#",getgrade(Broadsheet!AH198,data!$H$4:$I$9))</f>
        <v/>
      </c>
      <c r="AI87" s="188" t="str">
        <f>IF(ISERROR(getgrade(Broadsheet!AI198,data!$H$4:$I$9)),"#",getgrade(Broadsheet!AI198,data!$H$4:$I$9))</f>
        <v/>
      </c>
      <c r="AJ87" s="188" t="str">
        <f>IF(ISERROR(getgrade(Broadsheet!AJ198,data!$H$4:$I$9)),"#",getgrade(Broadsheet!AJ198,data!$H$4:$I$9))</f>
        <v/>
      </c>
      <c r="AK87" s="188" t="str">
        <f>IF(ISERROR(getgrade(Broadsheet!AK198,data!$H$4:$I$9)),"#",getgrade(Broadsheet!AK198,data!$H$4:$I$9))</f>
        <v/>
      </c>
      <c r="AL87" s="188" t="str">
        <f>IF(ISERROR(getgrade(Broadsheet!AL198,data!$H$4:$I$9)),"#",getgrade(Broadsheet!AL198,data!$H$4:$I$9))</f>
        <v/>
      </c>
      <c r="AM87" s="188" t="str">
        <f>IF(ISERROR(getgrade(Broadsheet!AM198,data!$H$4:$I$9)),"#",getgrade(Broadsheet!AM198,data!$H$4:$I$9))</f>
        <v/>
      </c>
      <c r="AN87" s="188" t="str">
        <f>IF(ISERROR(getgrade(Broadsheet!AN198,data!$H$4:$I$9)),"#",getgrade(Broadsheet!AN198,data!$H$4:$I$9))</f>
        <v/>
      </c>
      <c r="AO87" s="188" t="str">
        <f>IF(ISERROR(getgrade(Broadsheet!AO198,data!$H$4:$I$9)),"#",getgrade(Broadsheet!AO198,data!$H$4:$I$9))</f>
        <v/>
      </c>
      <c r="AP87" s="188" t="str">
        <f>IF(ISERROR(getgrade(Broadsheet!AP198,data!$H$4:$I$9)),"#",getgrade(Broadsheet!AP198,data!$H$4:$I$9))</f>
        <v/>
      </c>
      <c r="AQ87" s="188" t="str">
        <f>IF(ISERROR(getgrade(Broadsheet!AQ198,data!$H$4:$I$9)),"#",getgrade(Broadsheet!AQ198,data!$H$4:$I$9))</f>
        <v/>
      </c>
      <c r="AR87" s="188" t="str">
        <f>IF(ISERROR(getgrade(Broadsheet!AR198,data!$H$4:$I$9)),"#",getgrade(Broadsheet!AR198,data!$H$4:$I$9))</f>
        <v/>
      </c>
      <c r="AS87" s="188" t="str">
        <f>IF(ISERROR(getgrade(Broadsheet!AS198,data!$H$4:$I$9)),"#",getgrade(Broadsheet!AS198,data!$H$4:$I$9))</f>
        <v/>
      </c>
      <c r="AT87" s="188" t="str">
        <f>IF(ISERROR(getgrade(Broadsheet!AT198,data!$H$4:$I$9)),"#",getgrade(Broadsheet!AT198,data!$H$4:$I$9))</f>
        <v/>
      </c>
      <c r="AU87" s="188" t="str">
        <f>IF(ISERROR(getgrade(Broadsheet!AU198,data!$H$4:$I$9)),"#",getgrade(Broadsheet!AU198,data!$H$4:$I$9))</f>
        <v/>
      </c>
      <c r="AV87" s="188" t="str">
        <f>IF(ISERROR(getgrade(Broadsheet!AV198,data!$H$4:$I$9)),"#",getgrade(Broadsheet!AV198,data!$H$4:$I$9))</f>
        <v/>
      </c>
      <c r="AW87" s="188" t="str">
        <f>IF(ISERROR(getgrade(Broadsheet!AW198,data!$H$4:$I$9)),"#",getgrade(Broadsheet!AW198,data!$H$4:$I$9))</f>
        <v/>
      </c>
      <c r="AX87" s="188" t="str">
        <f>IF(ISERROR(getgrade(Broadsheet!AX198,data!$H$4:$I$9)),"#",getgrade(Broadsheet!AX198,data!$H$4:$I$9))</f>
        <v/>
      </c>
      <c r="AY87" s="188" t="str">
        <f>IF(ISERROR(getgrade(Broadsheet!AY198,data!$H$4:$I$9)),"#",getgrade(Broadsheet!AY198,data!$H$4:$I$9))</f>
        <v/>
      </c>
      <c r="AZ87" s="188" t="str">
        <f>IF(ISERROR(getgrade(Broadsheet!AZ198,data!$H$4:$I$9)),"#",getgrade(Broadsheet!AZ198,data!$H$4:$I$9))</f>
        <v/>
      </c>
      <c r="BA87" s="188" t="str">
        <f>IF(ISERROR(getgrade(Broadsheet!BA198,data!$H$4:$I$9)),"#",getgrade(Broadsheet!BA198,data!$H$4:$I$9))</f>
        <v/>
      </c>
      <c r="BB87" s="188" t="str">
        <f>IF(ISERROR(getgrade(Broadsheet!BB198,data!$H$4:$I$9)),"#",getgrade(Broadsheet!BB198,data!$H$4:$I$9))</f>
        <v/>
      </c>
      <c r="BC87" s="188" t="str">
        <f>IF(ISERROR(getgrade(Broadsheet!BC198,data!$H$4:$I$9)),"#",getgrade(Broadsheet!BC198,data!$H$4:$I$9))</f>
        <v/>
      </c>
      <c r="BD87" s="188" t="str">
        <f>IF(ISERROR(getgrade(Broadsheet!BD198,data!$H$4:$I$9)),"#",getgrade(Broadsheet!BD198,data!$H$4:$I$9))</f>
        <v/>
      </c>
      <c r="BE87" s="188" t="str">
        <f>IF(ISERROR(getgrade(Broadsheet!BE198,data!$H$4:$I$9)),"#",getgrade(Broadsheet!BE198,data!$H$4:$I$9))</f>
        <v/>
      </c>
      <c r="BF87" s="188" t="str">
        <f>IF(ISERROR(getgrade(Broadsheet!BF198,data!$H$4:$I$9)),"#",getgrade(Broadsheet!BF198,data!$H$4:$I$9))</f>
        <v/>
      </c>
      <c r="BG87" s="188" t="str">
        <f>IF(ISERROR(getgrade(Broadsheet!BG198,data!$H$4:$I$9)),"#",getgrade(Broadsheet!BG198,data!$H$4:$I$9))</f>
        <v/>
      </c>
      <c r="BH87" s="188" t="str">
        <f>IF(ISERROR(getgrade(Broadsheet!BH198,data!$H$4:$I$9)),"#",getgrade(Broadsheet!BH198,data!$H$4:$I$9))</f>
        <v/>
      </c>
      <c r="BI87" s="188" t="str">
        <f>IF(ISERROR(getgrade(Broadsheet!BI198,data!$H$4:$I$9)),"#",getgrade(Broadsheet!BI198,data!$H$4:$I$9))</f>
        <v/>
      </c>
      <c r="BJ87" s="188" t="str">
        <f>IF(ISERROR(getgrade(Broadsheet!BJ198,data!$H$4:$I$9)),"#",getgrade(Broadsheet!BJ198,data!$H$4:$I$9))</f>
        <v/>
      </c>
      <c r="BK87" s="188"/>
      <c r="BL87" s="188"/>
      <c r="BM87" s="188"/>
      <c r="BN87" s="188"/>
      <c r="BO87" s="188"/>
      <c r="BP87" s="188"/>
      <c r="BQ87" s="188"/>
      <c r="BR87" s="188"/>
      <c r="BS87" s="188"/>
      <c r="BT87" s="188"/>
      <c r="BU87" s="188"/>
      <c r="BV87" s="188"/>
      <c r="BW87" s="188"/>
      <c r="BX87" s="188"/>
      <c r="BY87" s="188"/>
      <c r="BZ87" s="188"/>
      <c r="CA87" s="188"/>
      <c r="CB87" s="188"/>
      <c r="CC87" s="188"/>
      <c r="CD87" s="188"/>
      <c r="CE87" s="188"/>
      <c r="CF87" s="188"/>
      <c r="CG87" s="188"/>
      <c r="CH87" s="188"/>
      <c r="CI87" s="188"/>
      <c r="CJ87" s="188"/>
      <c r="CK87" s="188"/>
      <c r="CL87" s="188"/>
      <c r="CM87" s="188"/>
      <c r="CN87" s="188"/>
      <c r="CO87" s="188"/>
      <c r="CP87" s="188"/>
      <c r="CQ87" s="188"/>
      <c r="CR87" s="188"/>
      <c r="CS87" s="188"/>
      <c r="CT87" s="188"/>
      <c r="CU87" s="188"/>
      <c r="CV87" s="188"/>
      <c r="CW87" s="188"/>
      <c r="CX87" s="188"/>
      <c r="CY87" s="188"/>
      <c r="CZ87" s="188"/>
      <c r="DA87" s="188"/>
      <c r="DB87" s="188"/>
      <c r="DC87" s="188"/>
      <c r="DD87" s="188"/>
      <c r="DE87" s="188"/>
      <c r="DF87" s="188"/>
      <c r="DG87" s="188"/>
      <c r="DH87" s="188"/>
      <c r="DI87" s="188"/>
      <c r="DJ87" s="188"/>
      <c r="DK87" s="188"/>
      <c r="DL87" s="188"/>
      <c r="DM87" s="188"/>
      <c r="DN87" s="188"/>
      <c r="DO87" s="188"/>
      <c r="DP87" s="188"/>
      <c r="DQ87" s="188"/>
      <c r="DR87" s="188"/>
      <c r="DS87" s="188"/>
      <c r="DT87" s="188"/>
      <c r="DU87" s="188"/>
      <c r="DV87" s="188"/>
      <c r="DW87" s="188"/>
      <c r="DX87" s="188"/>
      <c r="DY87" s="188"/>
      <c r="DZ87" s="188"/>
      <c r="EA87" s="188"/>
    </row>
    <row r="88" spans="1:131" ht="15.75" x14ac:dyDescent="0.25">
      <c r="A88" s="12">
        <f>Broadsheet!A199</f>
        <v>0</v>
      </c>
      <c r="B88" s="204" t="str">
        <f>IF(Broadsheet!B88="","",Broadsheet!B88)</f>
        <v/>
      </c>
      <c r="C88" s="24" t="str">
        <f>IF(Broadsheet!C88="","",Broadsheet!C88)</f>
        <v xml:space="preserve"> </v>
      </c>
      <c r="G88" s="24" t="str">
        <f t="shared" si="1"/>
        <v/>
      </c>
      <c r="H88" s="188" t="str">
        <f>IF(ISERROR(getgrade(Broadsheet!H199,data!$H$4:$I$9)),"#",getgrade(Broadsheet!H199,data!$H$4:$I$9))</f>
        <v/>
      </c>
      <c r="I88" s="188" t="str">
        <f>IF(ISERROR(getgrade(Broadsheet!I199,data!$H$4:$I$9)),"#",getgrade(Broadsheet!I199,data!$H$4:$I$9))</f>
        <v/>
      </c>
      <c r="J88" s="188" t="str">
        <f>IF(ISERROR(getgrade(Broadsheet!J199,data!$H$4:$I$9)),"#",getgrade(Broadsheet!J199,data!$H$4:$I$9))</f>
        <v/>
      </c>
      <c r="K88" s="188" t="str">
        <f>IF(ISERROR(getgrade(Broadsheet!K199,data!$H$4:$I$9)),"#",getgrade(Broadsheet!K199,data!$H$4:$I$9))</f>
        <v/>
      </c>
      <c r="L88" s="188" t="str">
        <f>IF(ISERROR(getgrade(Broadsheet!L199,data!$H$4:$I$9)),"#",getgrade(Broadsheet!L199,data!$H$4:$I$9))</f>
        <v/>
      </c>
      <c r="M88" s="188" t="str">
        <f>IF(ISERROR(getgrade(Broadsheet!M199,data!$H$4:$I$9)),"#",getgrade(Broadsheet!M199,data!$H$4:$I$9))</f>
        <v/>
      </c>
      <c r="N88" s="188" t="str">
        <f>IF(ISERROR(getgrade(Broadsheet!N199,data!$H$4:$I$9)),"#",getgrade(Broadsheet!N199,data!$H$4:$I$9))</f>
        <v/>
      </c>
      <c r="O88" s="188" t="str">
        <f>IF(ISERROR(getgrade(Broadsheet!O199,data!$H$4:$I$9)),"#",getgrade(Broadsheet!O199,data!$H$4:$I$9))</f>
        <v/>
      </c>
      <c r="P88" s="188" t="str">
        <f>IF(ISERROR(getgrade(Broadsheet!P199,data!$H$4:$I$9)),"#",getgrade(Broadsheet!P199,data!$H$4:$I$9))</f>
        <v/>
      </c>
      <c r="Q88" s="188" t="str">
        <f>IF(ISERROR(getgrade(Broadsheet!Q199,data!$H$4:$I$9)),"#",getgrade(Broadsheet!Q199,data!$H$4:$I$9))</f>
        <v/>
      </c>
      <c r="R88" s="188" t="str">
        <f>IF(ISERROR(getgrade(Broadsheet!R199,data!$H$4:$I$9)),"#",getgrade(Broadsheet!R199,data!$H$4:$I$9))</f>
        <v/>
      </c>
      <c r="S88" s="188" t="str">
        <f>IF(ISERROR(getgrade(Broadsheet!S199,data!$H$4:$I$9)),"#",getgrade(Broadsheet!S199,data!$H$4:$I$9))</f>
        <v/>
      </c>
      <c r="T88" s="188" t="str">
        <f>IF(ISERROR(getgrade(Broadsheet!T199,data!$H$4:$I$9)),"#",getgrade(Broadsheet!T199,data!$H$4:$I$9))</f>
        <v/>
      </c>
      <c r="U88" s="188" t="str">
        <f>IF(ISERROR(getgrade(Broadsheet!U199,data!$H$4:$I$9)),"#",getgrade(Broadsheet!U199,data!$H$4:$I$9))</f>
        <v/>
      </c>
      <c r="V88" s="188" t="str">
        <f>IF(ISERROR(getgrade(Broadsheet!V199,data!$H$4:$I$9)),"#",getgrade(Broadsheet!V199,data!$H$4:$I$9))</f>
        <v/>
      </c>
      <c r="W88" s="188" t="str">
        <f>IF(ISERROR(getgrade(Broadsheet!W199,data!$H$4:$I$9)),"#",getgrade(Broadsheet!W199,data!$H$4:$I$9))</f>
        <v/>
      </c>
      <c r="X88" s="188" t="str">
        <f>IF(ISERROR(getgrade(Broadsheet!X199,data!$H$4:$I$9)),"#",getgrade(Broadsheet!X199,data!$H$4:$I$9))</f>
        <v/>
      </c>
      <c r="Y88" s="188" t="str">
        <f>IF(ISERROR(getgrade(Broadsheet!Y199,data!$H$4:$I$9)),"#",getgrade(Broadsheet!Y199,data!$H$4:$I$9))</f>
        <v/>
      </c>
      <c r="Z88" s="188" t="str">
        <f>IF(ISERROR(getgrade(Broadsheet!Z199,data!$H$4:$I$9)),"#",getgrade(Broadsheet!Z199,data!$H$4:$I$9))</f>
        <v/>
      </c>
      <c r="AA88" s="188" t="str">
        <f>IF(ISERROR(getgrade(Broadsheet!AA199,data!$H$4:$I$9)),"#",getgrade(Broadsheet!AA199,data!$H$4:$I$9))</f>
        <v/>
      </c>
      <c r="AB88" s="188" t="str">
        <f>IF(ISERROR(getgrade(Broadsheet!AB199,data!$H$4:$I$9)),"#",getgrade(Broadsheet!AB199,data!$H$4:$I$9))</f>
        <v/>
      </c>
      <c r="AC88" s="188" t="str">
        <f>IF(ISERROR(getgrade(Broadsheet!AC199,data!$H$4:$I$9)),"#",getgrade(Broadsheet!AC199,data!$H$4:$I$9))</f>
        <v/>
      </c>
      <c r="AD88" s="188" t="str">
        <f>IF(ISERROR(getgrade(Broadsheet!AD199,data!$H$4:$I$9)),"#",getgrade(Broadsheet!AD199,data!$H$4:$I$9))</f>
        <v/>
      </c>
      <c r="AE88" s="188" t="str">
        <f>IF(ISERROR(getgrade(Broadsheet!AE199,data!$H$4:$I$9)),"#",getgrade(Broadsheet!AE199,data!$H$4:$I$9))</f>
        <v/>
      </c>
      <c r="AF88" s="188" t="str">
        <f>IF(ISERROR(getgrade(Broadsheet!AF199,data!$H$4:$I$9)),"#",getgrade(Broadsheet!AF199,data!$H$4:$I$9))</f>
        <v/>
      </c>
      <c r="AG88" s="188" t="str">
        <f>IF(ISERROR(getgrade(Broadsheet!AG199,data!$H$4:$I$9)),"#",getgrade(Broadsheet!AG199,data!$H$4:$I$9))</f>
        <v/>
      </c>
      <c r="AH88" s="188" t="str">
        <f>IF(ISERROR(getgrade(Broadsheet!AH199,data!$H$4:$I$9)),"#",getgrade(Broadsheet!AH199,data!$H$4:$I$9))</f>
        <v/>
      </c>
      <c r="AI88" s="188" t="str">
        <f>IF(ISERROR(getgrade(Broadsheet!AI199,data!$H$4:$I$9)),"#",getgrade(Broadsheet!AI199,data!$H$4:$I$9))</f>
        <v/>
      </c>
      <c r="AJ88" s="188" t="str">
        <f>IF(ISERROR(getgrade(Broadsheet!AJ199,data!$H$4:$I$9)),"#",getgrade(Broadsheet!AJ199,data!$H$4:$I$9))</f>
        <v/>
      </c>
      <c r="AK88" s="188" t="str">
        <f>IF(ISERROR(getgrade(Broadsheet!AK199,data!$H$4:$I$9)),"#",getgrade(Broadsheet!AK199,data!$H$4:$I$9))</f>
        <v/>
      </c>
      <c r="AL88" s="188" t="str">
        <f>IF(ISERROR(getgrade(Broadsheet!AL199,data!$H$4:$I$9)),"#",getgrade(Broadsheet!AL199,data!$H$4:$I$9))</f>
        <v/>
      </c>
      <c r="AM88" s="188" t="str">
        <f>IF(ISERROR(getgrade(Broadsheet!AM199,data!$H$4:$I$9)),"#",getgrade(Broadsheet!AM199,data!$H$4:$I$9))</f>
        <v/>
      </c>
      <c r="AN88" s="188" t="str">
        <f>IF(ISERROR(getgrade(Broadsheet!AN199,data!$H$4:$I$9)),"#",getgrade(Broadsheet!AN199,data!$H$4:$I$9))</f>
        <v/>
      </c>
      <c r="AO88" s="188" t="str">
        <f>IF(ISERROR(getgrade(Broadsheet!AO199,data!$H$4:$I$9)),"#",getgrade(Broadsheet!AO199,data!$H$4:$I$9))</f>
        <v/>
      </c>
      <c r="AP88" s="188" t="str">
        <f>IF(ISERROR(getgrade(Broadsheet!AP199,data!$H$4:$I$9)),"#",getgrade(Broadsheet!AP199,data!$H$4:$I$9))</f>
        <v/>
      </c>
      <c r="AQ88" s="188" t="str">
        <f>IF(ISERROR(getgrade(Broadsheet!AQ199,data!$H$4:$I$9)),"#",getgrade(Broadsheet!AQ199,data!$H$4:$I$9))</f>
        <v/>
      </c>
      <c r="AR88" s="188" t="str">
        <f>IF(ISERROR(getgrade(Broadsheet!AR199,data!$H$4:$I$9)),"#",getgrade(Broadsheet!AR199,data!$H$4:$I$9))</f>
        <v/>
      </c>
      <c r="AS88" s="188" t="str">
        <f>IF(ISERROR(getgrade(Broadsheet!AS199,data!$H$4:$I$9)),"#",getgrade(Broadsheet!AS199,data!$H$4:$I$9))</f>
        <v/>
      </c>
      <c r="AT88" s="188" t="str">
        <f>IF(ISERROR(getgrade(Broadsheet!AT199,data!$H$4:$I$9)),"#",getgrade(Broadsheet!AT199,data!$H$4:$I$9))</f>
        <v/>
      </c>
      <c r="AU88" s="188" t="str">
        <f>IF(ISERROR(getgrade(Broadsheet!AU199,data!$H$4:$I$9)),"#",getgrade(Broadsheet!AU199,data!$H$4:$I$9))</f>
        <v/>
      </c>
      <c r="AV88" s="188" t="str">
        <f>IF(ISERROR(getgrade(Broadsheet!AV199,data!$H$4:$I$9)),"#",getgrade(Broadsheet!AV199,data!$H$4:$I$9))</f>
        <v/>
      </c>
      <c r="AW88" s="188" t="str">
        <f>IF(ISERROR(getgrade(Broadsheet!AW199,data!$H$4:$I$9)),"#",getgrade(Broadsheet!AW199,data!$H$4:$I$9))</f>
        <v/>
      </c>
      <c r="AX88" s="188" t="str">
        <f>IF(ISERROR(getgrade(Broadsheet!AX199,data!$H$4:$I$9)),"#",getgrade(Broadsheet!AX199,data!$H$4:$I$9))</f>
        <v/>
      </c>
      <c r="AY88" s="188" t="str">
        <f>IF(ISERROR(getgrade(Broadsheet!AY199,data!$H$4:$I$9)),"#",getgrade(Broadsheet!AY199,data!$H$4:$I$9))</f>
        <v/>
      </c>
      <c r="AZ88" s="188" t="str">
        <f>IF(ISERROR(getgrade(Broadsheet!AZ199,data!$H$4:$I$9)),"#",getgrade(Broadsheet!AZ199,data!$H$4:$I$9))</f>
        <v/>
      </c>
      <c r="BA88" s="188" t="str">
        <f>IF(ISERROR(getgrade(Broadsheet!BA199,data!$H$4:$I$9)),"#",getgrade(Broadsheet!BA199,data!$H$4:$I$9))</f>
        <v/>
      </c>
      <c r="BB88" s="188" t="str">
        <f>IF(ISERROR(getgrade(Broadsheet!BB199,data!$H$4:$I$9)),"#",getgrade(Broadsheet!BB199,data!$H$4:$I$9))</f>
        <v/>
      </c>
      <c r="BC88" s="188" t="str">
        <f>IF(ISERROR(getgrade(Broadsheet!BC199,data!$H$4:$I$9)),"#",getgrade(Broadsheet!BC199,data!$H$4:$I$9))</f>
        <v/>
      </c>
      <c r="BD88" s="188" t="str">
        <f>IF(ISERROR(getgrade(Broadsheet!BD199,data!$H$4:$I$9)),"#",getgrade(Broadsheet!BD199,data!$H$4:$I$9))</f>
        <v/>
      </c>
      <c r="BE88" s="188" t="str">
        <f>IF(ISERROR(getgrade(Broadsheet!BE199,data!$H$4:$I$9)),"#",getgrade(Broadsheet!BE199,data!$H$4:$I$9))</f>
        <v/>
      </c>
      <c r="BF88" s="188" t="str">
        <f>IF(ISERROR(getgrade(Broadsheet!BF199,data!$H$4:$I$9)),"#",getgrade(Broadsheet!BF199,data!$H$4:$I$9))</f>
        <v/>
      </c>
      <c r="BG88" s="188" t="str">
        <f>IF(ISERROR(getgrade(Broadsheet!BG199,data!$H$4:$I$9)),"#",getgrade(Broadsheet!BG199,data!$H$4:$I$9))</f>
        <v/>
      </c>
      <c r="BH88" s="188" t="str">
        <f>IF(ISERROR(getgrade(Broadsheet!BH199,data!$H$4:$I$9)),"#",getgrade(Broadsheet!BH199,data!$H$4:$I$9))</f>
        <v/>
      </c>
      <c r="BI88" s="188" t="str">
        <f>IF(ISERROR(getgrade(Broadsheet!BI199,data!$H$4:$I$9)),"#",getgrade(Broadsheet!BI199,data!$H$4:$I$9))</f>
        <v/>
      </c>
      <c r="BJ88" s="188" t="str">
        <f>IF(ISERROR(getgrade(Broadsheet!BJ199,data!$H$4:$I$9)),"#",getgrade(Broadsheet!BJ199,data!$H$4:$I$9))</f>
        <v/>
      </c>
      <c r="BK88" s="188"/>
      <c r="BL88" s="188"/>
      <c r="BM88" s="188"/>
      <c r="BN88" s="188"/>
      <c r="BO88" s="188"/>
      <c r="BP88" s="188"/>
      <c r="BQ88" s="188"/>
      <c r="BR88" s="188"/>
      <c r="BS88" s="188"/>
      <c r="BT88" s="188"/>
      <c r="BU88" s="188"/>
      <c r="BV88" s="188"/>
      <c r="BW88" s="188"/>
      <c r="BX88" s="188"/>
      <c r="BY88" s="188"/>
      <c r="BZ88" s="188"/>
      <c r="CA88" s="188"/>
      <c r="CB88" s="188"/>
      <c r="CC88" s="188"/>
      <c r="CD88" s="188"/>
      <c r="CE88" s="188"/>
      <c r="CF88" s="188"/>
      <c r="CG88" s="188"/>
      <c r="CH88" s="188"/>
      <c r="CI88" s="188"/>
      <c r="CJ88" s="188"/>
      <c r="CK88" s="188"/>
      <c r="CL88" s="188"/>
      <c r="CM88" s="188"/>
      <c r="CN88" s="188"/>
      <c r="CO88" s="188"/>
      <c r="CP88" s="188"/>
      <c r="CQ88" s="188"/>
      <c r="CR88" s="188"/>
      <c r="CS88" s="188"/>
      <c r="CT88" s="188"/>
      <c r="CU88" s="188"/>
      <c r="CV88" s="188"/>
      <c r="CW88" s="188"/>
      <c r="CX88" s="188"/>
      <c r="CY88" s="188"/>
      <c r="CZ88" s="188"/>
      <c r="DA88" s="188"/>
      <c r="DB88" s="188"/>
      <c r="DC88" s="188"/>
      <c r="DD88" s="188"/>
      <c r="DE88" s="188"/>
      <c r="DF88" s="188"/>
      <c r="DG88" s="188"/>
      <c r="DH88" s="188"/>
      <c r="DI88" s="188"/>
      <c r="DJ88" s="188"/>
      <c r="DK88" s="188"/>
      <c r="DL88" s="188"/>
      <c r="DM88" s="188"/>
      <c r="DN88" s="188"/>
      <c r="DO88" s="188"/>
      <c r="DP88" s="188"/>
      <c r="DQ88" s="188"/>
      <c r="DR88" s="188"/>
      <c r="DS88" s="188"/>
      <c r="DT88" s="188"/>
      <c r="DU88" s="188"/>
      <c r="DV88" s="188"/>
      <c r="DW88" s="188"/>
      <c r="DX88" s="188"/>
      <c r="DY88" s="188"/>
      <c r="DZ88" s="188"/>
      <c r="EA88" s="188"/>
    </row>
    <row r="89" spans="1:131" ht="15.75" x14ac:dyDescent="0.25">
      <c r="A89" s="12">
        <f>Broadsheet!A200</f>
        <v>0</v>
      </c>
      <c r="B89" s="204" t="str">
        <f>IF(Broadsheet!B89="","",Broadsheet!B89)</f>
        <v/>
      </c>
      <c r="C89" s="24" t="str">
        <f>IF(Broadsheet!C89="","",Broadsheet!C89)</f>
        <v xml:space="preserve"> </v>
      </c>
      <c r="G89" s="24" t="str">
        <f t="shared" si="1"/>
        <v/>
      </c>
      <c r="H89" s="188" t="str">
        <f>IF(ISERROR(getgrade(Broadsheet!H200,data!$H$4:$I$9)),"#",getgrade(Broadsheet!H200,data!$H$4:$I$9))</f>
        <v/>
      </c>
      <c r="I89" s="188" t="str">
        <f>IF(ISERROR(getgrade(Broadsheet!I200,data!$H$4:$I$9)),"#",getgrade(Broadsheet!I200,data!$H$4:$I$9))</f>
        <v/>
      </c>
      <c r="J89" s="188" t="str">
        <f>IF(ISERROR(getgrade(Broadsheet!J200,data!$H$4:$I$9)),"#",getgrade(Broadsheet!J200,data!$H$4:$I$9))</f>
        <v/>
      </c>
      <c r="K89" s="188" t="str">
        <f>IF(ISERROR(getgrade(Broadsheet!K200,data!$H$4:$I$9)),"#",getgrade(Broadsheet!K200,data!$H$4:$I$9))</f>
        <v/>
      </c>
      <c r="L89" s="188" t="str">
        <f>IF(ISERROR(getgrade(Broadsheet!L200,data!$H$4:$I$9)),"#",getgrade(Broadsheet!L200,data!$H$4:$I$9))</f>
        <v/>
      </c>
      <c r="M89" s="188" t="str">
        <f>IF(ISERROR(getgrade(Broadsheet!M200,data!$H$4:$I$9)),"#",getgrade(Broadsheet!M200,data!$H$4:$I$9))</f>
        <v/>
      </c>
      <c r="N89" s="188" t="str">
        <f>IF(ISERROR(getgrade(Broadsheet!N200,data!$H$4:$I$9)),"#",getgrade(Broadsheet!N200,data!$H$4:$I$9))</f>
        <v/>
      </c>
      <c r="O89" s="188" t="str">
        <f>IF(ISERROR(getgrade(Broadsheet!O200,data!$H$4:$I$9)),"#",getgrade(Broadsheet!O200,data!$H$4:$I$9))</f>
        <v/>
      </c>
      <c r="P89" s="188" t="str">
        <f>IF(ISERROR(getgrade(Broadsheet!P200,data!$H$4:$I$9)),"#",getgrade(Broadsheet!P200,data!$H$4:$I$9))</f>
        <v/>
      </c>
      <c r="Q89" s="188" t="str">
        <f>IF(ISERROR(getgrade(Broadsheet!Q200,data!$H$4:$I$9)),"#",getgrade(Broadsheet!Q200,data!$H$4:$I$9))</f>
        <v/>
      </c>
      <c r="R89" s="188" t="str">
        <f>IF(ISERROR(getgrade(Broadsheet!R200,data!$H$4:$I$9)),"#",getgrade(Broadsheet!R200,data!$H$4:$I$9))</f>
        <v/>
      </c>
      <c r="S89" s="188" t="str">
        <f>IF(ISERROR(getgrade(Broadsheet!S200,data!$H$4:$I$9)),"#",getgrade(Broadsheet!S200,data!$H$4:$I$9))</f>
        <v/>
      </c>
      <c r="T89" s="188" t="str">
        <f>IF(ISERROR(getgrade(Broadsheet!T200,data!$H$4:$I$9)),"#",getgrade(Broadsheet!T200,data!$H$4:$I$9))</f>
        <v/>
      </c>
      <c r="U89" s="188" t="str">
        <f>IF(ISERROR(getgrade(Broadsheet!U200,data!$H$4:$I$9)),"#",getgrade(Broadsheet!U200,data!$H$4:$I$9))</f>
        <v/>
      </c>
      <c r="V89" s="188" t="str">
        <f>IF(ISERROR(getgrade(Broadsheet!V200,data!$H$4:$I$9)),"#",getgrade(Broadsheet!V200,data!$H$4:$I$9))</f>
        <v/>
      </c>
      <c r="W89" s="188" t="str">
        <f>IF(ISERROR(getgrade(Broadsheet!W200,data!$H$4:$I$9)),"#",getgrade(Broadsheet!W200,data!$H$4:$I$9))</f>
        <v/>
      </c>
      <c r="X89" s="188" t="str">
        <f>IF(ISERROR(getgrade(Broadsheet!X200,data!$H$4:$I$9)),"#",getgrade(Broadsheet!X200,data!$H$4:$I$9))</f>
        <v/>
      </c>
      <c r="Y89" s="188" t="str">
        <f>IF(ISERROR(getgrade(Broadsheet!Y200,data!$H$4:$I$9)),"#",getgrade(Broadsheet!Y200,data!$H$4:$I$9))</f>
        <v/>
      </c>
      <c r="Z89" s="188" t="str">
        <f>IF(ISERROR(getgrade(Broadsheet!Z200,data!$H$4:$I$9)),"#",getgrade(Broadsheet!Z200,data!$H$4:$I$9))</f>
        <v/>
      </c>
      <c r="AA89" s="188" t="str">
        <f>IF(ISERROR(getgrade(Broadsheet!AA200,data!$H$4:$I$9)),"#",getgrade(Broadsheet!AA200,data!$H$4:$I$9))</f>
        <v/>
      </c>
      <c r="AB89" s="188" t="str">
        <f>IF(ISERROR(getgrade(Broadsheet!AB200,data!$H$4:$I$9)),"#",getgrade(Broadsheet!AB200,data!$H$4:$I$9))</f>
        <v/>
      </c>
      <c r="AC89" s="188" t="str">
        <f>IF(ISERROR(getgrade(Broadsheet!AC200,data!$H$4:$I$9)),"#",getgrade(Broadsheet!AC200,data!$H$4:$I$9))</f>
        <v/>
      </c>
      <c r="AD89" s="188" t="str">
        <f>IF(ISERROR(getgrade(Broadsheet!AD200,data!$H$4:$I$9)),"#",getgrade(Broadsheet!AD200,data!$H$4:$I$9))</f>
        <v/>
      </c>
      <c r="AE89" s="188" t="str">
        <f>IF(ISERROR(getgrade(Broadsheet!AE200,data!$H$4:$I$9)),"#",getgrade(Broadsheet!AE200,data!$H$4:$I$9))</f>
        <v/>
      </c>
      <c r="AF89" s="188" t="str">
        <f>IF(ISERROR(getgrade(Broadsheet!AF200,data!$H$4:$I$9)),"#",getgrade(Broadsheet!AF200,data!$H$4:$I$9))</f>
        <v/>
      </c>
      <c r="AG89" s="188" t="str">
        <f>IF(ISERROR(getgrade(Broadsheet!AG200,data!$H$4:$I$9)),"#",getgrade(Broadsheet!AG200,data!$H$4:$I$9))</f>
        <v/>
      </c>
      <c r="AH89" s="188" t="str">
        <f>IF(ISERROR(getgrade(Broadsheet!AH200,data!$H$4:$I$9)),"#",getgrade(Broadsheet!AH200,data!$H$4:$I$9))</f>
        <v/>
      </c>
      <c r="AI89" s="188" t="str">
        <f>IF(ISERROR(getgrade(Broadsheet!AI200,data!$H$4:$I$9)),"#",getgrade(Broadsheet!AI200,data!$H$4:$I$9))</f>
        <v/>
      </c>
      <c r="AJ89" s="188" t="str">
        <f>IF(ISERROR(getgrade(Broadsheet!AJ200,data!$H$4:$I$9)),"#",getgrade(Broadsheet!AJ200,data!$H$4:$I$9))</f>
        <v/>
      </c>
      <c r="AK89" s="188" t="str">
        <f>IF(ISERROR(getgrade(Broadsheet!AK200,data!$H$4:$I$9)),"#",getgrade(Broadsheet!AK200,data!$H$4:$I$9))</f>
        <v/>
      </c>
      <c r="AL89" s="188" t="str">
        <f>IF(ISERROR(getgrade(Broadsheet!AL200,data!$H$4:$I$9)),"#",getgrade(Broadsheet!AL200,data!$H$4:$I$9))</f>
        <v/>
      </c>
      <c r="AM89" s="188" t="str">
        <f>IF(ISERROR(getgrade(Broadsheet!AM200,data!$H$4:$I$9)),"#",getgrade(Broadsheet!AM200,data!$H$4:$I$9))</f>
        <v/>
      </c>
      <c r="AN89" s="188" t="str">
        <f>IF(ISERROR(getgrade(Broadsheet!AN200,data!$H$4:$I$9)),"#",getgrade(Broadsheet!AN200,data!$H$4:$I$9))</f>
        <v/>
      </c>
      <c r="AO89" s="188" t="str">
        <f>IF(ISERROR(getgrade(Broadsheet!AO200,data!$H$4:$I$9)),"#",getgrade(Broadsheet!AO200,data!$H$4:$I$9))</f>
        <v/>
      </c>
      <c r="AP89" s="188" t="str">
        <f>IF(ISERROR(getgrade(Broadsheet!AP200,data!$H$4:$I$9)),"#",getgrade(Broadsheet!AP200,data!$H$4:$I$9))</f>
        <v/>
      </c>
      <c r="AQ89" s="188" t="str">
        <f>IF(ISERROR(getgrade(Broadsheet!AQ200,data!$H$4:$I$9)),"#",getgrade(Broadsheet!AQ200,data!$H$4:$I$9))</f>
        <v/>
      </c>
      <c r="AR89" s="188" t="str">
        <f>IF(ISERROR(getgrade(Broadsheet!AR200,data!$H$4:$I$9)),"#",getgrade(Broadsheet!AR200,data!$H$4:$I$9))</f>
        <v/>
      </c>
      <c r="AS89" s="188" t="str">
        <f>IF(ISERROR(getgrade(Broadsheet!AS200,data!$H$4:$I$9)),"#",getgrade(Broadsheet!AS200,data!$H$4:$I$9))</f>
        <v/>
      </c>
      <c r="AT89" s="188" t="str">
        <f>IF(ISERROR(getgrade(Broadsheet!AT200,data!$H$4:$I$9)),"#",getgrade(Broadsheet!AT200,data!$H$4:$I$9))</f>
        <v/>
      </c>
      <c r="AU89" s="188" t="str">
        <f>IF(ISERROR(getgrade(Broadsheet!AU200,data!$H$4:$I$9)),"#",getgrade(Broadsheet!AU200,data!$H$4:$I$9))</f>
        <v/>
      </c>
      <c r="AV89" s="188" t="str">
        <f>IF(ISERROR(getgrade(Broadsheet!AV200,data!$H$4:$I$9)),"#",getgrade(Broadsheet!AV200,data!$H$4:$I$9))</f>
        <v/>
      </c>
      <c r="AW89" s="188" t="str">
        <f>IF(ISERROR(getgrade(Broadsheet!AW200,data!$H$4:$I$9)),"#",getgrade(Broadsheet!AW200,data!$H$4:$I$9))</f>
        <v/>
      </c>
      <c r="AX89" s="188" t="str">
        <f>IF(ISERROR(getgrade(Broadsheet!AX200,data!$H$4:$I$9)),"#",getgrade(Broadsheet!AX200,data!$H$4:$I$9))</f>
        <v/>
      </c>
      <c r="AY89" s="188" t="str">
        <f>IF(ISERROR(getgrade(Broadsheet!AY200,data!$H$4:$I$9)),"#",getgrade(Broadsheet!AY200,data!$H$4:$I$9))</f>
        <v/>
      </c>
      <c r="AZ89" s="188" t="str">
        <f>IF(ISERROR(getgrade(Broadsheet!AZ200,data!$H$4:$I$9)),"#",getgrade(Broadsheet!AZ200,data!$H$4:$I$9))</f>
        <v/>
      </c>
      <c r="BA89" s="188" t="str">
        <f>IF(ISERROR(getgrade(Broadsheet!BA200,data!$H$4:$I$9)),"#",getgrade(Broadsheet!BA200,data!$H$4:$I$9))</f>
        <v/>
      </c>
      <c r="BB89" s="188" t="str">
        <f>IF(ISERROR(getgrade(Broadsheet!BB200,data!$H$4:$I$9)),"#",getgrade(Broadsheet!BB200,data!$H$4:$I$9))</f>
        <v/>
      </c>
      <c r="BC89" s="188" t="str">
        <f>IF(ISERROR(getgrade(Broadsheet!BC200,data!$H$4:$I$9)),"#",getgrade(Broadsheet!BC200,data!$H$4:$I$9))</f>
        <v/>
      </c>
      <c r="BD89" s="188" t="str">
        <f>IF(ISERROR(getgrade(Broadsheet!BD200,data!$H$4:$I$9)),"#",getgrade(Broadsheet!BD200,data!$H$4:$I$9))</f>
        <v/>
      </c>
      <c r="BE89" s="188" t="str">
        <f>IF(ISERROR(getgrade(Broadsheet!BE200,data!$H$4:$I$9)),"#",getgrade(Broadsheet!BE200,data!$H$4:$I$9))</f>
        <v/>
      </c>
      <c r="BF89" s="188" t="str">
        <f>IF(ISERROR(getgrade(Broadsheet!BF200,data!$H$4:$I$9)),"#",getgrade(Broadsheet!BF200,data!$H$4:$I$9))</f>
        <v/>
      </c>
      <c r="BG89" s="188" t="str">
        <f>IF(ISERROR(getgrade(Broadsheet!BG200,data!$H$4:$I$9)),"#",getgrade(Broadsheet!BG200,data!$H$4:$I$9))</f>
        <v/>
      </c>
      <c r="BH89" s="188" t="str">
        <f>IF(ISERROR(getgrade(Broadsheet!BH200,data!$H$4:$I$9)),"#",getgrade(Broadsheet!BH200,data!$H$4:$I$9))</f>
        <v/>
      </c>
      <c r="BI89" s="188" t="str">
        <f>IF(ISERROR(getgrade(Broadsheet!BI200,data!$H$4:$I$9)),"#",getgrade(Broadsheet!BI200,data!$H$4:$I$9))</f>
        <v/>
      </c>
      <c r="BJ89" s="188" t="str">
        <f>IF(ISERROR(getgrade(Broadsheet!BJ200,data!$H$4:$I$9)),"#",getgrade(Broadsheet!BJ200,data!$H$4:$I$9))</f>
        <v/>
      </c>
      <c r="BK89" s="188"/>
      <c r="BL89" s="188"/>
      <c r="BM89" s="188"/>
      <c r="BN89" s="188"/>
      <c r="BO89" s="188"/>
      <c r="BP89" s="188"/>
      <c r="BQ89" s="188"/>
      <c r="BR89" s="188"/>
      <c r="BS89" s="188"/>
      <c r="BT89" s="188"/>
      <c r="BU89" s="188"/>
      <c r="BV89" s="188"/>
      <c r="BW89" s="188"/>
      <c r="BX89" s="188"/>
      <c r="BY89" s="188"/>
      <c r="BZ89" s="188"/>
      <c r="CA89" s="188"/>
      <c r="CB89" s="188"/>
      <c r="CC89" s="188"/>
      <c r="CD89" s="188"/>
      <c r="CE89" s="188"/>
      <c r="CF89" s="188"/>
      <c r="CG89" s="188"/>
      <c r="CH89" s="188"/>
      <c r="CI89" s="188"/>
      <c r="CJ89" s="188"/>
      <c r="CK89" s="188"/>
      <c r="CL89" s="188"/>
      <c r="CM89" s="188"/>
      <c r="CN89" s="188"/>
      <c r="CO89" s="188"/>
      <c r="CP89" s="188"/>
      <c r="CQ89" s="188"/>
      <c r="CR89" s="188"/>
      <c r="CS89" s="188"/>
      <c r="CT89" s="188"/>
      <c r="CU89" s="188"/>
      <c r="CV89" s="188"/>
      <c r="CW89" s="188"/>
      <c r="CX89" s="188"/>
      <c r="CY89" s="188"/>
      <c r="CZ89" s="188"/>
      <c r="DA89" s="188"/>
      <c r="DB89" s="188"/>
      <c r="DC89" s="188"/>
      <c r="DD89" s="188"/>
      <c r="DE89" s="188"/>
      <c r="DF89" s="188"/>
      <c r="DG89" s="188"/>
      <c r="DH89" s="188"/>
      <c r="DI89" s="188"/>
      <c r="DJ89" s="188"/>
      <c r="DK89" s="188"/>
      <c r="DL89" s="188"/>
      <c r="DM89" s="188"/>
      <c r="DN89" s="188"/>
      <c r="DO89" s="188"/>
      <c r="DP89" s="188"/>
      <c r="DQ89" s="188"/>
      <c r="DR89" s="188"/>
      <c r="DS89" s="188"/>
      <c r="DT89" s="188"/>
      <c r="DU89" s="188"/>
      <c r="DV89" s="188"/>
      <c r="DW89" s="188"/>
      <c r="DX89" s="188"/>
      <c r="DY89" s="188"/>
      <c r="DZ89" s="188"/>
      <c r="EA89" s="188"/>
    </row>
    <row r="90" spans="1:131" ht="15.75" x14ac:dyDescent="0.25">
      <c r="A90" s="12">
        <f>Broadsheet!A201</f>
        <v>0</v>
      </c>
      <c r="B90" s="204" t="str">
        <f>IF(Broadsheet!B90="","",Broadsheet!B90)</f>
        <v/>
      </c>
      <c r="C90" s="24" t="str">
        <f>IF(Broadsheet!C90="","",Broadsheet!C90)</f>
        <v xml:space="preserve"> </v>
      </c>
      <c r="G90" s="24" t="str">
        <f t="shared" si="1"/>
        <v/>
      </c>
      <c r="H90" s="188" t="str">
        <f>IF(ISERROR(getgrade(Broadsheet!H201,data!$H$4:$I$9)),"#",getgrade(Broadsheet!H201,data!$H$4:$I$9))</f>
        <v/>
      </c>
      <c r="I90" s="188" t="str">
        <f>IF(ISERROR(getgrade(Broadsheet!I201,data!$H$4:$I$9)),"#",getgrade(Broadsheet!I201,data!$H$4:$I$9))</f>
        <v/>
      </c>
      <c r="J90" s="188" t="str">
        <f>IF(ISERROR(getgrade(Broadsheet!J201,data!$H$4:$I$9)),"#",getgrade(Broadsheet!J201,data!$H$4:$I$9))</f>
        <v/>
      </c>
      <c r="K90" s="188" t="str">
        <f>IF(ISERROR(getgrade(Broadsheet!K201,data!$H$4:$I$9)),"#",getgrade(Broadsheet!K201,data!$H$4:$I$9))</f>
        <v/>
      </c>
      <c r="L90" s="188" t="str">
        <f>IF(ISERROR(getgrade(Broadsheet!L201,data!$H$4:$I$9)),"#",getgrade(Broadsheet!L201,data!$H$4:$I$9))</f>
        <v/>
      </c>
      <c r="M90" s="188" t="str">
        <f>IF(ISERROR(getgrade(Broadsheet!M201,data!$H$4:$I$9)),"#",getgrade(Broadsheet!M201,data!$H$4:$I$9))</f>
        <v/>
      </c>
      <c r="N90" s="188" t="str">
        <f>IF(ISERROR(getgrade(Broadsheet!N201,data!$H$4:$I$9)),"#",getgrade(Broadsheet!N201,data!$H$4:$I$9))</f>
        <v/>
      </c>
      <c r="O90" s="188" t="str">
        <f>IF(ISERROR(getgrade(Broadsheet!O201,data!$H$4:$I$9)),"#",getgrade(Broadsheet!O201,data!$H$4:$I$9))</f>
        <v/>
      </c>
      <c r="P90" s="188" t="str">
        <f>IF(ISERROR(getgrade(Broadsheet!P201,data!$H$4:$I$9)),"#",getgrade(Broadsheet!P201,data!$H$4:$I$9))</f>
        <v/>
      </c>
      <c r="Q90" s="188" t="str">
        <f>IF(ISERROR(getgrade(Broadsheet!Q201,data!$H$4:$I$9)),"#",getgrade(Broadsheet!Q201,data!$H$4:$I$9))</f>
        <v/>
      </c>
      <c r="R90" s="188" t="str">
        <f>IF(ISERROR(getgrade(Broadsheet!R201,data!$H$4:$I$9)),"#",getgrade(Broadsheet!R201,data!$H$4:$I$9))</f>
        <v/>
      </c>
      <c r="S90" s="188" t="str">
        <f>IF(ISERROR(getgrade(Broadsheet!S201,data!$H$4:$I$9)),"#",getgrade(Broadsheet!S201,data!$H$4:$I$9))</f>
        <v/>
      </c>
      <c r="T90" s="188" t="str">
        <f>IF(ISERROR(getgrade(Broadsheet!T201,data!$H$4:$I$9)),"#",getgrade(Broadsheet!T201,data!$H$4:$I$9))</f>
        <v/>
      </c>
      <c r="U90" s="188" t="str">
        <f>IF(ISERROR(getgrade(Broadsheet!U201,data!$H$4:$I$9)),"#",getgrade(Broadsheet!U201,data!$H$4:$I$9))</f>
        <v/>
      </c>
      <c r="V90" s="188" t="str">
        <f>IF(ISERROR(getgrade(Broadsheet!V201,data!$H$4:$I$9)),"#",getgrade(Broadsheet!V201,data!$H$4:$I$9))</f>
        <v/>
      </c>
      <c r="W90" s="188" t="str">
        <f>IF(ISERROR(getgrade(Broadsheet!W201,data!$H$4:$I$9)),"#",getgrade(Broadsheet!W201,data!$H$4:$I$9))</f>
        <v/>
      </c>
      <c r="X90" s="188" t="str">
        <f>IF(ISERROR(getgrade(Broadsheet!X201,data!$H$4:$I$9)),"#",getgrade(Broadsheet!X201,data!$H$4:$I$9))</f>
        <v/>
      </c>
      <c r="Y90" s="188" t="str">
        <f>IF(ISERROR(getgrade(Broadsheet!Y201,data!$H$4:$I$9)),"#",getgrade(Broadsheet!Y201,data!$H$4:$I$9))</f>
        <v/>
      </c>
      <c r="Z90" s="188" t="str">
        <f>IF(ISERROR(getgrade(Broadsheet!Z201,data!$H$4:$I$9)),"#",getgrade(Broadsheet!Z201,data!$H$4:$I$9))</f>
        <v/>
      </c>
      <c r="AA90" s="188" t="str">
        <f>IF(ISERROR(getgrade(Broadsheet!AA201,data!$H$4:$I$9)),"#",getgrade(Broadsheet!AA201,data!$H$4:$I$9))</f>
        <v/>
      </c>
      <c r="AB90" s="188" t="str">
        <f>IF(ISERROR(getgrade(Broadsheet!AB201,data!$H$4:$I$9)),"#",getgrade(Broadsheet!AB201,data!$H$4:$I$9))</f>
        <v/>
      </c>
      <c r="AC90" s="188" t="str">
        <f>IF(ISERROR(getgrade(Broadsheet!AC201,data!$H$4:$I$9)),"#",getgrade(Broadsheet!AC201,data!$H$4:$I$9))</f>
        <v/>
      </c>
      <c r="AD90" s="188" t="str">
        <f>IF(ISERROR(getgrade(Broadsheet!AD201,data!$H$4:$I$9)),"#",getgrade(Broadsheet!AD201,data!$H$4:$I$9))</f>
        <v/>
      </c>
      <c r="AE90" s="188" t="str">
        <f>IF(ISERROR(getgrade(Broadsheet!AE201,data!$H$4:$I$9)),"#",getgrade(Broadsheet!AE201,data!$H$4:$I$9))</f>
        <v/>
      </c>
      <c r="AF90" s="188" t="str">
        <f>IF(ISERROR(getgrade(Broadsheet!AF201,data!$H$4:$I$9)),"#",getgrade(Broadsheet!AF201,data!$H$4:$I$9))</f>
        <v/>
      </c>
      <c r="AG90" s="188" t="str">
        <f>IF(ISERROR(getgrade(Broadsheet!AG201,data!$H$4:$I$9)),"#",getgrade(Broadsheet!AG201,data!$H$4:$I$9))</f>
        <v/>
      </c>
      <c r="AH90" s="188" t="str">
        <f>IF(ISERROR(getgrade(Broadsheet!AH201,data!$H$4:$I$9)),"#",getgrade(Broadsheet!AH201,data!$H$4:$I$9))</f>
        <v/>
      </c>
      <c r="AI90" s="188" t="str">
        <f>IF(ISERROR(getgrade(Broadsheet!AI201,data!$H$4:$I$9)),"#",getgrade(Broadsheet!AI201,data!$H$4:$I$9))</f>
        <v/>
      </c>
      <c r="AJ90" s="188" t="str">
        <f>IF(ISERROR(getgrade(Broadsheet!AJ201,data!$H$4:$I$9)),"#",getgrade(Broadsheet!AJ201,data!$H$4:$I$9))</f>
        <v/>
      </c>
      <c r="AK90" s="188" t="str">
        <f>IF(ISERROR(getgrade(Broadsheet!AK201,data!$H$4:$I$9)),"#",getgrade(Broadsheet!AK201,data!$H$4:$I$9))</f>
        <v/>
      </c>
      <c r="AL90" s="188" t="str">
        <f>IF(ISERROR(getgrade(Broadsheet!AL201,data!$H$4:$I$9)),"#",getgrade(Broadsheet!AL201,data!$H$4:$I$9))</f>
        <v/>
      </c>
      <c r="AM90" s="188" t="str">
        <f>IF(ISERROR(getgrade(Broadsheet!AM201,data!$H$4:$I$9)),"#",getgrade(Broadsheet!AM201,data!$H$4:$I$9))</f>
        <v/>
      </c>
      <c r="AN90" s="188" t="str">
        <f>IF(ISERROR(getgrade(Broadsheet!AN201,data!$H$4:$I$9)),"#",getgrade(Broadsheet!AN201,data!$H$4:$I$9))</f>
        <v/>
      </c>
      <c r="AO90" s="188" t="str">
        <f>IF(ISERROR(getgrade(Broadsheet!AO201,data!$H$4:$I$9)),"#",getgrade(Broadsheet!AO201,data!$H$4:$I$9))</f>
        <v/>
      </c>
      <c r="AP90" s="188" t="str">
        <f>IF(ISERROR(getgrade(Broadsheet!AP201,data!$H$4:$I$9)),"#",getgrade(Broadsheet!AP201,data!$H$4:$I$9))</f>
        <v/>
      </c>
      <c r="AQ90" s="188" t="str">
        <f>IF(ISERROR(getgrade(Broadsheet!AQ201,data!$H$4:$I$9)),"#",getgrade(Broadsheet!AQ201,data!$H$4:$I$9))</f>
        <v/>
      </c>
      <c r="AR90" s="188" t="str">
        <f>IF(ISERROR(getgrade(Broadsheet!AR201,data!$H$4:$I$9)),"#",getgrade(Broadsheet!AR201,data!$H$4:$I$9))</f>
        <v/>
      </c>
      <c r="AS90" s="188" t="str">
        <f>IF(ISERROR(getgrade(Broadsheet!AS201,data!$H$4:$I$9)),"#",getgrade(Broadsheet!AS201,data!$H$4:$I$9))</f>
        <v/>
      </c>
      <c r="AT90" s="188" t="str">
        <f>IF(ISERROR(getgrade(Broadsheet!AT201,data!$H$4:$I$9)),"#",getgrade(Broadsheet!AT201,data!$H$4:$I$9))</f>
        <v/>
      </c>
      <c r="AU90" s="188" t="str">
        <f>IF(ISERROR(getgrade(Broadsheet!AU201,data!$H$4:$I$9)),"#",getgrade(Broadsheet!AU201,data!$H$4:$I$9))</f>
        <v/>
      </c>
      <c r="AV90" s="188" t="str">
        <f>IF(ISERROR(getgrade(Broadsheet!AV201,data!$H$4:$I$9)),"#",getgrade(Broadsheet!AV201,data!$H$4:$I$9))</f>
        <v/>
      </c>
      <c r="AW90" s="188" t="str">
        <f>IF(ISERROR(getgrade(Broadsheet!AW201,data!$H$4:$I$9)),"#",getgrade(Broadsheet!AW201,data!$H$4:$I$9))</f>
        <v/>
      </c>
      <c r="AX90" s="188" t="str">
        <f>IF(ISERROR(getgrade(Broadsheet!AX201,data!$H$4:$I$9)),"#",getgrade(Broadsheet!AX201,data!$H$4:$I$9))</f>
        <v/>
      </c>
      <c r="AY90" s="188" t="str">
        <f>IF(ISERROR(getgrade(Broadsheet!AY201,data!$H$4:$I$9)),"#",getgrade(Broadsheet!AY201,data!$H$4:$I$9))</f>
        <v/>
      </c>
      <c r="AZ90" s="188" t="str">
        <f>IF(ISERROR(getgrade(Broadsheet!AZ201,data!$H$4:$I$9)),"#",getgrade(Broadsheet!AZ201,data!$H$4:$I$9))</f>
        <v/>
      </c>
      <c r="BA90" s="188" t="str">
        <f>IF(ISERROR(getgrade(Broadsheet!BA201,data!$H$4:$I$9)),"#",getgrade(Broadsheet!BA201,data!$H$4:$I$9))</f>
        <v/>
      </c>
      <c r="BB90" s="188" t="str">
        <f>IF(ISERROR(getgrade(Broadsheet!BB201,data!$H$4:$I$9)),"#",getgrade(Broadsheet!BB201,data!$H$4:$I$9))</f>
        <v/>
      </c>
      <c r="BC90" s="188" t="str">
        <f>IF(ISERROR(getgrade(Broadsheet!BC201,data!$H$4:$I$9)),"#",getgrade(Broadsheet!BC201,data!$H$4:$I$9))</f>
        <v/>
      </c>
      <c r="BD90" s="188" t="str">
        <f>IF(ISERROR(getgrade(Broadsheet!BD201,data!$H$4:$I$9)),"#",getgrade(Broadsheet!BD201,data!$H$4:$I$9))</f>
        <v/>
      </c>
      <c r="BE90" s="188" t="str">
        <f>IF(ISERROR(getgrade(Broadsheet!BE201,data!$H$4:$I$9)),"#",getgrade(Broadsheet!BE201,data!$H$4:$I$9))</f>
        <v/>
      </c>
      <c r="BF90" s="188" t="str">
        <f>IF(ISERROR(getgrade(Broadsheet!BF201,data!$H$4:$I$9)),"#",getgrade(Broadsheet!BF201,data!$H$4:$I$9))</f>
        <v/>
      </c>
      <c r="BG90" s="188" t="str">
        <f>IF(ISERROR(getgrade(Broadsheet!BG201,data!$H$4:$I$9)),"#",getgrade(Broadsheet!BG201,data!$H$4:$I$9))</f>
        <v/>
      </c>
      <c r="BH90" s="188" t="str">
        <f>IF(ISERROR(getgrade(Broadsheet!BH201,data!$H$4:$I$9)),"#",getgrade(Broadsheet!BH201,data!$H$4:$I$9))</f>
        <v/>
      </c>
      <c r="BI90" s="188" t="str">
        <f>IF(ISERROR(getgrade(Broadsheet!BI201,data!$H$4:$I$9)),"#",getgrade(Broadsheet!BI201,data!$H$4:$I$9))</f>
        <v/>
      </c>
      <c r="BJ90" s="188" t="str">
        <f>IF(ISERROR(getgrade(Broadsheet!BJ201,data!$H$4:$I$9)),"#",getgrade(Broadsheet!BJ201,data!$H$4:$I$9))</f>
        <v/>
      </c>
      <c r="BK90" s="188"/>
      <c r="BL90" s="188"/>
      <c r="BM90" s="188"/>
      <c r="BN90" s="188"/>
      <c r="BO90" s="188"/>
      <c r="BP90" s="188"/>
      <c r="BQ90" s="188"/>
      <c r="BR90" s="188"/>
      <c r="BS90" s="188"/>
      <c r="BT90" s="188"/>
      <c r="BU90" s="188"/>
      <c r="BV90" s="188"/>
      <c r="BW90" s="188"/>
      <c r="BX90" s="188"/>
      <c r="BY90" s="188"/>
      <c r="BZ90" s="188"/>
      <c r="CA90" s="188"/>
      <c r="CB90" s="188"/>
      <c r="CC90" s="188"/>
      <c r="CD90" s="188"/>
      <c r="CE90" s="188"/>
      <c r="CF90" s="188"/>
      <c r="CG90" s="188"/>
      <c r="CH90" s="188"/>
      <c r="CI90" s="188"/>
      <c r="CJ90" s="188"/>
      <c r="CK90" s="188"/>
      <c r="CL90" s="188"/>
      <c r="CM90" s="188"/>
      <c r="CN90" s="188"/>
      <c r="CO90" s="188"/>
      <c r="CP90" s="188"/>
      <c r="CQ90" s="188"/>
      <c r="CR90" s="188"/>
      <c r="CS90" s="188"/>
      <c r="CT90" s="188"/>
      <c r="CU90" s="188"/>
      <c r="CV90" s="188"/>
      <c r="CW90" s="188"/>
      <c r="CX90" s="188"/>
      <c r="CY90" s="188"/>
      <c r="CZ90" s="188"/>
      <c r="DA90" s="188"/>
      <c r="DB90" s="188"/>
      <c r="DC90" s="188"/>
      <c r="DD90" s="188"/>
      <c r="DE90" s="188"/>
      <c r="DF90" s="188"/>
      <c r="DG90" s="188"/>
      <c r="DH90" s="188"/>
      <c r="DI90" s="188"/>
      <c r="DJ90" s="188"/>
      <c r="DK90" s="188"/>
      <c r="DL90" s="188"/>
      <c r="DM90" s="188"/>
      <c r="DN90" s="188"/>
      <c r="DO90" s="188"/>
      <c r="DP90" s="188"/>
      <c r="DQ90" s="188"/>
      <c r="DR90" s="188"/>
      <c r="DS90" s="188"/>
      <c r="DT90" s="188"/>
      <c r="DU90" s="188"/>
      <c r="DV90" s="188"/>
      <c r="DW90" s="188"/>
      <c r="DX90" s="188"/>
      <c r="DY90" s="188"/>
      <c r="DZ90" s="188"/>
      <c r="EA90" s="188"/>
    </row>
    <row r="91" spans="1:131" ht="15.75" x14ac:dyDescent="0.25">
      <c r="A91" s="12">
        <f>Broadsheet!A202</f>
        <v>0</v>
      </c>
      <c r="B91" s="204" t="str">
        <f>IF(Broadsheet!B91="","",Broadsheet!B91)</f>
        <v/>
      </c>
      <c r="C91" s="24" t="str">
        <f>IF(Broadsheet!C91="","",Broadsheet!C91)</f>
        <v xml:space="preserve"> </v>
      </c>
      <c r="G91" s="24" t="str">
        <f t="shared" si="1"/>
        <v/>
      </c>
      <c r="H91" s="188" t="str">
        <f>IF(ISERROR(getgrade(Broadsheet!H202,data!$H$4:$I$9)),"#",getgrade(Broadsheet!H202,data!$H$4:$I$9))</f>
        <v/>
      </c>
      <c r="I91" s="188" t="str">
        <f>IF(ISERROR(getgrade(Broadsheet!I202,data!$H$4:$I$9)),"#",getgrade(Broadsheet!I202,data!$H$4:$I$9))</f>
        <v/>
      </c>
      <c r="J91" s="188" t="str">
        <f>IF(ISERROR(getgrade(Broadsheet!J202,data!$H$4:$I$9)),"#",getgrade(Broadsheet!J202,data!$H$4:$I$9))</f>
        <v/>
      </c>
      <c r="K91" s="188" t="str">
        <f>IF(ISERROR(getgrade(Broadsheet!K202,data!$H$4:$I$9)),"#",getgrade(Broadsheet!K202,data!$H$4:$I$9))</f>
        <v/>
      </c>
      <c r="L91" s="188" t="str">
        <f>IF(ISERROR(getgrade(Broadsheet!L202,data!$H$4:$I$9)),"#",getgrade(Broadsheet!L202,data!$H$4:$I$9))</f>
        <v/>
      </c>
      <c r="M91" s="188" t="str">
        <f>IF(ISERROR(getgrade(Broadsheet!M202,data!$H$4:$I$9)),"#",getgrade(Broadsheet!M202,data!$H$4:$I$9))</f>
        <v/>
      </c>
      <c r="N91" s="188" t="str">
        <f>IF(ISERROR(getgrade(Broadsheet!N202,data!$H$4:$I$9)),"#",getgrade(Broadsheet!N202,data!$H$4:$I$9))</f>
        <v/>
      </c>
      <c r="O91" s="188" t="str">
        <f>IF(ISERROR(getgrade(Broadsheet!O202,data!$H$4:$I$9)),"#",getgrade(Broadsheet!O202,data!$H$4:$I$9))</f>
        <v/>
      </c>
      <c r="P91" s="188" t="str">
        <f>IF(ISERROR(getgrade(Broadsheet!P202,data!$H$4:$I$9)),"#",getgrade(Broadsheet!P202,data!$H$4:$I$9))</f>
        <v/>
      </c>
      <c r="Q91" s="188" t="str">
        <f>IF(ISERROR(getgrade(Broadsheet!Q202,data!$H$4:$I$9)),"#",getgrade(Broadsheet!Q202,data!$H$4:$I$9))</f>
        <v/>
      </c>
      <c r="R91" s="188" t="str">
        <f>IF(ISERROR(getgrade(Broadsheet!R202,data!$H$4:$I$9)),"#",getgrade(Broadsheet!R202,data!$H$4:$I$9))</f>
        <v/>
      </c>
      <c r="S91" s="188" t="str">
        <f>IF(ISERROR(getgrade(Broadsheet!S202,data!$H$4:$I$9)),"#",getgrade(Broadsheet!S202,data!$H$4:$I$9))</f>
        <v/>
      </c>
      <c r="T91" s="188" t="str">
        <f>IF(ISERROR(getgrade(Broadsheet!T202,data!$H$4:$I$9)),"#",getgrade(Broadsheet!T202,data!$H$4:$I$9))</f>
        <v/>
      </c>
      <c r="U91" s="188" t="str">
        <f>IF(ISERROR(getgrade(Broadsheet!U202,data!$H$4:$I$9)),"#",getgrade(Broadsheet!U202,data!$H$4:$I$9))</f>
        <v/>
      </c>
      <c r="V91" s="188" t="str">
        <f>IF(ISERROR(getgrade(Broadsheet!V202,data!$H$4:$I$9)),"#",getgrade(Broadsheet!V202,data!$H$4:$I$9))</f>
        <v/>
      </c>
      <c r="W91" s="188" t="str">
        <f>IF(ISERROR(getgrade(Broadsheet!W202,data!$H$4:$I$9)),"#",getgrade(Broadsheet!W202,data!$H$4:$I$9))</f>
        <v/>
      </c>
      <c r="X91" s="188" t="str">
        <f>IF(ISERROR(getgrade(Broadsheet!X202,data!$H$4:$I$9)),"#",getgrade(Broadsheet!X202,data!$H$4:$I$9))</f>
        <v/>
      </c>
      <c r="Y91" s="188" t="str">
        <f>IF(ISERROR(getgrade(Broadsheet!Y202,data!$H$4:$I$9)),"#",getgrade(Broadsheet!Y202,data!$H$4:$I$9))</f>
        <v/>
      </c>
      <c r="Z91" s="188" t="str">
        <f>IF(ISERROR(getgrade(Broadsheet!Z202,data!$H$4:$I$9)),"#",getgrade(Broadsheet!Z202,data!$H$4:$I$9))</f>
        <v/>
      </c>
      <c r="AA91" s="188" t="str">
        <f>IF(ISERROR(getgrade(Broadsheet!AA202,data!$H$4:$I$9)),"#",getgrade(Broadsheet!AA202,data!$H$4:$I$9))</f>
        <v/>
      </c>
      <c r="AB91" s="188" t="str">
        <f>IF(ISERROR(getgrade(Broadsheet!AB202,data!$H$4:$I$9)),"#",getgrade(Broadsheet!AB202,data!$H$4:$I$9))</f>
        <v/>
      </c>
      <c r="AC91" s="188" t="str">
        <f>IF(ISERROR(getgrade(Broadsheet!AC202,data!$H$4:$I$9)),"#",getgrade(Broadsheet!AC202,data!$H$4:$I$9))</f>
        <v/>
      </c>
      <c r="AD91" s="188" t="str">
        <f>IF(ISERROR(getgrade(Broadsheet!AD202,data!$H$4:$I$9)),"#",getgrade(Broadsheet!AD202,data!$H$4:$I$9))</f>
        <v/>
      </c>
      <c r="AE91" s="188" t="str">
        <f>IF(ISERROR(getgrade(Broadsheet!AE202,data!$H$4:$I$9)),"#",getgrade(Broadsheet!AE202,data!$H$4:$I$9))</f>
        <v/>
      </c>
      <c r="AF91" s="188" t="str">
        <f>IF(ISERROR(getgrade(Broadsheet!AF202,data!$H$4:$I$9)),"#",getgrade(Broadsheet!AF202,data!$H$4:$I$9))</f>
        <v/>
      </c>
      <c r="AG91" s="188" t="str">
        <f>IF(ISERROR(getgrade(Broadsheet!AG202,data!$H$4:$I$9)),"#",getgrade(Broadsheet!AG202,data!$H$4:$I$9))</f>
        <v/>
      </c>
      <c r="AH91" s="188" t="str">
        <f>IF(ISERROR(getgrade(Broadsheet!AH202,data!$H$4:$I$9)),"#",getgrade(Broadsheet!AH202,data!$H$4:$I$9))</f>
        <v/>
      </c>
      <c r="AI91" s="188" t="str">
        <f>IF(ISERROR(getgrade(Broadsheet!AI202,data!$H$4:$I$9)),"#",getgrade(Broadsheet!AI202,data!$H$4:$I$9))</f>
        <v/>
      </c>
      <c r="AJ91" s="188" t="str">
        <f>IF(ISERROR(getgrade(Broadsheet!AJ202,data!$H$4:$I$9)),"#",getgrade(Broadsheet!AJ202,data!$H$4:$I$9))</f>
        <v/>
      </c>
      <c r="AK91" s="188" t="str">
        <f>IF(ISERROR(getgrade(Broadsheet!AK202,data!$H$4:$I$9)),"#",getgrade(Broadsheet!AK202,data!$H$4:$I$9))</f>
        <v/>
      </c>
      <c r="AL91" s="188" t="str">
        <f>IF(ISERROR(getgrade(Broadsheet!AL202,data!$H$4:$I$9)),"#",getgrade(Broadsheet!AL202,data!$H$4:$I$9))</f>
        <v/>
      </c>
      <c r="AM91" s="188" t="str">
        <f>IF(ISERROR(getgrade(Broadsheet!AM202,data!$H$4:$I$9)),"#",getgrade(Broadsheet!AM202,data!$H$4:$I$9))</f>
        <v/>
      </c>
      <c r="AN91" s="188" t="str">
        <f>IF(ISERROR(getgrade(Broadsheet!AN202,data!$H$4:$I$9)),"#",getgrade(Broadsheet!AN202,data!$H$4:$I$9))</f>
        <v/>
      </c>
      <c r="AO91" s="188" t="str">
        <f>IF(ISERROR(getgrade(Broadsheet!AO202,data!$H$4:$I$9)),"#",getgrade(Broadsheet!AO202,data!$H$4:$I$9))</f>
        <v/>
      </c>
      <c r="AP91" s="188" t="str">
        <f>IF(ISERROR(getgrade(Broadsheet!AP202,data!$H$4:$I$9)),"#",getgrade(Broadsheet!AP202,data!$H$4:$I$9))</f>
        <v/>
      </c>
      <c r="AQ91" s="188" t="str">
        <f>IF(ISERROR(getgrade(Broadsheet!AQ202,data!$H$4:$I$9)),"#",getgrade(Broadsheet!AQ202,data!$H$4:$I$9))</f>
        <v/>
      </c>
      <c r="AR91" s="188" t="str">
        <f>IF(ISERROR(getgrade(Broadsheet!AR202,data!$H$4:$I$9)),"#",getgrade(Broadsheet!AR202,data!$H$4:$I$9))</f>
        <v/>
      </c>
      <c r="AS91" s="188" t="str">
        <f>IF(ISERROR(getgrade(Broadsheet!AS202,data!$H$4:$I$9)),"#",getgrade(Broadsheet!AS202,data!$H$4:$I$9))</f>
        <v/>
      </c>
      <c r="AT91" s="188" t="str">
        <f>IF(ISERROR(getgrade(Broadsheet!AT202,data!$H$4:$I$9)),"#",getgrade(Broadsheet!AT202,data!$H$4:$I$9))</f>
        <v/>
      </c>
      <c r="AU91" s="188" t="str">
        <f>IF(ISERROR(getgrade(Broadsheet!AU202,data!$H$4:$I$9)),"#",getgrade(Broadsheet!AU202,data!$H$4:$I$9))</f>
        <v/>
      </c>
      <c r="AV91" s="188" t="str">
        <f>IF(ISERROR(getgrade(Broadsheet!AV202,data!$H$4:$I$9)),"#",getgrade(Broadsheet!AV202,data!$H$4:$I$9))</f>
        <v/>
      </c>
      <c r="AW91" s="188" t="str">
        <f>IF(ISERROR(getgrade(Broadsheet!AW202,data!$H$4:$I$9)),"#",getgrade(Broadsheet!AW202,data!$H$4:$I$9))</f>
        <v/>
      </c>
      <c r="AX91" s="188" t="str">
        <f>IF(ISERROR(getgrade(Broadsheet!AX202,data!$H$4:$I$9)),"#",getgrade(Broadsheet!AX202,data!$H$4:$I$9))</f>
        <v/>
      </c>
      <c r="AY91" s="188" t="str">
        <f>IF(ISERROR(getgrade(Broadsheet!AY202,data!$H$4:$I$9)),"#",getgrade(Broadsheet!AY202,data!$H$4:$I$9))</f>
        <v/>
      </c>
      <c r="AZ91" s="188" t="str">
        <f>IF(ISERROR(getgrade(Broadsheet!AZ202,data!$H$4:$I$9)),"#",getgrade(Broadsheet!AZ202,data!$H$4:$I$9))</f>
        <v/>
      </c>
      <c r="BA91" s="188" t="str">
        <f>IF(ISERROR(getgrade(Broadsheet!BA202,data!$H$4:$I$9)),"#",getgrade(Broadsheet!BA202,data!$H$4:$I$9))</f>
        <v/>
      </c>
      <c r="BB91" s="188" t="str">
        <f>IF(ISERROR(getgrade(Broadsheet!BB202,data!$H$4:$I$9)),"#",getgrade(Broadsheet!BB202,data!$H$4:$I$9))</f>
        <v/>
      </c>
      <c r="BC91" s="188" t="str">
        <f>IF(ISERROR(getgrade(Broadsheet!BC202,data!$H$4:$I$9)),"#",getgrade(Broadsheet!BC202,data!$H$4:$I$9))</f>
        <v/>
      </c>
      <c r="BD91" s="188" t="str">
        <f>IF(ISERROR(getgrade(Broadsheet!BD202,data!$H$4:$I$9)),"#",getgrade(Broadsheet!BD202,data!$H$4:$I$9))</f>
        <v/>
      </c>
      <c r="BE91" s="188" t="str">
        <f>IF(ISERROR(getgrade(Broadsheet!BE202,data!$H$4:$I$9)),"#",getgrade(Broadsheet!BE202,data!$H$4:$I$9))</f>
        <v/>
      </c>
      <c r="BF91" s="188" t="str">
        <f>IF(ISERROR(getgrade(Broadsheet!BF202,data!$H$4:$I$9)),"#",getgrade(Broadsheet!BF202,data!$H$4:$I$9))</f>
        <v/>
      </c>
      <c r="BG91" s="188" t="str">
        <f>IF(ISERROR(getgrade(Broadsheet!BG202,data!$H$4:$I$9)),"#",getgrade(Broadsheet!BG202,data!$H$4:$I$9))</f>
        <v/>
      </c>
      <c r="BH91" s="188" t="str">
        <f>IF(ISERROR(getgrade(Broadsheet!BH202,data!$H$4:$I$9)),"#",getgrade(Broadsheet!BH202,data!$H$4:$I$9))</f>
        <v/>
      </c>
      <c r="BI91" s="188" t="str">
        <f>IF(ISERROR(getgrade(Broadsheet!BI202,data!$H$4:$I$9)),"#",getgrade(Broadsheet!BI202,data!$H$4:$I$9))</f>
        <v/>
      </c>
      <c r="BJ91" s="188" t="str">
        <f>IF(ISERROR(getgrade(Broadsheet!BJ202,data!$H$4:$I$9)),"#",getgrade(Broadsheet!BJ202,data!$H$4:$I$9))</f>
        <v/>
      </c>
      <c r="BK91" s="188"/>
      <c r="BL91" s="188"/>
      <c r="BM91" s="188"/>
      <c r="BN91" s="188"/>
      <c r="BO91" s="188"/>
      <c r="BP91" s="188"/>
      <c r="BQ91" s="188"/>
      <c r="BR91" s="188"/>
      <c r="BS91" s="188"/>
      <c r="BT91" s="188"/>
      <c r="BU91" s="188"/>
      <c r="BV91" s="188"/>
      <c r="BW91" s="188"/>
      <c r="BX91" s="188"/>
      <c r="BY91" s="188"/>
      <c r="BZ91" s="188"/>
      <c r="CA91" s="188"/>
      <c r="CB91" s="188"/>
      <c r="CC91" s="188"/>
      <c r="CD91" s="188"/>
      <c r="CE91" s="188"/>
      <c r="CF91" s="188"/>
      <c r="CG91" s="188"/>
      <c r="CH91" s="188"/>
      <c r="CI91" s="188"/>
      <c r="CJ91" s="188"/>
      <c r="CK91" s="188"/>
      <c r="CL91" s="188"/>
      <c r="CM91" s="188"/>
      <c r="CN91" s="188"/>
      <c r="CO91" s="188"/>
      <c r="CP91" s="188"/>
      <c r="CQ91" s="188"/>
      <c r="CR91" s="188"/>
      <c r="CS91" s="188"/>
      <c r="CT91" s="188"/>
      <c r="CU91" s="188"/>
      <c r="CV91" s="188"/>
      <c r="CW91" s="188"/>
      <c r="CX91" s="188"/>
      <c r="CY91" s="188"/>
      <c r="CZ91" s="188"/>
      <c r="DA91" s="188"/>
      <c r="DB91" s="188"/>
      <c r="DC91" s="188"/>
      <c r="DD91" s="188"/>
      <c r="DE91" s="188"/>
      <c r="DF91" s="188"/>
      <c r="DG91" s="188"/>
      <c r="DH91" s="188"/>
      <c r="DI91" s="188"/>
      <c r="DJ91" s="188"/>
      <c r="DK91" s="188"/>
      <c r="DL91" s="188"/>
      <c r="DM91" s="188"/>
      <c r="DN91" s="188"/>
      <c r="DO91" s="188"/>
      <c r="DP91" s="188"/>
      <c r="DQ91" s="188"/>
      <c r="DR91" s="188"/>
      <c r="DS91" s="188"/>
      <c r="DT91" s="188"/>
      <c r="DU91" s="188"/>
      <c r="DV91" s="188"/>
      <c r="DW91" s="188"/>
      <c r="DX91" s="188"/>
      <c r="DY91" s="188"/>
      <c r="DZ91" s="188"/>
      <c r="EA91" s="188"/>
    </row>
    <row r="92" spans="1:131" ht="15.75" x14ac:dyDescent="0.25">
      <c r="A92" s="12">
        <f>Broadsheet!A203</f>
        <v>0</v>
      </c>
      <c r="B92" s="204" t="str">
        <f>IF(Broadsheet!B92="","",Broadsheet!B92)</f>
        <v/>
      </c>
      <c r="C92" s="24" t="str">
        <f>IF(Broadsheet!C92="","",Broadsheet!C92)</f>
        <v xml:space="preserve"> </v>
      </c>
      <c r="G92" s="24" t="str">
        <f t="shared" si="1"/>
        <v/>
      </c>
      <c r="H92" s="188" t="str">
        <f>IF(ISERROR(getgrade(Broadsheet!H203,data!$H$4:$I$9)),"#",getgrade(Broadsheet!H203,data!$H$4:$I$9))</f>
        <v/>
      </c>
      <c r="I92" s="188" t="str">
        <f>IF(ISERROR(getgrade(Broadsheet!I203,data!$H$4:$I$9)),"#",getgrade(Broadsheet!I203,data!$H$4:$I$9))</f>
        <v/>
      </c>
      <c r="J92" s="188" t="str">
        <f>IF(ISERROR(getgrade(Broadsheet!J203,data!$H$4:$I$9)),"#",getgrade(Broadsheet!J203,data!$H$4:$I$9))</f>
        <v/>
      </c>
      <c r="K92" s="188" t="str">
        <f>IF(ISERROR(getgrade(Broadsheet!K203,data!$H$4:$I$9)),"#",getgrade(Broadsheet!K203,data!$H$4:$I$9))</f>
        <v/>
      </c>
      <c r="L92" s="188" t="str">
        <f>IF(ISERROR(getgrade(Broadsheet!L203,data!$H$4:$I$9)),"#",getgrade(Broadsheet!L203,data!$H$4:$I$9))</f>
        <v/>
      </c>
      <c r="M92" s="188" t="str">
        <f>IF(ISERROR(getgrade(Broadsheet!M203,data!$H$4:$I$9)),"#",getgrade(Broadsheet!M203,data!$H$4:$I$9))</f>
        <v/>
      </c>
      <c r="N92" s="188" t="str">
        <f>IF(ISERROR(getgrade(Broadsheet!N203,data!$H$4:$I$9)),"#",getgrade(Broadsheet!N203,data!$H$4:$I$9))</f>
        <v/>
      </c>
      <c r="O92" s="188" t="str">
        <f>IF(ISERROR(getgrade(Broadsheet!O203,data!$H$4:$I$9)),"#",getgrade(Broadsheet!O203,data!$H$4:$I$9))</f>
        <v/>
      </c>
      <c r="P92" s="188" t="str">
        <f>IF(ISERROR(getgrade(Broadsheet!P203,data!$H$4:$I$9)),"#",getgrade(Broadsheet!P203,data!$H$4:$I$9))</f>
        <v/>
      </c>
      <c r="Q92" s="188" t="str">
        <f>IF(ISERROR(getgrade(Broadsheet!Q203,data!$H$4:$I$9)),"#",getgrade(Broadsheet!Q203,data!$H$4:$I$9))</f>
        <v/>
      </c>
      <c r="R92" s="188" t="str">
        <f>IF(ISERROR(getgrade(Broadsheet!R203,data!$H$4:$I$9)),"#",getgrade(Broadsheet!R203,data!$H$4:$I$9))</f>
        <v/>
      </c>
      <c r="S92" s="188" t="str">
        <f>IF(ISERROR(getgrade(Broadsheet!S203,data!$H$4:$I$9)),"#",getgrade(Broadsheet!S203,data!$H$4:$I$9))</f>
        <v/>
      </c>
      <c r="T92" s="188" t="str">
        <f>IF(ISERROR(getgrade(Broadsheet!T203,data!$H$4:$I$9)),"#",getgrade(Broadsheet!T203,data!$H$4:$I$9))</f>
        <v/>
      </c>
      <c r="U92" s="188" t="str">
        <f>IF(ISERROR(getgrade(Broadsheet!U203,data!$H$4:$I$9)),"#",getgrade(Broadsheet!U203,data!$H$4:$I$9))</f>
        <v/>
      </c>
      <c r="V92" s="188" t="str">
        <f>IF(ISERROR(getgrade(Broadsheet!V203,data!$H$4:$I$9)),"#",getgrade(Broadsheet!V203,data!$H$4:$I$9))</f>
        <v/>
      </c>
      <c r="W92" s="188" t="str">
        <f>IF(ISERROR(getgrade(Broadsheet!W203,data!$H$4:$I$9)),"#",getgrade(Broadsheet!W203,data!$H$4:$I$9))</f>
        <v/>
      </c>
      <c r="X92" s="188" t="str">
        <f>IF(ISERROR(getgrade(Broadsheet!X203,data!$H$4:$I$9)),"#",getgrade(Broadsheet!X203,data!$H$4:$I$9))</f>
        <v/>
      </c>
      <c r="Y92" s="188" t="str">
        <f>IF(ISERROR(getgrade(Broadsheet!Y203,data!$H$4:$I$9)),"#",getgrade(Broadsheet!Y203,data!$H$4:$I$9))</f>
        <v/>
      </c>
      <c r="Z92" s="188" t="str">
        <f>IF(ISERROR(getgrade(Broadsheet!Z203,data!$H$4:$I$9)),"#",getgrade(Broadsheet!Z203,data!$H$4:$I$9))</f>
        <v/>
      </c>
      <c r="AA92" s="188" t="str">
        <f>IF(ISERROR(getgrade(Broadsheet!AA203,data!$H$4:$I$9)),"#",getgrade(Broadsheet!AA203,data!$H$4:$I$9))</f>
        <v/>
      </c>
      <c r="AB92" s="188" t="str">
        <f>IF(ISERROR(getgrade(Broadsheet!AB203,data!$H$4:$I$9)),"#",getgrade(Broadsheet!AB203,data!$H$4:$I$9))</f>
        <v/>
      </c>
      <c r="AC92" s="188" t="str">
        <f>IF(ISERROR(getgrade(Broadsheet!AC203,data!$H$4:$I$9)),"#",getgrade(Broadsheet!AC203,data!$H$4:$I$9))</f>
        <v/>
      </c>
      <c r="AD92" s="188" t="str">
        <f>IF(ISERROR(getgrade(Broadsheet!AD203,data!$H$4:$I$9)),"#",getgrade(Broadsheet!AD203,data!$H$4:$I$9))</f>
        <v/>
      </c>
      <c r="AE92" s="188" t="str">
        <f>IF(ISERROR(getgrade(Broadsheet!AE203,data!$H$4:$I$9)),"#",getgrade(Broadsheet!AE203,data!$H$4:$I$9))</f>
        <v/>
      </c>
      <c r="AF92" s="188" t="str">
        <f>IF(ISERROR(getgrade(Broadsheet!AF203,data!$H$4:$I$9)),"#",getgrade(Broadsheet!AF203,data!$H$4:$I$9))</f>
        <v/>
      </c>
      <c r="AG92" s="188" t="str">
        <f>IF(ISERROR(getgrade(Broadsheet!AG203,data!$H$4:$I$9)),"#",getgrade(Broadsheet!AG203,data!$H$4:$I$9))</f>
        <v/>
      </c>
      <c r="AH92" s="188" t="str">
        <f>IF(ISERROR(getgrade(Broadsheet!AH203,data!$H$4:$I$9)),"#",getgrade(Broadsheet!AH203,data!$H$4:$I$9))</f>
        <v/>
      </c>
      <c r="AI92" s="188" t="str">
        <f>IF(ISERROR(getgrade(Broadsheet!AI203,data!$H$4:$I$9)),"#",getgrade(Broadsheet!AI203,data!$H$4:$I$9))</f>
        <v/>
      </c>
      <c r="AJ92" s="188" t="str">
        <f>IF(ISERROR(getgrade(Broadsheet!AJ203,data!$H$4:$I$9)),"#",getgrade(Broadsheet!AJ203,data!$H$4:$I$9))</f>
        <v/>
      </c>
      <c r="AK92" s="188" t="str">
        <f>IF(ISERROR(getgrade(Broadsheet!AK203,data!$H$4:$I$9)),"#",getgrade(Broadsheet!AK203,data!$H$4:$I$9))</f>
        <v/>
      </c>
      <c r="AL92" s="188" t="str">
        <f>IF(ISERROR(getgrade(Broadsheet!AL203,data!$H$4:$I$9)),"#",getgrade(Broadsheet!AL203,data!$H$4:$I$9))</f>
        <v/>
      </c>
      <c r="AM92" s="188" t="str">
        <f>IF(ISERROR(getgrade(Broadsheet!AM203,data!$H$4:$I$9)),"#",getgrade(Broadsheet!AM203,data!$H$4:$I$9))</f>
        <v/>
      </c>
      <c r="AN92" s="188" t="str">
        <f>IF(ISERROR(getgrade(Broadsheet!AN203,data!$H$4:$I$9)),"#",getgrade(Broadsheet!AN203,data!$H$4:$I$9))</f>
        <v/>
      </c>
      <c r="AO92" s="188" t="str">
        <f>IF(ISERROR(getgrade(Broadsheet!AO203,data!$H$4:$I$9)),"#",getgrade(Broadsheet!AO203,data!$H$4:$I$9))</f>
        <v/>
      </c>
      <c r="AP92" s="188" t="str">
        <f>IF(ISERROR(getgrade(Broadsheet!AP203,data!$H$4:$I$9)),"#",getgrade(Broadsheet!AP203,data!$H$4:$I$9))</f>
        <v/>
      </c>
      <c r="AQ92" s="188" t="str">
        <f>IF(ISERROR(getgrade(Broadsheet!AQ203,data!$H$4:$I$9)),"#",getgrade(Broadsheet!AQ203,data!$H$4:$I$9))</f>
        <v/>
      </c>
      <c r="AR92" s="188" t="str">
        <f>IF(ISERROR(getgrade(Broadsheet!AR203,data!$H$4:$I$9)),"#",getgrade(Broadsheet!AR203,data!$H$4:$I$9))</f>
        <v/>
      </c>
      <c r="AS92" s="188" t="str">
        <f>IF(ISERROR(getgrade(Broadsheet!AS203,data!$H$4:$I$9)),"#",getgrade(Broadsheet!AS203,data!$H$4:$I$9))</f>
        <v/>
      </c>
      <c r="AT92" s="188" t="str">
        <f>IF(ISERROR(getgrade(Broadsheet!AT203,data!$H$4:$I$9)),"#",getgrade(Broadsheet!AT203,data!$H$4:$I$9))</f>
        <v/>
      </c>
      <c r="AU92" s="188" t="str">
        <f>IF(ISERROR(getgrade(Broadsheet!AU203,data!$H$4:$I$9)),"#",getgrade(Broadsheet!AU203,data!$H$4:$I$9))</f>
        <v/>
      </c>
      <c r="AV92" s="188" t="str">
        <f>IF(ISERROR(getgrade(Broadsheet!AV203,data!$H$4:$I$9)),"#",getgrade(Broadsheet!AV203,data!$H$4:$I$9))</f>
        <v/>
      </c>
      <c r="AW92" s="188" t="str">
        <f>IF(ISERROR(getgrade(Broadsheet!AW203,data!$H$4:$I$9)),"#",getgrade(Broadsheet!AW203,data!$H$4:$I$9))</f>
        <v/>
      </c>
      <c r="AX92" s="188" t="str">
        <f>IF(ISERROR(getgrade(Broadsheet!AX203,data!$H$4:$I$9)),"#",getgrade(Broadsheet!AX203,data!$H$4:$I$9))</f>
        <v/>
      </c>
      <c r="AY92" s="188" t="str">
        <f>IF(ISERROR(getgrade(Broadsheet!AY203,data!$H$4:$I$9)),"#",getgrade(Broadsheet!AY203,data!$H$4:$I$9))</f>
        <v/>
      </c>
      <c r="AZ92" s="188" t="str">
        <f>IF(ISERROR(getgrade(Broadsheet!AZ203,data!$H$4:$I$9)),"#",getgrade(Broadsheet!AZ203,data!$H$4:$I$9))</f>
        <v/>
      </c>
      <c r="BA92" s="188" t="str">
        <f>IF(ISERROR(getgrade(Broadsheet!BA203,data!$H$4:$I$9)),"#",getgrade(Broadsheet!BA203,data!$H$4:$I$9))</f>
        <v/>
      </c>
      <c r="BB92" s="188" t="str">
        <f>IF(ISERROR(getgrade(Broadsheet!BB203,data!$H$4:$I$9)),"#",getgrade(Broadsheet!BB203,data!$H$4:$I$9))</f>
        <v/>
      </c>
      <c r="BC92" s="188" t="str">
        <f>IF(ISERROR(getgrade(Broadsheet!BC203,data!$H$4:$I$9)),"#",getgrade(Broadsheet!BC203,data!$H$4:$I$9))</f>
        <v/>
      </c>
      <c r="BD92" s="188" t="str">
        <f>IF(ISERROR(getgrade(Broadsheet!BD203,data!$H$4:$I$9)),"#",getgrade(Broadsheet!BD203,data!$H$4:$I$9))</f>
        <v/>
      </c>
      <c r="BE92" s="188" t="str">
        <f>IF(ISERROR(getgrade(Broadsheet!BE203,data!$H$4:$I$9)),"#",getgrade(Broadsheet!BE203,data!$H$4:$I$9))</f>
        <v/>
      </c>
      <c r="BF92" s="188" t="str">
        <f>IF(ISERROR(getgrade(Broadsheet!BF203,data!$H$4:$I$9)),"#",getgrade(Broadsheet!BF203,data!$H$4:$I$9))</f>
        <v/>
      </c>
      <c r="BG92" s="188" t="str">
        <f>IF(ISERROR(getgrade(Broadsheet!BG203,data!$H$4:$I$9)),"#",getgrade(Broadsheet!BG203,data!$H$4:$I$9))</f>
        <v/>
      </c>
      <c r="BH92" s="188" t="str">
        <f>IF(ISERROR(getgrade(Broadsheet!BH203,data!$H$4:$I$9)),"#",getgrade(Broadsheet!BH203,data!$H$4:$I$9))</f>
        <v/>
      </c>
      <c r="BI92" s="188" t="str">
        <f>IF(ISERROR(getgrade(Broadsheet!BI203,data!$H$4:$I$9)),"#",getgrade(Broadsheet!BI203,data!$H$4:$I$9))</f>
        <v/>
      </c>
      <c r="BJ92" s="188" t="str">
        <f>IF(ISERROR(getgrade(Broadsheet!BJ203,data!$H$4:$I$9)),"#",getgrade(Broadsheet!BJ203,data!$H$4:$I$9))</f>
        <v/>
      </c>
      <c r="BK92" s="188"/>
      <c r="BL92" s="188"/>
      <c r="BM92" s="188"/>
      <c r="BN92" s="188"/>
      <c r="BO92" s="188"/>
      <c r="BP92" s="188"/>
      <c r="BQ92" s="188"/>
      <c r="BR92" s="188"/>
      <c r="BS92" s="188"/>
      <c r="BT92" s="188"/>
      <c r="BU92" s="188"/>
      <c r="BV92" s="188"/>
      <c r="BW92" s="188"/>
      <c r="BX92" s="188"/>
      <c r="BY92" s="188"/>
      <c r="BZ92" s="188"/>
      <c r="CA92" s="188"/>
      <c r="CB92" s="188"/>
      <c r="CC92" s="188"/>
      <c r="CD92" s="188"/>
      <c r="CE92" s="188"/>
      <c r="CF92" s="188"/>
      <c r="CG92" s="188"/>
      <c r="CH92" s="188"/>
      <c r="CI92" s="188"/>
      <c r="CJ92" s="188"/>
      <c r="CK92" s="188"/>
      <c r="CL92" s="188"/>
      <c r="CM92" s="188"/>
      <c r="CN92" s="188"/>
      <c r="CO92" s="188"/>
      <c r="CP92" s="188"/>
      <c r="CQ92" s="188"/>
      <c r="CR92" s="188"/>
      <c r="CS92" s="188"/>
      <c r="CT92" s="188"/>
      <c r="CU92" s="188"/>
      <c r="CV92" s="188"/>
      <c r="CW92" s="188"/>
      <c r="CX92" s="188"/>
      <c r="CY92" s="188"/>
      <c r="CZ92" s="188"/>
      <c r="DA92" s="188"/>
      <c r="DB92" s="188"/>
      <c r="DC92" s="188"/>
      <c r="DD92" s="188"/>
      <c r="DE92" s="188"/>
      <c r="DF92" s="188"/>
      <c r="DG92" s="188"/>
      <c r="DH92" s="188"/>
      <c r="DI92" s="188"/>
      <c r="DJ92" s="188"/>
      <c r="DK92" s="188"/>
      <c r="DL92" s="188"/>
      <c r="DM92" s="188"/>
      <c r="DN92" s="188"/>
      <c r="DO92" s="188"/>
      <c r="DP92" s="188"/>
      <c r="DQ92" s="188"/>
      <c r="DR92" s="188"/>
      <c r="DS92" s="188"/>
      <c r="DT92" s="188"/>
      <c r="DU92" s="188"/>
      <c r="DV92" s="188"/>
      <c r="DW92" s="188"/>
      <c r="DX92" s="188"/>
      <c r="DY92" s="188"/>
      <c r="DZ92" s="188"/>
      <c r="EA92" s="188"/>
    </row>
    <row r="93" spans="1:131" ht="15.75" x14ac:dyDescent="0.25">
      <c r="A93" s="12">
        <f>Broadsheet!A204</f>
        <v>0</v>
      </c>
      <c r="B93" s="204" t="str">
        <f>IF(Broadsheet!B93="","",Broadsheet!B93)</f>
        <v/>
      </c>
      <c r="C93" s="24" t="str">
        <f>IF(Broadsheet!C93="","",Broadsheet!C93)</f>
        <v xml:space="preserve"> </v>
      </c>
      <c r="G93" s="24" t="str">
        <f t="shared" si="1"/>
        <v/>
      </c>
      <c r="H93" s="188" t="str">
        <f>IF(ISERROR(getgrade(Broadsheet!H204,data!$H$4:$I$9)),"#",getgrade(Broadsheet!H204,data!$H$4:$I$9))</f>
        <v/>
      </c>
      <c r="I93" s="188" t="str">
        <f>IF(ISERROR(getgrade(Broadsheet!I204,data!$H$4:$I$9)),"#",getgrade(Broadsheet!I204,data!$H$4:$I$9))</f>
        <v/>
      </c>
      <c r="J93" s="188" t="str">
        <f>IF(ISERROR(getgrade(Broadsheet!J204,data!$H$4:$I$9)),"#",getgrade(Broadsheet!J204,data!$H$4:$I$9))</f>
        <v/>
      </c>
      <c r="K93" s="188" t="str">
        <f>IF(ISERROR(getgrade(Broadsheet!K204,data!$H$4:$I$9)),"#",getgrade(Broadsheet!K204,data!$H$4:$I$9))</f>
        <v/>
      </c>
      <c r="L93" s="188" t="str">
        <f>IF(ISERROR(getgrade(Broadsheet!L204,data!$H$4:$I$9)),"#",getgrade(Broadsheet!L204,data!$H$4:$I$9))</f>
        <v/>
      </c>
      <c r="M93" s="188" t="str">
        <f>IF(ISERROR(getgrade(Broadsheet!M204,data!$H$4:$I$9)),"#",getgrade(Broadsheet!M204,data!$H$4:$I$9))</f>
        <v/>
      </c>
      <c r="N93" s="188" t="str">
        <f>IF(ISERROR(getgrade(Broadsheet!N204,data!$H$4:$I$9)),"#",getgrade(Broadsheet!N204,data!$H$4:$I$9))</f>
        <v/>
      </c>
      <c r="O93" s="188" t="str">
        <f>IF(ISERROR(getgrade(Broadsheet!O204,data!$H$4:$I$9)),"#",getgrade(Broadsheet!O204,data!$H$4:$I$9))</f>
        <v/>
      </c>
      <c r="P93" s="188" t="str">
        <f>IF(ISERROR(getgrade(Broadsheet!P204,data!$H$4:$I$9)),"#",getgrade(Broadsheet!P204,data!$H$4:$I$9))</f>
        <v/>
      </c>
      <c r="Q93" s="188" t="str">
        <f>IF(ISERROR(getgrade(Broadsheet!Q204,data!$H$4:$I$9)),"#",getgrade(Broadsheet!Q204,data!$H$4:$I$9))</f>
        <v/>
      </c>
      <c r="R93" s="188" t="str">
        <f>IF(ISERROR(getgrade(Broadsheet!R204,data!$H$4:$I$9)),"#",getgrade(Broadsheet!R204,data!$H$4:$I$9))</f>
        <v/>
      </c>
      <c r="S93" s="188" t="str">
        <f>IF(ISERROR(getgrade(Broadsheet!S204,data!$H$4:$I$9)),"#",getgrade(Broadsheet!S204,data!$H$4:$I$9))</f>
        <v/>
      </c>
      <c r="T93" s="188" t="str">
        <f>IF(ISERROR(getgrade(Broadsheet!T204,data!$H$4:$I$9)),"#",getgrade(Broadsheet!T204,data!$H$4:$I$9))</f>
        <v/>
      </c>
      <c r="U93" s="188" t="str">
        <f>IF(ISERROR(getgrade(Broadsheet!U204,data!$H$4:$I$9)),"#",getgrade(Broadsheet!U204,data!$H$4:$I$9))</f>
        <v/>
      </c>
      <c r="V93" s="188" t="str">
        <f>IF(ISERROR(getgrade(Broadsheet!V204,data!$H$4:$I$9)),"#",getgrade(Broadsheet!V204,data!$H$4:$I$9))</f>
        <v/>
      </c>
      <c r="W93" s="188" t="str">
        <f>IF(ISERROR(getgrade(Broadsheet!W204,data!$H$4:$I$9)),"#",getgrade(Broadsheet!W204,data!$H$4:$I$9))</f>
        <v/>
      </c>
      <c r="X93" s="188" t="str">
        <f>IF(ISERROR(getgrade(Broadsheet!X204,data!$H$4:$I$9)),"#",getgrade(Broadsheet!X204,data!$H$4:$I$9))</f>
        <v/>
      </c>
      <c r="Y93" s="188" t="str">
        <f>IF(ISERROR(getgrade(Broadsheet!Y204,data!$H$4:$I$9)),"#",getgrade(Broadsheet!Y204,data!$H$4:$I$9))</f>
        <v/>
      </c>
      <c r="Z93" s="188" t="str">
        <f>IF(ISERROR(getgrade(Broadsheet!Z204,data!$H$4:$I$9)),"#",getgrade(Broadsheet!Z204,data!$H$4:$I$9))</f>
        <v/>
      </c>
      <c r="AA93" s="188" t="str">
        <f>IF(ISERROR(getgrade(Broadsheet!AA204,data!$H$4:$I$9)),"#",getgrade(Broadsheet!AA204,data!$H$4:$I$9))</f>
        <v/>
      </c>
      <c r="AB93" s="188" t="str">
        <f>IF(ISERROR(getgrade(Broadsheet!AB204,data!$H$4:$I$9)),"#",getgrade(Broadsheet!AB204,data!$H$4:$I$9))</f>
        <v/>
      </c>
      <c r="AC93" s="188" t="str">
        <f>IF(ISERROR(getgrade(Broadsheet!AC204,data!$H$4:$I$9)),"#",getgrade(Broadsheet!AC204,data!$H$4:$I$9))</f>
        <v/>
      </c>
      <c r="AD93" s="188" t="str">
        <f>IF(ISERROR(getgrade(Broadsheet!AD204,data!$H$4:$I$9)),"#",getgrade(Broadsheet!AD204,data!$H$4:$I$9))</f>
        <v/>
      </c>
      <c r="AE93" s="188" t="str">
        <f>IF(ISERROR(getgrade(Broadsheet!AE204,data!$H$4:$I$9)),"#",getgrade(Broadsheet!AE204,data!$H$4:$I$9))</f>
        <v/>
      </c>
      <c r="AF93" s="188" t="str">
        <f>IF(ISERROR(getgrade(Broadsheet!AF204,data!$H$4:$I$9)),"#",getgrade(Broadsheet!AF204,data!$H$4:$I$9))</f>
        <v/>
      </c>
      <c r="AG93" s="188" t="str">
        <f>IF(ISERROR(getgrade(Broadsheet!AG204,data!$H$4:$I$9)),"#",getgrade(Broadsheet!AG204,data!$H$4:$I$9))</f>
        <v/>
      </c>
      <c r="AH93" s="188" t="str">
        <f>IF(ISERROR(getgrade(Broadsheet!AH204,data!$H$4:$I$9)),"#",getgrade(Broadsheet!AH204,data!$H$4:$I$9))</f>
        <v/>
      </c>
      <c r="AI93" s="188" t="str">
        <f>IF(ISERROR(getgrade(Broadsheet!AI204,data!$H$4:$I$9)),"#",getgrade(Broadsheet!AI204,data!$H$4:$I$9))</f>
        <v/>
      </c>
      <c r="AJ93" s="188" t="str">
        <f>IF(ISERROR(getgrade(Broadsheet!AJ204,data!$H$4:$I$9)),"#",getgrade(Broadsheet!AJ204,data!$H$4:$I$9))</f>
        <v/>
      </c>
      <c r="AK93" s="188" t="str">
        <f>IF(ISERROR(getgrade(Broadsheet!AK204,data!$H$4:$I$9)),"#",getgrade(Broadsheet!AK204,data!$H$4:$I$9))</f>
        <v/>
      </c>
      <c r="AL93" s="188" t="str">
        <f>IF(ISERROR(getgrade(Broadsheet!AL204,data!$H$4:$I$9)),"#",getgrade(Broadsheet!AL204,data!$H$4:$I$9))</f>
        <v/>
      </c>
      <c r="AM93" s="188" t="str">
        <f>IF(ISERROR(getgrade(Broadsheet!AM204,data!$H$4:$I$9)),"#",getgrade(Broadsheet!AM204,data!$H$4:$I$9))</f>
        <v/>
      </c>
      <c r="AN93" s="188" t="str">
        <f>IF(ISERROR(getgrade(Broadsheet!AN204,data!$H$4:$I$9)),"#",getgrade(Broadsheet!AN204,data!$H$4:$I$9))</f>
        <v/>
      </c>
      <c r="AO93" s="188" t="str">
        <f>IF(ISERROR(getgrade(Broadsheet!AO204,data!$H$4:$I$9)),"#",getgrade(Broadsheet!AO204,data!$H$4:$I$9))</f>
        <v/>
      </c>
      <c r="AP93" s="188" t="str">
        <f>IF(ISERROR(getgrade(Broadsheet!AP204,data!$H$4:$I$9)),"#",getgrade(Broadsheet!AP204,data!$H$4:$I$9))</f>
        <v/>
      </c>
      <c r="AQ93" s="188" t="str">
        <f>IF(ISERROR(getgrade(Broadsheet!AQ204,data!$H$4:$I$9)),"#",getgrade(Broadsheet!AQ204,data!$H$4:$I$9))</f>
        <v/>
      </c>
      <c r="AR93" s="188" t="str">
        <f>IF(ISERROR(getgrade(Broadsheet!AR204,data!$H$4:$I$9)),"#",getgrade(Broadsheet!AR204,data!$H$4:$I$9))</f>
        <v/>
      </c>
      <c r="AS93" s="188" t="str">
        <f>IF(ISERROR(getgrade(Broadsheet!AS204,data!$H$4:$I$9)),"#",getgrade(Broadsheet!AS204,data!$H$4:$I$9))</f>
        <v/>
      </c>
      <c r="AT93" s="188" t="str">
        <f>IF(ISERROR(getgrade(Broadsheet!AT204,data!$H$4:$I$9)),"#",getgrade(Broadsheet!AT204,data!$H$4:$I$9))</f>
        <v/>
      </c>
      <c r="AU93" s="188" t="str">
        <f>IF(ISERROR(getgrade(Broadsheet!AU204,data!$H$4:$I$9)),"#",getgrade(Broadsheet!AU204,data!$H$4:$I$9))</f>
        <v/>
      </c>
      <c r="AV93" s="188" t="str">
        <f>IF(ISERROR(getgrade(Broadsheet!AV204,data!$H$4:$I$9)),"#",getgrade(Broadsheet!AV204,data!$H$4:$I$9))</f>
        <v/>
      </c>
      <c r="AW93" s="188" t="str">
        <f>IF(ISERROR(getgrade(Broadsheet!AW204,data!$H$4:$I$9)),"#",getgrade(Broadsheet!AW204,data!$H$4:$I$9))</f>
        <v/>
      </c>
      <c r="AX93" s="188" t="str">
        <f>IF(ISERROR(getgrade(Broadsheet!AX204,data!$H$4:$I$9)),"#",getgrade(Broadsheet!AX204,data!$H$4:$I$9))</f>
        <v/>
      </c>
      <c r="AY93" s="188" t="str">
        <f>IF(ISERROR(getgrade(Broadsheet!AY204,data!$H$4:$I$9)),"#",getgrade(Broadsheet!AY204,data!$H$4:$I$9))</f>
        <v/>
      </c>
      <c r="AZ93" s="188" t="str">
        <f>IF(ISERROR(getgrade(Broadsheet!AZ204,data!$H$4:$I$9)),"#",getgrade(Broadsheet!AZ204,data!$H$4:$I$9))</f>
        <v/>
      </c>
      <c r="BA93" s="188" t="str">
        <f>IF(ISERROR(getgrade(Broadsheet!BA204,data!$H$4:$I$9)),"#",getgrade(Broadsheet!BA204,data!$H$4:$I$9))</f>
        <v/>
      </c>
      <c r="BB93" s="188" t="str">
        <f>IF(ISERROR(getgrade(Broadsheet!BB204,data!$H$4:$I$9)),"#",getgrade(Broadsheet!BB204,data!$H$4:$I$9))</f>
        <v/>
      </c>
      <c r="BC93" s="188" t="str">
        <f>IF(ISERROR(getgrade(Broadsheet!BC204,data!$H$4:$I$9)),"#",getgrade(Broadsheet!BC204,data!$H$4:$I$9))</f>
        <v/>
      </c>
      <c r="BD93" s="188" t="str">
        <f>IF(ISERROR(getgrade(Broadsheet!BD204,data!$H$4:$I$9)),"#",getgrade(Broadsheet!BD204,data!$H$4:$I$9))</f>
        <v/>
      </c>
      <c r="BE93" s="188" t="str">
        <f>IF(ISERROR(getgrade(Broadsheet!BE204,data!$H$4:$I$9)),"#",getgrade(Broadsheet!BE204,data!$H$4:$I$9))</f>
        <v/>
      </c>
      <c r="BF93" s="188" t="str">
        <f>IF(ISERROR(getgrade(Broadsheet!BF204,data!$H$4:$I$9)),"#",getgrade(Broadsheet!BF204,data!$H$4:$I$9))</f>
        <v/>
      </c>
      <c r="BG93" s="188" t="str">
        <f>IF(ISERROR(getgrade(Broadsheet!BG204,data!$H$4:$I$9)),"#",getgrade(Broadsheet!BG204,data!$H$4:$I$9))</f>
        <v/>
      </c>
      <c r="BH93" s="188" t="str">
        <f>IF(ISERROR(getgrade(Broadsheet!BH204,data!$H$4:$I$9)),"#",getgrade(Broadsheet!BH204,data!$H$4:$I$9))</f>
        <v/>
      </c>
      <c r="BI93" s="188" t="str">
        <f>IF(ISERROR(getgrade(Broadsheet!BI204,data!$H$4:$I$9)),"#",getgrade(Broadsheet!BI204,data!$H$4:$I$9))</f>
        <v/>
      </c>
      <c r="BJ93" s="188" t="str">
        <f>IF(ISERROR(getgrade(Broadsheet!BJ204,data!$H$4:$I$9)),"#",getgrade(Broadsheet!BJ204,data!$H$4:$I$9))</f>
        <v/>
      </c>
      <c r="BK93" s="188"/>
      <c r="BL93" s="188"/>
      <c r="BM93" s="188"/>
      <c r="BN93" s="188"/>
      <c r="BO93" s="188"/>
      <c r="BP93" s="188"/>
      <c r="BQ93" s="188"/>
      <c r="BR93" s="188"/>
      <c r="BS93" s="188"/>
      <c r="BT93" s="188"/>
      <c r="BU93" s="188"/>
      <c r="BV93" s="188"/>
      <c r="BW93" s="188"/>
      <c r="BX93" s="188"/>
      <c r="BY93" s="188"/>
      <c r="BZ93" s="188"/>
      <c r="CA93" s="188"/>
      <c r="CB93" s="188"/>
      <c r="CC93" s="188"/>
      <c r="CD93" s="188"/>
      <c r="CE93" s="188"/>
      <c r="CF93" s="188"/>
      <c r="CG93" s="188"/>
      <c r="CH93" s="188"/>
      <c r="CI93" s="188"/>
      <c r="CJ93" s="188"/>
      <c r="CK93" s="188"/>
      <c r="CL93" s="188"/>
      <c r="CM93" s="188"/>
      <c r="CN93" s="188"/>
      <c r="CO93" s="188"/>
      <c r="CP93" s="188"/>
      <c r="CQ93" s="188"/>
      <c r="CR93" s="188"/>
      <c r="CS93" s="188"/>
      <c r="CT93" s="188"/>
      <c r="CU93" s="188"/>
      <c r="CV93" s="188"/>
      <c r="CW93" s="188"/>
      <c r="CX93" s="188"/>
      <c r="CY93" s="188"/>
      <c r="CZ93" s="188"/>
      <c r="DA93" s="188"/>
      <c r="DB93" s="188"/>
      <c r="DC93" s="188"/>
      <c r="DD93" s="188"/>
      <c r="DE93" s="188"/>
      <c r="DF93" s="188"/>
      <c r="DG93" s="188"/>
      <c r="DH93" s="188"/>
      <c r="DI93" s="188"/>
      <c r="DJ93" s="188"/>
      <c r="DK93" s="188"/>
      <c r="DL93" s="188"/>
      <c r="DM93" s="188"/>
      <c r="DN93" s="188"/>
      <c r="DO93" s="188"/>
      <c r="DP93" s="188"/>
      <c r="DQ93" s="188"/>
      <c r="DR93" s="188"/>
      <c r="DS93" s="188"/>
      <c r="DT93" s="188"/>
      <c r="DU93" s="188"/>
      <c r="DV93" s="188"/>
      <c r="DW93" s="188"/>
      <c r="DX93" s="188"/>
      <c r="DY93" s="188"/>
      <c r="DZ93" s="188"/>
      <c r="EA93" s="188"/>
    </row>
    <row r="94" spans="1:131" ht="15.75" x14ac:dyDescent="0.25">
      <c r="A94" s="12">
        <f>Broadsheet!A205</f>
        <v>0</v>
      </c>
      <c r="B94" s="204" t="str">
        <f>IF(Broadsheet!B94="","",Broadsheet!B94)</f>
        <v/>
      </c>
      <c r="C94" s="24" t="str">
        <f>IF(Broadsheet!C94="","",Broadsheet!C94)</f>
        <v xml:space="preserve"> </v>
      </c>
      <c r="G94" s="24" t="str">
        <f t="shared" si="1"/>
        <v/>
      </c>
      <c r="H94" s="188" t="str">
        <f>IF(ISERROR(getgrade(Broadsheet!H205,data!$H$4:$I$9)),"#",getgrade(Broadsheet!H205,data!$H$4:$I$9))</f>
        <v/>
      </c>
      <c r="I94" s="188" t="str">
        <f>IF(ISERROR(getgrade(Broadsheet!I205,data!$H$4:$I$9)),"#",getgrade(Broadsheet!I205,data!$H$4:$I$9))</f>
        <v/>
      </c>
      <c r="J94" s="188" t="str">
        <f>IF(ISERROR(getgrade(Broadsheet!J205,data!$H$4:$I$9)),"#",getgrade(Broadsheet!J205,data!$H$4:$I$9))</f>
        <v/>
      </c>
      <c r="K94" s="188" t="str">
        <f>IF(ISERROR(getgrade(Broadsheet!K205,data!$H$4:$I$9)),"#",getgrade(Broadsheet!K205,data!$H$4:$I$9))</f>
        <v/>
      </c>
      <c r="L94" s="188" t="str">
        <f>IF(ISERROR(getgrade(Broadsheet!L205,data!$H$4:$I$9)),"#",getgrade(Broadsheet!L205,data!$H$4:$I$9))</f>
        <v/>
      </c>
      <c r="M94" s="188" t="str">
        <f>IF(ISERROR(getgrade(Broadsheet!M205,data!$H$4:$I$9)),"#",getgrade(Broadsheet!M205,data!$H$4:$I$9))</f>
        <v/>
      </c>
      <c r="N94" s="188" t="str">
        <f>IF(ISERROR(getgrade(Broadsheet!N205,data!$H$4:$I$9)),"#",getgrade(Broadsheet!N205,data!$H$4:$I$9))</f>
        <v/>
      </c>
      <c r="O94" s="188" t="str">
        <f>IF(ISERROR(getgrade(Broadsheet!O205,data!$H$4:$I$9)),"#",getgrade(Broadsheet!O205,data!$H$4:$I$9))</f>
        <v/>
      </c>
      <c r="P94" s="188" t="str">
        <f>IF(ISERROR(getgrade(Broadsheet!P205,data!$H$4:$I$9)),"#",getgrade(Broadsheet!P205,data!$H$4:$I$9))</f>
        <v/>
      </c>
      <c r="Q94" s="188" t="str">
        <f>IF(ISERROR(getgrade(Broadsheet!Q205,data!$H$4:$I$9)),"#",getgrade(Broadsheet!Q205,data!$H$4:$I$9))</f>
        <v/>
      </c>
      <c r="R94" s="188" t="str">
        <f>IF(ISERROR(getgrade(Broadsheet!R205,data!$H$4:$I$9)),"#",getgrade(Broadsheet!R205,data!$H$4:$I$9))</f>
        <v/>
      </c>
      <c r="S94" s="188" t="str">
        <f>IF(ISERROR(getgrade(Broadsheet!S205,data!$H$4:$I$9)),"#",getgrade(Broadsheet!S205,data!$H$4:$I$9))</f>
        <v/>
      </c>
      <c r="T94" s="188" t="str">
        <f>IF(ISERROR(getgrade(Broadsheet!T205,data!$H$4:$I$9)),"#",getgrade(Broadsheet!T205,data!$H$4:$I$9))</f>
        <v/>
      </c>
      <c r="U94" s="188" t="str">
        <f>IF(ISERROR(getgrade(Broadsheet!U205,data!$H$4:$I$9)),"#",getgrade(Broadsheet!U205,data!$H$4:$I$9))</f>
        <v/>
      </c>
      <c r="V94" s="188" t="str">
        <f>IF(ISERROR(getgrade(Broadsheet!V205,data!$H$4:$I$9)),"#",getgrade(Broadsheet!V205,data!$H$4:$I$9))</f>
        <v/>
      </c>
      <c r="W94" s="188" t="str">
        <f>IF(ISERROR(getgrade(Broadsheet!W205,data!$H$4:$I$9)),"#",getgrade(Broadsheet!W205,data!$H$4:$I$9))</f>
        <v/>
      </c>
      <c r="X94" s="188" t="str">
        <f>IF(ISERROR(getgrade(Broadsheet!X205,data!$H$4:$I$9)),"#",getgrade(Broadsheet!X205,data!$H$4:$I$9))</f>
        <v/>
      </c>
      <c r="Y94" s="188" t="str">
        <f>IF(ISERROR(getgrade(Broadsheet!Y205,data!$H$4:$I$9)),"#",getgrade(Broadsheet!Y205,data!$H$4:$I$9))</f>
        <v/>
      </c>
      <c r="Z94" s="188" t="str">
        <f>IF(ISERROR(getgrade(Broadsheet!Z205,data!$H$4:$I$9)),"#",getgrade(Broadsheet!Z205,data!$H$4:$I$9))</f>
        <v/>
      </c>
      <c r="AA94" s="188" t="str">
        <f>IF(ISERROR(getgrade(Broadsheet!AA205,data!$H$4:$I$9)),"#",getgrade(Broadsheet!AA205,data!$H$4:$I$9))</f>
        <v/>
      </c>
      <c r="AB94" s="188" t="str">
        <f>IF(ISERROR(getgrade(Broadsheet!AB205,data!$H$4:$I$9)),"#",getgrade(Broadsheet!AB205,data!$H$4:$I$9))</f>
        <v/>
      </c>
      <c r="AC94" s="188" t="str">
        <f>IF(ISERROR(getgrade(Broadsheet!AC205,data!$H$4:$I$9)),"#",getgrade(Broadsheet!AC205,data!$H$4:$I$9))</f>
        <v/>
      </c>
      <c r="AD94" s="188" t="str">
        <f>IF(ISERROR(getgrade(Broadsheet!AD205,data!$H$4:$I$9)),"#",getgrade(Broadsheet!AD205,data!$H$4:$I$9))</f>
        <v/>
      </c>
      <c r="AE94" s="188" t="str">
        <f>IF(ISERROR(getgrade(Broadsheet!AE205,data!$H$4:$I$9)),"#",getgrade(Broadsheet!AE205,data!$H$4:$I$9))</f>
        <v/>
      </c>
      <c r="AF94" s="188" t="str">
        <f>IF(ISERROR(getgrade(Broadsheet!AF205,data!$H$4:$I$9)),"#",getgrade(Broadsheet!AF205,data!$H$4:$I$9))</f>
        <v/>
      </c>
      <c r="AG94" s="188" t="str">
        <f>IF(ISERROR(getgrade(Broadsheet!AG205,data!$H$4:$I$9)),"#",getgrade(Broadsheet!AG205,data!$H$4:$I$9))</f>
        <v/>
      </c>
      <c r="AH94" s="188" t="str">
        <f>IF(ISERROR(getgrade(Broadsheet!AH205,data!$H$4:$I$9)),"#",getgrade(Broadsheet!AH205,data!$H$4:$I$9))</f>
        <v/>
      </c>
      <c r="AI94" s="188" t="str">
        <f>IF(ISERROR(getgrade(Broadsheet!AI205,data!$H$4:$I$9)),"#",getgrade(Broadsheet!AI205,data!$H$4:$I$9))</f>
        <v/>
      </c>
      <c r="AJ94" s="188" t="str">
        <f>IF(ISERROR(getgrade(Broadsheet!AJ205,data!$H$4:$I$9)),"#",getgrade(Broadsheet!AJ205,data!$H$4:$I$9))</f>
        <v/>
      </c>
      <c r="AK94" s="188" t="str">
        <f>IF(ISERROR(getgrade(Broadsheet!AK205,data!$H$4:$I$9)),"#",getgrade(Broadsheet!AK205,data!$H$4:$I$9))</f>
        <v/>
      </c>
      <c r="AL94" s="188" t="str">
        <f>IF(ISERROR(getgrade(Broadsheet!AL205,data!$H$4:$I$9)),"#",getgrade(Broadsheet!AL205,data!$H$4:$I$9))</f>
        <v/>
      </c>
      <c r="AM94" s="188" t="str">
        <f>IF(ISERROR(getgrade(Broadsheet!AM205,data!$H$4:$I$9)),"#",getgrade(Broadsheet!AM205,data!$H$4:$I$9))</f>
        <v/>
      </c>
      <c r="AN94" s="188" t="str">
        <f>IF(ISERROR(getgrade(Broadsheet!AN205,data!$H$4:$I$9)),"#",getgrade(Broadsheet!AN205,data!$H$4:$I$9))</f>
        <v/>
      </c>
      <c r="AO94" s="188" t="str">
        <f>IF(ISERROR(getgrade(Broadsheet!AO205,data!$H$4:$I$9)),"#",getgrade(Broadsheet!AO205,data!$H$4:$I$9))</f>
        <v/>
      </c>
      <c r="AP94" s="188" t="str">
        <f>IF(ISERROR(getgrade(Broadsheet!AP205,data!$H$4:$I$9)),"#",getgrade(Broadsheet!AP205,data!$H$4:$I$9))</f>
        <v/>
      </c>
      <c r="AQ94" s="188" t="str">
        <f>IF(ISERROR(getgrade(Broadsheet!AQ205,data!$H$4:$I$9)),"#",getgrade(Broadsheet!AQ205,data!$H$4:$I$9))</f>
        <v/>
      </c>
      <c r="AR94" s="188" t="str">
        <f>IF(ISERROR(getgrade(Broadsheet!AR205,data!$H$4:$I$9)),"#",getgrade(Broadsheet!AR205,data!$H$4:$I$9))</f>
        <v/>
      </c>
      <c r="AS94" s="188" t="str">
        <f>IF(ISERROR(getgrade(Broadsheet!AS205,data!$H$4:$I$9)),"#",getgrade(Broadsheet!AS205,data!$H$4:$I$9))</f>
        <v/>
      </c>
      <c r="AT94" s="188" t="str">
        <f>IF(ISERROR(getgrade(Broadsheet!AT205,data!$H$4:$I$9)),"#",getgrade(Broadsheet!AT205,data!$H$4:$I$9))</f>
        <v/>
      </c>
      <c r="AU94" s="188" t="str">
        <f>IF(ISERROR(getgrade(Broadsheet!AU205,data!$H$4:$I$9)),"#",getgrade(Broadsheet!AU205,data!$H$4:$I$9))</f>
        <v/>
      </c>
      <c r="AV94" s="188" t="str">
        <f>IF(ISERROR(getgrade(Broadsheet!AV205,data!$H$4:$I$9)),"#",getgrade(Broadsheet!AV205,data!$H$4:$I$9))</f>
        <v/>
      </c>
      <c r="AW94" s="188" t="str">
        <f>IF(ISERROR(getgrade(Broadsheet!AW205,data!$H$4:$I$9)),"#",getgrade(Broadsheet!AW205,data!$H$4:$I$9))</f>
        <v/>
      </c>
      <c r="AX94" s="188" t="str">
        <f>IF(ISERROR(getgrade(Broadsheet!AX205,data!$H$4:$I$9)),"#",getgrade(Broadsheet!AX205,data!$H$4:$I$9))</f>
        <v/>
      </c>
      <c r="AY94" s="188" t="str">
        <f>IF(ISERROR(getgrade(Broadsheet!AY205,data!$H$4:$I$9)),"#",getgrade(Broadsheet!AY205,data!$H$4:$I$9))</f>
        <v/>
      </c>
      <c r="AZ94" s="188" t="str">
        <f>IF(ISERROR(getgrade(Broadsheet!AZ205,data!$H$4:$I$9)),"#",getgrade(Broadsheet!AZ205,data!$H$4:$I$9))</f>
        <v/>
      </c>
      <c r="BA94" s="188" t="str">
        <f>IF(ISERROR(getgrade(Broadsheet!BA205,data!$H$4:$I$9)),"#",getgrade(Broadsheet!BA205,data!$H$4:$I$9))</f>
        <v/>
      </c>
      <c r="BB94" s="188" t="str">
        <f>IF(ISERROR(getgrade(Broadsheet!BB205,data!$H$4:$I$9)),"#",getgrade(Broadsheet!BB205,data!$H$4:$I$9))</f>
        <v/>
      </c>
      <c r="BC94" s="188" t="str">
        <f>IF(ISERROR(getgrade(Broadsheet!BC205,data!$H$4:$I$9)),"#",getgrade(Broadsheet!BC205,data!$H$4:$I$9))</f>
        <v/>
      </c>
      <c r="BD94" s="188" t="str">
        <f>IF(ISERROR(getgrade(Broadsheet!BD205,data!$H$4:$I$9)),"#",getgrade(Broadsheet!BD205,data!$H$4:$I$9))</f>
        <v/>
      </c>
      <c r="BE94" s="188" t="str">
        <f>IF(ISERROR(getgrade(Broadsheet!BE205,data!$H$4:$I$9)),"#",getgrade(Broadsheet!BE205,data!$H$4:$I$9))</f>
        <v/>
      </c>
      <c r="BF94" s="188" t="str">
        <f>IF(ISERROR(getgrade(Broadsheet!BF205,data!$H$4:$I$9)),"#",getgrade(Broadsheet!BF205,data!$H$4:$I$9))</f>
        <v/>
      </c>
      <c r="BG94" s="188" t="str">
        <f>IF(ISERROR(getgrade(Broadsheet!BG205,data!$H$4:$I$9)),"#",getgrade(Broadsheet!BG205,data!$H$4:$I$9))</f>
        <v/>
      </c>
      <c r="BH94" s="188" t="str">
        <f>IF(ISERROR(getgrade(Broadsheet!BH205,data!$H$4:$I$9)),"#",getgrade(Broadsheet!BH205,data!$H$4:$I$9))</f>
        <v/>
      </c>
      <c r="BI94" s="188" t="str">
        <f>IF(ISERROR(getgrade(Broadsheet!BI205,data!$H$4:$I$9)),"#",getgrade(Broadsheet!BI205,data!$H$4:$I$9))</f>
        <v/>
      </c>
      <c r="BJ94" s="188" t="str">
        <f>IF(ISERROR(getgrade(Broadsheet!BJ205,data!$H$4:$I$9)),"#",getgrade(Broadsheet!BJ205,data!$H$4:$I$9))</f>
        <v/>
      </c>
      <c r="BK94" s="188"/>
      <c r="BL94" s="188"/>
      <c r="BM94" s="188"/>
      <c r="BN94" s="188"/>
      <c r="BO94" s="188"/>
      <c r="BP94" s="188"/>
      <c r="BQ94" s="188"/>
      <c r="BR94" s="188"/>
      <c r="BS94" s="188"/>
      <c r="BT94" s="188"/>
      <c r="BU94" s="188"/>
      <c r="BV94" s="188"/>
      <c r="BW94" s="188"/>
      <c r="BX94" s="188"/>
      <c r="BY94" s="188"/>
      <c r="BZ94" s="188"/>
      <c r="CA94" s="188"/>
      <c r="CB94" s="188"/>
      <c r="CC94" s="188"/>
      <c r="CD94" s="188"/>
      <c r="CE94" s="188"/>
      <c r="CF94" s="188"/>
      <c r="CG94" s="188"/>
      <c r="CH94" s="188"/>
      <c r="CI94" s="188"/>
      <c r="CJ94" s="188"/>
      <c r="CK94" s="188"/>
      <c r="CL94" s="188"/>
      <c r="CM94" s="188"/>
      <c r="CN94" s="188"/>
      <c r="CO94" s="188"/>
      <c r="CP94" s="188"/>
      <c r="CQ94" s="188"/>
      <c r="CR94" s="188"/>
      <c r="CS94" s="188"/>
      <c r="CT94" s="188"/>
      <c r="CU94" s="188"/>
      <c r="CV94" s="188"/>
      <c r="CW94" s="188"/>
      <c r="CX94" s="188"/>
      <c r="CY94" s="188"/>
      <c r="CZ94" s="188"/>
      <c r="DA94" s="188"/>
      <c r="DB94" s="188"/>
      <c r="DC94" s="188"/>
      <c r="DD94" s="188"/>
      <c r="DE94" s="188"/>
      <c r="DF94" s="188"/>
      <c r="DG94" s="188"/>
      <c r="DH94" s="188"/>
      <c r="DI94" s="188"/>
      <c r="DJ94" s="188"/>
      <c r="DK94" s="188"/>
      <c r="DL94" s="188"/>
      <c r="DM94" s="188"/>
      <c r="DN94" s="188"/>
      <c r="DO94" s="188"/>
      <c r="DP94" s="188"/>
      <c r="DQ94" s="188"/>
      <c r="DR94" s="188"/>
      <c r="DS94" s="188"/>
      <c r="DT94" s="188"/>
      <c r="DU94" s="188"/>
      <c r="DV94" s="188"/>
      <c r="DW94" s="188"/>
      <c r="DX94" s="188"/>
      <c r="DY94" s="188"/>
      <c r="DZ94" s="188"/>
      <c r="EA94" s="188"/>
    </row>
    <row r="95" spans="1:131" ht="15.75" x14ac:dyDescent="0.25">
      <c r="A95" s="12">
        <f>Broadsheet!A206</f>
        <v>0</v>
      </c>
      <c r="B95" s="204" t="str">
        <f>IF(Broadsheet!B95="","",Broadsheet!B95)</f>
        <v/>
      </c>
      <c r="C95" s="24" t="str">
        <f>IF(Broadsheet!C95="","",Broadsheet!C95)</f>
        <v xml:space="preserve"> </v>
      </c>
      <c r="G95" s="24" t="str">
        <f t="shared" si="1"/>
        <v/>
      </c>
      <c r="H95" s="188" t="str">
        <f>IF(ISERROR(getgrade(Broadsheet!H206,data!$H$4:$I$9)),"#",getgrade(Broadsheet!H206,data!$H$4:$I$9))</f>
        <v/>
      </c>
      <c r="I95" s="188" t="str">
        <f>IF(ISERROR(getgrade(Broadsheet!I206,data!$H$4:$I$9)),"#",getgrade(Broadsheet!I206,data!$H$4:$I$9))</f>
        <v/>
      </c>
      <c r="J95" s="188" t="str">
        <f>IF(ISERROR(getgrade(Broadsheet!J206,data!$H$4:$I$9)),"#",getgrade(Broadsheet!J206,data!$H$4:$I$9))</f>
        <v/>
      </c>
      <c r="K95" s="188" t="str">
        <f>IF(ISERROR(getgrade(Broadsheet!K206,data!$H$4:$I$9)),"#",getgrade(Broadsheet!K206,data!$H$4:$I$9))</f>
        <v/>
      </c>
      <c r="L95" s="188" t="str">
        <f>IF(ISERROR(getgrade(Broadsheet!L206,data!$H$4:$I$9)),"#",getgrade(Broadsheet!L206,data!$H$4:$I$9))</f>
        <v/>
      </c>
      <c r="M95" s="188" t="str">
        <f>IF(ISERROR(getgrade(Broadsheet!M206,data!$H$4:$I$9)),"#",getgrade(Broadsheet!M206,data!$H$4:$I$9))</f>
        <v/>
      </c>
      <c r="N95" s="188" t="str">
        <f>IF(ISERROR(getgrade(Broadsheet!N206,data!$H$4:$I$9)),"#",getgrade(Broadsheet!N206,data!$H$4:$I$9))</f>
        <v/>
      </c>
      <c r="O95" s="188" t="str">
        <f>IF(ISERROR(getgrade(Broadsheet!O206,data!$H$4:$I$9)),"#",getgrade(Broadsheet!O206,data!$H$4:$I$9))</f>
        <v/>
      </c>
      <c r="P95" s="188" t="str">
        <f>IF(ISERROR(getgrade(Broadsheet!P206,data!$H$4:$I$9)),"#",getgrade(Broadsheet!P206,data!$H$4:$I$9))</f>
        <v/>
      </c>
      <c r="Q95" s="188" t="str">
        <f>IF(ISERROR(getgrade(Broadsheet!Q206,data!$H$4:$I$9)),"#",getgrade(Broadsheet!Q206,data!$H$4:$I$9))</f>
        <v/>
      </c>
      <c r="R95" s="188" t="str">
        <f>IF(ISERROR(getgrade(Broadsheet!R206,data!$H$4:$I$9)),"#",getgrade(Broadsheet!R206,data!$H$4:$I$9))</f>
        <v/>
      </c>
      <c r="S95" s="188" t="str">
        <f>IF(ISERROR(getgrade(Broadsheet!S206,data!$H$4:$I$9)),"#",getgrade(Broadsheet!S206,data!$H$4:$I$9))</f>
        <v/>
      </c>
      <c r="T95" s="188" t="str">
        <f>IF(ISERROR(getgrade(Broadsheet!T206,data!$H$4:$I$9)),"#",getgrade(Broadsheet!T206,data!$H$4:$I$9))</f>
        <v/>
      </c>
      <c r="U95" s="188" t="str">
        <f>IF(ISERROR(getgrade(Broadsheet!U206,data!$H$4:$I$9)),"#",getgrade(Broadsheet!U206,data!$H$4:$I$9))</f>
        <v/>
      </c>
      <c r="V95" s="188" t="str">
        <f>IF(ISERROR(getgrade(Broadsheet!V206,data!$H$4:$I$9)),"#",getgrade(Broadsheet!V206,data!$H$4:$I$9))</f>
        <v/>
      </c>
      <c r="W95" s="188" t="str">
        <f>IF(ISERROR(getgrade(Broadsheet!W206,data!$H$4:$I$9)),"#",getgrade(Broadsheet!W206,data!$H$4:$I$9))</f>
        <v/>
      </c>
      <c r="X95" s="188" t="str">
        <f>IF(ISERROR(getgrade(Broadsheet!X206,data!$H$4:$I$9)),"#",getgrade(Broadsheet!X206,data!$H$4:$I$9))</f>
        <v/>
      </c>
      <c r="Y95" s="188" t="str">
        <f>IF(ISERROR(getgrade(Broadsheet!Y206,data!$H$4:$I$9)),"#",getgrade(Broadsheet!Y206,data!$H$4:$I$9))</f>
        <v/>
      </c>
      <c r="Z95" s="188" t="str">
        <f>IF(ISERROR(getgrade(Broadsheet!Z206,data!$H$4:$I$9)),"#",getgrade(Broadsheet!Z206,data!$H$4:$I$9))</f>
        <v/>
      </c>
      <c r="AA95" s="188" t="str">
        <f>IF(ISERROR(getgrade(Broadsheet!AA206,data!$H$4:$I$9)),"#",getgrade(Broadsheet!AA206,data!$H$4:$I$9))</f>
        <v/>
      </c>
      <c r="AB95" s="188" t="str">
        <f>IF(ISERROR(getgrade(Broadsheet!AB206,data!$H$4:$I$9)),"#",getgrade(Broadsheet!AB206,data!$H$4:$I$9))</f>
        <v/>
      </c>
      <c r="AC95" s="188" t="str">
        <f>IF(ISERROR(getgrade(Broadsheet!AC206,data!$H$4:$I$9)),"#",getgrade(Broadsheet!AC206,data!$H$4:$I$9))</f>
        <v/>
      </c>
      <c r="AD95" s="188" t="str">
        <f>IF(ISERROR(getgrade(Broadsheet!AD206,data!$H$4:$I$9)),"#",getgrade(Broadsheet!AD206,data!$H$4:$I$9))</f>
        <v/>
      </c>
      <c r="AE95" s="188" t="str">
        <f>IF(ISERROR(getgrade(Broadsheet!AE206,data!$H$4:$I$9)),"#",getgrade(Broadsheet!AE206,data!$H$4:$I$9))</f>
        <v/>
      </c>
      <c r="AF95" s="188" t="str">
        <f>IF(ISERROR(getgrade(Broadsheet!AF206,data!$H$4:$I$9)),"#",getgrade(Broadsheet!AF206,data!$H$4:$I$9))</f>
        <v/>
      </c>
      <c r="AG95" s="188" t="str">
        <f>IF(ISERROR(getgrade(Broadsheet!AG206,data!$H$4:$I$9)),"#",getgrade(Broadsheet!AG206,data!$H$4:$I$9))</f>
        <v/>
      </c>
      <c r="AH95" s="188" t="str">
        <f>IF(ISERROR(getgrade(Broadsheet!AH206,data!$H$4:$I$9)),"#",getgrade(Broadsheet!AH206,data!$H$4:$I$9))</f>
        <v/>
      </c>
      <c r="AI95" s="188" t="str">
        <f>IF(ISERROR(getgrade(Broadsheet!AI206,data!$H$4:$I$9)),"#",getgrade(Broadsheet!AI206,data!$H$4:$I$9))</f>
        <v/>
      </c>
      <c r="AJ95" s="188" t="str">
        <f>IF(ISERROR(getgrade(Broadsheet!AJ206,data!$H$4:$I$9)),"#",getgrade(Broadsheet!AJ206,data!$H$4:$I$9))</f>
        <v/>
      </c>
      <c r="AK95" s="188" t="str">
        <f>IF(ISERROR(getgrade(Broadsheet!AK206,data!$H$4:$I$9)),"#",getgrade(Broadsheet!AK206,data!$H$4:$I$9))</f>
        <v/>
      </c>
      <c r="AL95" s="188" t="str">
        <f>IF(ISERROR(getgrade(Broadsheet!AL206,data!$H$4:$I$9)),"#",getgrade(Broadsheet!AL206,data!$H$4:$I$9))</f>
        <v/>
      </c>
      <c r="AM95" s="188" t="str">
        <f>IF(ISERROR(getgrade(Broadsheet!AM206,data!$H$4:$I$9)),"#",getgrade(Broadsheet!AM206,data!$H$4:$I$9))</f>
        <v/>
      </c>
      <c r="AN95" s="188" t="str">
        <f>IF(ISERROR(getgrade(Broadsheet!AN206,data!$H$4:$I$9)),"#",getgrade(Broadsheet!AN206,data!$H$4:$I$9))</f>
        <v/>
      </c>
      <c r="AO95" s="188" t="str">
        <f>IF(ISERROR(getgrade(Broadsheet!AO206,data!$H$4:$I$9)),"#",getgrade(Broadsheet!AO206,data!$H$4:$I$9))</f>
        <v/>
      </c>
      <c r="AP95" s="188" t="str">
        <f>IF(ISERROR(getgrade(Broadsheet!AP206,data!$H$4:$I$9)),"#",getgrade(Broadsheet!AP206,data!$H$4:$I$9))</f>
        <v/>
      </c>
      <c r="AQ95" s="188" t="str">
        <f>IF(ISERROR(getgrade(Broadsheet!AQ206,data!$H$4:$I$9)),"#",getgrade(Broadsheet!AQ206,data!$H$4:$I$9))</f>
        <v/>
      </c>
      <c r="AR95" s="188" t="str">
        <f>IF(ISERROR(getgrade(Broadsheet!AR206,data!$H$4:$I$9)),"#",getgrade(Broadsheet!AR206,data!$H$4:$I$9))</f>
        <v/>
      </c>
      <c r="AS95" s="188" t="str">
        <f>IF(ISERROR(getgrade(Broadsheet!AS206,data!$H$4:$I$9)),"#",getgrade(Broadsheet!AS206,data!$H$4:$I$9))</f>
        <v/>
      </c>
      <c r="AT95" s="188" t="str">
        <f>IF(ISERROR(getgrade(Broadsheet!AT206,data!$H$4:$I$9)),"#",getgrade(Broadsheet!AT206,data!$H$4:$I$9))</f>
        <v/>
      </c>
      <c r="AU95" s="188" t="str">
        <f>IF(ISERROR(getgrade(Broadsheet!AU206,data!$H$4:$I$9)),"#",getgrade(Broadsheet!AU206,data!$H$4:$I$9))</f>
        <v/>
      </c>
      <c r="AV95" s="188" t="str">
        <f>IF(ISERROR(getgrade(Broadsheet!AV206,data!$H$4:$I$9)),"#",getgrade(Broadsheet!AV206,data!$H$4:$I$9))</f>
        <v/>
      </c>
      <c r="AW95" s="188" t="str">
        <f>IF(ISERROR(getgrade(Broadsheet!AW206,data!$H$4:$I$9)),"#",getgrade(Broadsheet!AW206,data!$H$4:$I$9))</f>
        <v/>
      </c>
      <c r="AX95" s="188" t="str">
        <f>IF(ISERROR(getgrade(Broadsheet!AX206,data!$H$4:$I$9)),"#",getgrade(Broadsheet!AX206,data!$H$4:$I$9))</f>
        <v/>
      </c>
      <c r="AY95" s="188" t="str">
        <f>IF(ISERROR(getgrade(Broadsheet!AY206,data!$H$4:$I$9)),"#",getgrade(Broadsheet!AY206,data!$H$4:$I$9))</f>
        <v/>
      </c>
      <c r="AZ95" s="188" t="str">
        <f>IF(ISERROR(getgrade(Broadsheet!AZ206,data!$H$4:$I$9)),"#",getgrade(Broadsheet!AZ206,data!$H$4:$I$9))</f>
        <v/>
      </c>
      <c r="BA95" s="188" t="str">
        <f>IF(ISERROR(getgrade(Broadsheet!BA206,data!$H$4:$I$9)),"#",getgrade(Broadsheet!BA206,data!$H$4:$I$9))</f>
        <v/>
      </c>
      <c r="BB95" s="188" t="str">
        <f>IF(ISERROR(getgrade(Broadsheet!BB206,data!$H$4:$I$9)),"#",getgrade(Broadsheet!BB206,data!$H$4:$I$9))</f>
        <v/>
      </c>
      <c r="BC95" s="188" t="str">
        <f>IF(ISERROR(getgrade(Broadsheet!BC206,data!$H$4:$I$9)),"#",getgrade(Broadsheet!BC206,data!$H$4:$I$9))</f>
        <v/>
      </c>
      <c r="BD95" s="188" t="str">
        <f>IF(ISERROR(getgrade(Broadsheet!BD206,data!$H$4:$I$9)),"#",getgrade(Broadsheet!BD206,data!$H$4:$I$9))</f>
        <v/>
      </c>
      <c r="BE95" s="188" t="str">
        <f>IF(ISERROR(getgrade(Broadsheet!BE206,data!$H$4:$I$9)),"#",getgrade(Broadsheet!BE206,data!$H$4:$I$9))</f>
        <v/>
      </c>
      <c r="BF95" s="188" t="str">
        <f>IF(ISERROR(getgrade(Broadsheet!BF206,data!$H$4:$I$9)),"#",getgrade(Broadsheet!BF206,data!$H$4:$I$9))</f>
        <v/>
      </c>
      <c r="BG95" s="188" t="str">
        <f>IF(ISERROR(getgrade(Broadsheet!BG206,data!$H$4:$I$9)),"#",getgrade(Broadsheet!BG206,data!$H$4:$I$9))</f>
        <v/>
      </c>
      <c r="BH95" s="188" t="str">
        <f>IF(ISERROR(getgrade(Broadsheet!BH206,data!$H$4:$I$9)),"#",getgrade(Broadsheet!BH206,data!$H$4:$I$9))</f>
        <v/>
      </c>
      <c r="BI95" s="188" t="str">
        <f>IF(ISERROR(getgrade(Broadsheet!BI206,data!$H$4:$I$9)),"#",getgrade(Broadsheet!BI206,data!$H$4:$I$9))</f>
        <v/>
      </c>
      <c r="BJ95" s="188" t="str">
        <f>IF(ISERROR(getgrade(Broadsheet!BJ206,data!$H$4:$I$9)),"#",getgrade(Broadsheet!BJ206,data!$H$4:$I$9))</f>
        <v/>
      </c>
      <c r="BK95" s="188"/>
      <c r="BL95" s="188"/>
      <c r="BM95" s="188"/>
      <c r="BN95" s="188"/>
      <c r="BO95" s="188"/>
      <c r="BP95" s="188"/>
      <c r="BQ95" s="188"/>
      <c r="BR95" s="188"/>
      <c r="BS95" s="188"/>
      <c r="BT95" s="188"/>
      <c r="BU95" s="188"/>
      <c r="BV95" s="188"/>
      <c r="BW95" s="188"/>
      <c r="BX95" s="188"/>
      <c r="BY95" s="188"/>
      <c r="BZ95" s="188"/>
      <c r="CA95" s="188"/>
      <c r="CB95" s="188"/>
      <c r="CC95" s="188"/>
      <c r="CD95" s="188"/>
      <c r="CE95" s="188"/>
      <c r="CF95" s="188"/>
      <c r="CG95" s="188"/>
      <c r="CH95" s="188"/>
      <c r="CI95" s="188"/>
      <c r="CJ95" s="188"/>
      <c r="CK95" s="188"/>
      <c r="CL95" s="188"/>
      <c r="CM95" s="188"/>
      <c r="CN95" s="188"/>
      <c r="CO95" s="188"/>
      <c r="CP95" s="188"/>
      <c r="CQ95" s="188"/>
      <c r="CR95" s="188"/>
      <c r="CS95" s="188"/>
      <c r="CT95" s="188"/>
      <c r="CU95" s="188"/>
      <c r="CV95" s="188"/>
      <c r="CW95" s="188"/>
      <c r="CX95" s="188"/>
      <c r="CY95" s="188"/>
      <c r="CZ95" s="188"/>
      <c r="DA95" s="188"/>
      <c r="DB95" s="188"/>
      <c r="DC95" s="188"/>
      <c r="DD95" s="188"/>
      <c r="DE95" s="188"/>
      <c r="DF95" s="188"/>
      <c r="DG95" s="188"/>
      <c r="DH95" s="188"/>
      <c r="DI95" s="188"/>
      <c r="DJ95" s="188"/>
      <c r="DK95" s="188"/>
      <c r="DL95" s="188"/>
      <c r="DM95" s="188"/>
      <c r="DN95" s="188"/>
      <c r="DO95" s="188"/>
      <c r="DP95" s="188"/>
      <c r="DQ95" s="188"/>
      <c r="DR95" s="188"/>
      <c r="DS95" s="188"/>
      <c r="DT95" s="188"/>
      <c r="DU95" s="188"/>
      <c r="DV95" s="188"/>
      <c r="DW95" s="188"/>
      <c r="DX95" s="188"/>
      <c r="DY95" s="188"/>
      <c r="DZ95" s="188"/>
      <c r="EA95" s="188"/>
    </row>
    <row r="96" spans="1:131" ht="15.75" x14ac:dyDescent="0.25">
      <c r="A96" s="12">
        <f>Broadsheet!A207</f>
        <v>0</v>
      </c>
      <c r="B96" s="204" t="str">
        <f>IF(Broadsheet!B96="","",Broadsheet!B96)</f>
        <v/>
      </c>
      <c r="C96" s="24" t="str">
        <f>IF(Broadsheet!C96="","",Broadsheet!C96)</f>
        <v xml:space="preserve"> </v>
      </c>
      <c r="G96" s="24" t="str">
        <f t="shared" si="1"/>
        <v/>
      </c>
      <c r="H96" s="188" t="str">
        <f>IF(ISERROR(getgrade(Broadsheet!H207,data!$H$4:$I$9)),"#",getgrade(Broadsheet!H207,data!$H$4:$I$9))</f>
        <v/>
      </c>
      <c r="I96" s="188" t="str">
        <f>IF(ISERROR(getgrade(Broadsheet!I207,data!$H$4:$I$9)),"#",getgrade(Broadsheet!I207,data!$H$4:$I$9))</f>
        <v/>
      </c>
      <c r="J96" s="188" t="str">
        <f>IF(ISERROR(getgrade(Broadsheet!J207,data!$H$4:$I$9)),"#",getgrade(Broadsheet!J207,data!$H$4:$I$9))</f>
        <v/>
      </c>
      <c r="K96" s="188" t="str">
        <f>IF(ISERROR(getgrade(Broadsheet!K207,data!$H$4:$I$9)),"#",getgrade(Broadsheet!K207,data!$H$4:$I$9))</f>
        <v/>
      </c>
      <c r="L96" s="188" t="str">
        <f>IF(ISERROR(getgrade(Broadsheet!L207,data!$H$4:$I$9)),"#",getgrade(Broadsheet!L207,data!$H$4:$I$9))</f>
        <v/>
      </c>
      <c r="M96" s="188" t="str">
        <f>IF(ISERROR(getgrade(Broadsheet!M207,data!$H$4:$I$9)),"#",getgrade(Broadsheet!M207,data!$H$4:$I$9))</f>
        <v/>
      </c>
      <c r="N96" s="188" t="str">
        <f>IF(ISERROR(getgrade(Broadsheet!N207,data!$H$4:$I$9)),"#",getgrade(Broadsheet!N207,data!$H$4:$I$9))</f>
        <v/>
      </c>
      <c r="O96" s="188" t="str">
        <f>IF(ISERROR(getgrade(Broadsheet!O207,data!$H$4:$I$9)),"#",getgrade(Broadsheet!O207,data!$H$4:$I$9))</f>
        <v/>
      </c>
      <c r="P96" s="188" t="str">
        <f>IF(ISERROR(getgrade(Broadsheet!P207,data!$H$4:$I$9)),"#",getgrade(Broadsheet!P207,data!$H$4:$I$9))</f>
        <v/>
      </c>
      <c r="Q96" s="188" t="str">
        <f>IF(ISERROR(getgrade(Broadsheet!Q207,data!$H$4:$I$9)),"#",getgrade(Broadsheet!Q207,data!$H$4:$I$9))</f>
        <v/>
      </c>
      <c r="R96" s="188" t="str">
        <f>IF(ISERROR(getgrade(Broadsheet!R207,data!$H$4:$I$9)),"#",getgrade(Broadsheet!R207,data!$H$4:$I$9))</f>
        <v/>
      </c>
      <c r="S96" s="188" t="str">
        <f>IF(ISERROR(getgrade(Broadsheet!S207,data!$H$4:$I$9)),"#",getgrade(Broadsheet!S207,data!$H$4:$I$9))</f>
        <v/>
      </c>
      <c r="T96" s="188" t="str">
        <f>IF(ISERROR(getgrade(Broadsheet!T207,data!$H$4:$I$9)),"#",getgrade(Broadsheet!T207,data!$H$4:$I$9))</f>
        <v/>
      </c>
      <c r="U96" s="188" t="str">
        <f>IF(ISERROR(getgrade(Broadsheet!U207,data!$H$4:$I$9)),"#",getgrade(Broadsheet!U207,data!$H$4:$I$9))</f>
        <v/>
      </c>
      <c r="V96" s="188" t="str">
        <f>IF(ISERROR(getgrade(Broadsheet!V207,data!$H$4:$I$9)),"#",getgrade(Broadsheet!V207,data!$H$4:$I$9))</f>
        <v/>
      </c>
      <c r="W96" s="188" t="str">
        <f>IF(ISERROR(getgrade(Broadsheet!W207,data!$H$4:$I$9)),"#",getgrade(Broadsheet!W207,data!$H$4:$I$9))</f>
        <v/>
      </c>
      <c r="X96" s="188" t="str">
        <f>IF(ISERROR(getgrade(Broadsheet!X207,data!$H$4:$I$9)),"#",getgrade(Broadsheet!X207,data!$H$4:$I$9))</f>
        <v/>
      </c>
      <c r="Y96" s="188" t="str">
        <f>IF(ISERROR(getgrade(Broadsheet!Y207,data!$H$4:$I$9)),"#",getgrade(Broadsheet!Y207,data!$H$4:$I$9))</f>
        <v/>
      </c>
      <c r="Z96" s="188" t="str">
        <f>IF(ISERROR(getgrade(Broadsheet!Z207,data!$H$4:$I$9)),"#",getgrade(Broadsheet!Z207,data!$H$4:$I$9))</f>
        <v/>
      </c>
      <c r="AA96" s="188" t="str">
        <f>IF(ISERROR(getgrade(Broadsheet!AA207,data!$H$4:$I$9)),"#",getgrade(Broadsheet!AA207,data!$H$4:$I$9))</f>
        <v/>
      </c>
      <c r="AB96" s="188" t="str">
        <f>IF(ISERROR(getgrade(Broadsheet!AB207,data!$H$4:$I$9)),"#",getgrade(Broadsheet!AB207,data!$H$4:$I$9))</f>
        <v/>
      </c>
      <c r="AC96" s="188" t="str">
        <f>IF(ISERROR(getgrade(Broadsheet!AC207,data!$H$4:$I$9)),"#",getgrade(Broadsheet!AC207,data!$H$4:$I$9))</f>
        <v/>
      </c>
      <c r="AD96" s="188" t="str">
        <f>IF(ISERROR(getgrade(Broadsheet!AD207,data!$H$4:$I$9)),"#",getgrade(Broadsheet!AD207,data!$H$4:$I$9))</f>
        <v/>
      </c>
      <c r="AE96" s="188" t="str">
        <f>IF(ISERROR(getgrade(Broadsheet!AE207,data!$H$4:$I$9)),"#",getgrade(Broadsheet!AE207,data!$H$4:$I$9))</f>
        <v/>
      </c>
      <c r="AF96" s="188" t="str">
        <f>IF(ISERROR(getgrade(Broadsheet!AF207,data!$H$4:$I$9)),"#",getgrade(Broadsheet!AF207,data!$H$4:$I$9))</f>
        <v/>
      </c>
      <c r="AG96" s="188" t="str">
        <f>IF(ISERROR(getgrade(Broadsheet!AG207,data!$H$4:$I$9)),"#",getgrade(Broadsheet!AG207,data!$H$4:$I$9))</f>
        <v/>
      </c>
      <c r="AH96" s="188" t="str">
        <f>IF(ISERROR(getgrade(Broadsheet!AH207,data!$H$4:$I$9)),"#",getgrade(Broadsheet!AH207,data!$H$4:$I$9))</f>
        <v/>
      </c>
      <c r="AI96" s="188" t="str">
        <f>IF(ISERROR(getgrade(Broadsheet!AI207,data!$H$4:$I$9)),"#",getgrade(Broadsheet!AI207,data!$H$4:$I$9))</f>
        <v/>
      </c>
      <c r="AJ96" s="188" t="str">
        <f>IF(ISERROR(getgrade(Broadsheet!AJ207,data!$H$4:$I$9)),"#",getgrade(Broadsheet!AJ207,data!$H$4:$I$9))</f>
        <v/>
      </c>
      <c r="AK96" s="188" t="str">
        <f>IF(ISERROR(getgrade(Broadsheet!AK207,data!$H$4:$I$9)),"#",getgrade(Broadsheet!AK207,data!$H$4:$I$9))</f>
        <v/>
      </c>
      <c r="AL96" s="188" t="str">
        <f>IF(ISERROR(getgrade(Broadsheet!AL207,data!$H$4:$I$9)),"#",getgrade(Broadsheet!AL207,data!$H$4:$I$9))</f>
        <v/>
      </c>
      <c r="AM96" s="188" t="str">
        <f>IF(ISERROR(getgrade(Broadsheet!AM207,data!$H$4:$I$9)),"#",getgrade(Broadsheet!AM207,data!$H$4:$I$9))</f>
        <v/>
      </c>
      <c r="AN96" s="188" t="str">
        <f>IF(ISERROR(getgrade(Broadsheet!AN207,data!$H$4:$I$9)),"#",getgrade(Broadsheet!AN207,data!$H$4:$I$9))</f>
        <v/>
      </c>
      <c r="AO96" s="188" t="str">
        <f>IF(ISERROR(getgrade(Broadsheet!AO207,data!$H$4:$I$9)),"#",getgrade(Broadsheet!AO207,data!$H$4:$I$9))</f>
        <v/>
      </c>
      <c r="AP96" s="188" t="str">
        <f>IF(ISERROR(getgrade(Broadsheet!AP207,data!$H$4:$I$9)),"#",getgrade(Broadsheet!AP207,data!$H$4:$I$9))</f>
        <v/>
      </c>
      <c r="AQ96" s="188" t="str">
        <f>IF(ISERROR(getgrade(Broadsheet!AQ207,data!$H$4:$I$9)),"#",getgrade(Broadsheet!AQ207,data!$H$4:$I$9))</f>
        <v/>
      </c>
      <c r="AR96" s="188" t="str">
        <f>IF(ISERROR(getgrade(Broadsheet!AR207,data!$H$4:$I$9)),"#",getgrade(Broadsheet!AR207,data!$H$4:$I$9))</f>
        <v/>
      </c>
      <c r="AS96" s="188" t="str">
        <f>IF(ISERROR(getgrade(Broadsheet!AS207,data!$H$4:$I$9)),"#",getgrade(Broadsheet!AS207,data!$H$4:$I$9))</f>
        <v/>
      </c>
      <c r="AT96" s="188" t="str">
        <f>IF(ISERROR(getgrade(Broadsheet!AT207,data!$H$4:$I$9)),"#",getgrade(Broadsheet!AT207,data!$H$4:$I$9))</f>
        <v/>
      </c>
      <c r="AU96" s="188" t="str">
        <f>IF(ISERROR(getgrade(Broadsheet!AU207,data!$H$4:$I$9)),"#",getgrade(Broadsheet!AU207,data!$H$4:$I$9))</f>
        <v/>
      </c>
      <c r="AV96" s="188" t="str">
        <f>IF(ISERROR(getgrade(Broadsheet!AV207,data!$H$4:$I$9)),"#",getgrade(Broadsheet!AV207,data!$H$4:$I$9))</f>
        <v/>
      </c>
      <c r="AW96" s="188" t="str">
        <f>IF(ISERROR(getgrade(Broadsheet!AW207,data!$H$4:$I$9)),"#",getgrade(Broadsheet!AW207,data!$H$4:$I$9))</f>
        <v/>
      </c>
      <c r="AX96" s="188" t="str">
        <f>IF(ISERROR(getgrade(Broadsheet!AX207,data!$H$4:$I$9)),"#",getgrade(Broadsheet!AX207,data!$H$4:$I$9))</f>
        <v/>
      </c>
      <c r="AY96" s="188" t="str">
        <f>IF(ISERROR(getgrade(Broadsheet!AY207,data!$H$4:$I$9)),"#",getgrade(Broadsheet!AY207,data!$H$4:$I$9))</f>
        <v/>
      </c>
      <c r="AZ96" s="188" t="str">
        <f>IF(ISERROR(getgrade(Broadsheet!AZ207,data!$H$4:$I$9)),"#",getgrade(Broadsheet!AZ207,data!$H$4:$I$9))</f>
        <v/>
      </c>
      <c r="BA96" s="188" t="str">
        <f>IF(ISERROR(getgrade(Broadsheet!BA207,data!$H$4:$I$9)),"#",getgrade(Broadsheet!BA207,data!$H$4:$I$9))</f>
        <v/>
      </c>
      <c r="BB96" s="188" t="str">
        <f>IF(ISERROR(getgrade(Broadsheet!BB207,data!$H$4:$I$9)),"#",getgrade(Broadsheet!BB207,data!$H$4:$I$9))</f>
        <v/>
      </c>
      <c r="BC96" s="188" t="str">
        <f>IF(ISERROR(getgrade(Broadsheet!BC207,data!$H$4:$I$9)),"#",getgrade(Broadsheet!BC207,data!$H$4:$I$9))</f>
        <v/>
      </c>
      <c r="BD96" s="188" t="str">
        <f>IF(ISERROR(getgrade(Broadsheet!BD207,data!$H$4:$I$9)),"#",getgrade(Broadsheet!BD207,data!$H$4:$I$9))</f>
        <v/>
      </c>
      <c r="BE96" s="188" t="str">
        <f>IF(ISERROR(getgrade(Broadsheet!BE207,data!$H$4:$I$9)),"#",getgrade(Broadsheet!BE207,data!$H$4:$I$9))</f>
        <v/>
      </c>
      <c r="BF96" s="188" t="str">
        <f>IF(ISERROR(getgrade(Broadsheet!BF207,data!$H$4:$I$9)),"#",getgrade(Broadsheet!BF207,data!$H$4:$I$9))</f>
        <v/>
      </c>
      <c r="BG96" s="188" t="str">
        <f>IF(ISERROR(getgrade(Broadsheet!BG207,data!$H$4:$I$9)),"#",getgrade(Broadsheet!BG207,data!$H$4:$I$9))</f>
        <v/>
      </c>
      <c r="BH96" s="188" t="str">
        <f>IF(ISERROR(getgrade(Broadsheet!BH207,data!$H$4:$I$9)),"#",getgrade(Broadsheet!BH207,data!$H$4:$I$9))</f>
        <v/>
      </c>
      <c r="BI96" s="188" t="str">
        <f>IF(ISERROR(getgrade(Broadsheet!BI207,data!$H$4:$I$9)),"#",getgrade(Broadsheet!BI207,data!$H$4:$I$9))</f>
        <v/>
      </c>
      <c r="BJ96" s="188" t="str">
        <f>IF(ISERROR(getgrade(Broadsheet!BJ207,data!$H$4:$I$9)),"#",getgrade(Broadsheet!BJ207,data!$H$4:$I$9))</f>
        <v/>
      </c>
      <c r="BK96" s="188"/>
      <c r="BL96" s="188"/>
      <c r="BM96" s="188"/>
      <c r="BN96" s="188"/>
      <c r="BO96" s="188"/>
      <c r="BP96" s="188"/>
      <c r="BQ96" s="188"/>
      <c r="BR96" s="188"/>
      <c r="BS96" s="188"/>
      <c r="BT96" s="188"/>
      <c r="BU96" s="188"/>
      <c r="BV96" s="188"/>
      <c r="BW96" s="188"/>
      <c r="BX96" s="188"/>
      <c r="BY96" s="188"/>
      <c r="BZ96" s="188"/>
      <c r="CA96" s="188"/>
      <c r="CB96" s="188"/>
      <c r="CC96" s="188"/>
      <c r="CD96" s="188"/>
      <c r="CE96" s="188"/>
      <c r="CF96" s="188"/>
      <c r="CG96" s="188"/>
      <c r="CH96" s="188"/>
      <c r="CI96" s="188"/>
      <c r="CJ96" s="188"/>
      <c r="CK96" s="188"/>
      <c r="CL96" s="188"/>
      <c r="CM96" s="188"/>
      <c r="CN96" s="188"/>
      <c r="CO96" s="188"/>
      <c r="CP96" s="188"/>
      <c r="CQ96" s="188"/>
      <c r="CR96" s="188"/>
      <c r="CS96" s="188"/>
      <c r="CT96" s="188"/>
      <c r="CU96" s="188"/>
      <c r="CV96" s="188"/>
      <c r="CW96" s="188"/>
      <c r="CX96" s="188"/>
      <c r="CY96" s="188"/>
      <c r="CZ96" s="188"/>
      <c r="DA96" s="188"/>
      <c r="DB96" s="188"/>
      <c r="DC96" s="188"/>
      <c r="DD96" s="188"/>
      <c r="DE96" s="188"/>
      <c r="DF96" s="188"/>
      <c r="DG96" s="188"/>
      <c r="DH96" s="188"/>
      <c r="DI96" s="188"/>
      <c r="DJ96" s="188"/>
      <c r="DK96" s="188"/>
      <c r="DL96" s="188"/>
      <c r="DM96" s="188"/>
      <c r="DN96" s="188"/>
      <c r="DO96" s="188"/>
      <c r="DP96" s="188"/>
      <c r="DQ96" s="188"/>
      <c r="DR96" s="188"/>
      <c r="DS96" s="188"/>
      <c r="DT96" s="188"/>
      <c r="DU96" s="188"/>
      <c r="DV96" s="188"/>
      <c r="DW96" s="188"/>
      <c r="DX96" s="188"/>
      <c r="DY96" s="188"/>
      <c r="DZ96" s="188"/>
      <c r="EA96" s="188"/>
    </row>
    <row r="97" spans="1:131" ht="15.75" x14ac:dyDescent="0.25">
      <c r="A97" s="12">
        <f>Broadsheet!A208</f>
        <v>0</v>
      </c>
      <c r="B97" s="204" t="str">
        <f>IF(Broadsheet!B97="","",Broadsheet!B97)</f>
        <v/>
      </c>
      <c r="C97" s="24" t="str">
        <f>IF(Broadsheet!C97="","",Broadsheet!C97)</f>
        <v xml:space="preserve"> </v>
      </c>
      <c r="G97" s="24" t="str">
        <f t="shared" si="1"/>
        <v/>
      </c>
      <c r="H97" s="188" t="str">
        <f>IF(ISERROR(getgrade(Broadsheet!H208,data!$H$4:$I$9)),"#",getgrade(Broadsheet!H208,data!$H$4:$I$9))</f>
        <v/>
      </c>
      <c r="I97" s="188" t="str">
        <f>IF(ISERROR(getgrade(Broadsheet!I208,data!$H$4:$I$9)),"#",getgrade(Broadsheet!I208,data!$H$4:$I$9))</f>
        <v/>
      </c>
      <c r="J97" s="188" t="str">
        <f>IF(ISERROR(getgrade(Broadsheet!J208,data!$H$4:$I$9)),"#",getgrade(Broadsheet!J208,data!$H$4:$I$9))</f>
        <v/>
      </c>
      <c r="K97" s="188" t="str">
        <f>IF(ISERROR(getgrade(Broadsheet!K208,data!$H$4:$I$9)),"#",getgrade(Broadsheet!K208,data!$H$4:$I$9))</f>
        <v/>
      </c>
      <c r="L97" s="188" t="str">
        <f>IF(ISERROR(getgrade(Broadsheet!L208,data!$H$4:$I$9)),"#",getgrade(Broadsheet!L208,data!$H$4:$I$9))</f>
        <v/>
      </c>
      <c r="M97" s="188" t="str">
        <f>IF(ISERROR(getgrade(Broadsheet!M208,data!$H$4:$I$9)),"#",getgrade(Broadsheet!M208,data!$H$4:$I$9))</f>
        <v/>
      </c>
      <c r="N97" s="188" t="str">
        <f>IF(ISERROR(getgrade(Broadsheet!N208,data!$H$4:$I$9)),"#",getgrade(Broadsheet!N208,data!$H$4:$I$9))</f>
        <v/>
      </c>
      <c r="O97" s="188" t="str">
        <f>IF(ISERROR(getgrade(Broadsheet!O208,data!$H$4:$I$9)),"#",getgrade(Broadsheet!O208,data!$H$4:$I$9))</f>
        <v/>
      </c>
      <c r="P97" s="188" t="str">
        <f>IF(ISERROR(getgrade(Broadsheet!P208,data!$H$4:$I$9)),"#",getgrade(Broadsheet!P208,data!$H$4:$I$9))</f>
        <v/>
      </c>
      <c r="Q97" s="188" t="str">
        <f>IF(ISERROR(getgrade(Broadsheet!Q208,data!$H$4:$I$9)),"#",getgrade(Broadsheet!Q208,data!$H$4:$I$9))</f>
        <v/>
      </c>
      <c r="R97" s="188" t="str">
        <f>IF(ISERROR(getgrade(Broadsheet!R208,data!$H$4:$I$9)),"#",getgrade(Broadsheet!R208,data!$H$4:$I$9))</f>
        <v/>
      </c>
      <c r="S97" s="188" t="str">
        <f>IF(ISERROR(getgrade(Broadsheet!S208,data!$H$4:$I$9)),"#",getgrade(Broadsheet!S208,data!$H$4:$I$9))</f>
        <v/>
      </c>
      <c r="T97" s="188" t="str">
        <f>IF(ISERROR(getgrade(Broadsheet!T208,data!$H$4:$I$9)),"#",getgrade(Broadsheet!T208,data!$H$4:$I$9))</f>
        <v/>
      </c>
      <c r="U97" s="188" t="str">
        <f>IF(ISERROR(getgrade(Broadsheet!U208,data!$H$4:$I$9)),"#",getgrade(Broadsheet!U208,data!$H$4:$I$9))</f>
        <v/>
      </c>
      <c r="V97" s="188" t="str">
        <f>IF(ISERROR(getgrade(Broadsheet!V208,data!$H$4:$I$9)),"#",getgrade(Broadsheet!V208,data!$H$4:$I$9))</f>
        <v/>
      </c>
      <c r="W97" s="188" t="str">
        <f>IF(ISERROR(getgrade(Broadsheet!W208,data!$H$4:$I$9)),"#",getgrade(Broadsheet!W208,data!$H$4:$I$9))</f>
        <v/>
      </c>
      <c r="X97" s="188" t="str">
        <f>IF(ISERROR(getgrade(Broadsheet!X208,data!$H$4:$I$9)),"#",getgrade(Broadsheet!X208,data!$H$4:$I$9))</f>
        <v/>
      </c>
      <c r="Y97" s="188" t="str">
        <f>IF(ISERROR(getgrade(Broadsheet!Y208,data!$H$4:$I$9)),"#",getgrade(Broadsheet!Y208,data!$H$4:$I$9))</f>
        <v/>
      </c>
      <c r="Z97" s="188" t="str">
        <f>IF(ISERROR(getgrade(Broadsheet!Z208,data!$H$4:$I$9)),"#",getgrade(Broadsheet!Z208,data!$H$4:$I$9))</f>
        <v/>
      </c>
      <c r="AA97" s="188" t="str">
        <f>IF(ISERROR(getgrade(Broadsheet!AA208,data!$H$4:$I$9)),"#",getgrade(Broadsheet!AA208,data!$H$4:$I$9))</f>
        <v/>
      </c>
      <c r="AB97" s="188" t="str">
        <f>IF(ISERROR(getgrade(Broadsheet!AB208,data!$H$4:$I$9)),"#",getgrade(Broadsheet!AB208,data!$H$4:$I$9))</f>
        <v/>
      </c>
      <c r="AC97" s="188" t="str">
        <f>IF(ISERROR(getgrade(Broadsheet!AC208,data!$H$4:$I$9)),"#",getgrade(Broadsheet!AC208,data!$H$4:$I$9))</f>
        <v/>
      </c>
      <c r="AD97" s="188" t="str">
        <f>IF(ISERROR(getgrade(Broadsheet!AD208,data!$H$4:$I$9)),"#",getgrade(Broadsheet!AD208,data!$H$4:$I$9))</f>
        <v/>
      </c>
      <c r="AE97" s="188" t="str">
        <f>IF(ISERROR(getgrade(Broadsheet!AE208,data!$H$4:$I$9)),"#",getgrade(Broadsheet!AE208,data!$H$4:$I$9))</f>
        <v/>
      </c>
      <c r="AF97" s="188" t="str">
        <f>IF(ISERROR(getgrade(Broadsheet!AF208,data!$H$4:$I$9)),"#",getgrade(Broadsheet!AF208,data!$H$4:$I$9))</f>
        <v/>
      </c>
      <c r="AG97" s="188" t="str">
        <f>IF(ISERROR(getgrade(Broadsheet!AG208,data!$H$4:$I$9)),"#",getgrade(Broadsheet!AG208,data!$H$4:$I$9))</f>
        <v/>
      </c>
      <c r="AH97" s="188" t="str">
        <f>IF(ISERROR(getgrade(Broadsheet!AH208,data!$H$4:$I$9)),"#",getgrade(Broadsheet!AH208,data!$H$4:$I$9))</f>
        <v/>
      </c>
      <c r="AI97" s="188" t="str">
        <f>IF(ISERROR(getgrade(Broadsheet!AI208,data!$H$4:$I$9)),"#",getgrade(Broadsheet!AI208,data!$H$4:$I$9))</f>
        <v/>
      </c>
      <c r="AJ97" s="188" t="str">
        <f>IF(ISERROR(getgrade(Broadsheet!AJ208,data!$H$4:$I$9)),"#",getgrade(Broadsheet!AJ208,data!$H$4:$I$9))</f>
        <v/>
      </c>
      <c r="AK97" s="188" t="str">
        <f>IF(ISERROR(getgrade(Broadsheet!AK208,data!$H$4:$I$9)),"#",getgrade(Broadsheet!AK208,data!$H$4:$I$9))</f>
        <v/>
      </c>
      <c r="AL97" s="188" t="str">
        <f>IF(ISERROR(getgrade(Broadsheet!AL208,data!$H$4:$I$9)),"#",getgrade(Broadsheet!AL208,data!$H$4:$I$9))</f>
        <v/>
      </c>
      <c r="AM97" s="188" t="str">
        <f>IF(ISERROR(getgrade(Broadsheet!AM208,data!$H$4:$I$9)),"#",getgrade(Broadsheet!AM208,data!$H$4:$I$9))</f>
        <v/>
      </c>
      <c r="AN97" s="188" t="str">
        <f>IF(ISERROR(getgrade(Broadsheet!AN208,data!$H$4:$I$9)),"#",getgrade(Broadsheet!AN208,data!$H$4:$I$9))</f>
        <v/>
      </c>
      <c r="AO97" s="188" t="str">
        <f>IF(ISERROR(getgrade(Broadsheet!AO208,data!$H$4:$I$9)),"#",getgrade(Broadsheet!AO208,data!$H$4:$I$9))</f>
        <v/>
      </c>
      <c r="AP97" s="188" t="str">
        <f>IF(ISERROR(getgrade(Broadsheet!AP208,data!$H$4:$I$9)),"#",getgrade(Broadsheet!AP208,data!$H$4:$I$9))</f>
        <v/>
      </c>
      <c r="AQ97" s="188" t="str">
        <f>IF(ISERROR(getgrade(Broadsheet!AQ208,data!$H$4:$I$9)),"#",getgrade(Broadsheet!AQ208,data!$H$4:$I$9))</f>
        <v/>
      </c>
      <c r="AR97" s="188" t="str">
        <f>IF(ISERROR(getgrade(Broadsheet!AR208,data!$H$4:$I$9)),"#",getgrade(Broadsheet!AR208,data!$H$4:$I$9))</f>
        <v/>
      </c>
      <c r="AS97" s="188" t="str">
        <f>IF(ISERROR(getgrade(Broadsheet!AS208,data!$H$4:$I$9)),"#",getgrade(Broadsheet!AS208,data!$H$4:$I$9))</f>
        <v/>
      </c>
      <c r="AT97" s="188" t="str">
        <f>IF(ISERROR(getgrade(Broadsheet!AT208,data!$H$4:$I$9)),"#",getgrade(Broadsheet!AT208,data!$H$4:$I$9))</f>
        <v/>
      </c>
      <c r="AU97" s="188" t="str">
        <f>IF(ISERROR(getgrade(Broadsheet!AU208,data!$H$4:$I$9)),"#",getgrade(Broadsheet!AU208,data!$H$4:$I$9))</f>
        <v/>
      </c>
      <c r="AV97" s="188" t="str">
        <f>IF(ISERROR(getgrade(Broadsheet!AV208,data!$H$4:$I$9)),"#",getgrade(Broadsheet!AV208,data!$H$4:$I$9))</f>
        <v/>
      </c>
      <c r="AW97" s="188" t="str">
        <f>IF(ISERROR(getgrade(Broadsheet!AW208,data!$H$4:$I$9)),"#",getgrade(Broadsheet!AW208,data!$H$4:$I$9))</f>
        <v/>
      </c>
      <c r="AX97" s="188" t="str">
        <f>IF(ISERROR(getgrade(Broadsheet!AX208,data!$H$4:$I$9)),"#",getgrade(Broadsheet!AX208,data!$H$4:$I$9))</f>
        <v/>
      </c>
      <c r="AY97" s="188" t="str">
        <f>IF(ISERROR(getgrade(Broadsheet!AY208,data!$H$4:$I$9)),"#",getgrade(Broadsheet!AY208,data!$H$4:$I$9))</f>
        <v/>
      </c>
      <c r="AZ97" s="188" t="str">
        <f>IF(ISERROR(getgrade(Broadsheet!AZ208,data!$H$4:$I$9)),"#",getgrade(Broadsheet!AZ208,data!$H$4:$I$9))</f>
        <v/>
      </c>
      <c r="BA97" s="188" t="str">
        <f>IF(ISERROR(getgrade(Broadsheet!BA208,data!$H$4:$I$9)),"#",getgrade(Broadsheet!BA208,data!$H$4:$I$9))</f>
        <v/>
      </c>
      <c r="BB97" s="188" t="str">
        <f>IF(ISERROR(getgrade(Broadsheet!BB208,data!$H$4:$I$9)),"#",getgrade(Broadsheet!BB208,data!$H$4:$I$9))</f>
        <v/>
      </c>
      <c r="BC97" s="188" t="str">
        <f>IF(ISERROR(getgrade(Broadsheet!BC208,data!$H$4:$I$9)),"#",getgrade(Broadsheet!BC208,data!$H$4:$I$9))</f>
        <v/>
      </c>
      <c r="BD97" s="188" t="str">
        <f>IF(ISERROR(getgrade(Broadsheet!BD208,data!$H$4:$I$9)),"#",getgrade(Broadsheet!BD208,data!$H$4:$I$9))</f>
        <v/>
      </c>
      <c r="BE97" s="188" t="str">
        <f>IF(ISERROR(getgrade(Broadsheet!BE208,data!$H$4:$I$9)),"#",getgrade(Broadsheet!BE208,data!$H$4:$I$9))</f>
        <v/>
      </c>
      <c r="BF97" s="188" t="str">
        <f>IF(ISERROR(getgrade(Broadsheet!BF208,data!$H$4:$I$9)),"#",getgrade(Broadsheet!BF208,data!$H$4:$I$9))</f>
        <v/>
      </c>
      <c r="BG97" s="188" t="str">
        <f>IF(ISERROR(getgrade(Broadsheet!BG208,data!$H$4:$I$9)),"#",getgrade(Broadsheet!BG208,data!$H$4:$I$9))</f>
        <v/>
      </c>
      <c r="BH97" s="188" t="str">
        <f>IF(ISERROR(getgrade(Broadsheet!BH208,data!$H$4:$I$9)),"#",getgrade(Broadsheet!BH208,data!$H$4:$I$9))</f>
        <v/>
      </c>
      <c r="BI97" s="188" t="str">
        <f>IF(ISERROR(getgrade(Broadsheet!BI208,data!$H$4:$I$9)),"#",getgrade(Broadsheet!BI208,data!$H$4:$I$9))</f>
        <v/>
      </c>
      <c r="BJ97" s="188" t="str">
        <f>IF(ISERROR(getgrade(Broadsheet!BJ208,data!$H$4:$I$9)),"#",getgrade(Broadsheet!BJ208,data!$H$4:$I$9))</f>
        <v/>
      </c>
      <c r="BK97" s="188"/>
      <c r="BL97" s="188"/>
      <c r="BM97" s="188"/>
      <c r="BN97" s="188"/>
      <c r="BO97" s="188"/>
      <c r="BP97" s="188"/>
      <c r="BQ97" s="188"/>
      <c r="BR97" s="188"/>
      <c r="BS97" s="188"/>
      <c r="BT97" s="188"/>
      <c r="BU97" s="188"/>
      <c r="BV97" s="188"/>
      <c r="BW97" s="188"/>
      <c r="BX97" s="188"/>
      <c r="BY97" s="188"/>
      <c r="BZ97" s="188"/>
      <c r="CA97" s="188"/>
      <c r="CB97" s="188"/>
      <c r="CC97" s="188"/>
      <c r="CD97" s="188"/>
      <c r="CE97" s="188"/>
      <c r="CF97" s="188"/>
      <c r="CG97" s="188"/>
      <c r="CH97" s="188"/>
      <c r="CI97" s="188"/>
      <c r="CJ97" s="188"/>
      <c r="CK97" s="188"/>
      <c r="CL97" s="188"/>
      <c r="CM97" s="188"/>
      <c r="CN97" s="188"/>
      <c r="CO97" s="188"/>
      <c r="CP97" s="188"/>
      <c r="CQ97" s="188"/>
      <c r="CR97" s="188"/>
      <c r="CS97" s="188"/>
      <c r="CT97" s="188"/>
      <c r="CU97" s="188"/>
      <c r="CV97" s="188"/>
      <c r="CW97" s="188"/>
      <c r="CX97" s="188"/>
      <c r="CY97" s="188"/>
      <c r="CZ97" s="188"/>
      <c r="DA97" s="188"/>
      <c r="DB97" s="188"/>
      <c r="DC97" s="188"/>
      <c r="DD97" s="188"/>
      <c r="DE97" s="188"/>
      <c r="DF97" s="188"/>
      <c r="DG97" s="188"/>
      <c r="DH97" s="188"/>
      <c r="DI97" s="188"/>
      <c r="DJ97" s="188"/>
      <c r="DK97" s="188"/>
      <c r="DL97" s="188"/>
      <c r="DM97" s="188"/>
      <c r="DN97" s="188"/>
      <c r="DO97" s="188"/>
      <c r="DP97" s="188"/>
      <c r="DQ97" s="188"/>
      <c r="DR97" s="188"/>
      <c r="DS97" s="188"/>
      <c r="DT97" s="188"/>
      <c r="DU97" s="188"/>
      <c r="DV97" s="188"/>
      <c r="DW97" s="188"/>
      <c r="DX97" s="188"/>
      <c r="DY97" s="188"/>
      <c r="DZ97" s="188"/>
      <c r="EA97" s="188"/>
    </row>
    <row r="98" spans="1:131" ht="15.75" x14ac:dyDescent="0.25">
      <c r="A98" s="12">
        <f>Broadsheet!A209</f>
        <v>0</v>
      </c>
      <c r="B98" s="204" t="str">
        <f>IF(Broadsheet!B98="","",Broadsheet!B98)</f>
        <v/>
      </c>
      <c r="C98" s="24" t="str">
        <f>IF(Broadsheet!C98="","",Broadsheet!C98)</f>
        <v xml:space="preserve"> </v>
      </c>
      <c r="G98" s="24" t="str">
        <f t="shared" si="1"/>
        <v/>
      </c>
      <c r="H98" s="188" t="str">
        <f>IF(ISERROR(getgrade(Broadsheet!H209,data!$H$4:$I$9)),"#",getgrade(Broadsheet!H209,data!$H$4:$I$9))</f>
        <v/>
      </c>
      <c r="I98" s="188" t="str">
        <f>IF(ISERROR(getgrade(Broadsheet!I209,data!$H$4:$I$9)),"#",getgrade(Broadsheet!I209,data!$H$4:$I$9))</f>
        <v/>
      </c>
      <c r="J98" s="188" t="str">
        <f>IF(ISERROR(getgrade(Broadsheet!J209,data!$H$4:$I$9)),"#",getgrade(Broadsheet!J209,data!$H$4:$I$9))</f>
        <v/>
      </c>
      <c r="K98" s="188" t="str">
        <f>IF(ISERROR(getgrade(Broadsheet!K209,data!$H$4:$I$9)),"#",getgrade(Broadsheet!K209,data!$H$4:$I$9))</f>
        <v/>
      </c>
      <c r="L98" s="188" t="str">
        <f>IF(ISERROR(getgrade(Broadsheet!L209,data!$H$4:$I$9)),"#",getgrade(Broadsheet!L209,data!$H$4:$I$9))</f>
        <v/>
      </c>
      <c r="M98" s="188" t="str">
        <f>IF(ISERROR(getgrade(Broadsheet!M209,data!$H$4:$I$9)),"#",getgrade(Broadsheet!M209,data!$H$4:$I$9))</f>
        <v/>
      </c>
      <c r="N98" s="188" t="str">
        <f>IF(ISERROR(getgrade(Broadsheet!N209,data!$H$4:$I$9)),"#",getgrade(Broadsheet!N209,data!$H$4:$I$9))</f>
        <v/>
      </c>
      <c r="O98" s="188" t="str">
        <f>IF(ISERROR(getgrade(Broadsheet!O209,data!$H$4:$I$9)),"#",getgrade(Broadsheet!O209,data!$H$4:$I$9))</f>
        <v/>
      </c>
      <c r="P98" s="188" t="str">
        <f>IF(ISERROR(getgrade(Broadsheet!P209,data!$H$4:$I$9)),"#",getgrade(Broadsheet!P209,data!$H$4:$I$9))</f>
        <v/>
      </c>
      <c r="Q98" s="188" t="str">
        <f>IF(ISERROR(getgrade(Broadsheet!Q209,data!$H$4:$I$9)),"#",getgrade(Broadsheet!Q209,data!$H$4:$I$9))</f>
        <v/>
      </c>
      <c r="R98" s="188" t="str">
        <f>IF(ISERROR(getgrade(Broadsheet!R209,data!$H$4:$I$9)),"#",getgrade(Broadsheet!R209,data!$H$4:$I$9))</f>
        <v/>
      </c>
      <c r="S98" s="188" t="str">
        <f>IF(ISERROR(getgrade(Broadsheet!S209,data!$H$4:$I$9)),"#",getgrade(Broadsheet!S209,data!$H$4:$I$9))</f>
        <v/>
      </c>
      <c r="T98" s="188" t="str">
        <f>IF(ISERROR(getgrade(Broadsheet!T209,data!$H$4:$I$9)),"#",getgrade(Broadsheet!T209,data!$H$4:$I$9))</f>
        <v/>
      </c>
      <c r="U98" s="188" t="str">
        <f>IF(ISERROR(getgrade(Broadsheet!U209,data!$H$4:$I$9)),"#",getgrade(Broadsheet!U209,data!$H$4:$I$9))</f>
        <v/>
      </c>
      <c r="V98" s="188" t="str">
        <f>IF(ISERROR(getgrade(Broadsheet!V209,data!$H$4:$I$9)),"#",getgrade(Broadsheet!V209,data!$H$4:$I$9))</f>
        <v/>
      </c>
      <c r="W98" s="188" t="str">
        <f>IF(ISERROR(getgrade(Broadsheet!W209,data!$H$4:$I$9)),"#",getgrade(Broadsheet!W209,data!$H$4:$I$9))</f>
        <v/>
      </c>
      <c r="X98" s="188" t="str">
        <f>IF(ISERROR(getgrade(Broadsheet!X209,data!$H$4:$I$9)),"#",getgrade(Broadsheet!X209,data!$H$4:$I$9))</f>
        <v/>
      </c>
      <c r="Y98" s="188" t="str">
        <f>IF(ISERROR(getgrade(Broadsheet!Y209,data!$H$4:$I$9)),"#",getgrade(Broadsheet!Y209,data!$H$4:$I$9))</f>
        <v/>
      </c>
      <c r="Z98" s="188" t="str">
        <f>IF(ISERROR(getgrade(Broadsheet!Z209,data!$H$4:$I$9)),"#",getgrade(Broadsheet!Z209,data!$H$4:$I$9))</f>
        <v/>
      </c>
      <c r="AA98" s="188" t="str">
        <f>IF(ISERROR(getgrade(Broadsheet!AA209,data!$H$4:$I$9)),"#",getgrade(Broadsheet!AA209,data!$H$4:$I$9))</f>
        <v/>
      </c>
      <c r="AB98" s="188" t="str">
        <f>IF(ISERROR(getgrade(Broadsheet!AB209,data!$H$4:$I$9)),"#",getgrade(Broadsheet!AB209,data!$H$4:$I$9))</f>
        <v/>
      </c>
      <c r="AC98" s="188" t="str">
        <f>IF(ISERROR(getgrade(Broadsheet!AC209,data!$H$4:$I$9)),"#",getgrade(Broadsheet!AC209,data!$H$4:$I$9))</f>
        <v/>
      </c>
      <c r="AD98" s="188" t="str">
        <f>IF(ISERROR(getgrade(Broadsheet!AD209,data!$H$4:$I$9)),"#",getgrade(Broadsheet!AD209,data!$H$4:$I$9))</f>
        <v/>
      </c>
      <c r="AE98" s="188" t="str">
        <f>IF(ISERROR(getgrade(Broadsheet!AE209,data!$H$4:$I$9)),"#",getgrade(Broadsheet!AE209,data!$H$4:$I$9))</f>
        <v/>
      </c>
      <c r="AF98" s="188" t="str">
        <f>IF(ISERROR(getgrade(Broadsheet!AF209,data!$H$4:$I$9)),"#",getgrade(Broadsheet!AF209,data!$H$4:$I$9))</f>
        <v/>
      </c>
      <c r="AG98" s="188" t="str">
        <f>IF(ISERROR(getgrade(Broadsheet!AG209,data!$H$4:$I$9)),"#",getgrade(Broadsheet!AG209,data!$H$4:$I$9))</f>
        <v/>
      </c>
      <c r="AH98" s="188" t="str">
        <f>IF(ISERROR(getgrade(Broadsheet!AH209,data!$H$4:$I$9)),"#",getgrade(Broadsheet!AH209,data!$H$4:$I$9))</f>
        <v/>
      </c>
      <c r="AI98" s="188" t="str">
        <f>IF(ISERROR(getgrade(Broadsheet!AI209,data!$H$4:$I$9)),"#",getgrade(Broadsheet!AI209,data!$H$4:$I$9))</f>
        <v/>
      </c>
      <c r="AJ98" s="188" t="str">
        <f>IF(ISERROR(getgrade(Broadsheet!AJ209,data!$H$4:$I$9)),"#",getgrade(Broadsheet!AJ209,data!$H$4:$I$9))</f>
        <v/>
      </c>
      <c r="AK98" s="188" t="str">
        <f>IF(ISERROR(getgrade(Broadsheet!AK209,data!$H$4:$I$9)),"#",getgrade(Broadsheet!AK209,data!$H$4:$I$9))</f>
        <v/>
      </c>
      <c r="AL98" s="188" t="str">
        <f>IF(ISERROR(getgrade(Broadsheet!AL209,data!$H$4:$I$9)),"#",getgrade(Broadsheet!AL209,data!$H$4:$I$9))</f>
        <v/>
      </c>
      <c r="AM98" s="188" t="str">
        <f>IF(ISERROR(getgrade(Broadsheet!AM209,data!$H$4:$I$9)),"#",getgrade(Broadsheet!AM209,data!$H$4:$I$9))</f>
        <v/>
      </c>
      <c r="AN98" s="188" t="str">
        <f>IF(ISERROR(getgrade(Broadsheet!AN209,data!$H$4:$I$9)),"#",getgrade(Broadsheet!AN209,data!$H$4:$I$9))</f>
        <v/>
      </c>
      <c r="AO98" s="188" t="str">
        <f>IF(ISERROR(getgrade(Broadsheet!AO209,data!$H$4:$I$9)),"#",getgrade(Broadsheet!AO209,data!$H$4:$I$9))</f>
        <v/>
      </c>
      <c r="AP98" s="188" t="str">
        <f>IF(ISERROR(getgrade(Broadsheet!AP209,data!$H$4:$I$9)),"#",getgrade(Broadsheet!AP209,data!$H$4:$I$9))</f>
        <v/>
      </c>
      <c r="AQ98" s="188" t="str">
        <f>IF(ISERROR(getgrade(Broadsheet!AQ209,data!$H$4:$I$9)),"#",getgrade(Broadsheet!AQ209,data!$H$4:$I$9))</f>
        <v/>
      </c>
      <c r="AR98" s="188" t="str">
        <f>IF(ISERROR(getgrade(Broadsheet!AR209,data!$H$4:$I$9)),"#",getgrade(Broadsheet!AR209,data!$H$4:$I$9))</f>
        <v/>
      </c>
      <c r="AS98" s="188" t="str">
        <f>IF(ISERROR(getgrade(Broadsheet!AS209,data!$H$4:$I$9)),"#",getgrade(Broadsheet!AS209,data!$H$4:$I$9))</f>
        <v/>
      </c>
      <c r="AT98" s="188" t="str">
        <f>IF(ISERROR(getgrade(Broadsheet!AT209,data!$H$4:$I$9)),"#",getgrade(Broadsheet!AT209,data!$H$4:$I$9))</f>
        <v/>
      </c>
      <c r="AU98" s="188" t="str">
        <f>IF(ISERROR(getgrade(Broadsheet!AU209,data!$H$4:$I$9)),"#",getgrade(Broadsheet!AU209,data!$H$4:$I$9))</f>
        <v/>
      </c>
      <c r="AV98" s="188" t="str">
        <f>IF(ISERROR(getgrade(Broadsheet!AV209,data!$H$4:$I$9)),"#",getgrade(Broadsheet!AV209,data!$H$4:$I$9))</f>
        <v/>
      </c>
      <c r="AW98" s="188" t="str">
        <f>IF(ISERROR(getgrade(Broadsheet!AW209,data!$H$4:$I$9)),"#",getgrade(Broadsheet!AW209,data!$H$4:$I$9))</f>
        <v/>
      </c>
      <c r="AX98" s="188" t="str">
        <f>IF(ISERROR(getgrade(Broadsheet!AX209,data!$H$4:$I$9)),"#",getgrade(Broadsheet!AX209,data!$H$4:$I$9))</f>
        <v/>
      </c>
      <c r="AY98" s="188" t="str">
        <f>IF(ISERROR(getgrade(Broadsheet!AY209,data!$H$4:$I$9)),"#",getgrade(Broadsheet!AY209,data!$H$4:$I$9))</f>
        <v/>
      </c>
      <c r="AZ98" s="188" t="str">
        <f>IF(ISERROR(getgrade(Broadsheet!AZ209,data!$H$4:$I$9)),"#",getgrade(Broadsheet!AZ209,data!$H$4:$I$9))</f>
        <v/>
      </c>
      <c r="BA98" s="188" t="str">
        <f>IF(ISERROR(getgrade(Broadsheet!BA209,data!$H$4:$I$9)),"#",getgrade(Broadsheet!BA209,data!$H$4:$I$9))</f>
        <v/>
      </c>
      <c r="BB98" s="188" t="str">
        <f>IF(ISERROR(getgrade(Broadsheet!BB209,data!$H$4:$I$9)),"#",getgrade(Broadsheet!BB209,data!$H$4:$I$9))</f>
        <v/>
      </c>
      <c r="BC98" s="188" t="str">
        <f>IF(ISERROR(getgrade(Broadsheet!BC209,data!$H$4:$I$9)),"#",getgrade(Broadsheet!BC209,data!$H$4:$I$9))</f>
        <v/>
      </c>
      <c r="BD98" s="188" t="str">
        <f>IF(ISERROR(getgrade(Broadsheet!BD209,data!$H$4:$I$9)),"#",getgrade(Broadsheet!BD209,data!$H$4:$I$9))</f>
        <v/>
      </c>
      <c r="BE98" s="188" t="str">
        <f>IF(ISERROR(getgrade(Broadsheet!BE209,data!$H$4:$I$9)),"#",getgrade(Broadsheet!BE209,data!$H$4:$I$9))</f>
        <v/>
      </c>
      <c r="BF98" s="188" t="str">
        <f>IF(ISERROR(getgrade(Broadsheet!BF209,data!$H$4:$I$9)),"#",getgrade(Broadsheet!BF209,data!$H$4:$I$9))</f>
        <v/>
      </c>
      <c r="BG98" s="188" t="str">
        <f>IF(ISERROR(getgrade(Broadsheet!BG209,data!$H$4:$I$9)),"#",getgrade(Broadsheet!BG209,data!$H$4:$I$9))</f>
        <v/>
      </c>
      <c r="BH98" s="188" t="str">
        <f>IF(ISERROR(getgrade(Broadsheet!BH209,data!$H$4:$I$9)),"#",getgrade(Broadsheet!BH209,data!$H$4:$I$9))</f>
        <v/>
      </c>
      <c r="BI98" s="188" t="str">
        <f>IF(ISERROR(getgrade(Broadsheet!BI209,data!$H$4:$I$9)),"#",getgrade(Broadsheet!BI209,data!$H$4:$I$9))</f>
        <v/>
      </c>
      <c r="BJ98" s="188" t="str">
        <f>IF(ISERROR(getgrade(Broadsheet!BJ209,data!$H$4:$I$9)),"#",getgrade(Broadsheet!BJ209,data!$H$4:$I$9))</f>
        <v/>
      </c>
      <c r="BK98" s="188"/>
      <c r="BL98" s="188"/>
      <c r="BM98" s="188"/>
      <c r="BN98" s="188"/>
      <c r="BO98" s="188"/>
      <c r="BP98" s="188"/>
      <c r="BQ98" s="188"/>
      <c r="BR98" s="188"/>
      <c r="BS98" s="188"/>
      <c r="BT98" s="188"/>
      <c r="BU98" s="188"/>
      <c r="BV98" s="188"/>
      <c r="BW98" s="188"/>
      <c r="BX98" s="188"/>
      <c r="BY98" s="188"/>
      <c r="BZ98" s="188"/>
      <c r="CA98" s="188"/>
      <c r="CB98" s="188"/>
      <c r="CC98" s="188"/>
      <c r="CD98" s="188"/>
      <c r="CE98" s="188"/>
      <c r="CF98" s="188"/>
      <c r="CG98" s="188"/>
      <c r="CH98" s="188"/>
      <c r="CI98" s="188"/>
      <c r="CJ98" s="188"/>
      <c r="CK98" s="188"/>
      <c r="CL98" s="188"/>
      <c r="CM98" s="188"/>
      <c r="CN98" s="188"/>
      <c r="CO98" s="188"/>
      <c r="CP98" s="188"/>
      <c r="CQ98" s="188"/>
      <c r="CR98" s="188"/>
      <c r="CS98" s="188"/>
      <c r="CT98" s="188"/>
      <c r="CU98" s="188"/>
      <c r="CV98" s="188"/>
      <c r="CW98" s="188"/>
      <c r="CX98" s="188"/>
      <c r="CY98" s="188"/>
      <c r="CZ98" s="188"/>
      <c r="DA98" s="188"/>
      <c r="DB98" s="188"/>
      <c r="DC98" s="188"/>
      <c r="DD98" s="188"/>
      <c r="DE98" s="188"/>
      <c r="DF98" s="188"/>
      <c r="DG98" s="188"/>
      <c r="DH98" s="188"/>
      <c r="DI98" s="188"/>
      <c r="DJ98" s="188"/>
      <c r="DK98" s="188"/>
      <c r="DL98" s="188"/>
      <c r="DM98" s="188"/>
      <c r="DN98" s="188"/>
      <c r="DO98" s="188"/>
      <c r="DP98" s="188"/>
      <c r="DQ98" s="188"/>
      <c r="DR98" s="188"/>
      <c r="DS98" s="188"/>
      <c r="DT98" s="188"/>
      <c r="DU98" s="188"/>
      <c r="DV98" s="188"/>
      <c r="DW98" s="188"/>
      <c r="DX98" s="188"/>
      <c r="DY98" s="188"/>
      <c r="DZ98" s="188"/>
      <c r="EA98" s="188"/>
    </row>
    <row r="99" spans="1:131" ht="15.75" x14ac:dyDescent="0.25">
      <c r="A99" s="12">
        <f>Broadsheet!A210</f>
        <v>0</v>
      </c>
      <c r="B99" s="204" t="str">
        <f>IF(Broadsheet!B99="","",Broadsheet!B99)</f>
        <v/>
      </c>
      <c r="C99" s="24" t="str">
        <f>IF(Broadsheet!C99="","",Broadsheet!C99)</f>
        <v xml:space="preserve"> </v>
      </c>
      <c r="G99" s="24" t="str">
        <f t="shared" si="1"/>
        <v/>
      </c>
      <c r="H99" s="188" t="str">
        <f>IF(ISERROR(getgrade(Broadsheet!H210,data!$H$4:$I$9)),"#",getgrade(Broadsheet!H210,data!$H$4:$I$9))</f>
        <v/>
      </c>
      <c r="I99" s="188" t="str">
        <f>IF(ISERROR(getgrade(Broadsheet!I210,data!$H$4:$I$9)),"#",getgrade(Broadsheet!I210,data!$H$4:$I$9))</f>
        <v/>
      </c>
      <c r="J99" s="188" t="str">
        <f>IF(ISERROR(getgrade(Broadsheet!J210,data!$H$4:$I$9)),"#",getgrade(Broadsheet!J210,data!$H$4:$I$9))</f>
        <v/>
      </c>
      <c r="K99" s="188" t="str">
        <f>IF(ISERROR(getgrade(Broadsheet!K210,data!$H$4:$I$9)),"#",getgrade(Broadsheet!K210,data!$H$4:$I$9))</f>
        <v/>
      </c>
      <c r="L99" s="188" t="str">
        <f>IF(ISERROR(getgrade(Broadsheet!L210,data!$H$4:$I$9)),"#",getgrade(Broadsheet!L210,data!$H$4:$I$9))</f>
        <v/>
      </c>
      <c r="M99" s="188" t="str">
        <f>IF(ISERROR(getgrade(Broadsheet!M210,data!$H$4:$I$9)),"#",getgrade(Broadsheet!M210,data!$H$4:$I$9))</f>
        <v/>
      </c>
      <c r="N99" s="188" t="str">
        <f>IF(ISERROR(getgrade(Broadsheet!N210,data!$H$4:$I$9)),"#",getgrade(Broadsheet!N210,data!$H$4:$I$9))</f>
        <v/>
      </c>
      <c r="O99" s="188" t="str">
        <f>IF(ISERROR(getgrade(Broadsheet!O210,data!$H$4:$I$9)),"#",getgrade(Broadsheet!O210,data!$H$4:$I$9))</f>
        <v/>
      </c>
      <c r="P99" s="188" t="str">
        <f>IF(ISERROR(getgrade(Broadsheet!P210,data!$H$4:$I$9)),"#",getgrade(Broadsheet!P210,data!$H$4:$I$9))</f>
        <v/>
      </c>
      <c r="Q99" s="188" t="str">
        <f>IF(ISERROR(getgrade(Broadsheet!Q210,data!$H$4:$I$9)),"#",getgrade(Broadsheet!Q210,data!$H$4:$I$9))</f>
        <v/>
      </c>
      <c r="R99" s="188" t="str">
        <f>IF(ISERROR(getgrade(Broadsheet!R210,data!$H$4:$I$9)),"#",getgrade(Broadsheet!R210,data!$H$4:$I$9))</f>
        <v/>
      </c>
      <c r="S99" s="188" t="str">
        <f>IF(ISERROR(getgrade(Broadsheet!S210,data!$H$4:$I$9)),"#",getgrade(Broadsheet!S210,data!$H$4:$I$9))</f>
        <v/>
      </c>
      <c r="T99" s="188" t="str">
        <f>IF(ISERROR(getgrade(Broadsheet!T210,data!$H$4:$I$9)),"#",getgrade(Broadsheet!T210,data!$H$4:$I$9))</f>
        <v/>
      </c>
      <c r="U99" s="188" t="str">
        <f>IF(ISERROR(getgrade(Broadsheet!U210,data!$H$4:$I$9)),"#",getgrade(Broadsheet!U210,data!$H$4:$I$9))</f>
        <v/>
      </c>
      <c r="V99" s="188" t="str">
        <f>IF(ISERROR(getgrade(Broadsheet!V210,data!$H$4:$I$9)),"#",getgrade(Broadsheet!V210,data!$H$4:$I$9))</f>
        <v/>
      </c>
      <c r="W99" s="188" t="str">
        <f>IF(ISERROR(getgrade(Broadsheet!W210,data!$H$4:$I$9)),"#",getgrade(Broadsheet!W210,data!$H$4:$I$9))</f>
        <v/>
      </c>
      <c r="X99" s="188" t="str">
        <f>IF(ISERROR(getgrade(Broadsheet!X210,data!$H$4:$I$9)),"#",getgrade(Broadsheet!X210,data!$H$4:$I$9))</f>
        <v/>
      </c>
      <c r="Y99" s="188" t="str">
        <f>IF(ISERROR(getgrade(Broadsheet!Y210,data!$H$4:$I$9)),"#",getgrade(Broadsheet!Y210,data!$H$4:$I$9))</f>
        <v/>
      </c>
      <c r="Z99" s="188" t="str">
        <f>IF(ISERROR(getgrade(Broadsheet!Z210,data!$H$4:$I$9)),"#",getgrade(Broadsheet!Z210,data!$H$4:$I$9))</f>
        <v/>
      </c>
      <c r="AA99" s="188" t="str">
        <f>IF(ISERROR(getgrade(Broadsheet!AA210,data!$H$4:$I$9)),"#",getgrade(Broadsheet!AA210,data!$H$4:$I$9))</f>
        <v/>
      </c>
      <c r="AB99" s="188" t="str">
        <f>IF(ISERROR(getgrade(Broadsheet!AB210,data!$H$4:$I$9)),"#",getgrade(Broadsheet!AB210,data!$H$4:$I$9))</f>
        <v/>
      </c>
      <c r="AC99" s="188" t="str">
        <f>IF(ISERROR(getgrade(Broadsheet!AC210,data!$H$4:$I$9)),"#",getgrade(Broadsheet!AC210,data!$H$4:$I$9))</f>
        <v/>
      </c>
      <c r="AD99" s="188" t="str">
        <f>IF(ISERROR(getgrade(Broadsheet!AD210,data!$H$4:$I$9)),"#",getgrade(Broadsheet!AD210,data!$H$4:$I$9))</f>
        <v/>
      </c>
      <c r="AE99" s="188" t="str">
        <f>IF(ISERROR(getgrade(Broadsheet!AE210,data!$H$4:$I$9)),"#",getgrade(Broadsheet!AE210,data!$H$4:$I$9))</f>
        <v/>
      </c>
      <c r="AF99" s="188" t="str">
        <f>IF(ISERROR(getgrade(Broadsheet!AF210,data!$H$4:$I$9)),"#",getgrade(Broadsheet!AF210,data!$H$4:$I$9))</f>
        <v/>
      </c>
      <c r="AG99" s="188" t="str">
        <f>IF(ISERROR(getgrade(Broadsheet!AG210,data!$H$4:$I$9)),"#",getgrade(Broadsheet!AG210,data!$H$4:$I$9))</f>
        <v/>
      </c>
      <c r="AH99" s="188" t="str">
        <f>IF(ISERROR(getgrade(Broadsheet!AH210,data!$H$4:$I$9)),"#",getgrade(Broadsheet!AH210,data!$H$4:$I$9))</f>
        <v/>
      </c>
      <c r="AI99" s="188" t="str">
        <f>IF(ISERROR(getgrade(Broadsheet!AI210,data!$H$4:$I$9)),"#",getgrade(Broadsheet!AI210,data!$H$4:$I$9))</f>
        <v/>
      </c>
      <c r="AJ99" s="188" t="str">
        <f>IF(ISERROR(getgrade(Broadsheet!AJ210,data!$H$4:$I$9)),"#",getgrade(Broadsheet!AJ210,data!$H$4:$I$9))</f>
        <v/>
      </c>
      <c r="AK99" s="188" t="str">
        <f>IF(ISERROR(getgrade(Broadsheet!AK210,data!$H$4:$I$9)),"#",getgrade(Broadsheet!AK210,data!$H$4:$I$9))</f>
        <v/>
      </c>
      <c r="AL99" s="188" t="str">
        <f>IF(ISERROR(getgrade(Broadsheet!AL210,data!$H$4:$I$9)),"#",getgrade(Broadsheet!AL210,data!$H$4:$I$9))</f>
        <v/>
      </c>
      <c r="AM99" s="188" t="str">
        <f>IF(ISERROR(getgrade(Broadsheet!AM210,data!$H$4:$I$9)),"#",getgrade(Broadsheet!AM210,data!$H$4:$I$9))</f>
        <v/>
      </c>
      <c r="AN99" s="188" t="str">
        <f>IF(ISERROR(getgrade(Broadsheet!AN210,data!$H$4:$I$9)),"#",getgrade(Broadsheet!AN210,data!$H$4:$I$9))</f>
        <v/>
      </c>
      <c r="AO99" s="188" t="str">
        <f>IF(ISERROR(getgrade(Broadsheet!AO210,data!$H$4:$I$9)),"#",getgrade(Broadsheet!AO210,data!$H$4:$I$9))</f>
        <v/>
      </c>
      <c r="AP99" s="188" t="str">
        <f>IF(ISERROR(getgrade(Broadsheet!AP210,data!$H$4:$I$9)),"#",getgrade(Broadsheet!AP210,data!$H$4:$I$9))</f>
        <v/>
      </c>
      <c r="AQ99" s="188" t="str">
        <f>IF(ISERROR(getgrade(Broadsheet!AQ210,data!$H$4:$I$9)),"#",getgrade(Broadsheet!AQ210,data!$H$4:$I$9))</f>
        <v/>
      </c>
      <c r="AR99" s="188" t="str">
        <f>IF(ISERROR(getgrade(Broadsheet!AR210,data!$H$4:$I$9)),"#",getgrade(Broadsheet!AR210,data!$H$4:$I$9))</f>
        <v/>
      </c>
      <c r="AS99" s="188" t="str">
        <f>IF(ISERROR(getgrade(Broadsheet!AS210,data!$H$4:$I$9)),"#",getgrade(Broadsheet!AS210,data!$H$4:$I$9))</f>
        <v/>
      </c>
      <c r="AT99" s="188" t="str">
        <f>IF(ISERROR(getgrade(Broadsheet!AT210,data!$H$4:$I$9)),"#",getgrade(Broadsheet!AT210,data!$H$4:$I$9))</f>
        <v/>
      </c>
      <c r="AU99" s="188" t="str">
        <f>IF(ISERROR(getgrade(Broadsheet!AU210,data!$H$4:$I$9)),"#",getgrade(Broadsheet!AU210,data!$H$4:$I$9))</f>
        <v/>
      </c>
      <c r="AV99" s="188" t="str">
        <f>IF(ISERROR(getgrade(Broadsheet!AV210,data!$H$4:$I$9)),"#",getgrade(Broadsheet!AV210,data!$H$4:$I$9))</f>
        <v/>
      </c>
      <c r="AW99" s="188" t="str">
        <f>IF(ISERROR(getgrade(Broadsheet!AW210,data!$H$4:$I$9)),"#",getgrade(Broadsheet!AW210,data!$H$4:$I$9))</f>
        <v/>
      </c>
      <c r="AX99" s="188" t="str">
        <f>IF(ISERROR(getgrade(Broadsheet!AX210,data!$H$4:$I$9)),"#",getgrade(Broadsheet!AX210,data!$H$4:$I$9))</f>
        <v/>
      </c>
      <c r="AY99" s="188" t="str">
        <f>IF(ISERROR(getgrade(Broadsheet!AY210,data!$H$4:$I$9)),"#",getgrade(Broadsheet!AY210,data!$H$4:$I$9))</f>
        <v/>
      </c>
      <c r="AZ99" s="188" t="str">
        <f>IF(ISERROR(getgrade(Broadsheet!AZ210,data!$H$4:$I$9)),"#",getgrade(Broadsheet!AZ210,data!$H$4:$I$9))</f>
        <v/>
      </c>
      <c r="BA99" s="188" t="str">
        <f>IF(ISERROR(getgrade(Broadsheet!BA210,data!$H$4:$I$9)),"#",getgrade(Broadsheet!BA210,data!$H$4:$I$9))</f>
        <v/>
      </c>
      <c r="BB99" s="188" t="str">
        <f>IF(ISERROR(getgrade(Broadsheet!BB210,data!$H$4:$I$9)),"#",getgrade(Broadsheet!BB210,data!$H$4:$I$9))</f>
        <v/>
      </c>
      <c r="BC99" s="188" t="str">
        <f>IF(ISERROR(getgrade(Broadsheet!BC210,data!$H$4:$I$9)),"#",getgrade(Broadsheet!BC210,data!$H$4:$I$9))</f>
        <v/>
      </c>
      <c r="BD99" s="188" t="str">
        <f>IF(ISERROR(getgrade(Broadsheet!BD210,data!$H$4:$I$9)),"#",getgrade(Broadsheet!BD210,data!$H$4:$I$9))</f>
        <v/>
      </c>
      <c r="BE99" s="188" t="str">
        <f>IF(ISERROR(getgrade(Broadsheet!BE210,data!$H$4:$I$9)),"#",getgrade(Broadsheet!BE210,data!$H$4:$I$9))</f>
        <v/>
      </c>
      <c r="BF99" s="188" t="str">
        <f>IF(ISERROR(getgrade(Broadsheet!BF210,data!$H$4:$I$9)),"#",getgrade(Broadsheet!BF210,data!$H$4:$I$9))</f>
        <v/>
      </c>
      <c r="BG99" s="188" t="str">
        <f>IF(ISERROR(getgrade(Broadsheet!BG210,data!$H$4:$I$9)),"#",getgrade(Broadsheet!BG210,data!$H$4:$I$9))</f>
        <v/>
      </c>
      <c r="BH99" s="188" t="str">
        <f>IF(ISERROR(getgrade(Broadsheet!BH210,data!$H$4:$I$9)),"#",getgrade(Broadsheet!BH210,data!$H$4:$I$9))</f>
        <v/>
      </c>
      <c r="BI99" s="188" t="str">
        <f>IF(ISERROR(getgrade(Broadsheet!BI210,data!$H$4:$I$9)),"#",getgrade(Broadsheet!BI210,data!$H$4:$I$9))</f>
        <v/>
      </c>
      <c r="BJ99" s="188" t="str">
        <f>IF(ISERROR(getgrade(Broadsheet!BJ210,data!$H$4:$I$9)),"#",getgrade(Broadsheet!BJ210,data!$H$4:$I$9))</f>
        <v/>
      </c>
      <c r="BK99" s="188"/>
      <c r="BL99" s="188"/>
      <c r="BM99" s="188"/>
      <c r="BN99" s="188"/>
      <c r="BO99" s="188"/>
      <c r="BP99" s="188"/>
      <c r="BQ99" s="188"/>
      <c r="BR99" s="188"/>
      <c r="BS99" s="188"/>
      <c r="BT99" s="188"/>
      <c r="BU99" s="188"/>
      <c r="BV99" s="188"/>
      <c r="BW99" s="188"/>
      <c r="BX99" s="188"/>
      <c r="BY99" s="188"/>
      <c r="BZ99" s="188"/>
      <c r="CA99" s="188"/>
      <c r="CB99" s="188"/>
      <c r="CC99" s="188"/>
      <c r="CD99" s="188"/>
      <c r="CE99" s="188"/>
      <c r="CF99" s="188"/>
      <c r="CG99" s="188"/>
      <c r="CH99" s="188"/>
      <c r="CI99" s="188"/>
      <c r="CJ99" s="188"/>
      <c r="CK99" s="188"/>
      <c r="CL99" s="188"/>
      <c r="CM99" s="188"/>
      <c r="CN99" s="188"/>
      <c r="CO99" s="188"/>
      <c r="CP99" s="188"/>
      <c r="CQ99" s="188"/>
      <c r="CR99" s="188"/>
      <c r="CS99" s="188"/>
      <c r="CT99" s="188"/>
      <c r="CU99" s="188"/>
      <c r="CV99" s="188"/>
      <c r="CW99" s="188"/>
      <c r="CX99" s="188"/>
      <c r="CY99" s="188"/>
      <c r="CZ99" s="188"/>
      <c r="DA99" s="188"/>
      <c r="DB99" s="188"/>
      <c r="DC99" s="188"/>
      <c r="DD99" s="188"/>
      <c r="DE99" s="188"/>
      <c r="DF99" s="188"/>
      <c r="DG99" s="188"/>
      <c r="DH99" s="188"/>
      <c r="DI99" s="188"/>
      <c r="DJ99" s="188"/>
      <c r="DK99" s="188"/>
      <c r="DL99" s="188"/>
      <c r="DM99" s="188"/>
      <c r="DN99" s="188"/>
      <c r="DO99" s="188"/>
      <c r="DP99" s="188"/>
      <c r="DQ99" s="188"/>
      <c r="DR99" s="188"/>
      <c r="DS99" s="188"/>
      <c r="DT99" s="188"/>
      <c r="DU99" s="188"/>
      <c r="DV99" s="188"/>
      <c r="DW99" s="188"/>
      <c r="DX99" s="188"/>
      <c r="DY99" s="188"/>
      <c r="DZ99" s="188"/>
      <c r="EA99" s="188"/>
    </row>
    <row r="100" spans="1:131" ht="15.75" x14ac:dyDescent="0.25">
      <c r="A100" s="12">
        <f>Broadsheet!A211</f>
        <v>0</v>
      </c>
      <c r="B100" s="204" t="str">
        <f>IF(Broadsheet!B100="","",Broadsheet!B100)</f>
        <v/>
      </c>
      <c r="C100" s="24" t="str">
        <f>IF(Broadsheet!C100="","",Broadsheet!C100)</f>
        <v xml:space="preserve"> </v>
      </c>
      <c r="G100" s="24" t="str">
        <f t="shared" si="1"/>
        <v/>
      </c>
      <c r="H100" s="188" t="str">
        <f>IF(ISERROR(getgrade(Broadsheet!H211,data!$H$4:$I$9)),"#",getgrade(Broadsheet!H211,data!$H$4:$I$9))</f>
        <v/>
      </c>
      <c r="I100" s="188" t="str">
        <f>IF(ISERROR(getgrade(Broadsheet!I211,data!$H$4:$I$9)),"#",getgrade(Broadsheet!I211,data!$H$4:$I$9))</f>
        <v/>
      </c>
      <c r="J100" s="188" t="str">
        <f>IF(ISERROR(getgrade(Broadsheet!J211,data!$H$4:$I$9)),"#",getgrade(Broadsheet!J211,data!$H$4:$I$9))</f>
        <v/>
      </c>
      <c r="K100" s="188" t="str">
        <f>IF(ISERROR(getgrade(Broadsheet!K211,data!$H$4:$I$9)),"#",getgrade(Broadsheet!K211,data!$H$4:$I$9))</f>
        <v/>
      </c>
      <c r="L100" s="188" t="str">
        <f>IF(ISERROR(getgrade(Broadsheet!L211,data!$H$4:$I$9)),"#",getgrade(Broadsheet!L211,data!$H$4:$I$9))</f>
        <v/>
      </c>
      <c r="M100" s="188" t="str">
        <f>IF(ISERROR(getgrade(Broadsheet!M211,data!$H$4:$I$9)),"#",getgrade(Broadsheet!M211,data!$H$4:$I$9))</f>
        <v/>
      </c>
      <c r="N100" s="188" t="str">
        <f>IF(ISERROR(getgrade(Broadsheet!N211,data!$H$4:$I$9)),"#",getgrade(Broadsheet!N211,data!$H$4:$I$9))</f>
        <v/>
      </c>
      <c r="O100" s="188" t="str">
        <f>IF(ISERROR(getgrade(Broadsheet!O211,data!$H$4:$I$9)),"#",getgrade(Broadsheet!O211,data!$H$4:$I$9))</f>
        <v/>
      </c>
      <c r="P100" s="188" t="str">
        <f>IF(ISERROR(getgrade(Broadsheet!P211,data!$H$4:$I$9)),"#",getgrade(Broadsheet!P211,data!$H$4:$I$9))</f>
        <v/>
      </c>
      <c r="Q100" s="188" t="str">
        <f>IF(ISERROR(getgrade(Broadsheet!Q211,data!$H$4:$I$9)),"#",getgrade(Broadsheet!Q211,data!$H$4:$I$9))</f>
        <v/>
      </c>
      <c r="R100" s="188" t="str">
        <f>IF(ISERROR(getgrade(Broadsheet!R211,data!$H$4:$I$9)),"#",getgrade(Broadsheet!R211,data!$H$4:$I$9))</f>
        <v/>
      </c>
      <c r="S100" s="188" t="str">
        <f>IF(ISERROR(getgrade(Broadsheet!S211,data!$H$4:$I$9)),"#",getgrade(Broadsheet!S211,data!$H$4:$I$9))</f>
        <v/>
      </c>
      <c r="T100" s="188" t="str">
        <f>IF(ISERROR(getgrade(Broadsheet!T211,data!$H$4:$I$9)),"#",getgrade(Broadsheet!T211,data!$H$4:$I$9))</f>
        <v/>
      </c>
      <c r="U100" s="188" t="str">
        <f>IF(ISERROR(getgrade(Broadsheet!U211,data!$H$4:$I$9)),"#",getgrade(Broadsheet!U211,data!$H$4:$I$9))</f>
        <v/>
      </c>
      <c r="V100" s="188" t="str">
        <f>IF(ISERROR(getgrade(Broadsheet!V211,data!$H$4:$I$9)),"#",getgrade(Broadsheet!V211,data!$H$4:$I$9))</f>
        <v/>
      </c>
      <c r="W100" s="188" t="str">
        <f>IF(ISERROR(getgrade(Broadsheet!W211,data!$H$4:$I$9)),"#",getgrade(Broadsheet!W211,data!$H$4:$I$9))</f>
        <v/>
      </c>
      <c r="X100" s="188" t="str">
        <f>IF(ISERROR(getgrade(Broadsheet!X211,data!$H$4:$I$9)),"#",getgrade(Broadsheet!X211,data!$H$4:$I$9))</f>
        <v/>
      </c>
      <c r="Y100" s="188" t="str">
        <f>IF(ISERROR(getgrade(Broadsheet!Y211,data!$H$4:$I$9)),"#",getgrade(Broadsheet!Y211,data!$H$4:$I$9))</f>
        <v/>
      </c>
      <c r="Z100" s="188" t="str">
        <f>IF(ISERROR(getgrade(Broadsheet!Z211,data!$H$4:$I$9)),"#",getgrade(Broadsheet!Z211,data!$H$4:$I$9))</f>
        <v/>
      </c>
      <c r="AA100" s="188" t="str">
        <f>IF(ISERROR(getgrade(Broadsheet!AA211,data!$H$4:$I$9)),"#",getgrade(Broadsheet!AA211,data!$H$4:$I$9))</f>
        <v/>
      </c>
      <c r="AB100" s="188" t="str">
        <f>IF(ISERROR(getgrade(Broadsheet!AB211,data!$H$4:$I$9)),"#",getgrade(Broadsheet!AB211,data!$H$4:$I$9))</f>
        <v/>
      </c>
      <c r="AC100" s="188" t="str">
        <f>IF(ISERROR(getgrade(Broadsheet!AC211,data!$H$4:$I$9)),"#",getgrade(Broadsheet!AC211,data!$H$4:$I$9))</f>
        <v/>
      </c>
      <c r="AD100" s="188" t="str">
        <f>IF(ISERROR(getgrade(Broadsheet!AD211,data!$H$4:$I$9)),"#",getgrade(Broadsheet!AD211,data!$H$4:$I$9))</f>
        <v/>
      </c>
      <c r="AE100" s="188" t="str">
        <f>IF(ISERROR(getgrade(Broadsheet!AE211,data!$H$4:$I$9)),"#",getgrade(Broadsheet!AE211,data!$H$4:$I$9))</f>
        <v/>
      </c>
      <c r="AF100" s="188" t="str">
        <f>IF(ISERROR(getgrade(Broadsheet!AF211,data!$H$4:$I$9)),"#",getgrade(Broadsheet!AF211,data!$H$4:$I$9))</f>
        <v/>
      </c>
      <c r="AG100" s="188" t="str">
        <f>IF(ISERROR(getgrade(Broadsheet!AG211,data!$H$4:$I$9)),"#",getgrade(Broadsheet!AG211,data!$H$4:$I$9))</f>
        <v/>
      </c>
      <c r="AH100" s="188" t="str">
        <f>IF(ISERROR(getgrade(Broadsheet!AH211,data!$H$4:$I$9)),"#",getgrade(Broadsheet!AH211,data!$H$4:$I$9))</f>
        <v/>
      </c>
      <c r="AI100" s="188" t="str">
        <f>IF(ISERROR(getgrade(Broadsheet!AI211,data!$H$4:$I$9)),"#",getgrade(Broadsheet!AI211,data!$H$4:$I$9))</f>
        <v/>
      </c>
      <c r="AJ100" s="188" t="str">
        <f>IF(ISERROR(getgrade(Broadsheet!AJ211,data!$H$4:$I$9)),"#",getgrade(Broadsheet!AJ211,data!$H$4:$I$9))</f>
        <v/>
      </c>
      <c r="AK100" s="188" t="str">
        <f>IF(ISERROR(getgrade(Broadsheet!AK211,data!$H$4:$I$9)),"#",getgrade(Broadsheet!AK211,data!$H$4:$I$9))</f>
        <v/>
      </c>
      <c r="AL100" s="188" t="str">
        <f>IF(ISERROR(getgrade(Broadsheet!AL211,data!$H$4:$I$9)),"#",getgrade(Broadsheet!AL211,data!$H$4:$I$9))</f>
        <v/>
      </c>
      <c r="AM100" s="188" t="str">
        <f>IF(ISERROR(getgrade(Broadsheet!AM211,data!$H$4:$I$9)),"#",getgrade(Broadsheet!AM211,data!$H$4:$I$9))</f>
        <v/>
      </c>
      <c r="AN100" s="188" t="str">
        <f>IF(ISERROR(getgrade(Broadsheet!AN211,data!$H$4:$I$9)),"#",getgrade(Broadsheet!AN211,data!$H$4:$I$9))</f>
        <v/>
      </c>
      <c r="AO100" s="188" t="str">
        <f>IF(ISERROR(getgrade(Broadsheet!AO211,data!$H$4:$I$9)),"#",getgrade(Broadsheet!AO211,data!$H$4:$I$9))</f>
        <v/>
      </c>
      <c r="AP100" s="188" t="str">
        <f>IF(ISERROR(getgrade(Broadsheet!AP211,data!$H$4:$I$9)),"#",getgrade(Broadsheet!AP211,data!$H$4:$I$9))</f>
        <v/>
      </c>
      <c r="AQ100" s="188" t="str">
        <f>IF(ISERROR(getgrade(Broadsheet!AQ211,data!$H$4:$I$9)),"#",getgrade(Broadsheet!AQ211,data!$H$4:$I$9))</f>
        <v/>
      </c>
      <c r="AR100" s="188" t="str">
        <f>IF(ISERROR(getgrade(Broadsheet!AR211,data!$H$4:$I$9)),"#",getgrade(Broadsheet!AR211,data!$H$4:$I$9))</f>
        <v/>
      </c>
      <c r="AS100" s="188" t="str">
        <f>IF(ISERROR(getgrade(Broadsheet!AS211,data!$H$4:$I$9)),"#",getgrade(Broadsheet!AS211,data!$H$4:$I$9))</f>
        <v/>
      </c>
      <c r="AT100" s="188" t="str">
        <f>IF(ISERROR(getgrade(Broadsheet!AT211,data!$H$4:$I$9)),"#",getgrade(Broadsheet!AT211,data!$H$4:$I$9))</f>
        <v/>
      </c>
      <c r="AU100" s="188" t="str">
        <f>IF(ISERROR(getgrade(Broadsheet!AU211,data!$H$4:$I$9)),"#",getgrade(Broadsheet!AU211,data!$H$4:$I$9))</f>
        <v/>
      </c>
      <c r="AV100" s="188" t="str">
        <f>IF(ISERROR(getgrade(Broadsheet!AV211,data!$H$4:$I$9)),"#",getgrade(Broadsheet!AV211,data!$H$4:$I$9))</f>
        <v/>
      </c>
      <c r="AW100" s="188" t="str">
        <f>IF(ISERROR(getgrade(Broadsheet!AW211,data!$H$4:$I$9)),"#",getgrade(Broadsheet!AW211,data!$H$4:$I$9))</f>
        <v/>
      </c>
      <c r="AX100" s="188" t="str">
        <f>IF(ISERROR(getgrade(Broadsheet!AX211,data!$H$4:$I$9)),"#",getgrade(Broadsheet!AX211,data!$H$4:$I$9))</f>
        <v/>
      </c>
      <c r="AY100" s="188" t="str">
        <f>IF(ISERROR(getgrade(Broadsheet!AY211,data!$H$4:$I$9)),"#",getgrade(Broadsheet!AY211,data!$H$4:$I$9))</f>
        <v/>
      </c>
      <c r="AZ100" s="188" t="str">
        <f>IF(ISERROR(getgrade(Broadsheet!AZ211,data!$H$4:$I$9)),"#",getgrade(Broadsheet!AZ211,data!$H$4:$I$9))</f>
        <v/>
      </c>
      <c r="BA100" s="188" t="str">
        <f>IF(ISERROR(getgrade(Broadsheet!BA211,data!$H$4:$I$9)),"#",getgrade(Broadsheet!BA211,data!$H$4:$I$9))</f>
        <v/>
      </c>
      <c r="BB100" s="188" t="str">
        <f>IF(ISERROR(getgrade(Broadsheet!BB211,data!$H$4:$I$9)),"#",getgrade(Broadsheet!BB211,data!$H$4:$I$9))</f>
        <v/>
      </c>
      <c r="BC100" s="188" t="str">
        <f>IF(ISERROR(getgrade(Broadsheet!BC211,data!$H$4:$I$9)),"#",getgrade(Broadsheet!BC211,data!$H$4:$I$9))</f>
        <v/>
      </c>
      <c r="BD100" s="188" t="str">
        <f>IF(ISERROR(getgrade(Broadsheet!BD211,data!$H$4:$I$9)),"#",getgrade(Broadsheet!BD211,data!$H$4:$I$9))</f>
        <v/>
      </c>
      <c r="BE100" s="188" t="str">
        <f>IF(ISERROR(getgrade(Broadsheet!BE211,data!$H$4:$I$9)),"#",getgrade(Broadsheet!BE211,data!$H$4:$I$9))</f>
        <v/>
      </c>
      <c r="BF100" s="188" t="str">
        <f>IF(ISERROR(getgrade(Broadsheet!BF211,data!$H$4:$I$9)),"#",getgrade(Broadsheet!BF211,data!$H$4:$I$9))</f>
        <v/>
      </c>
      <c r="BG100" s="188" t="str">
        <f>IF(ISERROR(getgrade(Broadsheet!BG211,data!$H$4:$I$9)),"#",getgrade(Broadsheet!BG211,data!$H$4:$I$9))</f>
        <v/>
      </c>
      <c r="BH100" s="188" t="str">
        <f>IF(ISERROR(getgrade(Broadsheet!BH211,data!$H$4:$I$9)),"#",getgrade(Broadsheet!BH211,data!$H$4:$I$9))</f>
        <v/>
      </c>
      <c r="BI100" s="188" t="str">
        <f>IF(ISERROR(getgrade(Broadsheet!BI211,data!$H$4:$I$9)),"#",getgrade(Broadsheet!BI211,data!$H$4:$I$9))</f>
        <v/>
      </c>
      <c r="BJ100" s="188" t="str">
        <f>IF(ISERROR(getgrade(Broadsheet!BJ211,data!$H$4:$I$9)),"#",getgrade(Broadsheet!BJ211,data!$H$4:$I$9))</f>
        <v/>
      </c>
      <c r="BK100" s="188"/>
      <c r="BL100" s="188"/>
      <c r="BM100" s="188"/>
      <c r="BN100" s="188"/>
      <c r="BO100" s="188"/>
      <c r="BP100" s="188"/>
      <c r="BQ100" s="188"/>
      <c r="BR100" s="188"/>
      <c r="BS100" s="188"/>
      <c r="BT100" s="188"/>
      <c r="BU100" s="188"/>
      <c r="BV100" s="188"/>
      <c r="BW100" s="188"/>
      <c r="BX100" s="188"/>
      <c r="BY100" s="188"/>
      <c r="BZ100" s="188"/>
      <c r="CA100" s="188"/>
      <c r="CB100" s="188"/>
      <c r="CC100" s="188"/>
      <c r="CD100" s="188"/>
      <c r="CE100" s="188"/>
      <c r="CF100" s="188"/>
      <c r="CG100" s="188"/>
      <c r="CH100" s="188"/>
      <c r="CI100" s="188"/>
      <c r="CJ100" s="188"/>
      <c r="CK100" s="188"/>
      <c r="CL100" s="188"/>
      <c r="CM100" s="188"/>
      <c r="CN100" s="188"/>
      <c r="CO100" s="188"/>
      <c r="CP100" s="188"/>
      <c r="CQ100" s="188"/>
      <c r="CR100" s="188"/>
      <c r="CS100" s="188"/>
      <c r="CT100" s="188"/>
      <c r="CU100" s="188"/>
      <c r="CV100" s="188"/>
      <c r="CW100" s="188"/>
      <c r="CX100" s="188"/>
      <c r="CY100" s="188"/>
      <c r="CZ100" s="188"/>
      <c r="DA100" s="188"/>
      <c r="DB100" s="188"/>
      <c r="DC100" s="188"/>
      <c r="DD100" s="188"/>
      <c r="DE100" s="188"/>
      <c r="DF100" s="188"/>
      <c r="DG100" s="188"/>
      <c r="DH100" s="188"/>
      <c r="DI100" s="188"/>
      <c r="DJ100" s="188"/>
      <c r="DK100" s="188"/>
      <c r="DL100" s="188"/>
      <c r="DM100" s="188"/>
      <c r="DN100" s="188"/>
      <c r="DO100" s="188"/>
      <c r="DP100" s="188"/>
      <c r="DQ100" s="188"/>
      <c r="DR100" s="188"/>
      <c r="DS100" s="188"/>
      <c r="DT100" s="188"/>
      <c r="DU100" s="188"/>
      <c r="DV100" s="188"/>
      <c r="DW100" s="188"/>
      <c r="DX100" s="188"/>
      <c r="DY100" s="188"/>
      <c r="DZ100" s="188"/>
      <c r="EA100" s="188"/>
    </row>
    <row r="101" spans="1:131" ht="15.75" x14ac:dyDescent="0.25">
      <c r="A101" s="12">
        <f>Broadsheet!A212</f>
        <v>0</v>
      </c>
      <c r="B101" s="204" t="str">
        <f>IF(Broadsheet!B101="","",Broadsheet!B101)</f>
        <v/>
      </c>
      <c r="C101" s="24" t="str">
        <f>IF(Broadsheet!C101="","",Broadsheet!C101)</f>
        <v xml:space="preserve"> </v>
      </c>
      <c r="G101" s="24" t="str">
        <f t="shared" si="1"/>
        <v/>
      </c>
      <c r="H101" s="188" t="str">
        <f>IF(ISERROR(getgrade(Broadsheet!H212,data!$H$4:$I$9)),"#",getgrade(Broadsheet!H212,data!$H$4:$I$9))</f>
        <v/>
      </c>
      <c r="I101" s="188" t="str">
        <f>IF(ISERROR(getgrade(Broadsheet!I212,data!$H$4:$I$9)),"#",getgrade(Broadsheet!I212,data!$H$4:$I$9))</f>
        <v/>
      </c>
      <c r="J101" s="188" t="str">
        <f>IF(ISERROR(getgrade(Broadsheet!J212,data!$H$4:$I$9)),"#",getgrade(Broadsheet!J212,data!$H$4:$I$9))</f>
        <v/>
      </c>
      <c r="K101" s="188" t="str">
        <f>IF(ISERROR(getgrade(Broadsheet!K212,data!$H$4:$I$9)),"#",getgrade(Broadsheet!K212,data!$H$4:$I$9))</f>
        <v/>
      </c>
      <c r="L101" s="188" t="str">
        <f>IF(ISERROR(getgrade(Broadsheet!L212,data!$H$4:$I$9)),"#",getgrade(Broadsheet!L212,data!$H$4:$I$9))</f>
        <v/>
      </c>
      <c r="M101" s="188" t="str">
        <f>IF(ISERROR(getgrade(Broadsheet!M212,data!$H$4:$I$9)),"#",getgrade(Broadsheet!M212,data!$H$4:$I$9))</f>
        <v/>
      </c>
      <c r="N101" s="188" t="str">
        <f>IF(ISERROR(getgrade(Broadsheet!N212,data!$H$4:$I$9)),"#",getgrade(Broadsheet!N212,data!$H$4:$I$9))</f>
        <v/>
      </c>
      <c r="O101" s="188" t="str">
        <f>IF(ISERROR(getgrade(Broadsheet!O212,data!$H$4:$I$9)),"#",getgrade(Broadsheet!O212,data!$H$4:$I$9))</f>
        <v/>
      </c>
      <c r="P101" s="188" t="str">
        <f>IF(ISERROR(getgrade(Broadsheet!P212,data!$H$4:$I$9)),"#",getgrade(Broadsheet!P212,data!$H$4:$I$9))</f>
        <v/>
      </c>
      <c r="Q101" s="188" t="str">
        <f>IF(ISERROR(getgrade(Broadsheet!Q212,data!$H$4:$I$9)),"#",getgrade(Broadsheet!Q212,data!$H$4:$I$9))</f>
        <v/>
      </c>
      <c r="R101" s="188" t="str">
        <f>IF(ISERROR(getgrade(Broadsheet!R212,data!$H$4:$I$9)),"#",getgrade(Broadsheet!R212,data!$H$4:$I$9))</f>
        <v/>
      </c>
      <c r="S101" s="188" t="str">
        <f>IF(ISERROR(getgrade(Broadsheet!S212,data!$H$4:$I$9)),"#",getgrade(Broadsheet!S212,data!$H$4:$I$9))</f>
        <v/>
      </c>
      <c r="T101" s="188" t="str">
        <f>IF(ISERROR(getgrade(Broadsheet!T212,data!$H$4:$I$9)),"#",getgrade(Broadsheet!T212,data!$H$4:$I$9))</f>
        <v/>
      </c>
      <c r="U101" s="188" t="str">
        <f>IF(ISERROR(getgrade(Broadsheet!U212,data!$H$4:$I$9)),"#",getgrade(Broadsheet!U212,data!$H$4:$I$9))</f>
        <v/>
      </c>
      <c r="V101" s="188" t="str">
        <f>IF(ISERROR(getgrade(Broadsheet!V212,data!$H$4:$I$9)),"#",getgrade(Broadsheet!V212,data!$H$4:$I$9))</f>
        <v/>
      </c>
      <c r="W101" s="188" t="str">
        <f>IF(ISERROR(getgrade(Broadsheet!W212,data!$H$4:$I$9)),"#",getgrade(Broadsheet!W212,data!$H$4:$I$9))</f>
        <v/>
      </c>
      <c r="X101" s="188" t="str">
        <f>IF(ISERROR(getgrade(Broadsheet!X212,data!$H$4:$I$9)),"#",getgrade(Broadsheet!X212,data!$H$4:$I$9))</f>
        <v/>
      </c>
      <c r="Y101" s="188" t="str">
        <f>IF(ISERROR(getgrade(Broadsheet!Y212,data!$H$4:$I$9)),"#",getgrade(Broadsheet!Y212,data!$H$4:$I$9))</f>
        <v/>
      </c>
      <c r="Z101" s="188" t="str">
        <f>IF(ISERROR(getgrade(Broadsheet!Z212,data!$H$4:$I$9)),"#",getgrade(Broadsheet!Z212,data!$H$4:$I$9))</f>
        <v/>
      </c>
      <c r="AA101" s="188" t="str">
        <f>IF(ISERROR(getgrade(Broadsheet!AA212,data!$H$4:$I$9)),"#",getgrade(Broadsheet!AA212,data!$H$4:$I$9))</f>
        <v/>
      </c>
      <c r="AB101" s="188" t="str">
        <f>IF(ISERROR(getgrade(Broadsheet!AB212,data!$H$4:$I$9)),"#",getgrade(Broadsheet!AB212,data!$H$4:$I$9))</f>
        <v/>
      </c>
      <c r="AC101" s="188" t="str">
        <f>IF(ISERROR(getgrade(Broadsheet!AC212,data!$H$4:$I$9)),"#",getgrade(Broadsheet!AC212,data!$H$4:$I$9))</f>
        <v/>
      </c>
      <c r="AD101" s="188" t="str">
        <f>IF(ISERROR(getgrade(Broadsheet!AD212,data!$H$4:$I$9)),"#",getgrade(Broadsheet!AD212,data!$H$4:$I$9))</f>
        <v/>
      </c>
      <c r="AE101" s="188" t="str">
        <f>IF(ISERROR(getgrade(Broadsheet!AE212,data!$H$4:$I$9)),"#",getgrade(Broadsheet!AE212,data!$H$4:$I$9))</f>
        <v/>
      </c>
      <c r="AF101" s="188" t="str">
        <f>IF(ISERROR(getgrade(Broadsheet!AF212,data!$H$4:$I$9)),"#",getgrade(Broadsheet!AF212,data!$H$4:$I$9))</f>
        <v/>
      </c>
      <c r="AG101" s="188" t="str">
        <f>IF(ISERROR(getgrade(Broadsheet!AG212,data!$H$4:$I$9)),"#",getgrade(Broadsheet!AG212,data!$H$4:$I$9))</f>
        <v/>
      </c>
      <c r="AH101" s="188" t="str">
        <f>IF(ISERROR(getgrade(Broadsheet!AH212,data!$H$4:$I$9)),"#",getgrade(Broadsheet!AH212,data!$H$4:$I$9))</f>
        <v/>
      </c>
      <c r="AI101" s="188" t="str">
        <f>IF(ISERROR(getgrade(Broadsheet!AI212,data!$H$4:$I$9)),"#",getgrade(Broadsheet!AI212,data!$H$4:$I$9))</f>
        <v/>
      </c>
      <c r="AJ101" s="188" t="str">
        <f>IF(ISERROR(getgrade(Broadsheet!AJ212,data!$H$4:$I$9)),"#",getgrade(Broadsheet!AJ212,data!$H$4:$I$9))</f>
        <v/>
      </c>
      <c r="AK101" s="188" t="str">
        <f>IF(ISERROR(getgrade(Broadsheet!AK212,data!$H$4:$I$9)),"#",getgrade(Broadsheet!AK212,data!$H$4:$I$9))</f>
        <v/>
      </c>
      <c r="AL101" s="188" t="str">
        <f>IF(ISERROR(getgrade(Broadsheet!AL212,data!$H$4:$I$9)),"#",getgrade(Broadsheet!AL212,data!$H$4:$I$9))</f>
        <v/>
      </c>
      <c r="AM101" s="188" t="str">
        <f>IF(ISERROR(getgrade(Broadsheet!AM212,data!$H$4:$I$9)),"#",getgrade(Broadsheet!AM212,data!$H$4:$I$9))</f>
        <v/>
      </c>
      <c r="AN101" s="188" t="str">
        <f>IF(ISERROR(getgrade(Broadsheet!AN212,data!$H$4:$I$9)),"#",getgrade(Broadsheet!AN212,data!$H$4:$I$9))</f>
        <v/>
      </c>
      <c r="AO101" s="188" t="str">
        <f>IF(ISERROR(getgrade(Broadsheet!AO212,data!$H$4:$I$9)),"#",getgrade(Broadsheet!AO212,data!$H$4:$I$9))</f>
        <v/>
      </c>
      <c r="AP101" s="188" t="str">
        <f>IF(ISERROR(getgrade(Broadsheet!AP212,data!$H$4:$I$9)),"#",getgrade(Broadsheet!AP212,data!$H$4:$I$9))</f>
        <v/>
      </c>
      <c r="AQ101" s="188" t="str">
        <f>IF(ISERROR(getgrade(Broadsheet!AQ212,data!$H$4:$I$9)),"#",getgrade(Broadsheet!AQ212,data!$H$4:$I$9))</f>
        <v/>
      </c>
      <c r="AR101" s="188" t="str">
        <f>IF(ISERROR(getgrade(Broadsheet!AR212,data!$H$4:$I$9)),"#",getgrade(Broadsheet!AR212,data!$H$4:$I$9))</f>
        <v/>
      </c>
      <c r="AS101" s="188" t="str">
        <f>IF(ISERROR(getgrade(Broadsheet!AS212,data!$H$4:$I$9)),"#",getgrade(Broadsheet!AS212,data!$H$4:$I$9))</f>
        <v/>
      </c>
      <c r="AT101" s="188" t="str">
        <f>IF(ISERROR(getgrade(Broadsheet!AT212,data!$H$4:$I$9)),"#",getgrade(Broadsheet!AT212,data!$H$4:$I$9))</f>
        <v/>
      </c>
      <c r="AU101" s="188" t="str">
        <f>IF(ISERROR(getgrade(Broadsheet!AU212,data!$H$4:$I$9)),"#",getgrade(Broadsheet!AU212,data!$H$4:$I$9))</f>
        <v/>
      </c>
      <c r="AV101" s="188" t="str">
        <f>IF(ISERROR(getgrade(Broadsheet!AV212,data!$H$4:$I$9)),"#",getgrade(Broadsheet!AV212,data!$H$4:$I$9))</f>
        <v/>
      </c>
      <c r="AW101" s="188" t="str">
        <f>IF(ISERROR(getgrade(Broadsheet!AW212,data!$H$4:$I$9)),"#",getgrade(Broadsheet!AW212,data!$H$4:$I$9))</f>
        <v/>
      </c>
      <c r="AX101" s="188" t="str">
        <f>IF(ISERROR(getgrade(Broadsheet!AX212,data!$H$4:$I$9)),"#",getgrade(Broadsheet!AX212,data!$H$4:$I$9))</f>
        <v/>
      </c>
      <c r="AY101" s="188" t="str">
        <f>IF(ISERROR(getgrade(Broadsheet!AY212,data!$H$4:$I$9)),"#",getgrade(Broadsheet!AY212,data!$H$4:$I$9))</f>
        <v/>
      </c>
      <c r="AZ101" s="188" t="str">
        <f>IF(ISERROR(getgrade(Broadsheet!AZ212,data!$H$4:$I$9)),"#",getgrade(Broadsheet!AZ212,data!$H$4:$I$9))</f>
        <v/>
      </c>
      <c r="BA101" s="188" t="str">
        <f>IF(ISERROR(getgrade(Broadsheet!BA212,data!$H$4:$I$9)),"#",getgrade(Broadsheet!BA212,data!$H$4:$I$9))</f>
        <v/>
      </c>
      <c r="BB101" s="188" t="str">
        <f>IF(ISERROR(getgrade(Broadsheet!BB212,data!$H$4:$I$9)),"#",getgrade(Broadsheet!BB212,data!$H$4:$I$9))</f>
        <v/>
      </c>
      <c r="BC101" s="188" t="str">
        <f>IF(ISERROR(getgrade(Broadsheet!BC212,data!$H$4:$I$9)),"#",getgrade(Broadsheet!BC212,data!$H$4:$I$9))</f>
        <v/>
      </c>
      <c r="BD101" s="188" t="str">
        <f>IF(ISERROR(getgrade(Broadsheet!BD212,data!$H$4:$I$9)),"#",getgrade(Broadsheet!BD212,data!$H$4:$I$9))</f>
        <v/>
      </c>
      <c r="BE101" s="188" t="str">
        <f>IF(ISERROR(getgrade(Broadsheet!BE212,data!$H$4:$I$9)),"#",getgrade(Broadsheet!BE212,data!$H$4:$I$9))</f>
        <v/>
      </c>
      <c r="BF101" s="188" t="str">
        <f>IF(ISERROR(getgrade(Broadsheet!BF212,data!$H$4:$I$9)),"#",getgrade(Broadsheet!BF212,data!$H$4:$I$9))</f>
        <v/>
      </c>
      <c r="BG101" s="188" t="str">
        <f>IF(ISERROR(getgrade(Broadsheet!BG212,data!$H$4:$I$9)),"#",getgrade(Broadsheet!BG212,data!$H$4:$I$9))</f>
        <v/>
      </c>
      <c r="BH101" s="188" t="str">
        <f>IF(ISERROR(getgrade(Broadsheet!BH212,data!$H$4:$I$9)),"#",getgrade(Broadsheet!BH212,data!$H$4:$I$9))</f>
        <v/>
      </c>
      <c r="BI101" s="188" t="str">
        <f>IF(ISERROR(getgrade(Broadsheet!BI212,data!$H$4:$I$9)),"#",getgrade(Broadsheet!BI212,data!$H$4:$I$9))</f>
        <v/>
      </c>
      <c r="BJ101" s="188" t="str">
        <f>IF(ISERROR(getgrade(Broadsheet!BJ212,data!$H$4:$I$9)),"#",getgrade(Broadsheet!BJ212,data!$H$4:$I$9))</f>
        <v/>
      </c>
      <c r="BK101" s="188"/>
      <c r="BL101" s="188"/>
      <c r="BM101" s="188"/>
      <c r="BN101" s="188"/>
      <c r="BO101" s="188"/>
      <c r="BP101" s="188"/>
      <c r="BQ101" s="188"/>
      <c r="BR101" s="188"/>
      <c r="BS101" s="188"/>
      <c r="BT101" s="188"/>
      <c r="BU101" s="188"/>
      <c r="BV101" s="188"/>
      <c r="BW101" s="188"/>
      <c r="BX101" s="188"/>
      <c r="BY101" s="188"/>
      <c r="BZ101" s="188"/>
      <c r="CA101" s="188"/>
      <c r="CB101" s="188"/>
      <c r="CC101" s="188"/>
      <c r="CD101" s="188"/>
      <c r="CE101" s="188"/>
      <c r="CF101" s="188"/>
      <c r="CG101" s="188"/>
      <c r="CH101" s="188"/>
      <c r="CI101" s="188"/>
      <c r="CJ101" s="188"/>
      <c r="CK101" s="188"/>
      <c r="CL101" s="188"/>
      <c r="CM101" s="188"/>
      <c r="CN101" s="188"/>
      <c r="CO101" s="188"/>
      <c r="CP101" s="188"/>
      <c r="CQ101" s="188"/>
      <c r="CR101" s="188"/>
      <c r="CS101" s="188"/>
      <c r="CT101" s="188"/>
      <c r="CU101" s="188"/>
      <c r="CV101" s="188"/>
      <c r="CW101" s="188"/>
      <c r="CX101" s="188"/>
      <c r="CY101" s="188"/>
      <c r="CZ101" s="188"/>
      <c r="DA101" s="188"/>
      <c r="DB101" s="188"/>
      <c r="DC101" s="188"/>
      <c r="DD101" s="188"/>
      <c r="DE101" s="188"/>
      <c r="DF101" s="188"/>
      <c r="DG101" s="188"/>
      <c r="DH101" s="188"/>
      <c r="DI101" s="188"/>
      <c r="DJ101" s="188"/>
      <c r="DK101" s="188"/>
      <c r="DL101" s="188"/>
      <c r="DM101" s="188"/>
      <c r="DN101" s="188"/>
      <c r="DO101" s="188"/>
      <c r="DP101" s="188"/>
      <c r="DQ101" s="188"/>
      <c r="DR101" s="188"/>
      <c r="DS101" s="188"/>
      <c r="DT101" s="188"/>
      <c r="DU101" s="188"/>
      <c r="DV101" s="188"/>
      <c r="DW101" s="188"/>
      <c r="DX101" s="188"/>
      <c r="DY101" s="188"/>
      <c r="DZ101" s="188"/>
      <c r="EA101" s="188"/>
    </row>
    <row r="102" spans="1:131" ht="15.75" x14ac:dyDescent="0.25">
      <c r="A102" s="12">
        <f>Broadsheet!A213</f>
        <v>0</v>
      </c>
      <c r="B102" s="204" t="str">
        <f>IF(Broadsheet!B102="","",Broadsheet!B102)</f>
        <v/>
      </c>
      <c r="C102" s="24" t="str">
        <f>IF(Broadsheet!C102="","",Broadsheet!C102)</f>
        <v xml:space="preserve"> </v>
      </c>
      <c r="G102" s="24" t="str">
        <f t="shared" si="1"/>
        <v/>
      </c>
      <c r="H102" s="188" t="str">
        <f>IF(ISERROR(getgrade(Broadsheet!H213,data!$H$4:$I$9)),"#",getgrade(Broadsheet!H213,data!$H$4:$I$9))</f>
        <v/>
      </c>
      <c r="I102" s="188" t="str">
        <f>IF(ISERROR(getgrade(Broadsheet!I213,data!$H$4:$I$9)),"#",getgrade(Broadsheet!I213,data!$H$4:$I$9))</f>
        <v/>
      </c>
      <c r="J102" s="188" t="str">
        <f>IF(ISERROR(getgrade(Broadsheet!J213,data!$H$4:$I$9)),"#",getgrade(Broadsheet!J213,data!$H$4:$I$9))</f>
        <v/>
      </c>
      <c r="K102" s="188" t="str">
        <f>IF(ISERROR(getgrade(Broadsheet!K213,data!$H$4:$I$9)),"#",getgrade(Broadsheet!K213,data!$H$4:$I$9))</f>
        <v/>
      </c>
      <c r="L102" s="188" t="str">
        <f>IF(ISERROR(getgrade(Broadsheet!L213,data!$H$4:$I$9)),"#",getgrade(Broadsheet!L213,data!$H$4:$I$9))</f>
        <v/>
      </c>
      <c r="M102" s="188" t="str">
        <f>IF(ISERROR(getgrade(Broadsheet!M213,data!$H$4:$I$9)),"#",getgrade(Broadsheet!M213,data!$H$4:$I$9))</f>
        <v/>
      </c>
      <c r="N102" s="188" t="str">
        <f>IF(ISERROR(getgrade(Broadsheet!N213,data!$H$4:$I$9)),"#",getgrade(Broadsheet!N213,data!$H$4:$I$9))</f>
        <v/>
      </c>
      <c r="O102" s="188" t="str">
        <f>IF(ISERROR(getgrade(Broadsheet!O213,data!$H$4:$I$9)),"#",getgrade(Broadsheet!O213,data!$H$4:$I$9))</f>
        <v/>
      </c>
      <c r="P102" s="188" t="str">
        <f>IF(ISERROR(getgrade(Broadsheet!P213,data!$H$4:$I$9)),"#",getgrade(Broadsheet!P213,data!$H$4:$I$9))</f>
        <v/>
      </c>
      <c r="Q102" s="188" t="str">
        <f>IF(ISERROR(getgrade(Broadsheet!Q213,data!$H$4:$I$9)),"#",getgrade(Broadsheet!Q213,data!$H$4:$I$9))</f>
        <v/>
      </c>
      <c r="R102" s="188" t="str">
        <f>IF(ISERROR(getgrade(Broadsheet!R213,data!$H$4:$I$9)),"#",getgrade(Broadsheet!R213,data!$H$4:$I$9))</f>
        <v/>
      </c>
      <c r="S102" s="188" t="str">
        <f>IF(ISERROR(getgrade(Broadsheet!S213,data!$H$4:$I$9)),"#",getgrade(Broadsheet!S213,data!$H$4:$I$9))</f>
        <v/>
      </c>
      <c r="T102" s="188" t="str">
        <f>IF(ISERROR(getgrade(Broadsheet!T213,data!$H$4:$I$9)),"#",getgrade(Broadsheet!T213,data!$H$4:$I$9))</f>
        <v/>
      </c>
      <c r="U102" s="188" t="str">
        <f>IF(ISERROR(getgrade(Broadsheet!U213,data!$H$4:$I$9)),"#",getgrade(Broadsheet!U213,data!$H$4:$I$9))</f>
        <v/>
      </c>
      <c r="V102" s="188" t="str">
        <f>IF(ISERROR(getgrade(Broadsheet!V213,data!$H$4:$I$9)),"#",getgrade(Broadsheet!V213,data!$H$4:$I$9))</f>
        <v/>
      </c>
      <c r="W102" s="188" t="str">
        <f>IF(ISERROR(getgrade(Broadsheet!W213,data!$H$4:$I$9)),"#",getgrade(Broadsheet!W213,data!$H$4:$I$9))</f>
        <v/>
      </c>
      <c r="X102" s="188" t="str">
        <f>IF(ISERROR(getgrade(Broadsheet!X213,data!$H$4:$I$9)),"#",getgrade(Broadsheet!X213,data!$H$4:$I$9))</f>
        <v/>
      </c>
      <c r="Y102" s="188" t="str">
        <f>IF(ISERROR(getgrade(Broadsheet!Y213,data!$H$4:$I$9)),"#",getgrade(Broadsheet!Y213,data!$H$4:$I$9))</f>
        <v/>
      </c>
      <c r="Z102" s="188" t="str">
        <f>IF(ISERROR(getgrade(Broadsheet!Z213,data!$H$4:$I$9)),"#",getgrade(Broadsheet!Z213,data!$H$4:$I$9))</f>
        <v/>
      </c>
      <c r="AA102" s="188" t="str">
        <f>IF(ISERROR(getgrade(Broadsheet!AA213,data!$H$4:$I$9)),"#",getgrade(Broadsheet!AA213,data!$H$4:$I$9))</f>
        <v/>
      </c>
      <c r="AB102" s="188" t="str">
        <f>IF(ISERROR(getgrade(Broadsheet!AB213,data!$H$4:$I$9)),"#",getgrade(Broadsheet!AB213,data!$H$4:$I$9))</f>
        <v/>
      </c>
      <c r="AC102" s="188" t="str">
        <f>IF(ISERROR(getgrade(Broadsheet!AC213,data!$H$4:$I$9)),"#",getgrade(Broadsheet!AC213,data!$H$4:$I$9))</f>
        <v/>
      </c>
      <c r="AD102" s="188" t="str">
        <f>IF(ISERROR(getgrade(Broadsheet!AD213,data!$H$4:$I$9)),"#",getgrade(Broadsheet!AD213,data!$H$4:$I$9))</f>
        <v/>
      </c>
      <c r="AE102" s="188" t="str">
        <f>IF(ISERROR(getgrade(Broadsheet!AE213,data!$H$4:$I$9)),"#",getgrade(Broadsheet!AE213,data!$H$4:$I$9))</f>
        <v/>
      </c>
      <c r="AF102" s="188" t="str">
        <f>IF(ISERROR(getgrade(Broadsheet!AF213,data!$H$4:$I$9)),"#",getgrade(Broadsheet!AF213,data!$H$4:$I$9))</f>
        <v/>
      </c>
      <c r="AG102" s="188" t="str">
        <f>IF(ISERROR(getgrade(Broadsheet!AG213,data!$H$4:$I$9)),"#",getgrade(Broadsheet!AG213,data!$H$4:$I$9))</f>
        <v/>
      </c>
      <c r="AH102" s="188" t="str">
        <f>IF(ISERROR(getgrade(Broadsheet!AH213,data!$H$4:$I$9)),"#",getgrade(Broadsheet!AH213,data!$H$4:$I$9))</f>
        <v/>
      </c>
      <c r="AI102" s="188" t="str">
        <f>IF(ISERROR(getgrade(Broadsheet!AI213,data!$H$4:$I$9)),"#",getgrade(Broadsheet!AI213,data!$H$4:$I$9))</f>
        <v/>
      </c>
      <c r="AJ102" s="188" t="str">
        <f>IF(ISERROR(getgrade(Broadsheet!AJ213,data!$H$4:$I$9)),"#",getgrade(Broadsheet!AJ213,data!$H$4:$I$9))</f>
        <v/>
      </c>
      <c r="AK102" s="188" t="str">
        <f>IF(ISERROR(getgrade(Broadsheet!AK213,data!$H$4:$I$9)),"#",getgrade(Broadsheet!AK213,data!$H$4:$I$9))</f>
        <v/>
      </c>
      <c r="AL102" s="188" t="str">
        <f>IF(ISERROR(getgrade(Broadsheet!AL213,data!$H$4:$I$9)),"#",getgrade(Broadsheet!AL213,data!$H$4:$I$9))</f>
        <v/>
      </c>
      <c r="AM102" s="188" t="str">
        <f>IF(ISERROR(getgrade(Broadsheet!AM213,data!$H$4:$I$9)),"#",getgrade(Broadsheet!AM213,data!$H$4:$I$9))</f>
        <v/>
      </c>
      <c r="AN102" s="188" t="str">
        <f>IF(ISERROR(getgrade(Broadsheet!AN213,data!$H$4:$I$9)),"#",getgrade(Broadsheet!AN213,data!$H$4:$I$9))</f>
        <v/>
      </c>
      <c r="AO102" s="188" t="str">
        <f>IF(ISERROR(getgrade(Broadsheet!AO213,data!$H$4:$I$9)),"#",getgrade(Broadsheet!AO213,data!$H$4:$I$9))</f>
        <v/>
      </c>
      <c r="AP102" s="188" t="str">
        <f>IF(ISERROR(getgrade(Broadsheet!AP213,data!$H$4:$I$9)),"#",getgrade(Broadsheet!AP213,data!$H$4:$I$9))</f>
        <v/>
      </c>
      <c r="AQ102" s="188" t="str">
        <f>IF(ISERROR(getgrade(Broadsheet!AQ213,data!$H$4:$I$9)),"#",getgrade(Broadsheet!AQ213,data!$H$4:$I$9))</f>
        <v/>
      </c>
      <c r="AR102" s="188" t="str">
        <f>IF(ISERROR(getgrade(Broadsheet!AR213,data!$H$4:$I$9)),"#",getgrade(Broadsheet!AR213,data!$H$4:$I$9))</f>
        <v/>
      </c>
      <c r="AS102" s="188" t="str">
        <f>IF(ISERROR(getgrade(Broadsheet!AS213,data!$H$4:$I$9)),"#",getgrade(Broadsheet!AS213,data!$H$4:$I$9))</f>
        <v/>
      </c>
      <c r="AT102" s="188" t="str">
        <f>IF(ISERROR(getgrade(Broadsheet!AT213,data!$H$4:$I$9)),"#",getgrade(Broadsheet!AT213,data!$H$4:$I$9))</f>
        <v/>
      </c>
      <c r="AU102" s="188" t="str">
        <f>IF(ISERROR(getgrade(Broadsheet!AU213,data!$H$4:$I$9)),"#",getgrade(Broadsheet!AU213,data!$H$4:$I$9))</f>
        <v/>
      </c>
      <c r="AV102" s="188" t="str">
        <f>IF(ISERROR(getgrade(Broadsheet!AV213,data!$H$4:$I$9)),"#",getgrade(Broadsheet!AV213,data!$H$4:$I$9))</f>
        <v/>
      </c>
      <c r="AW102" s="188" t="str">
        <f>IF(ISERROR(getgrade(Broadsheet!AW213,data!$H$4:$I$9)),"#",getgrade(Broadsheet!AW213,data!$H$4:$I$9))</f>
        <v/>
      </c>
      <c r="AX102" s="188" t="str">
        <f>IF(ISERROR(getgrade(Broadsheet!AX213,data!$H$4:$I$9)),"#",getgrade(Broadsheet!AX213,data!$H$4:$I$9))</f>
        <v/>
      </c>
      <c r="AY102" s="188" t="str">
        <f>IF(ISERROR(getgrade(Broadsheet!AY213,data!$H$4:$I$9)),"#",getgrade(Broadsheet!AY213,data!$H$4:$I$9))</f>
        <v/>
      </c>
      <c r="AZ102" s="188" t="str">
        <f>IF(ISERROR(getgrade(Broadsheet!AZ213,data!$H$4:$I$9)),"#",getgrade(Broadsheet!AZ213,data!$H$4:$I$9))</f>
        <v/>
      </c>
      <c r="BA102" s="188" t="str">
        <f>IF(ISERROR(getgrade(Broadsheet!BA213,data!$H$4:$I$9)),"#",getgrade(Broadsheet!BA213,data!$H$4:$I$9))</f>
        <v/>
      </c>
      <c r="BB102" s="188" t="str">
        <f>IF(ISERROR(getgrade(Broadsheet!BB213,data!$H$4:$I$9)),"#",getgrade(Broadsheet!BB213,data!$H$4:$I$9))</f>
        <v/>
      </c>
      <c r="BC102" s="188" t="str">
        <f>IF(ISERROR(getgrade(Broadsheet!BC213,data!$H$4:$I$9)),"#",getgrade(Broadsheet!BC213,data!$H$4:$I$9))</f>
        <v/>
      </c>
      <c r="BD102" s="188" t="str">
        <f>IF(ISERROR(getgrade(Broadsheet!BD213,data!$H$4:$I$9)),"#",getgrade(Broadsheet!BD213,data!$H$4:$I$9))</f>
        <v/>
      </c>
      <c r="BE102" s="188" t="str">
        <f>IF(ISERROR(getgrade(Broadsheet!BE213,data!$H$4:$I$9)),"#",getgrade(Broadsheet!BE213,data!$H$4:$I$9))</f>
        <v/>
      </c>
      <c r="BF102" s="188" t="str">
        <f>IF(ISERROR(getgrade(Broadsheet!BF213,data!$H$4:$I$9)),"#",getgrade(Broadsheet!BF213,data!$H$4:$I$9))</f>
        <v/>
      </c>
      <c r="BG102" s="188" t="str">
        <f>IF(ISERROR(getgrade(Broadsheet!BG213,data!$H$4:$I$9)),"#",getgrade(Broadsheet!BG213,data!$H$4:$I$9))</f>
        <v/>
      </c>
      <c r="BH102" s="188" t="str">
        <f>IF(ISERROR(getgrade(Broadsheet!BH213,data!$H$4:$I$9)),"#",getgrade(Broadsheet!BH213,data!$H$4:$I$9))</f>
        <v/>
      </c>
      <c r="BI102" s="188" t="str">
        <f>IF(ISERROR(getgrade(Broadsheet!BI213,data!$H$4:$I$9)),"#",getgrade(Broadsheet!BI213,data!$H$4:$I$9))</f>
        <v/>
      </c>
      <c r="BJ102" s="188" t="str">
        <f>IF(ISERROR(getgrade(Broadsheet!BJ213,data!$H$4:$I$9)),"#",getgrade(Broadsheet!BJ213,data!$H$4:$I$9))</f>
        <v/>
      </c>
      <c r="BK102" s="188"/>
      <c r="BL102" s="188"/>
      <c r="BM102" s="188"/>
      <c r="BN102" s="188"/>
      <c r="BO102" s="188"/>
      <c r="BP102" s="188"/>
      <c r="BQ102" s="188"/>
      <c r="BR102" s="188"/>
      <c r="BS102" s="188"/>
      <c r="BT102" s="188"/>
      <c r="BU102" s="188"/>
      <c r="BV102" s="188"/>
      <c r="BW102" s="188"/>
      <c r="BX102" s="188"/>
      <c r="BY102" s="188"/>
      <c r="BZ102" s="188"/>
      <c r="CA102" s="188"/>
      <c r="CB102" s="188"/>
      <c r="CC102" s="188"/>
      <c r="CD102" s="188"/>
      <c r="CE102" s="188"/>
      <c r="CF102" s="188"/>
      <c r="CG102" s="188"/>
      <c r="CH102" s="188"/>
      <c r="CI102" s="188"/>
      <c r="CJ102" s="188"/>
      <c r="CK102" s="188"/>
      <c r="CL102" s="188"/>
      <c r="CM102" s="188"/>
      <c r="CN102" s="188"/>
      <c r="CO102" s="188"/>
      <c r="CP102" s="188"/>
      <c r="CQ102" s="188"/>
      <c r="CR102" s="188"/>
      <c r="CS102" s="188"/>
      <c r="CT102" s="188"/>
      <c r="CU102" s="188"/>
      <c r="CV102" s="188"/>
      <c r="CW102" s="188"/>
      <c r="CX102" s="188"/>
      <c r="CY102" s="188"/>
      <c r="CZ102" s="188"/>
      <c r="DA102" s="188"/>
      <c r="DB102" s="188"/>
      <c r="DC102" s="188"/>
      <c r="DD102" s="188"/>
      <c r="DE102" s="188"/>
      <c r="DF102" s="188"/>
      <c r="DG102" s="188"/>
      <c r="DH102" s="188"/>
      <c r="DI102" s="188"/>
      <c r="DJ102" s="188"/>
      <c r="DK102" s="188"/>
      <c r="DL102" s="188"/>
      <c r="DM102" s="188"/>
      <c r="DN102" s="188"/>
      <c r="DO102" s="188"/>
      <c r="DP102" s="188"/>
      <c r="DQ102" s="188"/>
      <c r="DR102" s="188"/>
      <c r="DS102" s="188"/>
      <c r="DT102" s="188"/>
      <c r="DU102" s="188"/>
      <c r="DV102" s="188"/>
      <c r="DW102" s="188"/>
      <c r="DX102" s="188"/>
      <c r="DY102" s="188"/>
      <c r="DZ102" s="188"/>
      <c r="EA102" s="188"/>
    </row>
    <row r="103" spans="1:131" ht="15.75" x14ac:dyDescent="0.25">
      <c r="A103" s="12">
        <f>Broadsheet!A214</f>
        <v>0</v>
      </c>
      <c r="B103" s="204" t="str">
        <f>IF(Broadsheet!B103="","",Broadsheet!B103)</f>
        <v/>
      </c>
      <c r="C103" s="24" t="str">
        <f>IF(Broadsheet!C103="","",Broadsheet!C103)</f>
        <v xml:space="preserve"> </v>
      </c>
      <c r="G103" s="24" t="str">
        <f t="shared" si="1"/>
        <v/>
      </c>
      <c r="H103" s="188" t="str">
        <f>IF(ISERROR(getgrade(Broadsheet!H214,data!$H$4:$I$9)),"#",getgrade(Broadsheet!H214,data!$H$4:$I$9))</f>
        <v/>
      </c>
      <c r="I103" s="188" t="str">
        <f>IF(ISERROR(getgrade(Broadsheet!I214,data!$H$4:$I$9)),"#",getgrade(Broadsheet!I214,data!$H$4:$I$9))</f>
        <v/>
      </c>
      <c r="J103" s="188" t="str">
        <f>IF(ISERROR(getgrade(Broadsheet!J214,data!$H$4:$I$9)),"#",getgrade(Broadsheet!J214,data!$H$4:$I$9))</f>
        <v/>
      </c>
      <c r="K103" s="188" t="str">
        <f>IF(ISERROR(getgrade(Broadsheet!K214,data!$H$4:$I$9)),"#",getgrade(Broadsheet!K214,data!$H$4:$I$9))</f>
        <v/>
      </c>
      <c r="L103" s="188" t="str">
        <f>IF(ISERROR(getgrade(Broadsheet!L214,data!$H$4:$I$9)),"#",getgrade(Broadsheet!L214,data!$H$4:$I$9))</f>
        <v/>
      </c>
      <c r="M103" s="188" t="str">
        <f>IF(ISERROR(getgrade(Broadsheet!M214,data!$H$4:$I$9)),"#",getgrade(Broadsheet!M214,data!$H$4:$I$9))</f>
        <v/>
      </c>
      <c r="N103" s="188" t="str">
        <f>IF(ISERROR(getgrade(Broadsheet!N214,data!$H$4:$I$9)),"#",getgrade(Broadsheet!N214,data!$H$4:$I$9))</f>
        <v/>
      </c>
      <c r="O103" s="188" t="str">
        <f>IF(ISERROR(getgrade(Broadsheet!O214,data!$H$4:$I$9)),"#",getgrade(Broadsheet!O214,data!$H$4:$I$9))</f>
        <v/>
      </c>
      <c r="P103" s="188" t="str">
        <f>IF(ISERROR(getgrade(Broadsheet!P214,data!$H$4:$I$9)),"#",getgrade(Broadsheet!P214,data!$H$4:$I$9))</f>
        <v/>
      </c>
      <c r="Q103" s="188" t="str">
        <f>IF(ISERROR(getgrade(Broadsheet!Q214,data!$H$4:$I$9)),"#",getgrade(Broadsheet!Q214,data!$H$4:$I$9))</f>
        <v/>
      </c>
      <c r="R103" s="188" t="str">
        <f>IF(ISERROR(getgrade(Broadsheet!R214,data!$H$4:$I$9)),"#",getgrade(Broadsheet!R214,data!$H$4:$I$9))</f>
        <v/>
      </c>
      <c r="S103" s="188" t="str">
        <f>IF(ISERROR(getgrade(Broadsheet!S214,data!$H$4:$I$9)),"#",getgrade(Broadsheet!S214,data!$H$4:$I$9))</f>
        <v/>
      </c>
      <c r="T103" s="188" t="str">
        <f>IF(ISERROR(getgrade(Broadsheet!T214,data!$H$4:$I$9)),"#",getgrade(Broadsheet!T214,data!$H$4:$I$9))</f>
        <v/>
      </c>
      <c r="U103" s="188" t="str">
        <f>IF(ISERROR(getgrade(Broadsheet!U214,data!$H$4:$I$9)),"#",getgrade(Broadsheet!U214,data!$H$4:$I$9))</f>
        <v/>
      </c>
      <c r="V103" s="188" t="str">
        <f>IF(ISERROR(getgrade(Broadsheet!V214,data!$H$4:$I$9)),"#",getgrade(Broadsheet!V214,data!$H$4:$I$9))</f>
        <v/>
      </c>
      <c r="W103" s="188" t="str">
        <f>IF(ISERROR(getgrade(Broadsheet!W214,data!$H$4:$I$9)),"#",getgrade(Broadsheet!W214,data!$H$4:$I$9))</f>
        <v/>
      </c>
      <c r="X103" s="188" t="str">
        <f>IF(ISERROR(getgrade(Broadsheet!X214,data!$H$4:$I$9)),"#",getgrade(Broadsheet!X214,data!$H$4:$I$9))</f>
        <v/>
      </c>
      <c r="Y103" s="188" t="str">
        <f>IF(ISERROR(getgrade(Broadsheet!Y214,data!$H$4:$I$9)),"#",getgrade(Broadsheet!Y214,data!$H$4:$I$9))</f>
        <v/>
      </c>
      <c r="Z103" s="188" t="str">
        <f>IF(ISERROR(getgrade(Broadsheet!Z214,data!$H$4:$I$9)),"#",getgrade(Broadsheet!Z214,data!$H$4:$I$9))</f>
        <v/>
      </c>
      <c r="AA103" s="188" t="str">
        <f>IF(ISERROR(getgrade(Broadsheet!AA214,data!$H$4:$I$9)),"#",getgrade(Broadsheet!AA214,data!$H$4:$I$9))</f>
        <v/>
      </c>
      <c r="AB103" s="188" t="str">
        <f>IF(ISERROR(getgrade(Broadsheet!AB214,data!$H$4:$I$9)),"#",getgrade(Broadsheet!AB214,data!$H$4:$I$9))</f>
        <v/>
      </c>
      <c r="AC103" s="188" t="str">
        <f>IF(ISERROR(getgrade(Broadsheet!AC214,data!$H$4:$I$9)),"#",getgrade(Broadsheet!AC214,data!$H$4:$I$9))</f>
        <v/>
      </c>
      <c r="AD103" s="188" t="str">
        <f>IF(ISERROR(getgrade(Broadsheet!AD214,data!$H$4:$I$9)),"#",getgrade(Broadsheet!AD214,data!$H$4:$I$9))</f>
        <v/>
      </c>
      <c r="AE103" s="188" t="str">
        <f>IF(ISERROR(getgrade(Broadsheet!AE214,data!$H$4:$I$9)),"#",getgrade(Broadsheet!AE214,data!$H$4:$I$9))</f>
        <v/>
      </c>
      <c r="AF103" s="188" t="str">
        <f>IF(ISERROR(getgrade(Broadsheet!AF214,data!$H$4:$I$9)),"#",getgrade(Broadsheet!AF214,data!$H$4:$I$9))</f>
        <v/>
      </c>
      <c r="AG103" s="188" t="str">
        <f>IF(ISERROR(getgrade(Broadsheet!AG214,data!$H$4:$I$9)),"#",getgrade(Broadsheet!AG214,data!$H$4:$I$9))</f>
        <v/>
      </c>
      <c r="AH103" s="188" t="str">
        <f>IF(ISERROR(getgrade(Broadsheet!AH214,data!$H$4:$I$9)),"#",getgrade(Broadsheet!AH214,data!$H$4:$I$9))</f>
        <v/>
      </c>
      <c r="AI103" s="188" t="str">
        <f>IF(ISERROR(getgrade(Broadsheet!AI214,data!$H$4:$I$9)),"#",getgrade(Broadsheet!AI214,data!$H$4:$I$9))</f>
        <v/>
      </c>
      <c r="AJ103" s="188" t="str">
        <f>IF(ISERROR(getgrade(Broadsheet!AJ214,data!$H$4:$I$9)),"#",getgrade(Broadsheet!AJ214,data!$H$4:$I$9))</f>
        <v/>
      </c>
      <c r="AK103" s="188" t="str">
        <f>IF(ISERROR(getgrade(Broadsheet!AK214,data!$H$4:$I$9)),"#",getgrade(Broadsheet!AK214,data!$H$4:$I$9))</f>
        <v/>
      </c>
      <c r="AL103" s="188" t="str">
        <f>IF(ISERROR(getgrade(Broadsheet!AL214,data!$H$4:$I$9)),"#",getgrade(Broadsheet!AL214,data!$H$4:$I$9))</f>
        <v/>
      </c>
      <c r="AM103" s="188" t="str">
        <f>IF(ISERROR(getgrade(Broadsheet!AM214,data!$H$4:$I$9)),"#",getgrade(Broadsheet!AM214,data!$H$4:$I$9))</f>
        <v/>
      </c>
      <c r="AN103" s="188" t="str">
        <f>IF(ISERROR(getgrade(Broadsheet!AN214,data!$H$4:$I$9)),"#",getgrade(Broadsheet!AN214,data!$H$4:$I$9))</f>
        <v/>
      </c>
      <c r="AO103" s="188" t="str">
        <f>IF(ISERROR(getgrade(Broadsheet!AO214,data!$H$4:$I$9)),"#",getgrade(Broadsheet!AO214,data!$H$4:$I$9))</f>
        <v/>
      </c>
      <c r="AP103" s="188" t="str">
        <f>IF(ISERROR(getgrade(Broadsheet!AP214,data!$H$4:$I$9)),"#",getgrade(Broadsheet!AP214,data!$H$4:$I$9))</f>
        <v/>
      </c>
      <c r="AQ103" s="188" t="str">
        <f>IF(ISERROR(getgrade(Broadsheet!AQ214,data!$H$4:$I$9)),"#",getgrade(Broadsheet!AQ214,data!$H$4:$I$9))</f>
        <v/>
      </c>
      <c r="AR103" s="188" t="str">
        <f>IF(ISERROR(getgrade(Broadsheet!AR214,data!$H$4:$I$9)),"#",getgrade(Broadsheet!AR214,data!$H$4:$I$9))</f>
        <v/>
      </c>
      <c r="AS103" s="188" t="str">
        <f>IF(ISERROR(getgrade(Broadsheet!AS214,data!$H$4:$I$9)),"#",getgrade(Broadsheet!AS214,data!$H$4:$I$9))</f>
        <v/>
      </c>
      <c r="AT103" s="188" t="str">
        <f>IF(ISERROR(getgrade(Broadsheet!AT214,data!$H$4:$I$9)),"#",getgrade(Broadsheet!AT214,data!$H$4:$I$9))</f>
        <v/>
      </c>
      <c r="AU103" s="188" t="str">
        <f>IF(ISERROR(getgrade(Broadsheet!AU214,data!$H$4:$I$9)),"#",getgrade(Broadsheet!AU214,data!$H$4:$I$9))</f>
        <v/>
      </c>
      <c r="AV103" s="188" t="str">
        <f>IF(ISERROR(getgrade(Broadsheet!AV214,data!$H$4:$I$9)),"#",getgrade(Broadsheet!AV214,data!$H$4:$I$9))</f>
        <v/>
      </c>
      <c r="AW103" s="188" t="str">
        <f>IF(ISERROR(getgrade(Broadsheet!AW214,data!$H$4:$I$9)),"#",getgrade(Broadsheet!AW214,data!$H$4:$I$9))</f>
        <v/>
      </c>
      <c r="AX103" s="188" t="str">
        <f>IF(ISERROR(getgrade(Broadsheet!AX214,data!$H$4:$I$9)),"#",getgrade(Broadsheet!AX214,data!$H$4:$I$9))</f>
        <v/>
      </c>
      <c r="AY103" s="188" t="str">
        <f>IF(ISERROR(getgrade(Broadsheet!AY214,data!$H$4:$I$9)),"#",getgrade(Broadsheet!AY214,data!$H$4:$I$9))</f>
        <v/>
      </c>
      <c r="AZ103" s="188" t="str">
        <f>IF(ISERROR(getgrade(Broadsheet!AZ214,data!$H$4:$I$9)),"#",getgrade(Broadsheet!AZ214,data!$H$4:$I$9))</f>
        <v/>
      </c>
      <c r="BA103" s="188" t="str">
        <f>IF(ISERROR(getgrade(Broadsheet!BA214,data!$H$4:$I$9)),"#",getgrade(Broadsheet!BA214,data!$H$4:$I$9))</f>
        <v/>
      </c>
      <c r="BB103" s="188" t="str">
        <f>IF(ISERROR(getgrade(Broadsheet!BB214,data!$H$4:$I$9)),"#",getgrade(Broadsheet!BB214,data!$H$4:$I$9))</f>
        <v/>
      </c>
      <c r="BC103" s="188" t="str">
        <f>IF(ISERROR(getgrade(Broadsheet!BC214,data!$H$4:$I$9)),"#",getgrade(Broadsheet!BC214,data!$H$4:$I$9))</f>
        <v/>
      </c>
      <c r="BD103" s="188" t="str">
        <f>IF(ISERROR(getgrade(Broadsheet!BD214,data!$H$4:$I$9)),"#",getgrade(Broadsheet!BD214,data!$H$4:$I$9))</f>
        <v/>
      </c>
      <c r="BE103" s="188" t="str">
        <f>IF(ISERROR(getgrade(Broadsheet!BE214,data!$H$4:$I$9)),"#",getgrade(Broadsheet!BE214,data!$H$4:$I$9))</f>
        <v/>
      </c>
      <c r="BF103" s="188" t="str">
        <f>IF(ISERROR(getgrade(Broadsheet!BF214,data!$H$4:$I$9)),"#",getgrade(Broadsheet!BF214,data!$H$4:$I$9))</f>
        <v/>
      </c>
      <c r="BG103" s="188" t="str">
        <f>IF(ISERROR(getgrade(Broadsheet!BG214,data!$H$4:$I$9)),"#",getgrade(Broadsheet!BG214,data!$H$4:$I$9))</f>
        <v/>
      </c>
      <c r="BH103" s="188" t="str">
        <f>IF(ISERROR(getgrade(Broadsheet!BH214,data!$H$4:$I$9)),"#",getgrade(Broadsheet!BH214,data!$H$4:$I$9))</f>
        <v/>
      </c>
      <c r="BI103" s="188" t="str">
        <f>IF(ISERROR(getgrade(Broadsheet!BI214,data!$H$4:$I$9)),"#",getgrade(Broadsheet!BI214,data!$H$4:$I$9))</f>
        <v/>
      </c>
      <c r="BJ103" s="188" t="str">
        <f>IF(ISERROR(getgrade(Broadsheet!BJ214,data!$H$4:$I$9)),"#",getgrade(Broadsheet!BJ214,data!$H$4:$I$9))</f>
        <v/>
      </c>
      <c r="BK103" s="188"/>
      <c r="BL103" s="188"/>
      <c r="BM103" s="188"/>
      <c r="BN103" s="188"/>
      <c r="BO103" s="188"/>
      <c r="BP103" s="188"/>
      <c r="BQ103" s="188"/>
      <c r="BR103" s="188"/>
      <c r="BS103" s="188"/>
      <c r="BT103" s="188"/>
      <c r="BU103" s="188"/>
      <c r="BV103" s="188"/>
      <c r="BW103" s="188"/>
      <c r="BX103" s="188"/>
      <c r="BY103" s="188"/>
      <c r="BZ103" s="188"/>
      <c r="CA103" s="188"/>
      <c r="CB103" s="188"/>
      <c r="CC103" s="188"/>
      <c r="CD103" s="188"/>
      <c r="CE103" s="188"/>
      <c r="CF103" s="188"/>
      <c r="CG103" s="188"/>
      <c r="CH103" s="188"/>
      <c r="CI103" s="188"/>
      <c r="CJ103" s="188"/>
      <c r="CK103" s="188"/>
      <c r="CL103" s="188"/>
      <c r="CM103" s="188"/>
      <c r="CN103" s="188"/>
      <c r="CO103" s="188"/>
      <c r="CP103" s="188"/>
      <c r="CQ103" s="188"/>
      <c r="CR103" s="188"/>
      <c r="CS103" s="188"/>
      <c r="CT103" s="188"/>
      <c r="CU103" s="188"/>
      <c r="CV103" s="188"/>
      <c r="CW103" s="188"/>
      <c r="CX103" s="188"/>
      <c r="CY103" s="188"/>
      <c r="CZ103" s="188"/>
      <c r="DA103" s="188"/>
      <c r="DB103" s="188"/>
      <c r="DC103" s="188"/>
      <c r="DD103" s="188"/>
      <c r="DE103" s="188"/>
      <c r="DF103" s="188"/>
      <c r="DG103" s="188"/>
      <c r="DH103" s="188"/>
      <c r="DI103" s="188"/>
      <c r="DJ103" s="188"/>
      <c r="DK103" s="188"/>
      <c r="DL103" s="188"/>
      <c r="DM103" s="188"/>
      <c r="DN103" s="188"/>
      <c r="DO103" s="188"/>
      <c r="DP103" s="188"/>
      <c r="DQ103" s="188"/>
      <c r="DR103" s="188"/>
      <c r="DS103" s="188"/>
      <c r="DT103" s="188"/>
      <c r="DU103" s="188"/>
      <c r="DV103" s="188"/>
      <c r="DW103" s="188"/>
      <c r="DX103" s="188"/>
      <c r="DY103" s="188"/>
      <c r="DZ103" s="188"/>
      <c r="EA103" s="188"/>
    </row>
    <row r="104" spans="1:131" ht="15.75" x14ac:dyDescent="0.25">
      <c r="A104" s="12">
        <f>Broadsheet!A215</f>
        <v>0</v>
      </c>
      <c r="B104" s="204" t="str">
        <f>IF(Broadsheet!B104="","",Broadsheet!B104)</f>
        <v/>
      </c>
      <c r="C104" s="24" t="str">
        <f>IF(Broadsheet!C104="","",Broadsheet!C104)</f>
        <v xml:space="preserve"> </v>
      </c>
      <c r="G104" s="24" t="str">
        <f t="shared" si="1"/>
        <v/>
      </c>
      <c r="H104" s="188" t="str">
        <f>IF(ISERROR(getgrade(Broadsheet!H215,data!$H$4:$I$9)),"#",getgrade(Broadsheet!H215,data!$H$4:$I$9))</f>
        <v/>
      </c>
      <c r="I104" s="188" t="str">
        <f>IF(ISERROR(getgrade(Broadsheet!I215,data!$H$4:$I$9)),"#",getgrade(Broadsheet!I215,data!$H$4:$I$9))</f>
        <v/>
      </c>
      <c r="J104" s="188" t="str">
        <f>IF(ISERROR(getgrade(Broadsheet!J215,data!$H$4:$I$9)),"#",getgrade(Broadsheet!J215,data!$H$4:$I$9))</f>
        <v/>
      </c>
      <c r="K104" s="188" t="str">
        <f>IF(ISERROR(getgrade(Broadsheet!K215,data!$H$4:$I$9)),"#",getgrade(Broadsheet!K215,data!$H$4:$I$9))</f>
        <v/>
      </c>
      <c r="L104" s="188" t="str">
        <f>IF(ISERROR(getgrade(Broadsheet!L215,data!$H$4:$I$9)),"#",getgrade(Broadsheet!L215,data!$H$4:$I$9))</f>
        <v/>
      </c>
      <c r="M104" s="188" t="str">
        <f>IF(ISERROR(getgrade(Broadsheet!M215,data!$H$4:$I$9)),"#",getgrade(Broadsheet!M215,data!$H$4:$I$9))</f>
        <v/>
      </c>
      <c r="N104" s="188" t="str">
        <f>IF(ISERROR(getgrade(Broadsheet!N215,data!$H$4:$I$9)),"#",getgrade(Broadsheet!N215,data!$H$4:$I$9))</f>
        <v/>
      </c>
      <c r="O104" s="188" t="str">
        <f>IF(ISERROR(getgrade(Broadsheet!O215,data!$H$4:$I$9)),"#",getgrade(Broadsheet!O215,data!$H$4:$I$9))</f>
        <v/>
      </c>
      <c r="P104" s="188" t="str">
        <f>IF(ISERROR(getgrade(Broadsheet!P215,data!$H$4:$I$9)),"#",getgrade(Broadsheet!P215,data!$H$4:$I$9))</f>
        <v/>
      </c>
      <c r="Q104" s="188" t="str">
        <f>IF(ISERROR(getgrade(Broadsheet!Q215,data!$H$4:$I$9)),"#",getgrade(Broadsheet!Q215,data!$H$4:$I$9))</f>
        <v/>
      </c>
      <c r="R104" s="188" t="str">
        <f>IF(ISERROR(getgrade(Broadsheet!R215,data!$H$4:$I$9)),"#",getgrade(Broadsheet!R215,data!$H$4:$I$9))</f>
        <v/>
      </c>
      <c r="S104" s="188" t="str">
        <f>IF(ISERROR(getgrade(Broadsheet!S215,data!$H$4:$I$9)),"#",getgrade(Broadsheet!S215,data!$H$4:$I$9))</f>
        <v/>
      </c>
      <c r="T104" s="188" t="str">
        <f>IF(ISERROR(getgrade(Broadsheet!T215,data!$H$4:$I$9)),"#",getgrade(Broadsheet!T215,data!$H$4:$I$9))</f>
        <v/>
      </c>
      <c r="U104" s="188" t="str">
        <f>IF(ISERROR(getgrade(Broadsheet!U215,data!$H$4:$I$9)),"#",getgrade(Broadsheet!U215,data!$H$4:$I$9))</f>
        <v/>
      </c>
      <c r="V104" s="188" t="str">
        <f>IF(ISERROR(getgrade(Broadsheet!V215,data!$H$4:$I$9)),"#",getgrade(Broadsheet!V215,data!$H$4:$I$9))</f>
        <v/>
      </c>
      <c r="W104" s="188" t="str">
        <f>IF(ISERROR(getgrade(Broadsheet!W215,data!$H$4:$I$9)),"#",getgrade(Broadsheet!W215,data!$H$4:$I$9))</f>
        <v/>
      </c>
      <c r="X104" s="188" t="str">
        <f>IF(ISERROR(getgrade(Broadsheet!X215,data!$H$4:$I$9)),"#",getgrade(Broadsheet!X215,data!$H$4:$I$9))</f>
        <v/>
      </c>
      <c r="Y104" s="188" t="str">
        <f>IF(ISERROR(getgrade(Broadsheet!Y215,data!$H$4:$I$9)),"#",getgrade(Broadsheet!Y215,data!$H$4:$I$9))</f>
        <v/>
      </c>
      <c r="Z104" s="188" t="str">
        <f>IF(ISERROR(getgrade(Broadsheet!Z215,data!$H$4:$I$9)),"#",getgrade(Broadsheet!Z215,data!$H$4:$I$9))</f>
        <v/>
      </c>
      <c r="AA104" s="188" t="str">
        <f>IF(ISERROR(getgrade(Broadsheet!AA215,data!$H$4:$I$9)),"#",getgrade(Broadsheet!AA215,data!$H$4:$I$9))</f>
        <v/>
      </c>
      <c r="AB104" s="188" t="str">
        <f>IF(ISERROR(getgrade(Broadsheet!AB215,data!$H$4:$I$9)),"#",getgrade(Broadsheet!AB215,data!$H$4:$I$9))</f>
        <v/>
      </c>
      <c r="AC104" s="188" t="str">
        <f>IF(ISERROR(getgrade(Broadsheet!AC215,data!$H$4:$I$9)),"#",getgrade(Broadsheet!AC215,data!$H$4:$I$9))</f>
        <v/>
      </c>
      <c r="AD104" s="188" t="str">
        <f>IF(ISERROR(getgrade(Broadsheet!AD215,data!$H$4:$I$9)),"#",getgrade(Broadsheet!AD215,data!$H$4:$I$9))</f>
        <v/>
      </c>
      <c r="AE104" s="188" t="str">
        <f>IF(ISERROR(getgrade(Broadsheet!AE215,data!$H$4:$I$9)),"#",getgrade(Broadsheet!AE215,data!$H$4:$I$9))</f>
        <v/>
      </c>
      <c r="AF104" s="188" t="str">
        <f>IF(ISERROR(getgrade(Broadsheet!AF215,data!$H$4:$I$9)),"#",getgrade(Broadsheet!AF215,data!$H$4:$I$9))</f>
        <v/>
      </c>
      <c r="AG104" s="188" t="str">
        <f>IF(ISERROR(getgrade(Broadsheet!AG215,data!$H$4:$I$9)),"#",getgrade(Broadsheet!AG215,data!$H$4:$I$9))</f>
        <v/>
      </c>
      <c r="AH104" s="188" t="str">
        <f>IF(ISERROR(getgrade(Broadsheet!AH215,data!$H$4:$I$9)),"#",getgrade(Broadsheet!AH215,data!$H$4:$I$9))</f>
        <v/>
      </c>
      <c r="AI104" s="188" t="str">
        <f>IF(ISERROR(getgrade(Broadsheet!AI215,data!$H$4:$I$9)),"#",getgrade(Broadsheet!AI215,data!$H$4:$I$9))</f>
        <v/>
      </c>
      <c r="AJ104" s="188" t="str">
        <f>IF(ISERROR(getgrade(Broadsheet!AJ215,data!$H$4:$I$9)),"#",getgrade(Broadsheet!AJ215,data!$H$4:$I$9))</f>
        <v/>
      </c>
      <c r="AK104" s="188" t="str">
        <f>IF(ISERROR(getgrade(Broadsheet!AK215,data!$H$4:$I$9)),"#",getgrade(Broadsheet!AK215,data!$H$4:$I$9))</f>
        <v/>
      </c>
      <c r="AL104" s="188" t="str">
        <f>IF(ISERROR(getgrade(Broadsheet!AL215,data!$H$4:$I$9)),"#",getgrade(Broadsheet!AL215,data!$H$4:$I$9))</f>
        <v/>
      </c>
      <c r="AM104" s="188" t="str">
        <f>IF(ISERROR(getgrade(Broadsheet!AM215,data!$H$4:$I$9)),"#",getgrade(Broadsheet!AM215,data!$H$4:$I$9))</f>
        <v/>
      </c>
      <c r="AN104" s="188" t="str">
        <f>IF(ISERROR(getgrade(Broadsheet!AN215,data!$H$4:$I$9)),"#",getgrade(Broadsheet!AN215,data!$H$4:$I$9))</f>
        <v/>
      </c>
      <c r="AO104" s="188" t="str">
        <f>IF(ISERROR(getgrade(Broadsheet!AO215,data!$H$4:$I$9)),"#",getgrade(Broadsheet!AO215,data!$H$4:$I$9))</f>
        <v/>
      </c>
      <c r="AP104" s="188" t="str">
        <f>IF(ISERROR(getgrade(Broadsheet!AP215,data!$H$4:$I$9)),"#",getgrade(Broadsheet!AP215,data!$H$4:$I$9))</f>
        <v/>
      </c>
      <c r="AQ104" s="188" t="str">
        <f>IF(ISERROR(getgrade(Broadsheet!AQ215,data!$H$4:$I$9)),"#",getgrade(Broadsheet!AQ215,data!$H$4:$I$9))</f>
        <v/>
      </c>
      <c r="AR104" s="188" t="str">
        <f>IF(ISERROR(getgrade(Broadsheet!AR215,data!$H$4:$I$9)),"#",getgrade(Broadsheet!AR215,data!$H$4:$I$9))</f>
        <v/>
      </c>
      <c r="AS104" s="188" t="str">
        <f>IF(ISERROR(getgrade(Broadsheet!AS215,data!$H$4:$I$9)),"#",getgrade(Broadsheet!AS215,data!$H$4:$I$9))</f>
        <v/>
      </c>
      <c r="AT104" s="188" t="str">
        <f>IF(ISERROR(getgrade(Broadsheet!AT215,data!$H$4:$I$9)),"#",getgrade(Broadsheet!AT215,data!$H$4:$I$9))</f>
        <v/>
      </c>
      <c r="AU104" s="188" t="str">
        <f>IF(ISERROR(getgrade(Broadsheet!AU215,data!$H$4:$I$9)),"#",getgrade(Broadsheet!AU215,data!$H$4:$I$9))</f>
        <v/>
      </c>
      <c r="AV104" s="188" t="str">
        <f>IF(ISERROR(getgrade(Broadsheet!AV215,data!$H$4:$I$9)),"#",getgrade(Broadsheet!AV215,data!$H$4:$I$9))</f>
        <v/>
      </c>
      <c r="AW104" s="188" t="str">
        <f>IF(ISERROR(getgrade(Broadsheet!AW215,data!$H$4:$I$9)),"#",getgrade(Broadsheet!AW215,data!$H$4:$I$9))</f>
        <v/>
      </c>
      <c r="AX104" s="188" t="str">
        <f>IF(ISERROR(getgrade(Broadsheet!AX215,data!$H$4:$I$9)),"#",getgrade(Broadsheet!AX215,data!$H$4:$I$9))</f>
        <v/>
      </c>
      <c r="AY104" s="188" t="str">
        <f>IF(ISERROR(getgrade(Broadsheet!AY215,data!$H$4:$I$9)),"#",getgrade(Broadsheet!AY215,data!$H$4:$I$9))</f>
        <v/>
      </c>
      <c r="AZ104" s="188" t="str">
        <f>IF(ISERROR(getgrade(Broadsheet!AZ215,data!$H$4:$I$9)),"#",getgrade(Broadsheet!AZ215,data!$H$4:$I$9))</f>
        <v/>
      </c>
      <c r="BA104" s="188" t="str">
        <f>IF(ISERROR(getgrade(Broadsheet!BA215,data!$H$4:$I$9)),"#",getgrade(Broadsheet!BA215,data!$H$4:$I$9))</f>
        <v/>
      </c>
      <c r="BB104" s="188" t="str">
        <f>IF(ISERROR(getgrade(Broadsheet!BB215,data!$H$4:$I$9)),"#",getgrade(Broadsheet!BB215,data!$H$4:$I$9))</f>
        <v/>
      </c>
      <c r="BC104" s="188" t="str">
        <f>IF(ISERROR(getgrade(Broadsheet!BC215,data!$H$4:$I$9)),"#",getgrade(Broadsheet!BC215,data!$H$4:$I$9))</f>
        <v/>
      </c>
      <c r="BD104" s="188" t="str">
        <f>IF(ISERROR(getgrade(Broadsheet!BD215,data!$H$4:$I$9)),"#",getgrade(Broadsheet!BD215,data!$H$4:$I$9))</f>
        <v/>
      </c>
      <c r="BE104" s="188" t="str">
        <f>IF(ISERROR(getgrade(Broadsheet!BE215,data!$H$4:$I$9)),"#",getgrade(Broadsheet!BE215,data!$H$4:$I$9))</f>
        <v/>
      </c>
      <c r="BF104" s="188" t="str">
        <f>IF(ISERROR(getgrade(Broadsheet!BF215,data!$H$4:$I$9)),"#",getgrade(Broadsheet!BF215,data!$H$4:$I$9))</f>
        <v/>
      </c>
      <c r="BG104" s="188" t="str">
        <f>IF(ISERROR(getgrade(Broadsheet!BG215,data!$H$4:$I$9)),"#",getgrade(Broadsheet!BG215,data!$H$4:$I$9))</f>
        <v/>
      </c>
      <c r="BH104" s="188" t="str">
        <f>IF(ISERROR(getgrade(Broadsheet!BH215,data!$H$4:$I$9)),"#",getgrade(Broadsheet!BH215,data!$H$4:$I$9))</f>
        <v/>
      </c>
      <c r="BI104" s="188" t="str">
        <f>IF(ISERROR(getgrade(Broadsheet!BI215,data!$H$4:$I$9)),"#",getgrade(Broadsheet!BI215,data!$H$4:$I$9))</f>
        <v/>
      </c>
      <c r="BJ104" s="188" t="str">
        <f>IF(ISERROR(getgrade(Broadsheet!BJ215,data!$H$4:$I$9)),"#",getgrade(Broadsheet!BJ215,data!$H$4:$I$9))</f>
        <v/>
      </c>
      <c r="BK104" s="188"/>
      <c r="BL104" s="188"/>
      <c r="BM104" s="188"/>
      <c r="BN104" s="188"/>
      <c r="BO104" s="188"/>
      <c r="BP104" s="188"/>
      <c r="BQ104" s="188"/>
      <c r="BR104" s="188"/>
      <c r="BS104" s="188"/>
      <c r="BT104" s="188"/>
      <c r="BU104" s="188"/>
      <c r="BV104" s="188"/>
      <c r="BW104" s="188"/>
      <c r="BX104" s="188"/>
      <c r="BY104" s="188"/>
      <c r="BZ104" s="188"/>
      <c r="CA104" s="188"/>
      <c r="CB104" s="188"/>
      <c r="CC104" s="188"/>
      <c r="CD104" s="188"/>
      <c r="CE104" s="188"/>
      <c r="CF104" s="188"/>
      <c r="CG104" s="188"/>
      <c r="CH104" s="188"/>
      <c r="CI104" s="188"/>
      <c r="CJ104" s="188"/>
      <c r="CK104" s="188"/>
      <c r="CL104" s="188"/>
      <c r="CM104" s="188"/>
      <c r="CN104" s="188"/>
      <c r="CO104" s="188"/>
      <c r="CP104" s="188"/>
      <c r="CQ104" s="188"/>
      <c r="CR104" s="188"/>
      <c r="CS104" s="188"/>
      <c r="CT104" s="188"/>
      <c r="CU104" s="188"/>
      <c r="CV104" s="188"/>
      <c r="CW104" s="188"/>
      <c r="CX104" s="188"/>
      <c r="CY104" s="188"/>
      <c r="CZ104" s="188"/>
      <c r="DA104" s="188"/>
      <c r="DB104" s="188"/>
      <c r="DC104" s="188"/>
      <c r="DD104" s="188"/>
      <c r="DE104" s="188"/>
      <c r="DF104" s="188"/>
      <c r="DG104" s="188"/>
      <c r="DH104" s="188"/>
      <c r="DI104" s="188"/>
      <c r="DJ104" s="188"/>
      <c r="DK104" s="188"/>
      <c r="DL104" s="188"/>
      <c r="DM104" s="188"/>
      <c r="DN104" s="188"/>
      <c r="DO104" s="188"/>
      <c r="DP104" s="188"/>
      <c r="DQ104" s="188"/>
      <c r="DR104" s="188"/>
      <c r="DS104" s="188"/>
      <c r="DT104" s="188"/>
      <c r="DU104" s="188"/>
      <c r="DV104" s="188"/>
      <c r="DW104" s="188"/>
      <c r="DX104" s="188"/>
      <c r="DY104" s="188"/>
      <c r="DZ104" s="188"/>
      <c r="EA104" s="188"/>
    </row>
    <row r="105" spans="1:131" ht="15.75" x14ac:dyDescent="0.25">
      <c r="A105" s="12">
        <f>Broadsheet!A216</f>
        <v>0</v>
      </c>
      <c r="B105" s="204" t="str">
        <f>IF(Broadsheet!B105="","",Broadsheet!B105)</f>
        <v/>
      </c>
      <c r="C105" s="24" t="str">
        <f>IF(Broadsheet!C105="","",Broadsheet!C105)</f>
        <v xml:space="preserve"> </v>
      </c>
      <c r="G105" s="24" t="str">
        <f t="shared" si="1"/>
        <v/>
      </c>
      <c r="H105" s="188" t="str">
        <f>IF(ISERROR(getgrade(Broadsheet!H216,data!$H$4:$I$9)),"#",getgrade(Broadsheet!H216,data!$H$4:$I$9))</f>
        <v/>
      </c>
      <c r="I105" s="188" t="str">
        <f>IF(ISERROR(getgrade(Broadsheet!I216,data!$H$4:$I$9)),"#",getgrade(Broadsheet!I216,data!$H$4:$I$9))</f>
        <v/>
      </c>
      <c r="J105" s="188" t="str">
        <f>IF(ISERROR(getgrade(Broadsheet!J216,data!$H$4:$I$9)),"#",getgrade(Broadsheet!J216,data!$H$4:$I$9))</f>
        <v/>
      </c>
      <c r="K105" s="188" t="str">
        <f>IF(ISERROR(getgrade(Broadsheet!K216,data!$H$4:$I$9)),"#",getgrade(Broadsheet!K216,data!$H$4:$I$9))</f>
        <v/>
      </c>
      <c r="L105" s="188" t="str">
        <f>IF(ISERROR(getgrade(Broadsheet!L216,data!$H$4:$I$9)),"#",getgrade(Broadsheet!L216,data!$H$4:$I$9))</f>
        <v/>
      </c>
      <c r="M105" s="188" t="str">
        <f>IF(ISERROR(getgrade(Broadsheet!M216,data!$H$4:$I$9)),"#",getgrade(Broadsheet!M216,data!$H$4:$I$9))</f>
        <v/>
      </c>
      <c r="N105" s="188" t="str">
        <f>IF(ISERROR(getgrade(Broadsheet!N216,data!$H$4:$I$9)),"#",getgrade(Broadsheet!N216,data!$H$4:$I$9))</f>
        <v/>
      </c>
      <c r="O105" s="188" t="str">
        <f>IF(ISERROR(getgrade(Broadsheet!O216,data!$H$4:$I$9)),"#",getgrade(Broadsheet!O216,data!$H$4:$I$9))</f>
        <v/>
      </c>
      <c r="P105" s="188" t="str">
        <f>IF(ISERROR(getgrade(Broadsheet!P216,data!$H$4:$I$9)),"#",getgrade(Broadsheet!P216,data!$H$4:$I$9))</f>
        <v/>
      </c>
      <c r="Q105" s="188" t="str">
        <f>IF(ISERROR(getgrade(Broadsheet!Q216,data!$H$4:$I$9)),"#",getgrade(Broadsheet!Q216,data!$H$4:$I$9))</f>
        <v/>
      </c>
      <c r="R105" s="188" t="str">
        <f>IF(ISERROR(getgrade(Broadsheet!R216,data!$H$4:$I$9)),"#",getgrade(Broadsheet!R216,data!$H$4:$I$9))</f>
        <v/>
      </c>
      <c r="S105" s="188" t="str">
        <f>IF(ISERROR(getgrade(Broadsheet!S216,data!$H$4:$I$9)),"#",getgrade(Broadsheet!S216,data!$H$4:$I$9))</f>
        <v/>
      </c>
      <c r="T105" s="188" t="str">
        <f>IF(ISERROR(getgrade(Broadsheet!T216,data!$H$4:$I$9)),"#",getgrade(Broadsheet!T216,data!$H$4:$I$9))</f>
        <v/>
      </c>
      <c r="U105" s="188" t="str">
        <f>IF(ISERROR(getgrade(Broadsheet!U216,data!$H$4:$I$9)),"#",getgrade(Broadsheet!U216,data!$H$4:$I$9))</f>
        <v/>
      </c>
      <c r="V105" s="188" t="str">
        <f>IF(ISERROR(getgrade(Broadsheet!V216,data!$H$4:$I$9)),"#",getgrade(Broadsheet!V216,data!$H$4:$I$9))</f>
        <v/>
      </c>
      <c r="W105" s="188" t="str">
        <f>IF(ISERROR(getgrade(Broadsheet!W216,data!$H$4:$I$9)),"#",getgrade(Broadsheet!W216,data!$H$4:$I$9))</f>
        <v/>
      </c>
      <c r="X105" s="188" t="str">
        <f>IF(ISERROR(getgrade(Broadsheet!X216,data!$H$4:$I$9)),"#",getgrade(Broadsheet!X216,data!$H$4:$I$9))</f>
        <v/>
      </c>
      <c r="Y105" s="188" t="str">
        <f>IF(ISERROR(getgrade(Broadsheet!Y216,data!$H$4:$I$9)),"#",getgrade(Broadsheet!Y216,data!$H$4:$I$9))</f>
        <v/>
      </c>
      <c r="Z105" s="188" t="str">
        <f>IF(ISERROR(getgrade(Broadsheet!Z216,data!$H$4:$I$9)),"#",getgrade(Broadsheet!Z216,data!$H$4:$I$9))</f>
        <v/>
      </c>
      <c r="AA105" s="188" t="str">
        <f>IF(ISERROR(getgrade(Broadsheet!AA216,data!$H$4:$I$9)),"#",getgrade(Broadsheet!AA216,data!$H$4:$I$9))</f>
        <v/>
      </c>
      <c r="AB105" s="188" t="str">
        <f>IF(ISERROR(getgrade(Broadsheet!AB216,data!$H$4:$I$9)),"#",getgrade(Broadsheet!AB216,data!$H$4:$I$9))</f>
        <v/>
      </c>
      <c r="AC105" s="188" t="str">
        <f>IF(ISERROR(getgrade(Broadsheet!AC216,data!$H$4:$I$9)),"#",getgrade(Broadsheet!AC216,data!$H$4:$I$9))</f>
        <v/>
      </c>
      <c r="AD105" s="188" t="str">
        <f>IF(ISERROR(getgrade(Broadsheet!AD216,data!$H$4:$I$9)),"#",getgrade(Broadsheet!AD216,data!$H$4:$I$9))</f>
        <v/>
      </c>
      <c r="AE105" s="188" t="str">
        <f>IF(ISERROR(getgrade(Broadsheet!AE216,data!$H$4:$I$9)),"#",getgrade(Broadsheet!AE216,data!$H$4:$I$9))</f>
        <v/>
      </c>
      <c r="AF105" s="188" t="str">
        <f>IF(ISERROR(getgrade(Broadsheet!AF216,data!$H$4:$I$9)),"#",getgrade(Broadsheet!AF216,data!$H$4:$I$9))</f>
        <v/>
      </c>
      <c r="AG105" s="188" t="str">
        <f>IF(ISERROR(getgrade(Broadsheet!AG216,data!$H$4:$I$9)),"#",getgrade(Broadsheet!AG216,data!$H$4:$I$9))</f>
        <v/>
      </c>
      <c r="AH105" s="188" t="str">
        <f>IF(ISERROR(getgrade(Broadsheet!AH216,data!$H$4:$I$9)),"#",getgrade(Broadsheet!AH216,data!$H$4:$I$9))</f>
        <v/>
      </c>
      <c r="AI105" s="188" t="str">
        <f>IF(ISERROR(getgrade(Broadsheet!AI216,data!$H$4:$I$9)),"#",getgrade(Broadsheet!AI216,data!$H$4:$I$9))</f>
        <v/>
      </c>
      <c r="AJ105" s="188" t="str">
        <f>IF(ISERROR(getgrade(Broadsheet!AJ216,data!$H$4:$I$9)),"#",getgrade(Broadsheet!AJ216,data!$H$4:$I$9))</f>
        <v/>
      </c>
      <c r="AK105" s="188" t="str">
        <f>IF(ISERROR(getgrade(Broadsheet!AK216,data!$H$4:$I$9)),"#",getgrade(Broadsheet!AK216,data!$H$4:$I$9))</f>
        <v/>
      </c>
      <c r="AL105" s="188" t="str">
        <f>IF(ISERROR(getgrade(Broadsheet!AL216,data!$H$4:$I$9)),"#",getgrade(Broadsheet!AL216,data!$H$4:$I$9))</f>
        <v/>
      </c>
      <c r="AM105" s="188" t="str">
        <f>IF(ISERROR(getgrade(Broadsheet!AM216,data!$H$4:$I$9)),"#",getgrade(Broadsheet!AM216,data!$H$4:$I$9))</f>
        <v/>
      </c>
      <c r="AN105" s="188" t="str">
        <f>IF(ISERROR(getgrade(Broadsheet!AN216,data!$H$4:$I$9)),"#",getgrade(Broadsheet!AN216,data!$H$4:$I$9))</f>
        <v/>
      </c>
      <c r="AO105" s="188" t="str">
        <f>IF(ISERROR(getgrade(Broadsheet!AO216,data!$H$4:$I$9)),"#",getgrade(Broadsheet!AO216,data!$H$4:$I$9))</f>
        <v/>
      </c>
      <c r="AP105" s="188" t="str">
        <f>IF(ISERROR(getgrade(Broadsheet!AP216,data!$H$4:$I$9)),"#",getgrade(Broadsheet!AP216,data!$H$4:$I$9))</f>
        <v/>
      </c>
      <c r="AQ105" s="188" t="str">
        <f>IF(ISERROR(getgrade(Broadsheet!AQ216,data!$H$4:$I$9)),"#",getgrade(Broadsheet!AQ216,data!$H$4:$I$9))</f>
        <v/>
      </c>
      <c r="AR105" s="188" t="str">
        <f>IF(ISERROR(getgrade(Broadsheet!AR216,data!$H$4:$I$9)),"#",getgrade(Broadsheet!AR216,data!$H$4:$I$9))</f>
        <v/>
      </c>
      <c r="AS105" s="188" t="str">
        <f>IF(ISERROR(getgrade(Broadsheet!AS216,data!$H$4:$I$9)),"#",getgrade(Broadsheet!AS216,data!$H$4:$I$9))</f>
        <v/>
      </c>
      <c r="AT105" s="188" t="str">
        <f>IF(ISERROR(getgrade(Broadsheet!AT216,data!$H$4:$I$9)),"#",getgrade(Broadsheet!AT216,data!$H$4:$I$9))</f>
        <v/>
      </c>
      <c r="AU105" s="188" t="str">
        <f>IF(ISERROR(getgrade(Broadsheet!AU216,data!$H$4:$I$9)),"#",getgrade(Broadsheet!AU216,data!$H$4:$I$9))</f>
        <v/>
      </c>
      <c r="AV105" s="188" t="str">
        <f>IF(ISERROR(getgrade(Broadsheet!AV216,data!$H$4:$I$9)),"#",getgrade(Broadsheet!AV216,data!$H$4:$I$9))</f>
        <v/>
      </c>
      <c r="AW105" s="188" t="str">
        <f>IF(ISERROR(getgrade(Broadsheet!AW216,data!$H$4:$I$9)),"#",getgrade(Broadsheet!AW216,data!$H$4:$I$9))</f>
        <v/>
      </c>
      <c r="AX105" s="188" t="str">
        <f>IF(ISERROR(getgrade(Broadsheet!AX216,data!$H$4:$I$9)),"#",getgrade(Broadsheet!AX216,data!$H$4:$I$9))</f>
        <v/>
      </c>
      <c r="AY105" s="188" t="str">
        <f>IF(ISERROR(getgrade(Broadsheet!AY216,data!$H$4:$I$9)),"#",getgrade(Broadsheet!AY216,data!$H$4:$I$9))</f>
        <v/>
      </c>
      <c r="AZ105" s="188" t="str">
        <f>IF(ISERROR(getgrade(Broadsheet!AZ216,data!$H$4:$I$9)),"#",getgrade(Broadsheet!AZ216,data!$H$4:$I$9))</f>
        <v/>
      </c>
      <c r="BA105" s="188" t="str">
        <f>IF(ISERROR(getgrade(Broadsheet!BA216,data!$H$4:$I$9)),"#",getgrade(Broadsheet!BA216,data!$H$4:$I$9))</f>
        <v/>
      </c>
      <c r="BB105" s="188" t="str">
        <f>IF(ISERROR(getgrade(Broadsheet!BB216,data!$H$4:$I$9)),"#",getgrade(Broadsheet!BB216,data!$H$4:$I$9))</f>
        <v/>
      </c>
      <c r="BC105" s="188" t="str">
        <f>IF(ISERROR(getgrade(Broadsheet!BC216,data!$H$4:$I$9)),"#",getgrade(Broadsheet!BC216,data!$H$4:$I$9))</f>
        <v/>
      </c>
      <c r="BD105" s="188" t="str">
        <f>IF(ISERROR(getgrade(Broadsheet!BD216,data!$H$4:$I$9)),"#",getgrade(Broadsheet!BD216,data!$H$4:$I$9))</f>
        <v/>
      </c>
      <c r="BE105" s="188" t="str">
        <f>IF(ISERROR(getgrade(Broadsheet!BE216,data!$H$4:$I$9)),"#",getgrade(Broadsheet!BE216,data!$H$4:$I$9))</f>
        <v/>
      </c>
      <c r="BF105" s="188" t="str">
        <f>IF(ISERROR(getgrade(Broadsheet!BF216,data!$H$4:$I$9)),"#",getgrade(Broadsheet!BF216,data!$H$4:$I$9))</f>
        <v/>
      </c>
      <c r="BG105" s="188" t="str">
        <f>IF(ISERROR(getgrade(Broadsheet!BG216,data!$H$4:$I$9)),"#",getgrade(Broadsheet!BG216,data!$H$4:$I$9))</f>
        <v/>
      </c>
      <c r="BH105" s="188" t="str">
        <f>IF(ISERROR(getgrade(Broadsheet!BH216,data!$H$4:$I$9)),"#",getgrade(Broadsheet!BH216,data!$H$4:$I$9))</f>
        <v/>
      </c>
      <c r="BI105" s="188" t="str">
        <f>IF(ISERROR(getgrade(Broadsheet!BI216,data!$H$4:$I$9)),"#",getgrade(Broadsheet!BI216,data!$H$4:$I$9))</f>
        <v/>
      </c>
      <c r="BJ105" s="188" t="str">
        <f>IF(ISERROR(getgrade(Broadsheet!BJ216,data!$H$4:$I$9)),"#",getgrade(Broadsheet!BJ216,data!$H$4:$I$9))</f>
        <v/>
      </c>
      <c r="BK105" s="188"/>
      <c r="BL105" s="188"/>
      <c r="BM105" s="188"/>
      <c r="BN105" s="188"/>
      <c r="BO105" s="188"/>
      <c r="BP105" s="188"/>
      <c r="BQ105" s="188"/>
      <c r="BR105" s="188"/>
      <c r="BS105" s="188"/>
      <c r="BT105" s="188"/>
      <c r="BU105" s="188"/>
      <c r="BV105" s="188"/>
      <c r="BW105" s="188"/>
      <c r="BX105" s="188"/>
      <c r="BY105" s="188"/>
      <c r="BZ105" s="188"/>
      <c r="CA105" s="188"/>
      <c r="CB105" s="188"/>
      <c r="CC105" s="188"/>
      <c r="CD105" s="188"/>
      <c r="CE105" s="188"/>
      <c r="CF105" s="188"/>
      <c r="CG105" s="188"/>
      <c r="CH105" s="188"/>
      <c r="CI105" s="188"/>
      <c r="CJ105" s="188"/>
      <c r="CK105" s="188"/>
      <c r="CL105" s="188"/>
      <c r="CM105" s="188"/>
      <c r="CN105" s="188"/>
      <c r="CO105" s="188"/>
      <c r="CP105" s="188"/>
      <c r="CQ105" s="188"/>
      <c r="CR105" s="188"/>
      <c r="CS105" s="188"/>
      <c r="CT105" s="188"/>
      <c r="CU105" s="188"/>
      <c r="CV105" s="188"/>
      <c r="CW105" s="188"/>
      <c r="CX105" s="188"/>
      <c r="CY105" s="188"/>
      <c r="CZ105" s="188"/>
      <c r="DA105" s="188"/>
      <c r="DB105" s="188"/>
      <c r="DC105" s="188"/>
      <c r="DD105" s="188"/>
      <c r="DE105" s="188"/>
      <c r="DF105" s="188"/>
      <c r="DG105" s="188"/>
      <c r="DH105" s="188"/>
      <c r="DI105" s="188"/>
      <c r="DJ105" s="188"/>
      <c r="DK105" s="188"/>
      <c r="DL105" s="188"/>
      <c r="DM105" s="188"/>
      <c r="DN105" s="188"/>
      <c r="DO105" s="188"/>
      <c r="DP105" s="188"/>
      <c r="DQ105" s="188"/>
      <c r="DR105" s="188"/>
      <c r="DS105" s="188"/>
      <c r="DT105" s="188"/>
      <c r="DU105" s="188"/>
      <c r="DV105" s="188"/>
      <c r="DW105" s="188"/>
      <c r="DX105" s="188"/>
      <c r="DY105" s="188"/>
      <c r="DZ105" s="188"/>
      <c r="EA105" s="188"/>
    </row>
    <row r="106" spans="1:131" ht="15.75" x14ac:dyDescent="0.25">
      <c r="A106" s="12">
        <f>Broadsheet!A217</f>
        <v>0</v>
      </c>
      <c r="B106" s="204" t="str">
        <f>IF(Broadsheet!B106="","",Broadsheet!B106)</f>
        <v/>
      </c>
      <c r="C106" s="24" t="str">
        <f>IF(Broadsheet!C106="","",Broadsheet!C106)</f>
        <v xml:space="preserve"> </v>
      </c>
      <c r="G106" s="24" t="str">
        <f t="shared" si="1"/>
        <v/>
      </c>
      <c r="H106" s="188" t="str">
        <f>IF(ISERROR(getgrade(Broadsheet!H217,data!$H$4:$I$9)),"#",getgrade(Broadsheet!H217,data!$H$4:$I$9))</f>
        <v/>
      </c>
      <c r="I106" s="188" t="str">
        <f>IF(ISERROR(getgrade(Broadsheet!I217,data!$H$4:$I$9)),"#",getgrade(Broadsheet!I217,data!$H$4:$I$9))</f>
        <v/>
      </c>
      <c r="J106" s="188" t="str">
        <f>IF(ISERROR(getgrade(Broadsheet!J217,data!$H$4:$I$9)),"#",getgrade(Broadsheet!J217,data!$H$4:$I$9))</f>
        <v/>
      </c>
      <c r="K106" s="188" t="str">
        <f>IF(ISERROR(getgrade(Broadsheet!K217,data!$H$4:$I$9)),"#",getgrade(Broadsheet!K217,data!$H$4:$I$9))</f>
        <v/>
      </c>
      <c r="L106" s="188" t="str">
        <f>IF(ISERROR(getgrade(Broadsheet!L217,data!$H$4:$I$9)),"#",getgrade(Broadsheet!L217,data!$H$4:$I$9))</f>
        <v/>
      </c>
      <c r="M106" s="188" t="str">
        <f>IF(ISERROR(getgrade(Broadsheet!M217,data!$H$4:$I$9)),"#",getgrade(Broadsheet!M217,data!$H$4:$I$9))</f>
        <v/>
      </c>
      <c r="N106" s="188" t="str">
        <f>IF(ISERROR(getgrade(Broadsheet!N217,data!$H$4:$I$9)),"#",getgrade(Broadsheet!N217,data!$H$4:$I$9))</f>
        <v/>
      </c>
      <c r="O106" s="188" t="str">
        <f>IF(ISERROR(getgrade(Broadsheet!O217,data!$H$4:$I$9)),"#",getgrade(Broadsheet!O217,data!$H$4:$I$9))</f>
        <v/>
      </c>
      <c r="P106" s="188" t="str">
        <f>IF(ISERROR(getgrade(Broadsheet!P217,data!$H$4:$I$9)),"#",getgrade(Broadsheet!P217,data!$H$4:$I$9))</f>
        <v/>
      </c>
      <c r="Q106" s="188" t="str">
        <f>IF(ISERROR(getgrade(Broadsheet!Q217,data!$H$4:$I$9)),"#",getgrade(Broadsheet!Q217,data!$H$4:$I$9))</f>
        <v/>
      </c>
      <c r="R106" s="188" t="str">
        <f>IF(ISERROR(getgrade(Broadsheet!R217,data!$H$4:$I$9)),"#",getgrade(Broadsheet!R217,data!$H$4:$I$9))</f>
        <v/>
      </c>
      <c r="S106" s="188" t="str">
        <f>IF(ISERROR(getgrade(Broadsheet!S217,data!$H$4:$I$9)),"#",getgrade(Broadsheet!S217,data!$H$4:$I$9))</f>
        <v/>
      </c>
      <c r="T106" s="188" t="str">
        <f>IF(ISERROR(getgrade(Broadsheet!T217,data!$H$4:$I$9)),"#",getgrade(Broadsheet!T217,data!$H$4:$I$9))</f>
        <v/>
      </c>
      <c r="U106" s="188" t="str">
        <f>IF(ISERROR(getgrade(Broadsheet!U217,data!$H$4:$I$9)),"#",getgrade(Broadsheet!U217,data!$H$4:$I$9))</f>
        <v/>
      </c>
      <c r="V106" s="188" t="str">
        <f>IF(ISERROR(getgrade(Broadsheet!V217,data!$H$4:$I$9)),"#",getgrade(Broadsheet!V217,data!$H$4:$I$9))</f>
        <v/>
      </c>
      <c r="W106" s="188" t="str">
        <f>IF(ISERROR(getgrade(Broadsheet!W217,data!$H$4:$I$9)),"#",getgrade(Broadsheet!W217,data!$H$4:$I$9))</f>
        <v/>
      </c>
      <c r="X106" s="188" t="str">
        <f>IF(ISERROR(getgrade(Broadsheet!X217,data!$H$4:$I$9)),"#",getgrade(Broadsheet!X217,data!$H$4:$I$9))</f>
        <v/>
      </c>
      <c r="Y106" s="188" t="str">
        <f>IF(ISERROR(getgrade(Broadsheet!Y217,data!$H$4:$I$9)),"#",getgrade(Broadsheet!Y217,data!$H$4:$I$9))</f>
        <v/>
      </c>
      <c r="Z106" s="188" t="str">
        <f>IF(ISERROR(getgrade(Broadsheet!Z217,data!$H$4:$I$9)),"#",getgrade(Broadsheet!Z217,data!$H$4:$I$9))</f>
        <v/>
      </c>
      <c r="AA106" s="188" t="str">
        <f>IF(ISERROR(getgrade(Broadsheet!AA217,data!$H$4:$I$9)),"#",getgrade(Broadsheet!AA217,data!$H$4:$I$9))</f>
        <v/>
      </c>
      <c r="AB106" s="188" t="str">
        <f>IF(ISERROR(getgrade(Broadsheet!AB217,data!$H$4:$I$9)),"#",getgrade(Broadsheet!AB217,data!$H$4:$I$9))</f>
        <v/>
      </c>
      <c r="AC106" s="188" t="str">
        <f>IF(ISERROR(getgrade(Broadsheet!AC217,data!$H$4:$I$9)),"#",getgrade(Broadsheet!AC217,data!$H$4:$I$9))</f>
        <v/>
      </c>
      <c r="AD106" s="188" t="str">
        <f>IF(ISERROR(getgrade(Broadsheet!AD217,data!$H$4:$I$9)),"#",getgrade(Broadsheet!AD217,data!$H$4:$I$9))</f>
        <v/>
      </c>
      <c r="AE106" s="188" t="str">
        <f>IF(ISERROR(getgrade(Broadsheet!AE217,data!$H$4:$I$9)),"#",getgrade(Broadsheet!AE217,data!$H$4:$I$9))</f>
        <v/>
      </c>
      <c r="AF106" s="188" t="str">
        <f>IF(ISERROR(getgrade(Broadsheet!AF217,data!$H$4:$I$9)),"#",getgrade(Broadsheet!AF217,data!$H$4:$I$9))</f>
        <v/>
      </c>
      <c r="AG106" s="188" t="str">
        <f>IF(ISERROR(getgrade(Broadsheet!AG217,data!$H$4:$I$9)),"#",getgrade(Broadsheet!AG217,data!$H$4:$I$9))</f>
        <v/>
      </c>
      <c r="AH106" s="188" t="str">
        <f>IF(ISERROR(getgrade(Broadsheet!AH217,data!$H$4:$I$9)),"#",getgrade(Broadsheet!AH217,data!$H$4:$I$9))</f>
        <v/>
      </c>
      <c r="AI106" s="188" t="str">
        <f>IF(ISERROR(getgrade(Broadsheet!AI217,data!$H$4:$I$9)),"#",getgrade(Broadsheet!AI217,data!$H$4:$I$9))</f>
        <v/>
      </c>
      <c r="AJ106" s="188" t="str">
        <f>IF(ISERROR(getgrade(Broadsheet!AJ217,data!$H$4:$I$9)),"#",getgrade(Broadsheet!AJ217,data!$H$4:$I$9))</f>
        <v/>
      </c>
      <c r="AK106" s="188" t="str">
        <f>IF(ISERROR(getgrade(Broadsheet!AK217,data!$H$4:$I$9)),"#",getgrade(Broadsheet!AK217,data!$H$4:$I$9))</f>
        <v/>
      </c>
      <c r="AL106" s="188" t="str">
        <f>IF(ISERROR(getgrade(Broadsheet!AL217,data!$H$4:$I$9)),"#",getgrade(Broadsheet!AL217,data!$H$4:$I$9))</f>
        <v/>
      </c>
      <c r="AM106" s="188" t="str">
        <f>IF(ISERROR(getgrade(Broadsheet!AM217,data!$H$4:$I$9)),"#",getgrade(Broadsheet!AM217,data!$H$4:$I$9))</f>
        <v/>
      </c>
      <c r="AN106" s="188" t="str">
        <f>IF(ISERROR(getgrade(Broadsheet!AN217,data!$H$4:$I$9)),"#",getgrade(Broadsheet!AN217,data!$H$4:$I$9))</f>
        <v/>
      </c>
      <c r="AO106" s="188" t="str">
        <f>IF(ISERROR(getgrade(Broadsheet!AO217,data!$H$4:$I$9)),"#",getgrade(Broadsheet!AO217,data!$H$4:$I$9))</f>
        <v/>
      </c>
      <c r="AP106" s="188" t="str">
        <f>IF(ISERROR(getgrade(Broadsheet!AP217,data!$H$4:$I$9)),"#",getgrade(Broadsheet!AP217,data!$H$4:$I$9))</f>
        <v/>
      </c>
      <c r="AQ106" s="188" t="str">
        <f>IF(ISERROR(getgrade(Broadsheet!AQ217,data!$H$4:$I$9)),"#",getgrade(Broadsheet!AQ217,data!$H$4:$I$9))</f>
        <v/>
      </c>
      <c r="AR106" s="188" t="str">
        <f>IF(ISERROR(getgrade(Broadsheet!AR217,data!$H$4:$I$9)),"#",getgrade(Broadsheet!AR217,data!$H$4:$I$9))</f>
        <v/>
      </c>
      <c r="AS106" s="188" t="str">
        <f>IF(ISERROR(getgrade(Broadsheet!AS217,data!$H$4:$I$9)),"#",getgrade(Broadsheet!AS217,data!$H$4:$I$9))</f>
        <v/>
      </c>
      <c r="AT106" s="188" t="str">
        <f>IF(ISERROR(getgrade(Broadsheet!AT217,data!$H$4:$I$9)),"#",getgrade(Broadsheet!AT217,data!$H$4:$I$9))</f>
        <v/>
      </c>
      <c r="AU106" s="188" t="str">
        <f>IF(ISERROR(getgrade(Broadsheet!AU217,data!$H$4:$I$9)),"#",getgrade(Broadsheet!AU217,data!$H$4:$I$9))</f>
        <v/>
      </c>
      <c r="AV106" s="188" t="str">
        <f>IF(ISERROR(getgrade(Broadsheet!AV217,data!$H$4:$I$9)),"#",getgrade(Broadsheet!AV217,data!$H$4:$I$9))</f>
        <v/>
      </c>
      <c r="AW106" s="188" t="str">
        <f>IF(ISERROR(getgrade(Broadsheet!AW217,data!$H$4:$I$9)),"#",getgrade(Broadsheet!AW217,data!$H$4:$I$9))</f>
        <v/>
      </c>
      <c r="AX106" s="188" t="str">
        <f>IF(ISERROR(getgrade(Broadsheet!AX217,data!$H$4:$I$9)),"#",getgrade(Broadsheet!AX217,data!$H$4:$I$9))</f>
        <v/>
      </c>
      <c r="AY106" s="188" t="str">
        <f>IF(ISERROR(getgrade(Broadsheet!AY217,data!$H$4:$I$9)),"#",getgrade(Broadsheet!AY217,data!$H$4:$I$9))</f>
        <v/>
      </c>
      <c r="AZ106" s="188" t="str">
        <f>IF(ISERROR(getgrade(Broadsheet!AZ217,data!$H$4:$I$9)),"#",getgrade(Broadsheet!AZ217,data!$H$4:$I$9))</f>
        <v/>
      </c>
      <c r="BA106" s="188" t="str">
        <f>IF(ISERROR(getgrade(Broadsheet!BA217,data!$H$4:$I$9)),"#",getgrade(Broadsheet!BA217,data!$H$4:$I$9))</f>
        <v/>
      </c>
      <c r="BB106" s="188" t="str">
        <f>IF(ISERROR(getgrade(Broadsheet!BB217,data!$H$4:$I$9)),"#",getgrade(Broadsheet!BB217,data!$H$4:$I$9))</f>
        <v/>
      </c>
      <c r="BC106" s="188" t="str">
        <f>IF(ISERROR(getgrade(Broadsheet!BC217,data!$H$4:$I$9)),"#",getgrade(Broadsheet!BC217,data!$H$4:$I$9))</f>
        <v/>
      </c>
      <c r="BD106" s="188" t="str">
        <f>IF(ISERROR(getgrade(Broadsheet!BD217,data!$H$4:$I$9)),"#",getgrade(Broadsheet!BD217,data!$H$4:$I$9))</f>
        <v/>
      </c>
      <c r="BE106" s="188" t="str">
        <f>IF(ISERROR(getgrade(Broadsheet!BE217,data!$H$4:$I$9)),"#",getgrade(Broadsheet!BE217,data!$H$4:$I$9))</f>
        <v/>
      </c>
      <c r="BF106" s="188" t="str">
        <f>IF(ISERROR(getgrade(Broadsheet!BF217,data!$H$4:$I$9)),"#",getgrade(Broadsheet!BF217,data!$H$4:$I$9))</f>
        <v/>
      </c>
      <c r="BG106" s="188" t="str">
        <f>IF(ISERROR(getgrade(Broadsheet!BG217,data!$H$4:$I$9)),"#",getgrade(Broadsheet!BG217,data!$H$4:$I$9))</f>
        <v/>
      </c>
      <c r="BH106" s="188" t="str">
        <f>IF(ISERROR(getgrade(Broadsheet!BH217,data!$H$4:$I$9)),"#",getgrade(Broadsheet!BH217,data!$H$4:$I$9))</f>
        <v/>
      </c>
      <c r="BI106" s="188" t="str">
        <f>IF(ISERROR(getgrade(Broadsheet!BI217,data!$H$4:$I$9)),"#",getgrade(Broadsheet!BI217,data!$H$4:$I$9))</f>
        <v/>
      </c>
      <c r="BJ106" s="188" t="str">
        <f>IF(ISERROR(getgrade(Broadsheet!BJ217,data!$H$4:$I$9)),"#",getgrade(Broadsheet!BJ217,data!$H$4:$I$9))</f>
        <v/>
      </c>
      <c r="BK106" s="188"/>
      <c r="BL106" s="188"/>
      <c r="BM106" s="188"/>
      <c r="BN106" s="188"/>
      <c r="BO106" s="188"/>
      <c r="BP106" s="188"/>
      <c r="BQ106" s="188"/>
      <c r="BR106" s="188"/>
      <c r="BS106" s="188"/>
      <c r="BT106" s="188"/>
      <c r="BU106" s="188"/>
      <c r="BV106" s="188"/>
      <c r="BW106" s="188"/>
      <c r="BX106" s="188"/>
      <c r="BY106" s="188"/>
      <c r="BZ106" s="188"/>
      <c r="CA106" s="188"/>
      <c r="CB106" s="188"/>
      <c r="CC106" s="188"/>
      <c r="CD106" s="188"/>
      <c r="CE106" s="188"/>
      <c r="CF106" s="188"/>
      <c r="CG106" s="188"/>
      <c r="CH106" s="188"/>
      <c r="CI106" s="188"/>
      <c r="CJ106" s="188"/>
      <c r="CK106" s="188"/>
      <c r="CL106" s="188"/>
      <c r="CM106" s="188"/>
      <c r="CN106" s="188"/>
      <c r="CO106" s="188"/>
      <c r="CP106" s="188"/>
      <c r="CQ106" s="188"/>
      <c r="CR106" s="188"/>
      <c r="CS106" s="188"/>
      <c r="CT106" s="188"/>
      <c r="CU106" s="188"/>
      <c r="CV106" s="188"/>
      <c r="CW106" s="188"/>
      <c r="CX106" s="188"/>
      <c r="CY106" s="188"/>
      <c r="CZ106" s="188"/>
      <c r="DA106" s="188"/>
      <c r="DB106" s="188"/>
      <c r="DC106" s="188"/>
      <c r="DD106" s="188"/>
      <c r="DE106" s="188"/>
      <c r="DF106" s="188"/>
      <c r="DG106" s="188"/>
      <c r="DH106" s="188"/>
      <c r="DI106" s="188"/>
      <c r="DJ106" s="188"/>
      <c r="DK106" s="188"/>
      <c r="DL106" s="188"/>
      <c r="DM106" s="188"/>
      <c r="DN106" s="188"/>
      <c r="DO106" s="188"/>
      <c r="DP106" s="188"/>
      <c r="DQ106" s="188"/>
      <c r="DR106" s="188"/>
      <c r="DS106" s="188"/>
      <c r="DT106" s="188"/>
      <c r="DU106" s="188"/>
      <c r="DV106" s="188"/>
      <c r="DW106" s="188"/>
      <c r="DX106" s="188"/>
      <c r="DY106" s="188"/>
      <c r="DZ106" s="188"/>
      <c r="EA106" s="188"/>
    </row>
    <row r="107" spans="1:131" ht="15.75" x14ac:dyDescent="0.25">
      <c r="A107" s="12">
        <f>Broadsheet!A218</f>
        <v>0</v>
      </c>
      <c r="B107" s="204" t="str">
        <f>IF(Broadsheet!B107="","",Broadsheet!B107)</f>
        <v/>
      </c>
      <c r="C107" s="24" t="str">
        <f>IF(Broadsheet!C107="","",Broadsheet!C107)</f>
        <v xml:space="preserve"> </v>
      </c>
      <c r="G107" s="24" t="str">
        <f t="shared" si="1"/>
        <v/>
      </c>
      <c r="H107" s="188" t="str">
        <f>IF(ISERROR(getgrade(Broadsheet!H218,data!$H$4:$I$9)),"#",getgrade(Broadsheet!H218,data!$H$4:$I$9))</f>
        <v/>
      </c>
      <c r="I107" s="188" t="str">
        <f>IF(ISERROR(getgrade(Broadsheet!I218,data!$H$4:$I$9)),"#",getgrade(Broadsheet!I218,data!$H$4:$I$9))</f>
        <v/>
      </c>
      <c r="J107" s="188" t="str">
        <f>IF(ISERROR(getgrade(Broadsheet!J218,data!$H$4:$I$9)),"#",getgrade(Broadsheet!J218,data!$H$4:$I$9))</f>
        <v/>
      </c>
      <c r="K107" s="188" t="str">
        <f>IF(ISERROR(getgrade(Broadsheet!K218,data!$H$4:$I$9)),"#",getgrade(Broadsheet!K218,data!$H$4:$I$9))</f>
        <v/>
      </c>
      <c r="L107" s="188" t="str">
        <f>IF(ISERROR(getgrade(Broadsheet!L218,data!$H$4:$I$9)),"#",getgrade(Broadsheet!L218,data!$H$4:$I$9))</f>
        <v/>
      </c>
      <c r="M107" s="188" t="str">
        <f>IF(ISERROR(getgrade(Broadsheet!M218,data!$H$4:$I$9)),"#",getgrade(Broadsheet!M218,data!$H$4:$I$9))</f>
        <v/>
      </c>
      <c r="N107" s="188" t="str">
        <f>IF(ISERROR(getgrade(Broadsheet!N218,data!$H$4:$I$9)),"#",getgrade(Broadsheet!N218,data!$H$4:$I$9))</f>
        <v/>
      </c>
      <c r="O107" s="188" t="str">
        <f>IF(ISERROR(getgrade(Broadsheet!O218,data!$H$4:$I$9)),"#",getgrade(Broadsheet!O218,data!$H$4:$I$9))</f>
        <v/>
      </c>
      <c r="P107" s="188" t="str">
        <f>IF(ISERROR(getgrade(Broadsheet!P218,data!$H$4:$I$9)),"#",getgrade(Broadsheet!P218,data!$H$4:$I$9))</f>
        <v/>
      </c>
      <c r="Q107" s="188" t="str">
        <f>IF(ISERROR(getgrade(Broadsheet!Q218,data!$H$4:$I$9)),"#",getgrade(Broadsheet!Q218,data!$H$4:$I$9))</f>
        <v/>
      </c>
      <c r="R107" s="188" t="str">
        <f>IF(ISERROR(getgrade(Broadsheet!R218,data!$H$4:$I$9)),"#",getgrade(Broadsheet!R218,data!$H$4:$I$9))</f>
        <v/>
      </c>
      <c r="S107" s="188" t="str">
        <f>IF(ISERROR(getgrade(Broadsheet!S218,data!$H$4:$I$9)),"#",getgrade(Broadsheet!S218,data!$H$4:$I$9))</f>
        <v/>
      </c>
      <c r="T107" s="188" t="str">
        <f>IF(ISERROR(getgrade(Broadsheet!T218,data!$H$4:$I$9)),"#",getgrade(Broadsheet!T218,data!$H$4:$I$9))</f>
        <v/>
      </c>
      <c r="U107" s="188" t="str">
        <f>IF(ISERROR(getgrade(Broadsheet!U218,data!$H$4:$I$9)),"#",getgrade(Broadsheet!U218,data!$H$4:$I$9))</f>
        <v/>
      </c>
      <c r="V107" s="188" t="str">
        <f>IF(ISERROR(getgrade(Broadsheet!V218,data!$H$4:$I$9)),"#",getgrade(Broadsheet!V218,data!$H$4:$I$9))</f>
        <v/>
      </c>
      <c r="W107" s="188" t="str">
        <f>IF(ISERROR(getgrade(Broadsheet!W218,data!$H$4:$I$9)),"#",getgrade(Broadsheet!W218,data!$H$4:$I$9))</f>
        <v/>
      </c>
      <c r="X107" s="188" t="str">
        <f>IF(ISERROR(getgrade(Broadsheet!X218,data!$H$4:$I$9)),"#",getgrade(Broadsheet!X218,data!$H$4:$I$9))</f>
        <v/>
      </c>
      <c r="Y107" s="188" t="str">
        <f>IF(ISERROR(getgrade(Broadsheet!Y218,data!$H$4:$I$9)),"#",getgrade(Broadsheet!Y218,data!$H$4:$I$9))</f>
        <v/>
      </c>
      <c r="Z107" s="188" t="str">
        <f>IF(ISERROR(getgrade(Broadsheet!Z218,data!$H$4:$I$9)),"#",getgrade(Broadsheet!Z218,data!$H$4:$I$9))</f>
        <v/>
      </c>
      <c r="AA107" s="188" t="str">
        <f>IF(ISERROR(getgrade(Broadsheet!AA218,data!$H$4:$I$9)),"#",getgrade(Broadsheet!AA218,data!$H$4:$I$9))</f>
        <v/>
      </c>
      <c r="AB107" s="188" t="str">
        <f>IF(ISERROR(getgrade(Broadsheet!AB218,data!$H$4:$I$9)),"#",getgrade(Broadsheet!AB218,data!$H$4:$I$9))</f>
        <v/>
      </c>
      <c r="AC107" s="188" t="str">
        <f>IF(ISERROR(getgrade(Broadsheet!AC218,data!$H$4:$I$9)),"#",getgrade(Broadsheet!AC218,data!$H$4:$I$9))</f>
        <v/>
      </c>
      <c r="AD107" s="188" t="str">
        <f>IF(ISERROR(getgrade(Broadsheet!AD218,data!$H$4:$I$9)),"#",getgrade(Broadsheet!AD218,data!$H$4:$I$9))</f>
        <v/>
      </c>
      <c r="AE107" s="188" t="str">
        <f>IF(ISERROR(getgrade(Broadsheet!AE218,data!$H$4:$I$9)),"#",getgrade(Broadsheet!AE218,data!$H$4:$I$9))</f>
        <v/>
      </c>
      <c r="AF107" s="188" t="str">
        <f>IF(ISERROR(getgrade(Broadsheet!AF218,data!$H$4:$I$9)),"#",getgrade(Broadsheet!AF218,data!$H$4:$I$9))</f>
        <v/>
      </c>
      <c r="AG107" s="188" t="str">
        <f>IF(ISERROR(getgrade(Broadsheet!AG218,data!$H$4:$I$9)),"#",getgrade(Broadsheet!AG218,data!$H$4:$I$9))</f>
        <v/>
      </c>
      <c r="AH107" s="188" t="str">
        <f>IF(ISERROR(getgrade(Broadsheet!AH218,data!$H$4:$I$9)),"#",getgrade(Broadsheet!AH218,data!$H$4:$I$9))</f>
        <v/>
      </c>
      <c r="AI107" s="188" t="str">
        <f>IF(ISERROR(getgrade(Broadsheet!AI218,data!$H$4:$I$9)),"#",getgrade(Broadsheet!AI218,data!$H$4:$I$9))</f>
        <v/>
      </c>
      <c r="AJ107" s="188" t="str">
        <f>IF(ISERROR(getgrade(Broadsheet!AJ218,data!$H$4:$I$9)),"#",getgrade(Broadsheet!AJ218,data!$H$4:$I$9))</f>
        <v/>
      </c>
      <c r="AK107" s="188" t="str">
        <f>IF(ISERROR(getgrade(Broadsheet!AK218,data!$H$4:$I$9)),"#",getgrade(Broadsheet!AK218,data!$H$4:$I$9))</f>
        <v/>
      </c>
      <c r="AL107" s="188" t="str">
        <f>IF(ISERROR(getgrade(Broadsheet!AL218,data!$H$4:$I$9)),"#",getgrade(Broadsheet!AL218,data!$H$4:$I$9))</f>
        <v/>
      </c>
      <c r="AM107" s="188" t="str">
        <f>IF(ISERROR(getgrade(Broadsheet!AM218,data!$H$4:$I$9)),"#",getgrade(Broadsheet!AM218,data!$H$4:$I$9))</f>
        <v/>
      </c>
      <c r="AN107" s="188" t="str">
        <f>IF(ISERROR(getgrade(Broadsheet!AN218,data!$H$4:$I$9)),"#",getgrade(Broadsheet!AN218,data!$H$4:$I$9))</f>
        <v/>
      </c>
      <c r="AO107" s="188" t="str">
        <f>IF(ISERROR(getgrade(Broadsheet!AO218,data!$H$4:$I$9)),"#",getgrade(Broadsheet!AO218,data!$H$4:$I$9))</f>
        <v/>
      </c>
      <c r="AP107" s="188" t="str">
        <f>IF(ISERROR(getgrade(Broadsheet!AP218,data!$H$4:$I$9)),"#",getgrade(Broadsheet!AP218,data!$H$4:$I$9))</f>
        <v/>
      </c>
      <c r="AQ107" s="188" t="str">
        <f>IF(ISERROR(getgrade(Broadsheet!AQ218,data!$H$4:$I$9)),"#",getgrade(Broadsheet!AQ218,data!$H$4:$I$9))</f>
        <v/>
      </c>
      <c r="AR107" s="188" t="str">
        <f>IF(ISERROR(getgrade(Broadsheet!AR218,data!$H$4:$I$9)),"#",getgrade(Broadsheet!AR218,data!$H$4:$I$9))</f>
        <v/>
      </c>
      <c r="AS107" s="188" t="str">
        <f>IF(ISERROR(getgrade(Broadsheet!AS218,data!$H$4:$I$9)),"#",getgrade(Broadsheet!AS218,data!$H$4:$I$9))</f>
        <v/>
      </c>
      <c r="AT107" s="188" t="str">
        <f>IF(ISERROR(getgrade(Broadsheet!AT218,data!$H$4:$I$9)),"#",getgrade(Broadsheet!AT218,data!$H$4:$I$9))</f>
        <v/>
      </c>
      <c r="AU107" s="188" t="str">
        <f>IF(ISERROR(getgrade(Broadsheet!AU218,data!$H$4:$I$9)),"#",getgrade(Broadsheet!AU218,data!$H$4:$I$9))</f>
        <v/>
      </c>
      <c r="AV107" s="188" t="str">
        <f>IF(ISERROR(getgrade(Broadsheet!AV218,data!$H$4:$I$9)),"#",getgrade(Broadsheet!AV218,data!$H$4:$I$9))</f>
        <v/>
      </c>
      <c r="AW107" s="188" t="str">
        <f>IF(ISERROR(getgrade(Broadsheet!AW218,data!$H$4:$I$9)),"#",getgrade(Broadsheet!AW218,data!$H$4:$I$9))</f>
        <v/>
      </c>
      <c r="AX107" s="188" t="str">
        <f>IF(ISERROR(getgrade(Broadsheet!AX218,data!$H$4:$I$9)),"#",getgrade(Broadsheet!AX218,data!$H$4:$I$9))</f>
        <v/>
      </c>
      <c r="AY107" s="188" t="str">
        <f>IF(ISERROR(getgrade(Broadsheet!AY218,data!$H$4:$I$9)),"#",getgrade(Broadsheet!AY218,data!$H$4:$I$9))</f>
        <v/>
      </c>
      <c r="AZ107" s="188" t="str">
        <f>IF(ISERROR(getgrade(Broadsheet!AZ218,data!$H$4:$I$9)),"#",getgrade(Broadsheet!AZ218,data!$H$4:$I$9))</f>
        <v/>
      </c>
      <c r="BA107" s="188" t="str">
        <f>IF(ISERROR(getgrade(Broadsheet!BA218,data!$H$4:$I$9)),"#",getgrade(Broadsheet!BA218,data!$H$4:$I$9))</f>
        <v/>
      </c>
      <c r="BB107" s="188" t="str">
        <f>IF(ISERROR(getgrade(Broadsheet!BB218,data!$H$4:$I$9)),"#",getgrade(Broadsheet!BB218,data!$H$4:$I$9))</f>
        <v/>
      </c>
      <c r="BC107" s="188" t="str">
        <f>IF(ISERROR(getgrade(Broadsheet!BC218,data!$H$4:$I$9)),"#",getgrade(Broadsheet!BC218,data!$H$4:$I$9))</f>
        <v/>
      </c>
      <c r="BD107" s="188" t="str">
        <f>IF(ISERROR(getgrade(Broadsheet!BD218,data!$H$4:$I$9)),"#",getgrade(Broadsheet!BD218,data!$H$4:$I$9))</f>
        <v/>
      </c>
      <c r="BE107" s="188" t="str">
        <f>IF(ISERROR(getgrade(Broadsheet!BE218,data!$H$4:$I$9)),"#",getgrade(Broadsheet!BE218,data!$H$4:$I$9))</f>
        <v/>
      </c>
      <c r="BF107" s="188" t="str">
        <f>IF(ISERROR(getgrade(Broadsheet!BF218,data!$H$4:$I$9)),"#",getgrade(Broadsheet!BF218,data!$H$4:$I$9))</f>
        <v/>
      </c>
      <c r="BG107" s="188" t="str">
        <f>IF(ISERROR(getgrade(Broadsheet!BG218,data!$H$4:$I$9)),"#",getgrade(Broadsheet!BG218,data!$H$4:$I$9))</f>
        <v/>
      </c>
      <c r="BH107" s="188" t="str">
        <f>IF(ISERROR(getgrade(Broadsheet!BH218,data!$H$4:$I$9)),"#",getgrade(Broadsheet!BH218,data!$H$4:$I$9))</f>
        <v/>
      </c>
      <c r="BI107" s="188" t="str">
        <f>IF(ISERROR(getgrade(Broadsheet!BI218,data!$H$4:$I$9)),"#",getgrade(Broadsheet!BI218,data!$H$4:$I$9))</f>
        <v/>
      </c>
      <c r="BJ107" s="188" t="str">
        <f>IF(ISERROR(getgrade(Broadsheet!BJ218,data!$H$4:$I$9)),"#",getgrade(Broadsheet!BJ218,data!$H$4:$I$9))</f>
        <v/>
      </c>
      <c r="BK107" s="188"/>
      <c r="BL107" s="188"/>
      <c r="BM107" s="188"/>
      <c r="BN107" s="188"/>
      <c r="BO107" s="188"/>
      <c r="BP107" s="188"/>
      <c r="BQ107" s="188"/>
      <c r="BR107" s="188"/>
      <c r="BS107" s="188"/>
      <c r="BT107" s="188"/>
      <c r="BU107" s="188"/>
      <c r="BV107" s="188"/>
      <c r="BW107" s="188"/>
      <c r="BX107" s="188"/>
      <c r="BY107" s="188"/>
      <c r="BZ107" s="188"/>
      <c r="CA107" s="188"/>
      <c r="CB107" s="188"/>
      <c r="CC107" s="188"/>
      <c r="CD107" s="188"/>
      <c r="CE107" s="188"/>
      <c r="CF107" s="188"/>
      <c r="CG107" s="188"/>
      <c r="CH107" s="188"/>
      <c r="CI107" s="188"/>
      <c r="CJ107" s="188"/>
      <c r="CK107" s="188"/>
      <c r="CL107" s="188"/>
      <c r="CM107" s="188"/>
      <c r="CN107" s="188"/>
      <c r="CO107" s="188"/>
      <c r="CP107" s="188"/>
      <c r="CQ107" s="188"/>
      <c r="CR107" s="188"/>
      <c r="CS107" s="188"/>
      <c r="CT107" s="188"/>
      <c r="CU107" s="188"/>
      <c r="CV107" s="188"/>
      <c r="CW107" s="188"/>
      <c r="CX107" s="188"/>
      <c r="CY107" s="188"/>
      <c r="CZ107" s="188"/>
      <c r="DA107" s="188"/>
      <c r="DB107" s="188"/>
      <c r="DC107" s="188"/>
      <c r="DD107" s="188"/>
      <c r="DE107" s="188"/>
      <c r="DF107" s="188"/>
      <c r="DG107" s="188"/>
      <c r="DH107" s="188"/>
      <c r="DI107" s="188"/>
      <c r="DJ107" s="188"/>
      <c r="DK107" s="188"/>
      <c r="DL107" s="188"/>
      <c r="DM107" s="188"/>
      <c r="DN107" s="188"/>
      <c r="DO107" s="188"/>
      <c r="DP107" s="188"/>
      <c r="DQ107" s="188"/>
      <c r="DR107" s="188"/>
      <c r="DS107" s="188"/>
      <c r="DT107" s="188"/>
      <c r="DU107" s="188"/>
      <c r="DV107" s="188"/>
      <c r="DW107" s="188"/>
      <c r="DX107" s="188"/>
      <c r="DY107" s="188"/>
      <c r="DZ107" s="188"/>
      <c r="EA107" s="188"/>
    </row>
    <row r="108" spans="1:131" ht="15.75" x14ac:dyDescent="0.25">
      <c r="A108" s="12">
        <f>Broadsheet!A219</f>
        <v>0</v>
      </c>
      <c r="B108" s="204" t="str">
        <f>IF(Broadsheet!B108="","",Broadsheet!B108)</f>
        <v/>
      </c>
      <c r="C108" s="24" t="str">
        <f>IF(Broadsheet!C108="","",Broadsheet!C108)</f>
        <v xml:space="preserve"> </v>
      </c>
      <c r="G108" s="24" t="str">
        <f t="shared" si="1"/>
        <v/>
      </c>
      <c r="H108" s="188" t="str">
        <f>IF(ISERROR(getgrade(Broadsheet!H219,data!$H$4:$I$9)),"#",getgrade(Broadsheet!H219,data!$H$4:$I$9))</f>
        <v/>
      </c>
      <c r="I108" s="188" t="str">
        <f>IF(ISERROR(getgrade(Broadsheet!I219,data!$H$4:$I$9)),"#",getgrade(Broadsheet!I219,data!$H$4:$I$9))</f>
        <v/>
      </c>
      <c r="J108" s="188" t="str">
        <f>IF(ISERROR(getgrade(Broadsheet!J219,data!$H$4:$I$9)),"#",getgrade(Broadsheet!J219,data!$H$4:$I$9))</f>
        <v/>
      </c>
      <c r="K108" s="188" t="str">
        <f>IF(ISERROR(getgrade(Broadsheet!K219,data!$H$4:$I$9)),"#",getgrade(Broadsheet!K219,data!$H$4:$I$9))</f>
        <v/>
      </c>
      <c r="L108" s="188" t="str">
        <f>IF(ISERROR(getgrade(Broadsheet!L219,data!$H$4:$I$9)),"#",getgrade(Broadsheet!L219,data!$H$4:$I$9))</f>
        <v/>
      </c>
      <c r="M108" s="188" t="str">
        <f>IF(ISERROR(getgrade(Broadsheet!M219,data!$H$4:$I$9)),"#",getgrade(Broadsheet!M219,data!$H$4:$I$9))</f>
        <v/>
      </c>
      <c r="N108" s="188" t="str">
        <f>IF(ISERROR(getgrade(Broadsheet!N219,data!$H$4:$I$9)),"#",getgrade(Broadsheet!N219,data!$H$4:$I$9))</f>
        <v/>
      </c>
      <c r="O108" s="188" t="str">
        <f>IF(ISERROR(getgrade(Broadsheet!O219,data!$H$4:$I$9)),"#",getgrade(Broadsheet!O219,data!$H$4:$I$9))</f>
        <v/>
      </c>
      <c r="P108" s="188" t="str">
        <f>IF(ISERROR(getgrade(Broadsheet!P219,data!$H$4:$I$9)),"#",getgrade(Broadsheet!P219,data!$H$4:$I$9))</f>
        <v/>
      </c>
      <c r="Q108" s="188" t="str">
        <f>IF(ISERROR(getgrade(Broadsheet!Q219,data!$H$4:$I$9)),"#",getgrade(Broadsheet!Q219,data!$H$4:$I$9))</f>
        <v/>
      </c>
      <c r="R108" s="188" t="str">
        <f>IF(ISERROR(getgrade(Broadsheet!R219,data!$H$4:$I$9)),"#",getgrade(Broadsheet!R219,data!$H$4:$I$9))</f>
        <v/>
      </c>
      <c r="S108" s="188" t="str">
        <f>IF(ISERROR(getgrade(Broadsheet!S219,data!$H$4:$I$9)),"#",getgrade(Broadsheet!S219,data!$H$4:$I$9))</f>
        <v/>
      </c>
      <c r="T108" s="188" t="str">
        <f>IF(ISERROR(getgrade(Broadsheet!T219,data!$H$4:$I$9)),"#",getgrade(Broadsheet!T219,data!$H$4:$I$9))</f>
        <v/>
      </c>
      <c r="U108" s="188" t="str">
        <f>IF(ISERROR(getgrade(Broadsheet!U219,data!$H$4:$I$9)),"#",getgrade(Broadsheet!U219,data!$H$4:$I$9))</f>
        <v/>
      </c>
      <c r="V108" s="188" t="str">
        <f>IF(ISERROR(getgrade(Broadsheet!V219,data!$H$4:$I$9)),"#",getgrade(Broadsheet!V219,data!$H$4:$I$9))</f>
        <v/>
      </c>
      <c r="W108" s="188" t="str">
        <f>IF(ISERROR(getgrade(Broadsheet!W219,data!$H$4:$I$9)),"#",getgrade(Broadsheet!W219,data!$H$4:$I$9))</f>
        <v/>
      </c>
      <c r="X108" s="188" t="str">
        <f>IF(ISERROR(getgrade(Broadsheet!X219,data!$H$4:$I$9)),"#",getgrade(Broadsheet!X219,data!$H$4:$I$9))</f>
        <v/>
      </c>
      <c r="Y108" s="188" t="str">
        <f>IF(ISERROR(getgrade(Broadsheet!Y219,data!$H$4:$I$9)),"#",getgrade(Broadsheet!Y219,data!$H$4:$I$9))</f>
        <v/>
      </c>
      <c r="Z108" s="188" t="str">
        <f>IF(ISERROR(getgrade(Broadsheet!Z219,data!$H$4:$I$9)),"#",getgrade(Broadsheet!Z219,data!$H$4:$I$9))</f>
        <v/>
      </c>
      <c r="AA108" s="188" t="str">
        <f>IF(ISERROR(getgrade(Broadsheet!AA219,data!$H$4:$I$9)),"#",getgrade(Broadsheet!AA219,data!$H$4:$I$9))</f>
        <v/>
      </c>
      <c r="AB108" s="188" t="str">
        <f>IF(ISERROR(getgrade(Broadsheet!AB219,data!$H$4:$I$9)),"#",getgrade(Broadsheet!AB219,data!$H$4:$I$9))</f>
        <v/>
      </c>
      <c r="AC108" s="188" t="str">
        <f>IF(ISERROR(getgrade(Broadsheet!AC219,data!$H$4:$I$9)),"#",getgrade(Broadsheet!AC219,data!$H$4:$I$9))</f>
        <v/>
      </c>
      <c r="AD108" s="188" t="str">
        <f>IF(ISERROR(getgrade(Broadsheet!AD219,data!$H$4:$I$9)),"#",getgrade(Broadsheet!AD219,data!$H$4:$I$9))</f>
        <v/>
      </c>
      <c r="AE108" s="188" t="str">
        <f>IF(ISERROR(getgrade(Broadsheet!AE219,data!$H$4:$I$9)),"#",getgrade(Broadsheet!AE219,data!$H$4:$I$9))</f>
        <v/>
      </c>
      <c r="AF108" s="188" t="str">
        <f>IF(ISERROR(getgrade(Broadsheet!AF219,data!$H$4:$I$9)),"#",getgrade(Broadsheet!AF219,data!$H$4:$I$9))</f>
        <v/>
      </c>
      <c r="AG108" s="188" t="str">
        <f>IF(ISERROR(getgrade(Broadsheet!AG219,data!$H$4:$I$9)),"#",getgrade(Broadsheet!AG219,data!$H$4:$I$9))</f>
        <v/>
      </c>
      <c r="AH108" s="188" t="str">
        <f>IF(ISERROR(getgrade(Broadsheet!AH219,data!$H$4:$I$9)),"#",getgrade(Broadsheet!AH219,data!$H$4:$I$9))</f>
        <v/>
      </c>
      <c r="AI108" s="188" t="str">
        <f>IF(ISERROR(getgrade(Broadsheet!AI219,data!$H$4:$I$9)),"#",getgrade(Broadsheet!AI219,data!$H$4:$I$9))</f>
        <v/>
      </c>
      <c r="AJ108" s="188" t="str">
        <f>IF(ISERROR(getgrade(Broadsheet!AJ219,data!$H$4:$I$9)),"#",getgrade(Broadsheet!AJ219,data!$H$4:$I$9))</f>
        <v/>
      </c>
      <c r="AK108" s="188" t="str">
        <f>IF(ISERROR(getgrade(Broadsheet!AK219,data!$H$4:$I$9)),"#",getgrade(Broadsheet!AK219,data!$H$4:$I$9))</f>
        <v/>
      </c>
      <c r="AL108" s="188" t="str">
        <f>IF(ISERROR(getgrade(Broadsheet!AL219,data!$H$4:$I$9)),"#",getgrade(Broadsheet!AL219,data!$H$4:$I$9))</f>
        <v/>
      </c>
      <c r="AM108" s="188" t="str">
        <f>IF(ISERROR(getgrade(Broadsheet!AM219,data!$H$4:$I$9)),"#",getgrade(Broadsheet!AM219,data!$H$4:$I$9))</f>
        <v/>
      </c>
      <c r="AN108" s="188" t="str">
        <f>IF(ISERROR(getgrade(Broadsheet!AN219,data!$H$4:$I$9)),"#",getgrade(Broadsheet!AN219,data!$H$4:$I$9))</f>
        <v/>
      </c>
      <c r="AO108" s="188" t="str">
        <f>IF(ISERROR(getgrade(Broadsheet!AO219,data!$H$4:$I$9)),"#",getgrade(Broadsheet!AO219,data!$H$4:$I$9))</f>
        <v/>
      </c>
      <c r="AP108" s="188" t="str">
        <f>IF(ISERROR(getgrade(Broadsheet!AP219,data!$H$4:$I$9)),"#",getgrade(Broadsheet!AP219,data!$H$4:$I$9))</f>
        <v/>
      </c>
      <c r="AQ108" s="188" t="str">
        <f>IF(ISERROR(getgrade(Broadsheet!AQ219,data!$H$4:$I$9)),"#",getgrade(Broadsheet!AQ219,data!$H$4:$I$9))</f>
        <v/>
      </c>
      <c r="AR108" s="188" t="str">
        <f>IF(ISERROR(getgrade(Broadsheet!AR219,data!$H$4:$I$9)),"#",getgrade(Broadsheet!AR219,data!$H$4:$I$9))</f>
        <v/>
      </c>
      <c r="AS108" s="188" t="str">
        <f>IF(ISERROR(getgrade(Broadsheet!AS219,data!$H$4:$I$9)),"#",getgrade(Broadsheet!AS219,data!$H$4:$I$9))</f>
        <v/>
      </c>
      <c r="AT108" s="188" t="str">
        <f>IF(ISERROR(getgrade(Broadsheet!AT219,data!$H$4:$I$9)),"#",getgrade(Broadsheet!AT219,data!$H$4:$I$9))</f>
        <v/>
      </c>
      <c r="AU108" s="188" t="str">
        <f>IF(ISERROR(getgrade(Broadsheet!AU219,data!$H$4:$I$9)),"#",getgrade(Broadsheet!AU219,data!$H$4:$I$9))</f>
        <v/>
      </c>
      <c r="AV108" s="188" t="str">
        <f>IF(ISERROR(getgrade(Broadsheet!AV219,data!$H$4:$I$9)),"#",getgrade(Broadsheet!AV219,data!$H$4:$I$9))</f>
        <v/>
      </c>
      <c r="AW108" s="188" t="str">
        <f>IF(ISERROR(getgrade(Broadsheet!AW219,data!$H$4:$I$9)),"#",getgrade(Broadsheet!AW219,data!$H$4:$I$9))</f>
        <v/>
      </c>
      <c r="AX108" s="188" t="str">
        <f>IF(ISERROR(getgrade(Broadsheet!AX219,data!$H$4:$I$9)),"#",getgrade(Broadsheet!AX219,data!$H$4:$I$9))</f>
        <v/>
      </c>
      <c r="AY108" s="188" t="str">
        <f>IF(ISERROR(getgrade(Broadsheet!AY219,data!$H$4:$I$9)),"#",getgrade(Broadsheet!AY219,data!$H$4:$I$9))</f>
        <v/>
      </c>
      <c r="AZ108" s="188" t="str">
        <f>IF(ISERROR(getgrade(Broadsheet!AZ219,data!$H$4:$I$9)),"#",getgrade(Broadsheet!AZ219,data!$H$4:$I$9))</f>
        <v/>
      </c>
      <c r="BA108" s="188" t="str">
        <f>IF(ISERROR(getgrade(Broadsheet!BA219,data!$H$4:$I$9)),"#",getgrade(Broadsheet!BA219,data!$H$4:$I$9))</f>
        <v/>
      </c>
      <c r="BB108" s="188" t="str">
        <f>IF(ISERROR(getgrade(Broadsheet!BB219,data!$H$4:$I$9)),"#",getgrade(Broadsheet!BB219,data!$H$4:$I$9))</f>
        <v/>
      </c>
      <c r="BC108" s="188" t="str">
        <f>IF(ISERROR(getgrade(Broadsheet!BC219,data!$H$4:$I$9)),"#",getgrade(Broadsheet!BC219,data!$H$4:$I$9))</f>
        <v/>
      </c>
      <c r="BD108" s="188" t="str">
        <f>IF(ISERROR(getgrade(Broadsheet!BD219,data!$H$4:$I$9)),"#",getgrade(Broadsheet!BD219,data!$H$4:$I$9))</f>
        <v/>
      </c>
      <c r="BE108" s="188" t="str">
        <f>IF(ISERROR(getgrade(Broadsheet!BE219,data!$H$4:$I$9)),"#",getgrade(Broadsheet!BE219,data!$H$4:$I$9))</f>
        <v/>
      </c>
      <c r="BF108" s="188" t="str">
        <f>IF(ISERROR(getgrade(Broadsheet!BF219,data!$H$4:$I$9)),"#",getgrade(Broadsheet!BF219,data!$H$4:$I$9))</f>
        <v/>
      </c>
      <c r="BG108" s="188" t="str">
        <f>IF(ISERROR(getgrade(Broadsheet!BG219,data!$H$4:$I$9)),"#",getgrade(Broadsheet!BG219,data!$H$4:$I$9))</f>
        <v/>
      </c>
      <c r="BH108" s="188" t="str">
        <f>IF(ISERROR(getgrade(Broadsheet!BH219,data!$H$4:$I$9)),"#",getgrade(Broadsheet!BH219,data!$H$4:$I$9))</f>
        <v/>
      </c>
      <c r="BI108" s="188" t="str">
        <f>IF(ISERROR(getgrade(Broadsheet!BI219,data!$H$4:$I$9)),"#",getgrade(Broadsheet!BI219,data!$H$4:$I$9))</f>
        <v/>
      </c>
      <c r="BJ108" s="188" t="str">
        <f>IF(ISERROR(getgrade(Broadsheet!BJ219,data!$H$4:$I$9)),"#",getgrade(Broadsheet!BJ219,data!$H$4:$I$9))</f>
        <v/>
      </c>
      <c r="BK108" s="188"/>
      <c r="BL108" s="188"/>
      <c r="BM108" s="188"/>
      <c r="BN108" s="188"/>
      <c r="BO108" s="188"/>
      <c r="BP108" s="188"/>
      <c r="BQ108" s="188"/>
      <c r="BR108" s="188"/>
      <c r="BS108" s="188"/>
      <c r="BT108" s="188"/>
      <c r="BU108" s="188"/>
      <c r="BV108" s="188"/>
      <c r="BW108" s="188"/>
      <c r="BX108" s="188"/>
      <c r="BY108" s="188"/>
      <c r="BZ108" s="188"/>
      <c r="CA108" s="188"/>
      <c r="CB108" s="188"/>
      <c r="CC108" s="188"/>
      <c r="CD108" s="188"/>
      <c r="CE108" s="188"/>
      <c r="CF108" s="188"/>
      <c r="CG108" s="188"/>
      <c r="CH108" s="188"/>
      <c r="CI108" s="188"/>
      <c r="CJ108" s="188"/>
      <c r="CK108" s="188"/>
      <c r="CL108" s="188"/>
      <c r="CM108" s="188"/>
      <c r="CN108" s="188"/>
      <c r="CO108" s="188"/>
      <c r="CP108" s="188"/>
      <c r="CQ108" s="188"/>
      <c r="CR108" s="188"/>
      <c r="CS108" s="188"/>
      <c r="CT108" s="188"/>
      <c r="CU108" s="188"/>
      <c r="CV108" s="188"/>
      <c r="CW108" s="188"/>
      <c r="CX108" s="188"/>
      <c r="CY108" s="188"/>
      <c r="CZ108" s="188"/>
      <c r="DA108" s="188"/>
      <c r="DB108" s="188"/>
      <c r="DC108" s="188"/>
      <c r="DD108" s="188"/>
      <c r="DE108" s="188"/>
      <c r="DF108" s="188"/>
      <c r="DG108" s="188"/>
      <c r="DH108" s="188"/>
      <c r="DI108" s="188"/>
      <c r="DJ108" s="188"/>
      <c r="DK108" s="188"/>
      <c r="DL108" s="188"/>
      <c r="DM108" s="188"/>
      <c r="DN108" s="188"/>
      <c r="DO108" s="188"/>
      <c r="DP108" s="188"/>
      <c r="DQ108" s="188"/>
      <c r="DR108" s="188"/>
      <c r="DS108" s="188"/>
      <c r="DT108" s="188"/>
      <c r="DU108" s="188"/>
      <c r="DV108" s="188"/>
      <c r="DW108" s="188"/>
      <c r="DX108" s="188"/>
      <c r="DY108" s="188"/>
      <c r="DZ108" s="188"/>
      <c r="EA108" s="188"/>
    </row>
    <row r="109" spans="1:131" ht="15.75" x14ac:dyDescent="0.25">
      <c r="A109" s="12">
        <f>Broadsheet!A220</f>
        <v>0</v>
      </c>
      <c r="B109" s="204" t="str">
        <f>IF(Broadsheet!B109="","",Broadsheet!B109)</f>
        <v/>
      </c>
      <c r="C109" s="24" t="str">
        <f>IF(Broadsheet!C109="","",Broadsheet!C109)</f>
        <v xml:space="preserve"> </v>
      </c>
      <c r="G109" s="24" t="str">
        <f t="shared" si="1"/>
        <v/>
      </c>
      <c r="H109" s="188" t="str">
        <f>IF(ISERROR(getgrade(Broadsheet!H220,data!$H$4:$I$9)),"#",getgrade(Broadsheet!H220,data!$H$4:$I$9))</f>
        <v/>
      </c>
      <c r="I109" s="188" t="str">
        <f>IF(ISERROR(getgrade(Broadsheet!I220,data!$H$4:$I$9)),"#",getgrade(Broadsheet!I220,data!$H$4:$I$9))</f>
        <v/>
      </c>
      <c r="J109" s="188" t="str">
        <f>IF(ISERROR(getgrade(Broadsheet!J220,data!$H$4:$I$9)),"#",getgrade(Broadsheet!J220,data!$H$4:$I$9))</f>
        <v/>
      </c>
      <c r="K109" s="188" t="str">
        <f>IF(ISERROR(getgrade(Broadsheet!K220,data!$H$4:$I$9)),"#",getgrade(Broadsheet!K220,data!$H$4:$I$9))</f>
        <v/>
      </c>
      <c r="L109" s="188" t="str">
        <f>IF(ISERROR(getgrade(Broadsheet!L220,data!$H$4:$I$9)),"#",getgrade(Broadsheet!L220,data!$H$4:$I$9))</f>
        <v/>
      </c>
      <c r="M109" s="188" t="str">
        <f>IF(ISERROR(getgrade(Broadsheet!M220,data!$H$4:$I$9)),"#",getgrade(Broadsheet!M220,data!$H$4:$I$9))</f>
        <v/>
      </c>
      <c r="N109" s="188" t="str">
        <f>IF(ISERROR(getgrade(Broadsheet!N220,data!$H$4:$I$9)),"#",getgrade(Broadsheet!N220,data!$H$4:$I$9))</f>
        <v/>
      </c>
      <c r="O109" s="188" t="str">
        <f>IF(ISERROR(getgrade(Broadsheet!O220,data!$H$4:$I$9)),"#",getgrade(Broadsheet!O220,data!$H$4:$I$9))</f>
        <v/>
      </c>
      <c r="P109" s="188" t="str">
        <f>IF(ISERROR(getgrade(Broadsheet!P220,data!$H$4:$I$9)),"#",getgrade(Broadsheet!P220,data!$H$4:$I$9))</f>
        <v/>
      </c>
      <c r="Q109" s="188" t="str">
        <f>IF(ISERROR(getgrade(Broadsheet!Q220,data!$H$4:$I$9)),"#",getgrade(Broadsheet!Q220,data!$H$4:$I$9))</f>
        <v/>
      </c>
      <c r="R109" s="188" t="str">
        <f>IF(ISERROR(getgrade(Broadsheet!R220,data!$H$4:$I$9)),"#",getgrade(Broadsheet!R220,data!$H$4:$I$9))</f>
        <v/>
      </c>
      <c r="S109" s="188" t="str">
        <f>IF(ISERROR(getgrade(Broadsheet!S220,data!$H$4:$I$9)),"#",getgrade(Broadsheet!S220,data!$H$4:$I$9))</f>
        <v/>
      </c>
      <c r="T109" s="188" t="str">
        <f>IF(ISERROR(getgrade(Broadsheet!T220,data!$H$4:$I$9)),"#",getgrade(Broadsheet!T220,data!$H$4:$I$9))</f>
        <v/>
      </c>
      <c r="U109" s="188" t="str">
        <f>IF(ISERROR(getgrade(Broadsheet!U220,data!$H$4:$I$9)),"#",getgrade(Broadsheet!U220,data!$H$4:$I$9))</f>
        <v/>
      </c>
      <c r="V109" s="188" t="str">
        <f>IF(ISERROR(getgrade(Broadsheet!V220,data!$H$4:$I$9)),"#",getgrade(Broadsheet!V220,data!$H$4:$I$9))</f>
        <v/>
      </c>
      <c r="W109" s="188" t="str">
        <f>IF(ISERROR(getgrade(Broadsheet!W220,data!$H$4:$I$9)),"#",getgrade(Broadsheet!W220,data!$H$4:$I$9))</f>
        <v/>
      </c>
      <c r="X109" s="188" t="str">
        <f>IF(ISERROR(getgrade(Broadsheet!X220,data!$H$4:$I$9)),"#",getgrade(Broadsheet!X220,data!$H$4:$I$9))</f>
        <v/>
      </c>
      <c r="Y109" s="188" t="str">
        <f>IF(ISERROR(getgrade(Broadsheet!Y220,data!$H$4:$I$9)),"#",getgrade(Broadsheet!Y220,data!$H$4:$I$9))</f>
        <v/>
      </c>
      <c r="Z109" s="188" t="str">
        <f>IF(ISERROR(getgrade(Broadsheet!Z220,data!$H$4:$I$9)),"#",getgrade(Broadsheet!Z220,data!$H$4:$I$9))</f>
        <v/>
      </c>
      <c r="AA109" s="188" t="str">
        <f>IF(ISERROR(getgrade(Broadsheet!AA220,data!$H$4:$I$9)),"#",getgrade(Broadsheet!AA220,data!$H$4:$I$9))</f>
        <v/>
      </c>
      <c r="AB109" s="188" t="str">
        <f>IF(ISERROR(getgrade(Broadsheet!AB220,data!$H$4:$I$9)),"#",getgrade(Broadsheet!AB220,data!$H$4:$I$9))</f>
        <v/>
      </c>
      <c r="AC109" s="188" t="str">
        <f>IF(ISERROR(getgrade(Broadsheet!AC220,data!$H$4:$I$9)),"#",getgrade(Broadsheet!AC220,data!$H$4:$I$9))</f>
        <v/>
      </c>
      <c r="AD109" s="188" t="str">
        <f>IF(ISERROR(getgrade(Broadsheet!AD220,data!$H$4:$I$9)),"#",getgrade(Broadsheet!AD220,data!$H$4:$I$9))</f>
        <v/>
      </c>
      <c r="AE109" s="188" t="str">
        <f>IF(ISERROR(getgrade(Broadsheet!AE220,data!$H$4:$I$9)),"#",getgrade(Broadsheet!AE220,data!$H$4:$I$9))</f>
        <v/>
      </c>
      <c r="AF109" s="188" t="str">
        <f>IF(ISERROR(getgrade(Broadsheet!AF220,data!$H$4:$I$9)),"#",getgrade(Broadsheet!AF220,data!$H$4:$I$9))</f>
        <v/>
      </c>
      <c r="AG109" s="188" t="str">
        <f>IF(ISERROR(getgrade(Broadsheet!AG220,data!$H$4:$I$9)),"#",getgrade(Broadsheet!AG220,data!$H$4:$I$9))</f>
        <v/>
      </c>
      <c r="AH109" s="188" t="str">
        <f>IF(ISERROR(getgrade(Broadsheet!AH220,data!$H$4:$I$9)),"#",getgrade(Broadsheet!AH220,data!$H$4:$I$9))</f>
        <v/>
      </c>
      <c r="AI109" s="188" t="str">
        <f>IF(ISERROR(getgrade(Broadsheet!AI220,data!$H$4:$I$9)),"#",getgrade(Broadsheet!AI220,data!$H$4:$I$9))</f>
        <v/>
      </c>
      <c r="AJ109" s="188" t="str">
        <f>IF(ISERROR(getgrade(Broadsheet!AJ220,data!$H$4:$I$9)),"#",getgrade(Broadsheet!AJ220,data!$H$4:$I$9))</f>
        <v/>
      </c>
      <c r="AK109" s="188" t="str">
        <f>IF(ISERROR(getgrade(Broadsheet!AK220,data!$H$4:$I$9)),"#",getgrade(Broadsheet!AK220,data!$H$4:$I$9))</f>
        <v/>
      </c>
      <c r="AL109" s="188" t="str">
        <f>IF(ISERROR(getgrade(Broadsheet!AL220,data!$H$4:$I$9)),"#",getgrade(Broadsheet!AL220,data!$H$4:$I$9))</f>
        <v/>
      </c>
      <c r="AM109" s="188" t="str">
        <f>IF(ISERROR(getgrade(Broadsheet!AM220,data!$H$4:$I$9)),"#",getgrade(Broadsheet!AM220,data!$H$4:$I$9))</f>
        <v/>
      </c>
      <c r="AN109" s="188" t="str">
        <f>IF(ISERROR(getgrade(Broadsheet!AN220,data!$H$4:$I$9)),"#",getgrade(Broadsheet!AN220,data!$H$4:$I$9))</f>
        <v/>
      </c>
      <c r="AO109" s="188" t="str">
        <f>IF(ISERROR(getgrade(Broadsheet!AO220,data!$H$4:$I$9)),"#",getgrade(Broadsheet!AO220,data!$H$4:$I$9))</f>
        <v/>
      </c>
      <c r="AP109" s="188" t="str">
        <f>IF(ISERROR(getgrade(Broadsheet!AP220,data!$H$4:$I$9)),"#",getgrade(Broadsheet!AP220,data!$H$4:$I$9))</f>
        <v/>
      </c>
      <c r="AQ109" s="188" t="str">
        <f>IF(ISERROR(getgrade(Broadsheet!AQ220,data!$H$4:$I$9)),"#",getgrade(Broadsheet!AQ220,data!$H$4:$I$9))</f>
        <v/>
      </c>
      <c r="AR109" s="188" t="str">
        <f>IF(ISERROR(getgrade(Broadsheet!AR220,data!$H$4:$I$9)),"#",getgrade(Broadsheet!AR220,data!$H$4:$I$9))</f>
        <v/>
      </c>
      <c r="AS109" s="188" t="str">
        <f>IF(ISERROR(getgrade(Broadsheet!AS220,data!$H$4:$I$9)),"#",getgrade(Broadsheet!AS220,data!$H$4:$I$9))</f>
        <v/>
      </c>
      <c r="AT109" s="188" t="str">
        <f>IF(ISERROR(getgrade(Broadsheet!AT220,data!$H$4:$I$9)),"#",getgrade(Broadsheet!AT220,data!$H$4:$I$9))</f>
        <v/>
      </c>
      <c r="AU109" s="188" t="str">
        <f>IF(ISERROR(getgrade(Broadsheet!AU220,data!$H$4:$I$9)),"#",getgrade(Broadsheet!AU220,data!$H$4:$I$9))</f>
        <v/>
      </c>
      <c r="AV109" s="188" t="str">
        <f>IF(ISERROR(getgrade(Broadsheet!AV220,data!$H$4:$I$9)),"#",getgrade(Broadsheet!AV220,data!$H$4:$I$9))</f>
        <v/>
      </c>
      <c r="AW109" s="188" t="str">
        <f>IF(ISERROR(getgrade(Broadsheet!AW220,data!$H$4:$I$9)),"#",getgrade(Broadsheet!AW220,data!$H$4:$I$9))</f>
        <v/>
      </c>
      <c r="AX109" s="188" t="str">
        <f>IF(ISERROR(getgrade(Broadsheet!AX220,data!$H$4:$I$9)),"#",getgrade(Broadsheet!AX220,data!$H$4:$I$9))</f>
        <v/>
      </c>
      <c r="AY109" s="188" t="str">
        <f>IF(ISERROR(getgrade(Broadsheet!AY220,data!$H$4:$I$9)),"#",getgrade(Broadsheet!AY220,data!$H$4:$I$9))</f>
        <v/>
      </c>
      <c r="AZ109" s="188" t="str">
        <f>IF(ISERROR(getgrade(Broadsheet!AZ220,data!$H$4:$I$9)),"#",getgrade(Broadsheet!AZ220,data!$H$4:$I$9))</f>
        <v/>
      </c>
      <c r="BA109" s="188" t="str">
        <f>IF(ISERROR(getgrade(Broadsheet!BA220,data!$H$4:$I$9)),"#",getgrade(Broadsheet!BA220,data!$H$4:$I$9))</f>
        <v/>
      </c>
      <c r="BB109" s="188" t="str">
        <f>IF(ISERROR(getgrade(Broadsheet!BB220,data!$H$4:$I$9)),"#",getgrade(Broadsheet!BB220,data!$H$4:$I$9))</f>
        <v/>
      </c>
      <c r="BC109" s="188" t="str">
        <f>IF(ISERROR(getgrade(Broadsheet!BC220,data!$H$4:$I$9)),"#",getgrade(Broadsheet!BC220,data!$H$4:$I$9))</f>
        <v/>
      </c>
      <c r="BD109" s="188" t="str">
        <f>IF(ISERROR(getgrade(Broadsheet!BD220,data!$H$4:$I$9)),"#",getgrade(Broadsheet!BD220,data!$H$4:$I$9))</f>
        <v/>
      </c>
      <c r="BE109" s="188" t="str">
        <f>IF(ISERROR(getgrade(Broadsheet!BE220,data!$H$4:$I$9)),"#",getgrade(Broadsheet!BE220,data!$H$4:$I$9))</f>
        <v/>
      </c>
      <c r="BF109" s="188" t="str">
        <f>IF(ISERROR(getgrade(Broadsheet!BF220,data!$H$4:$I$9)),"#",getgrade(Broadsheet!BF220,data!$H$4:$I$9))</f>
        <v/>
      </c>
      <c r="BG109" s="188" t="str">
        <f>IF(ISERROR(getgrade(Broadsheet!BG220,data!$H$4:$I$9)),"#",getgrade(Broadsheet!BG220,data!$H$4:$I$9))</f>
        <v/>
      </c>
      <c r="BH109" s="188" t="str">
        <f>IF(ISERROR(getgrade(Broadsheet!BH220,data!$H$4:$I$9)),"#",getgrade(Broadsheet!BH220,data!$H$4:$I$9))</f>
        <v/>
      </c>
      <c r="BI109" s="188" t="str">
        <f>IF(ISERROR(getgrade(Broadsheet!BI220,data!$H$4:$I$9)),"#",getgrade(Broadsheet!BI220,data!$H$4:$I$9))</f>
        <v/>
      </c>
      <c r="BJ109" s="188" t="str">
        <f>IF(ISERROR(getgrade(Broadsheet!BJ220,data!$H$4:$I$9)),"#",getgrade(Broadsheet!BJ220,data!$H$4:$I$9))</f>
        <v/>
      </c>
      <c r="BK109" s="188"/>
      <c r="BL109" s="188"/>
      <c r="BM109" s="188"/>
      <c r="BN109" s="188"/>
      <c r="BO109" s="188"/>
      <c r="BP109" s="188"/>
      <c r="BQ109" s="188"/>
      <c r="BR109" s="188"/>
      <c r="BS109" s="188"/>
      <c r="BT109" s="188"/>
      <c r="BU109" s="188"/>
      <c r="BV109" s="188"/>
      <c r="BW109" s="188"/>
      <c r="BX109" s="188"/>
      <c r="BY109" s="188"/>
      <c r="BZ109" s="188"/>
      <c r="CA109" s="188"/>
      <c r="CB109" s="188"/>
      <c r="CC109" s="188"/>
      <c r="CD109" s="188"/>
      <c r="CE109" s="188"/>
      <c r="CF109" s="188"/>
      <c r="CG109" s="188"/>
      <c r="CH109" s="188"/>
      <c r="CI109" s="188"/>
      <c r="CJ109" s="188"/>
      <c r="CK109" s="188"/>
      <c r="CL109" s="188"/>
      <c r="CM109" s="188"/>
      <c r="CN109" s="188"/>
      <c r="CO109" s="188"/>
      <c r="CP109" s="188"/>
      <c r="CQ109" s="188"/>
      <c r="CR109" s="188"/>
      <c r="CS109" s="188"/>
      <c r="CT109" s="188"/>
      <c r="CU109" s="188"/>
      <c r="CV109" s="188"/>
      <c r="CW109" s="188"/>
      <c r="CX109" s="188"/>
      <c r="CY109" s="188"/>
      <c r="CZ109" s="188"/>
      <c r="DA109" s="188"/>
      <c r="DB109" s="188"/>
      <c r="DC109" s="188"/>
      <c r="DD109" s="188"/>
      <c r="DE109" s="188"/>
      <c r="DF109" s="188"/>
      <c r="DG109" s="188"/>
      <c r="DH109" s="188"/>
      <c r="DI109" s="188"/>
      <c r="DJ109" s="188"/>
      <c r="DK109" s="188"/>
      <c r="DL109" s="188"/>
      <c r="DM109" s="188"/>
      <c r="DN109" s="188"/>
      <c r="DO109" s="188"/>
      <c r="DP109" s="188"/>
      <c r="DQ109" s="188"/>
      <c r="DR109" s="188"/>
      <c r="DS109" s="188"/>
      <c r="DT109" s="188"/>
      <c r="DU109" s="188"/>
      <c r="DV109" s="188"/>
      <c r="DW109" s="188"/>
      <c r="DX109" s="188"/>
      <c r="DY109" s="188"/>
      <c r="DZ109" s="188"/>
      <c r="EA109" s="188"/>
    </row>
    <row r="110" spans="1:131" ht="15.75" x14ac:dyDescent="0.25">
      <c r="A110" s="12">
        <f>Broadsheet!A221</f>
        <v>0</v>
      </c>
      <c r="B110" s="204" t="str">
        <f>IF(Broadsheet!B110="","",Broadsheet!B110)</f>
        <v/>
      </c>
      <c r="C110" s="24" t="str">
        <f>IF(Broadsheet!C110="","",Broadsheet!C110)</f>
        <v xml:space="preserve"> </v>
      </c>
      <c r="G110" s="24" t="str">
        <f t="shared" si="1"/>
        <v/>
      </c>
      <c r="H110" s="188" t="str">
        <f>IF(ISERROR(getgrade(Broadsheet!H221,data!$H$4:$I$9)),"#",getgrade(Broadsheet!H221,data!$H$4:$I$9))</f>
        <v/>
      </c>
      <c r="I110" s="188" t="str">
        <f>IF(ISERROR(getgrade(Broadsheet!I221,data!$H$4:$I$9)),"#",getgrade(Broadsheet!I221,data!$H$4:$I$9))</f>
        <v/>
      </c>
      <c r="J110" s="188" t="str">
        <f>IF(ISERROR(getgrade(Broadsheet!J221,data!$H$4:$I$9)),"#",getgrade(Broadsheet!J221,data!$H$4:$I$9))</f>
        <v/>
      </c>
      <c r="K110" s="188" t="str">
        <f>IF(ISERROR(getgrade(Broadsheet!K221,data!$H$4:$I$9)),"#",getgrade(Broadsheet!K221,data!$H$4:$I$9))</f>
        <v/>
      </c>
      <c r="L110" s="188" t="str">
        <f>IF(ISERROR(getgrade(Broadsheet!L221,data!$H$4:$I$9)),"#",getgrade(Broadsheet!L221,data!$H$4:$I$9))</f>
        <v/>
      </c>
      <c r="M110" s="188" t="str">
        <f>IF(ISERROR(getgrade(Broadsheet!M221,data!$H$4:$I$9)),"#",getgrade(Broadsheet!M221,data!$H$4:$I$9))</f>
        <v/>
      </c>
      <c r="N110" s="188" t="str">
        <f>IF(ISERROR(getgrade(Broadsheet!N221,data!$H$4:$I$9)),"#",getgrade(Broadsheet!N221,data!$H$4:$I$9))</f>
        <v/>
      </c>
      <c r="O110" s="188" t="str">
        <f>IF(ISERROR(getgrade(Broadsheet!O221,data!$H$4:$I$9)),"#",getgrade(Broadsheet!O221,data!$H$4:$I$9))</f>
        <v/>
      </c>
      <c r="P110" s="188" t="str">
        <f>IF(ISERROR(getgrade(Broadsheet!P221,data!$H$4:$I$9)),"#",getgrade(Broadsheet!P221,data!$H$4:$I$9))</f>
        <v/>
      </c>
      <c r="Q110" s="188" t="str">
        <f>IF(ISERROR(getgrade(Broadsheet!Q221,data!$H$4:$I$9)),"#",getgrade(Broadsheet!Q221,data!$H$4:$I$9))</f>
        <v/>
      </c>
      <c r="R110" s="188" t="str">
        <f>IF(ISERROR(getgrade(Broadsheet!R221,data!$H$4:$I$9)),"#",getgrade(Broadsheet!R221,data!$H$4:$I$9))</f>
        <v/>
      </c>
      <c r="S110" s="188" t="str">
        <f>IF(ISERROR(getgrade(Broadsheet!S221,data!$H$4:$I$9)),"#",getgrade(Broadsheet!S221,data!$H$4:$I$9))</f>
        <v/>
      </c>
      <c r="T110" s="188" t="str">
        <f>IF(ISERROR(getgrade(Broadsheet!T221,data!$H$4:$I$9)),"#",getgrade(Broadsheet!T221,data!$H$4:$I$9))</f>
        <v/>
      </c>
      <c r="U110" s="188" t="str">
        <f>IF(ISERROR(getgrade(Broadsheet!U221,data!$H$4:$I$9)),"#",getgrade(Broadsheet!U221,data!$H$4:$I$9))</f>
        <v/>
      </c>
      <c r="V110" s="188" t="str">
        <f>IF(ISERROR(getgrade(Broadsheet!V221,data!$H$4:$I$9)),"#",getgrade(Broadsheet!V221,data!$H$4:$I$9))</f>
        <v/>
      </c>
      <c r="W110" s="188" t="str">
        <f>IF(ISERROR(getgrade(Broadsheet!W221,data!$H$4:$I$9)),"#",getgrade(Broadsheet!W221,data!$H$4:$I$9))</f>
        <v/>
      </c>
      <c r="X110" s="188" t="str">
        <f>IF(ISERROR(getgrade(Broadsheet!X221,data!$H$4:$I$9)),"#",getgrade(Broadsheet!X221,data!$H$4:$I$9))</f>
        <v/>
      </c>
      <c r="Y110" s="188" t="str">
        <f>IF(ISERROR(getgrade(Broadsheet!Y221,data!$H$4:$I$9)),"#",getgrade(Broadsheet!Y221,data!$H$4:$I$9))</f>
        <v/>
      </c>
      <c r="Z110" s="188" t="str">
        <f>IF(ISERROR(getgrade(Broadsheet!Z221,data!$H$4:$I$9)),"#",getgrade(Broadsheet!Z221,data!$H$4:$I$9))</f>
        <v/>
      </c>
      <c r="AA110" s="188" t="str">
        <f>IF(ISERROR(getgrade(Broadsheet!AA221,data!$H$4:$I$9)),"#",getgrade(Broadsheet!AA221,data!$H$4:$I$9))</f>
        <v/>
      </c>
      <c r="AB110" s="188" t="str">
        <f>IF(ISERROR(getgrade(Broadsheet!AB221,data!$H$4:$I$9)),"#",getgrade(Broadsheet!AB221,data!$H$4:$I$9))</f>
        <v/>
      </c>
      <c r="AC110" s="188" t="str">
        <f>IF(ISERROR(getgrade(Broadsheet!AC221,data!$H$4:$I$9)),"#",getgrade(Broadsheet!AC221,data!$H$4:$I$9))</f>
        <v/>
      </c>
      <c r="AD110" s="188" t="str">
        <f>IF(ISERROR(getgrade(Broadsheet!AD221,data!$H$4:$I$9)),"#",getgrade(Broadsheet!AD221,data!$H$4:$I$9))</f>
        <v/>
      </c>
      <c r="AE110" s="188" t="str">
        <f>IF(ISERROR(getgrade(Broadsheet!AE221,data!$H$4:$I$9)),"#",getgrade(Broadsheet!AE221,data!$H$4:$I$9))</f>
        <v/>
      </c>
      <c r="AF110" s="188" t="str">
        <f>IF(ISERROR(getgrade(Broadsheet!AF221,data!$H$4:$I$9)),"#",getgrade(Broadsheet!AF221,data!$H$4:$I$9))</f>
        <v/>
      </c>
      <c r="AG110" s="188" t="str">
        <f>IF(ISERROR(getgrade(Broadsheet!AG221,data!$H$4:$I$9)),"#",getgrade(Broadsheet!AG221,data!$H$4:$I$9))</f>
        <v/>
      </c>
      <c r="AH110" s="188" t="str">
        <f>IF(ISERROR(getgrade(Broadsheet!AH221,data!$H$4:$I$9)),"#",getgrade(Broadsheet!AH221,data!$H$4:$I$9))</f>
        <v/>
      </c>
      <c r="AI110" s="188" t="str">
        <f>IF(ISERROR(getgrade(Broadsheet!AI221,data!$H$4:$I$9)),"#",getgrade(Broadsheet!AI221,data!$H$4:$I$9))</f>
        <v/>
      </c>
      <c r="AJ110" s="188" t="str">
        <f>IF(ISERROR(getgrade(Broadsheet!AJ221,data!$H$4:$I$9)),"#",getgrade(Broadsheet!AJ221,data!$H$4:$I$9))</f>
        <v/>
      </c>
      <c r="AK110" s="188" t="str">
        <f>IF(ISERROR(getgrade(Broadsheet!AK221,data!$H$4:$I$9)),"#",getgrade(Broadsheet!AK221,data!$H$4:$I$9))</f>
        <v/>
      </c>
      <c r="AL110" s="188" t="str">
        <f>IF(ISERROR(getgrade(Broadsheet!AL221,data!$H$4:$I$9)),"#",getgrade(Broadsheet!AL221,data!$H$4:$I$9))</f>
        <v/>
      </c>
      <c r="AM110" s="188" t="str">
        <f>IF(ISERROR(getgrade(Broadsheet!AM221,data!$H$4:$I$9)),"#",getgrade(Broadsheet!AM221,data!$H$4:$I$9))</f>
        <v/>
      </c>
      <c r="AN110" s="188" t="str">
        <f>IF(ISERROR(getgrade(Broadsheet!AN221,data!$H$4:$I$9)),"#",getgrade(Broadsheet!AN221,data!$H$4:$I$9))</f>
        <v/>
      </c>
      <c r="AO110" s="188" t="str">
        <f>IF(ISERROR(getgrade(Broadsheet!AO221,data!$H$4:$I$9)),"#",getgrade(Broadsheet!AO221,data!$H$4:$I$9))</f>
        <v/>
      </c>
      <c r="AP110" s="188" t="str">
        <f>IF(ISERROR(getgrade(Broadsheet!AP221,data!$H$4:$I$9)),"#",getgrade(Broadsheet!AP221,data!$H$4:$I$9))</f>
        <v/>
      </c>
      <c r="AQ110" s="188" t="str">
        <f>IF(ISERROR(getgrade(Broadsheet!AQ221,data!$H$4:$I$9)),"#",getgrade(Broadsheet!AQ221,data!$H$4:$I$9))</f>
        <v/>
      </c>
      <c r="AR110" s="188" t="str">
        <f>IF(ISERROR(getgrade(Broadsheet!AR221,data!$H$4:$I$9)),"#",getgrade(Broadsheet!AR221,data!$H$4:$I$9))</f>
        <v/>
      </c>
      <c r="AS110" s="188" t="str">
        <f>IF(ISERROR(getgrade(Broadsheet!AS221,data!$H$4:$I$9)),"#",getgrade(Broadsheet!AS221,data!$H$4:$I$9))</f>
        <v/>
      </c>
      <c r="AT110" s="188" t="str">
        <f>IF(ISERROR(getgrade(Broadsheet!AT221,data!$H$4:$I$9)),"#",getgrade(Broadsheet!AT221,data!$H$4:$I$9))</f>
        <v/>
      </c>
      <c r="AU110" s="188" t="str">
        <f>IF(ISERROR(getgrade(Broadsheet!AU221,data!$H$4:$I$9)),"#",getgrade(Broadsheet!AU221,data!$H$4:$I$9))</f>
        <v/>
      </c>
      <c r="AV110" s="188" t="str">
        <f>IF(ISERROR(getgrade(Broadsheet!AV221,data!$H$4:$I$9)),"#",getgrade(Broadsheet!AV221,data!$H$4:$I$9))</f>
        <v/>
      </c>
      <c r="AW110" s="188" t="str">
        <f>IF(ISERROR(getgrade(Broadsheet!AW221,data!$H$4:$I$9)),"#",getgrade(Broadsheet!AW221,data!$H$4:$I$9))</f>
        <v/>
      </c>
      <c r="AX110" s="188" t="str">
        <f>IF(ISERROR(getgrade(Broadsheet!AX221,data!$H$4:$I$9)),"#",getgrade(Broadsheet!AX221,data!$H$4:$I$9))</f>
        <v/>
      </c>
      <c r="AY110" s="188" t="str">
        <f>IF(ISERROR(getgrade(Broadsheet!AY221,data!$H$4:$I$9)),"#",getgrade(Broadsheet!AY221,data!$H$4:$I$9))</f>
        <v/>
      </c>
      <c r="AZ110" s="188" t="str">
        <f>IF(ISERROR(getgrade(Broadsheet!AZ221,data!$H$4:$I$9)),"#",getgrade(Broadsheet!AZ221,data!$H$4:$I$9))</f>
        <v/>
      </c>
      <c r="BA110" s="188" t="str">
        <f>IF(ISERROR(getgrade(Broadsheet!BA221,data!$H$4:$I$9)),"#",getgrade(Broadsheet!BA221,data!$H$4:$I$9))</f>
        <v/>
      </c>
      <c r="BB110" s="188" t="str">
        <f>IF(ISERROR(getgrade(Broadsheet!BB221,data!$H$4:$I$9)),"#",getgrade(Broadsheet!BB221,data!$H$4:$I$9))</f>
        <v/>
      </c>
      <c r="BC110" s="188" t="str">
        <f>IF(ISERROR(getgrade(Broadsheet!BC221,data!$H$4:$I$9)),"#",getgrade(Broadsheet!BC221,data!$H$4:$I$9))</f>
        <v/>
      </c>
      <c r="BD110" s="188" t="str">
        <f>IF(ISERROR(getgrade(Broadsheet!BD221,data!$H$4:$I$9)),"#",getgrade(Broadsheet!BD221,data!$H$4:$I$9))</f>
        <v/>
      </c>
      <c r="BE110" s="188" t="str">
        <f>IF(ISERROR(getgrade(Broadsheet!BE221,data!$H$4:$I$9)),"#",getgrade(Broadsheet!BE221,data!$H$4:$I$9))</f>
        <v/>
      </c>
      <c r="BF110" s="188" t="str">
        <f>IF(ISERROR(getgrade(Broadsheet!BF221,data!$H$4:$I$9)),"#",getgrade(Broadsheet!BF221,data!$H$4:$I$9))</f>
        <v/>
      </c>
      <c r="BG110" s="188" t="str">
        <f>IF(ISERROR(getgrade(Broadsheet!BG221,data!$H$4:$I$9)),"#",getgrade(Broadsheet!BG221,data!$H$4:$I$9))</f>
        <v/>
      </c>
      <c r="BH110" s="188" t="str">
        <f>IF(ISERROR(getgrade(Broadsheet!BH221,data!$H$4:$I$9)),"#",getgrade(Broadsheet!BH221,data!$H$4:$I$9))</f>
        <v/>
      </c>
      <c r="BI110" s="188" t="str">
        <f>IF(ISERROR(getgrade(Broadsheet!BI221,data!$H$4:$I$9)),"#",getgrade(Broadsheet!BI221,data!$H$4:$I$9))</f>
        <v/>
      </c>
      <c r="BJ110" s="188" t="str">
        <f>IF(ISERROR(getgrade(Broadsheet!BJ221,data!$H$4:$I$9)),"#",getgrade(Broadsheet!BJ221,data!$H$4:$I$9))</f>
        <v/>
      </c>
      <c r="BK110" s="188"/>
      <c r="BL110" s="188"/>
      <c r="BM110" s="188"/>
      <c r="BN110" s="188"/>
      <c r="BO110" s="188"/>
      <c r="BP110" s="188"/>
      <c r="BQ110" s="188"/>
      <c r="BR110" s="188"/>
      <c r="BS110" s="188"/>
      <c r="BT110" s="188"/>
      <c r="BU110" s="188"/>
      <c r="BV110" s="188"/>
      <c r="BW110" s="188"/>
      <c r="BX110" s="188"/>
      <c r="BY110" s="188"/>
      <c r="BZ110" s="188"/>
      <c r="CA110" s="188"/>
      <c r="CB110" s="188"/>
      <c r="CC110" s="188"/>
      <c r="CD110" s="188"/>
      <c r="CE110" s="188"/>
      <c r="CF110" s="188"/>
      <c r="CG110" s="188"/>
      <c r="CH110" s="188"/>
      <c r="CI110" s="188"/>
      <c r="CJ110" s="188"/>
      <c r="CK110" s="188"/>
      <c r="CL110" s="188"/>
      <c r="CM110" s="188"/>
      <c r="CN110" s="188"/>
      <c r="CO110" s="188"/>
      <c r="CP110" s="188"/>
      <c r="CQ110" s="188"/>
      <c r="CR110" s="188"/>
      <c r="CS110" s="188"/>
      <c r="CT110" s="188"/>
      <c r="CU110" s="188"/>
      <c r="CV110" s="188"/>
      <c r="CW110" s="188"/>
      <c r="CX110" s="188"/>
      <c r="CY110" s="188"/>
      <c r="CZ110" s="188"/>
      <c r="DA110" s="188"/>
      <c r="DB110" s="188"/>
      <c r="DC110" s="188"/>
      <c r="DD110" s="188"/>
      <c r="DE110" s="188"/>
      <c r="DF110" s="188"/>
      <c r="DG110" s="188"/>
      <c r="DH110" s="188"/>
      <c r="DI110" s="188"/>
      <c r="DJ110" s="188"/>
      <c r="DK110" s="188"/>
      <c r="DL110" s="188"/>
      <c r="DM110" s="188"/>
      <c r="DN110" s="188"/>
      <c r="DO110" s="188"/>
      <c r="DP110" s="188"/>
      <c r="DQ110" s="188"/>
      <c r="DR110" s="188"/>
      <c r="DS110" s="188"/>
      <c r="DT110" s="188"/>
      <c r="DU110" s="188"/>
      <c r="DV110" s="188"/>
      <c r="DW110" s="188"/>
      <c r="DX110" s="188"/>
      <c r="DY110" s="188"/>
      <c r="DZ110" s="188"/>
      <c r="EA110" s="188"/>
    </row>
    <row r="111" spans="1:131" ht="15.75" x14ac:dyDescent="0.25">
      <c r="A111" s="12">
        <f>Broadsheet!A222</f>
        <v>0</v>
      </c>
      <c r="B111" s="204" t="str">
        <f>IF(Broadsheet!B111="","",Broadsheet!B111)</f>
        <v/>
      </c>
      <c r="C111" s="24" t="str">
        <f>IF(Broadsheet!C111="","",Broadsheet!C111)</f>
        <v xml:space="preserve"> </v>
      </c>
      <c r="G111" s="24" t="str">
        <f t="shared" si="1"/>
        <v/>
      </c>
      <c r="H111" s="188" t="str">
        <f>IF(ISERROR(getgrade(Broadsheet!H222,data!$H$4:$I$9)),"#",getgrade(Broadsheet!H222,data!$H$4:$I$9))</f>
        <v/>
      </c>
      <c r="I111" s="188" t="str">
        <f>IF(ISERROR(getgrade(Broadsheet!I222,data!$H$4:$I$9)),"#",getgrade(Broadsheet!I222,data!$H$4:$I$9))</f>
        <v/>
      </c>
      <c r="J111" s="188" t="str">
        <f>IF(ISERROR(getgrade(Broadsheet!J222,data!$H$4:$I$9)),"#",getgrade(Broadsheet!J222,data!$H$4:$I$9))</f>
        <v/>
      </c>
      <c r="K111" s="188" t="str">
        <f>IF(ISERROR(getgrade(Broadsheet!K222,data!$H$4:$I$9)),"#",getgrade(Broadsheet!K222,data!$H$4:$I$9))</f>
        <v/>
      </c>
      <c r="L111" s="188" t="str">
        <f>IF(ISERROR(getgrade(Broadsheet!L222,data!$H$4:$I$9)),"#",getgrade(Broadsheet!L222,data!$H$4:$I$9))</f>
        <v/>
      </c>
      <c r="M111" s="188" t="str">
        <f>IF(ISERROR(getgrade(Broadsheet!M222,data!$H$4:$I$9)),"#",getgrade(Broadsheet!M222,data!$H$4:$I$9))</f>
        <v/>
      </c>
      <c r="N111" s="188" t="str">
        <f>IF(ISERROR(getgrade(Broadsheet!N222,data!$H$4:$I$9)),"#",getgrade(Broadsheet!N222,data!$H$4:$I$9))</f>
        <v/>
      </c>
      <c r="O111" s="188" t="str">
        <f>IF(ISERROR(getgrade(Broadsheet!O222,data!$H$4:$I$9)),"#",getgrade(Broadsheet!O222,data!$H$4:$I$9))</f>
        <v/>
      </c>
      <c r="P111" s="188" t="str">
        <f>IF(ISERROR(getgrade(Broadsheet!P222,data!$H$4:$I$9)),"#",getgrade(Broadsheet!P222,data!$H$4:$I$9))</f>
        <v/>
      </c>
      <c r="Q111" s="188" t="str">
        <f>IF(ISERROR(getgrade(Broadsheet!Q222,data!$H$4:$I$9)),"#",getgrade(Broadsheet!Q222,data!$H$4:$I$9))</f>
        <v/>
      </c>
      <c r="R111" s="188" t="str">
        <f>IF(ISERROR(getgrade(Broadsheet!R222,data!$H$4:$I$9)),"#",getgrade(Broadsheet!R222,data!$H$4:$I$9))</f>
        <v/>
      </c>
      <c r="S111" s="188" t="str">
        <f>IF(ISERROR(getgrade(Broadsheet!S222,data!$H$4:$I$9)),"#",getgrade(Broadsheet!S222,data!$H$4:$I$9))</f>
        <v/>
      </c>
      <c r="T111" s="188" t="str">
        <f>IF(ISERROR(getgrade(Broadsheet!T222,data!$H$4:$I$9)),"#",getgrade(Broadsheet!T222,data!$H$4:$I$9))</f>
        <v/>
      </c>
      <c r="U111" s="188" t="str">
        <f>IF(ISERROR(getgrade(Broadsheet!U222,data!$H$4:$I$9)),"#",getgrade(Broadsheet!U222,data!$H$4:$I$9))</f>
        <v/>
      </c>
      <c r="V111" s="188" t="str">
        <f>IF(ISERROR(getgrade(Broadsheet!V222,data!$H$4:$I$9)),"#",getgrade(Broadsheet!V222,data!$H$4:$I$9))</f>
        <v/>
      </c>
      <c r="W111" s="188" t="str">
        <f>IF(ISERROR(getgrade(Broadsheet!W222,data!$H$4:$I$9)),"#",getgrade(Broadsheet!W222,data!$H$4:$I$9))</f>
        <v/>
      </c>
      <c r="X111" s="188" t="str">
        <f>IF(ISERROR(getgrade(Broadsheet!X222,data!$H$4:$I$9)),"#",getgrade(Broadsheet!X222,data!$H$4:$I$9))</f>
        <v/>
      </c>
      <c r="Y111" s="188" t="str">
        <f>IF(ISERROR(getgrade(Broadsheet!Y222,data!$H$4:$I$9)),"#",getgrade(Broadsheet!Y222,data!$H$4:$I$9))</f>
        <v/>
      </c>
      <c r="Z111" s="188" t="str">
        <f>IF(ISERROR(getgrade(Broadsheet!Z222,data!$H$4:$I$9)),"#",getgrade(Broadsheet!Z222,data!$H$4:$I$9))</f>
        <v/>
      </c>
      <c r="AA111" s="188" t="str">
        <f>IF(ISERROR(getgrade(Broadsheet!AA222,data!$H$4:$I$9)),"#",getgrade(Broadsheet!AA222,data!$H$4:$I$9))</f>
        <v/>
      </c>
      <c r="AB111" s="188" t="str">
        <f>IF(ISERROR(getgrade(Broadsheet!AB222,data!$H$4:$I$9)),"#",getgrade(Broadsheet!AB222,data!$H$4:$I$9))</f>
        <v/>
      </c>
      <c r="AC111" s="188" t="str">
        <f>IF(ISERROR(getgrade(Broadsheet!AC222,data!$H$4:$I$9)),"#",getgrade(Broadsheet!AC222,data!$H$4:$I$9))</f>
        <v/>
      </c>
      <c r="AD111" s="188" t="str">
        <f>IF(ISERROR(getgrade(Broadsheet!AD222,data!$H$4:$I$9)),"#",getgrade(Broadsheet!AD222,data!$H$4:$I$9))</f>
        <v/>
      </c>
      <c r="AE111" s="188" t="str">
        <f>IF(ISERROR(getgrade(Broadsheet!AE222,data!$H$4:$I$9)),"#",getgrade(Broadsheet!AE222,data!$H$4:$I$9))</f>
        <v/>
      </c>
      <c r="AF111" s="188" t="str">
        <f>IF(ISERROR(getgrade(Broadsheet!AF222,data!$H$4:$I$9)),"#",getgrade(Broadsheet!AF222,data!$H$4:$I$9))</f>
        <v/>
      </c>
      <c r="AG111" s="188" t="str">
        <f>IF(ISERROR(getgrade(Broadsheet!AG222,data!$H$4:$I$9)),"#",getgrade(Broadsheet!AG222,data!$H$4:$I$9))</f>
        <v/>
      </c>
      <c r="AH111" s="188" t="str">
        <f>IF(ISERROR(getgrade(Broadsheet!AH222,data!$H$4:$I$9)),"#",getgrade(Broadsheet!AH222,data!$H$4:$I$9))</f>
        <v/>
      </c>
      <c r="AI111" s="188" t="str">
        <f>IF(ISERROR(getgrade(Broadsheet!AI222,data!$H$4:$I$9)),"#",getgrade(Broadsheet!AI222,data!$H$4:$I$9))</f>
        <v/>
      </c>
      <c r="AJ111" s="188" t="str">
        <f>IF(ISERROR(getgrade(Broadsheet!AJ222,data!$H$4:$I$9)),"#",getgrade(Broadsheet!AJ222,data!$H$4:$I$9))</f>
        <v/>
      </c>
      <c r="AK111" s="188" t="str">
        <f>IF(ISERROR(getgrade(Broadsheet!AK222,data!$H$4:$I$9)),"#",getgrade(Broadsheet!AK222,data!$H$4:$I$9))</f>
        <v/>
      </c>
      <c r="AL111" s="188" t="str">
        <f>IF(ISERROR(getgrade(Broadsheet!AL222,data!$H$4:$I$9)),"#",getgrade(Broadsheet!AL222,data!$H$4:$I$9))</f>
        <v/>
      </c>
      <c r="AM111" s="188" t="str">
        <f>IF(ISERROR(getgrade(Broadsheet!AM222,data!$H$4:$I$9)),"#",getgrade(Broadsheet!AM222,data!$H$4:$I$9))</f>
        <v/>
      </c>
      <c r="AN111" s="188" t="str">
        <f>IF(ISERROR(getgrade(Broadsheet!AN222,data!$H$4:$I$9)),"#",getgrade(Broadsheet!AN222,data!$H$4:$I$9))</f>
        <v/>
      </c>
      <c r="AO111" s="188" t="str">
        <f>IF(ISERROR(getgrade(Broadsheet!AO222,data!$H$4:$I$9)),"#",getgrade(Broadsheet!AO222,data!$H$4:$I$9))</f>
        <v/>
      </c>
      <c r="AP111" s="188" t="str">
        <f>IF(ISERROR(getgrade(Broadsheet!AP222,data!$H$4:$I$9)),"#",getgrade(Broadsheet!AP222,data!$H$4:$I$9))</f>
        <v/>
      </c>
      <c r="AQ111" s="188" t="str">
        <f>IF(ISERROR(getgrade(Broadsheet!AQ222,data!$H$4:$I$9)),"#",getgrade(Broadsheet!AQ222,data!$H$4:$I$9))</f>
        <v/>
      </c>
      <c r="AR111" s="188" t="str">
        <f>IF(ISERROR(getgrade(Broadsheet!AR222,data!$H$4:$I$9)),"#",getgrade(Broadsheet!AR222,data!$H$4:$I$9))</f>
        <v/>
      </c>
      <c r="AS111" s="188" t="str">
        <f>IF(ISERROR(getgrade(Broadsheet!AS222,data!$H$4:$I$9)),"#",getgrade(Broadsheet!AS222,data!$H$4:$I$9))</f>
        <v/>
      </c>
      <c r="AT111" s="188" t="str">
        <f>IF(ISERROR(getgrade(Broadsheet!AT222,data!$H$4:$I$9)),"#",getgrade(Broadsheet!AT222,data!$H$4:$I$9))</f>
        <v/>
      </c>
      <c r="AU111" s="188" t="str">
        <f>IF(ISERROR(getgrade(Broadsheet!AU222,data!$H$4:$I$9)),"#",getgrade(Broadsheet!AU222,data!$H$4:$I$9))</f>
        <v/>
      </c>
      <c r="AV111" s="188" t="str">
        <f>IF(ISERROR(getgrade(Broadsheet!AV222,data!$H$4:$I$9)),"#",getgrade(Broadsheet!AV222,data!$H$4:$I$9))</f>
        <v/>
      </c>
      <c r="AW111" s="188" t="str">
        <f>IF(ISERROR(getgrade(Broadsheet!AW222,data!$H$4:$I$9)),"#",getgrade(Broadsheet!AW222,data!$H$4:$I$9))</f>
        <v/>
      </c>
      <c r="AX111" s="188" t="str">
        <f>IF(ISERROR(getgrade(Broadsheet!AX222,data!$H$4:$I$9)),"#",getgrade(Broadsheet!AX222,data!$H$4:$I$9))</f>
        <v/>
      </c>
      <c r="AY111" s="188" t="str">
        <f>IF(ISERROR(getgrade(Broadsheet!AY222,data!$H$4:$I$9)),"#",getgrade(Broadsheet!AY222,data!$H$4:$I$9))</f>
        <v/>
      </c>
      <c r="AZ111" s="188" t="str">
        <f>IF(ISERROR(getgrade(Broadsheet!AZ222,data!$H$4:$I$9)),"#",getgrade(Broadsheet!AZ222,data!$H$4:$I$9))</f>
        <v/>
      </c>
      <c r="BA111" s="188" t="str">
        <f>IF(ISERROR(getgrade(Broadsheet!BA222,data!$H$4:$I$9)),"#",getgrade(Broadsheet!BA222,data!$H$4:$I$9))</f>
        <v/>
      </c>
      <c r="BB111" s="188" t="str">
        <f>IF(ISERROR(getgrade(Broadsheet!BB222,data!$H$4:$I$9)),"#",getgrade(Broadsheet!BB222,data!$H$4:$I$9))</f>
        <v/>
      </c>
      <c r="BC111" s="188" t="str">
        <f>IF(ISERROR(getgrade(Broadsheet!BC222,data!$H$4:$I$9)),"#",getgrade(Broadsheet!BC222,data!$H$4:$I$9))</f>
        <v/>
      </c>
      <c r="BD111" s="188" t="str">
        <f>IF(ISERROR(getgrade(Broadsheet!BD222,data!$H$4:$I$9)),"#",getgrade(Broadsheet!BD222,data!$H$4:$I$9))</f>
        <v/>
      </c>
      <c r="BE111" s="188" t="str">
        <f>IF(ISERROR(getgrade(Broadsheet!BE222,data!$H$4:$I$9)),"#",getgrade(Broadsheet!BE222,data!$H$4:$I$9))</f>
        <v/>
      </c>
      <c r="BF111" s="188" t="str">
        <f>IF(ISERROR(getgrade(Broadsheet!BF222,data!$H$4:$I$9)),"#",getgrade(Broadsheet!BF222,data!$H$4:$I$9))</f>
        <v/>
      </c>
      <c r="BG111" s="188" t="str">
        <f>IF(ISERROR(getgrade(Broadsheet!BG222,data!$H$4:$I$9)),"#",getgrade(Broadsheet!BG222,data!$H$4:$I$9))</f>
        <v/>
      </c>
      <c r="BH111" s="188" t="str">
        <f>IF(ISERROR(getgrade(Broadsheet!BH222,data!$H$4:$I$9)),"#",getgrade(Broadsheet!BH222,data!$H$4:$I$9))</f>
        <v/>
      </c>
      <c r="BI111" s="188" t="str">
        <f>IF(ISERROR(getgrade(Broadsheet!BI222,data!$H$4:$I$9)),"#",getgrade(Broadsheet!BI222,data!$H$4:$I$9))</f>
        <v/>
      </c>
      <c r="BJ111" s="188" t="str">
        <f>IF(ISERROR(getgrade(Broadsheet!BJ222,data!$H$4:$I$9)),"#",getgrade(Broadsheet!BJ222,data!$H$4:$I$9))</f>
        <v/>
      </c>
      <c r="BK111" s="188"/>
      <c r="BL111" s="188"/>
      <c r="BM111" s="188"/>
      <c r="BN111" s="188"/>
      <c r="BO111" s="188"/>
      <c r="BP111" s="188"/>
      <c r="BQ111" s="188"/>
      <c r="BR111" s="188"/>
      <c r="BS111" s="188"/>
      <c r="BT111" s="188"/>
      <c r="BU111" s="188"/>
      <c r="BV111" s="188"/>
      <c r="BW111" s="188"/>
      <c r="BX111" s="188"/>
      <c r="BY111" s="188"/>
      <c r="BZ111" s="188"/>
      <c r="CA111" s="188"/>
      <c r="CB111" s="188"/>
      <c r="CC111" s="188"/>
      <c r="CD111" s="188"/>
      <c r="CE111" s="188"/>
      <c r="CF111" s="188"/>
      <c r="CG111" s="188"/>
      <c r="CH111" s="188"/>
      <c r="CI111" s="188"/>
      <c r="CJ111" s="188"/>
      <c r="CK111" s="188"/>
      <c r="CL111" s="188"/>
      <c r="CM111" s="188"/>
      <c r="CN111" s="188"/>
      <c r="CO111" s="188"/>
      <c r="CP111" s="188"/>
      <c r="CQ111" s="188"/>
      <c r="CR111" s="188"/>
      <c r="CS111" s="188"/>
      <c r="CT111" s="188"/>
      <c r="CU111" s="188"/>
      <c r="CV111" s="188"/>
      <c r="CW111" s="188"/>
      <c r="CX111" s="188"/>
      <c r="CY111" s="188"/>
      <c r="CZ111" s="188"/>
      <c r="DA111" s="188"/>
      <c r="DB111" s="188"/>
      <c r="DC111" s="188"/>
      <c r="DD111" s="188"/>
      <c r="DE111" s="188"/>
      <c r="DF111" s="188"/>
      <c r="DG111" s="188"/>
      <c r="DH111" s="188"/>
      <c r="DI111" s="188"/>
      <c r="DJ111" s="188"/>
      <c r="DK111" s="188"/>
      <c r="DL111" s="188"/>
      <c r="DM111" s="188"/>
      <c r="DN111" s="188"/>
      <c r="DO111" s="188"/>
      <c r="DP111" s="188"/>
      <c r="DQ111" s="188"/>
      <c r="DR111" s="188"/>
      <c r="DS111" s="188"/>
      <c r="DT111" s="188"/>
      <c r="DU111" s="188"/>
      <c r="DV111" s="188"/>
      <c r="DW111" s="188"/>
      <c r="DX111" s="188"/>
      <c r="DY111" s="188"/>
      <c r="DZ111" s="188"/>
      <c r="EA111" s="188"/>
    </row>
    <row r="112" spans="1:131" ht="15.75" x14ac:dyDescent="0.25">
      <c r="A112" s="12">
        <f>Broadsheet!A223</f>
        <v>0</v>
      </c>
      <c r="B112" s="204" t="str">
        <f>IF(Broadsheet!B112="","",Broadsheet!B112)</f>
        <v/>
      </c>
      <c r="C112" s="24" t="str">
        <f>IF(Broadsheet!C112="","",Broadsheet!C112)</f>
        <v xml:space="preserve"> </v>
      </c>
      <c r="G112" s="24" t="str">
        <f t="shared" si="1"/>
        <v/>
      </c>
      <c r="H112" s="188" t="str">
        <f>IF(ISERROR(getgrade(Broadsheet!H223,data!$H$4:$I$9)),"#",getgrade(Broadsheet!H223,data!$H$4:$I$9))</f>
        <v/>
      </c>
      <c r="I112" s="188" t="str">
        <f>IF(ISERROR(getgrade(Broadsheet!I223,data!$H$4:$I$9)),"#",getgrade(Broadsheet!I223,data!$H$4:$I$9))</f>
        <v/>
      </c>
      <c r="J112" s="188" t="str">
        <f>IF(ISERROR(getgrade(Broadsheet!J223,data!$H$4:$I$9)),"#",getgrade(Broadsheet!J223,data!$H$4:$I$9))</f>
        <v/>
      </c>
      <c r="K112" s="188" t="str">
        <f>IF(ISERROR(getgrade(Broadsheet!K223,data!$H$4:$I$9)),"#",getgrade(Broadsheet!K223,data!$H$4:$I$9))</f>
        <v/>
      </c>
      <c r="L112" s="188" t="str">
        <f>IF(ISERROR(getgrade(Broadsheet!L223,data!$H$4:$I$9)),"#",getgrade(Broadsheet!L223,data!$H$4:$I$9))</f>
        <v/>
      </c>
      <c r="M112" s="188" t="str">
        <f>IF(ISERROR(getgrade(Broadsheet!M223,data!$H$4:$I$9)),"#",getgrade(Broadsheet!M223,data!$H$4:$I$9))</f>
        <v/>
      </c>
      <c r="N112" s="188" t="str">
        <f>IF(ISERROR(getgrade(Broadsheet!N223,data!$H$4:$I$9)),"#",getgrade(Broadsheet!N223,data!$H$4:$I$9))</f>
        <v/>
      </c>
      <c r="O112" s="188" t="str">
        <f>IF(ISERROR(getgrade(Broadsheet!O223,data!$H$4:$I$9)),"#",getgrade(Broadsheet!O223,data!$H$4:$I$9))</f>
        <v/>
      </c>
      <c r="P112" s="188" t="str">
        <f>IF(ISERROR(getgrade(Broadsheet!P223,data!$H$4:$I$9)),"#",getgrade(Broadsheet!P223,data!$H$4:$I$9))</f>
        <v/>
      </c>
      <c r="Q112" s="188" t="str">
        <f>IF(ISERROR(getgrade(Broadsheet!Q223,data!$H$4:$I$9)),"#",getgrade(Broadsheet!Q223,data!$H$4:$I$9))</f>
        <v/>
      </c>
      <c r="R112" s="188" t="str">
        <f>IF(ISERROR(getgrade(Broadsheet!R223,data!$H$4:$I$9)),"#",getgrade(Broadsheet!R223,data!$H$4:$I$9))</f>
        <v/>
      </c>
      <c r="S112" s="188" t="str">
        <f>IF(ISERROR(getgrade(Broadsheet!S223,data!$H$4:$I$9)),"#",getgrade(Broadsheet!S223,data!$H$4:$I$9))</f>
        <v/>
      </c>
      <c r="T112" s="188" t="str">
        <f>IF(ISERROR(getgrade(Broadsheet!T223,data!$H$4:$I$9)),"#",getgrade(Broadsheet!T223,data!$H$4:$I$9))</f>
        <v/>
      </c>
      <c r="U112" s="188" t="str">
        <f>IF(ISERROR(getgrade(Broadsheet!U223,data!$H$4:$I$9)),"#",getgrade(Broadsheet!U223,data!$H$4:$I$9))</f>
        <v/>
      </c>
      <c r="V112" s="188" t="str">
        <f>IF(ISERROR(getgrade(Broadsheet!V223,data!$H$4:$I$9)),"#",getgrade(Broadsheet!V223,data!$H$4:$I$9))</f>
        <v/>
      </c>
      <c r="W112" s="188" t="str">
        <f>IF(ISERROR(getgrade(Broadsheet!W223,data!$H$4:$I$9)),"#",getgrade(Broadsheet!W223,data!$H$4:$I$9))</f>
        <v/>
      </c>
      <c r="X112" s="188" t="str">
        <f>IF(ISERROR(getgrade(Broadsheet!X223,data!$H$4:$I$9)),"#",getgrade(Broadsheet!X223,data!$H$4:$I$9))</f>
        <v/>
      </c>
      <c r="Y112" s="188" t="str">
        <f>IF(ISERROR(getgrade(Broadsheet!Y223,data!$H$4:$I$9)),"#",getgrade(Broadsheet!Y223,data!$H$4:$I$9))</f>
        <v/>
      </c>
      <c r="Z112" s="188" t="str">
        <f>IF(ISERROR(getgrade(Broadsheet!Z223,data!$H$4:$I$9)),"#",getgrade(Broadsheet!Z223,data!$H$4:$I$9))</f>
        <v/>
      </c>
      <c r="AA112" s="188" t="str">
        <f>IF(ISERROR(getgrade(Broadsheet!AA223,data!$H$4:$I$9)),"#",getgrade(Broadsheet!AA223,data!$H$4:$I$9))</f>
        <v/>
      </c>
      <c r="AB112" s="188" t="str">
        <f>IF(ISERROR(getgrade(Broadsheet!AB223,data!$H$4:$I$9)),"#",getgrade(Broadsheet!AB223,data!$H$4:$I$9))</f>
        <v/>
      </c>
      <c r="AC112" s="188" t="str">
        <f>IF(ISERROR(getgrade(Broadsheet!AC223,data!$H$4:$I$9)),"#",getgrade(Broadsheet!AC223,data!$H$4:$I$9))</f>
        <v/>
      </c>
      <c r="AD112" s="188" t="str">
        <f>IF(ISERROR(getgrade(Broadsheet!AD223,data!$H$4:$I$9)),"#",getgrade(Broadsheet!AD223,data!$H$4:$I$9))</f>
        <v/>
      </c>
      <c r="AE112" s="188" t="str">
        <f>IF(ISERROR(getgrade(Broadsheet!AE223,data!$H$4:$I$9)),"#",getgrade(Broadsheet!AE223,data!$H$4:$I$9))</f>
        <v/>
      </c>
      <c r="AF112" s="188" t="str">
        <f>IF(ISERROR(getgrade(Broadsheet!AF223,data!$H$4:$I$9)),"#",getgrade(Broadsheet!AF223,data!$H$4:$I$9))</f>
        <v/>
      </c>
      <c r="AG112" s="188" t="str">
        <f>IF(ISERROR(getgrade(Broadsheet!AG223,data!$H$4:$I$9)),"#",getgrade(Broadsheet!AG223,data!$H$4:$I$9))</f>
        <v/>
      </c>
      <c r="AH112" s="188" t="str">
        <f>IF(ISERROR(getgrade(Broadsheet!AH223,data!$H$4:$I$9)),"#",getgrade(Broadsheet!AH223,data!$H$4:$I$9))</f>
        <v/>
      </c>
      <c r="AI112" s="188" t="str">
        <f>IF(ISERROR(getgrade(Broadsheet!AI223,data!$H$4:$I$9)),"#",getgrade(Broadsheet!AI223,data!$H$4:$I$9))</f>
        <v/>
      </c>
      <c r="AJ112" s="188" t="str">
        <f>IF(ISERROR(getgrade(Broadsheet!AJ223,data!$H$4:$I$9)),"#",getgrade(Broadsheet!AJ223,data!$H$4:$I$9))</f>
        <v/>
      </c>
      <c r="AK112" s="188" t="str">
        <f>IF(ISERROR(getgrade(Broadsheet!AK223,data!$H$4:$I$9)),"#",getgrade(Broadsheet!AK223,data!$H$4:$I$9))</f>
        <v/>
      </c>
      <c r="AL112" s="188" t="str">
        <f>IF(ISERROR(getgrade(Broadsheet!AL223,data!$H$4:$I$9)),"#",getgrade(Broadsheet!AL223,data!$H$4:$I$9))</f>
        <v/>
      </c>
      <c r="AM112" s="188" t="str">
        <f>IF(ISERROR(getgrade(Broadsheet!AM223,data!$H$4:$I$9)),"#",getgrade(Broadsheet!AM223,data!$H$4:$I$9))</f>
        <v/>
      </c>
      <c r="AN112" s="188" t="str">
        <f>IF(ISERROR(getgrade(Broadsheet!AN223,data!$H$4:$I$9)),"#",getgrade(Broadsheet!AN223,data!$H$4:$I$9))</f>
        <v/>
      </c>
      <c r="AO112" s="188" t="str">
        <f>IF(ISERROR(getgrade(Broadsheet!AO223,data!$H$4:$I$9)),"#",getgrade(Broadsheet!AO223,data!$H$4:$I$9))</f>
        <v/>
      </c>
      <c r="AP112" s="188" t="str">
        <f>IF(ISERROR(getgrade(Broadsheet!AP223,data!$H$4:$I$9)),"#",getgrade(Broadsheet!AP223,data!$H$4:$I$9))</f>
        <v/>
      </c>
      <c r="AQ112" s="188" t="str">
        <f>IF(ISERROR(getgrade(Broadsheet!AQ223,data!$H$4:$I$9)),"#",getgrade(Broadsheet!AQ223,data!$H$4:$I$9))</f>
        <v/>
      </c>
      <c r="AR112" s="188" t="str">
        <f>IF(ISERROR(getgrade(Broadsheet!AR223,data!$H$4:$I$9)),"#",getgrade(Broadsheet!AR223,data!$H$4:$I$9))</f>
        <v/>
      </c>
      <c r="AS112" s="188" t="str">
        <f>IF(ISERROR(getgrade(Broadsheet!AS223,data!$H$4:$I$9)),"#",getgrade(Broadsheet!AS223,data!$H$4:$I$9))</f>
        <v/>
      </c>
      <c r="AT112" s="188" t="str">
        <f>IF(ISERROR(getgrade(Broadsheet!AT223,data!$H$4:$I$9)),"#",getgrade(Broadsheet!AT223,data!$H$4:$I$9))</f>
        <v/>
      </c>
      <c r="AU112" s="188" t="str">
        <f>IF(ISERROR(getgrade(Broadsheet!AU223,data!$H$4:$I$9)),"#",getgrade(Broadsheet!AU223,data!$H$4:$I$9))</f>
        <v/>
      </c>
      <c r="AV112" s="188" t="str">
        <f>IF(ISERROR(getgrade(Broadsheet!AV223,data!$H$4:$I$9)),"#",getgrade(Broadsheet!AV223,data!$H$4:$I$9))</f>
        <v/>
      </c>
      <c r="AW112" s="188" t="str">
        <f>IF(ISERROR(getgrade(Broadsheet!AW223,data!$H$4:$I$9)),"#",getgrade(Broadsheet!AW223,data!$H$4:$I$9))</f>
        <v/>
      </c>
      <c r="AX112" s="188" t="str">
        <f>IF(ISERROR(getgrade(Broadsheet!AX223,data!$H$4:$I$9)),"#",getgrade(Broadsheet!AX223,data!$H$4:$I$9))</f>
        <v/>
      </c>
      <c r="AY112" s="188" t="str">
        <f>IF(ISERROR(getgrade(Broadsheet!AY223,data!$H$4:$I$9)),"#",getgrade(Broadsheet!AY223,data!$H$4:$I$9))</f>
        <v/>
      </c>
      <c r="AZ112" s="188" t="str">
        <f>IF(ISERROR(getgrade(Broadsheet!AZ223,data!$H$4:$I$9)),"#",getgrade(Broadsheet!AZ223,data!$H$4:$I$9))</f>
        <v/>
      </c>
      <c r="BA112" s="188" t="str">
        <f>IF(ISERROR(getgrade(Broadsheet!BA223,data!$H$4:$I$9)),"#",getgrade(Broadsheet!BA223,data!$H$4:$I$9))</f>
        <v/>
      </c>
      <c r="BB112" s="188" t="str">
        <f>IF(ISERROR(getgrade(Broadsheet!BB223,data!$H$4:$I$9)),"#",getgrade(Broadsheet!BB223,data!$H$4:$I$9))</f>
        <v/>
      </c>
      <c r="BC112" s="188" t="str">
        <f>IF(ISERROR(getgrade(Broadsheet!BC223,data!$H$4:$I$9)),"#",getgrade(Broadsheet!BC223,data!$H$4:$I$9))</f>
        <v/>
      </c>
      <c r="BD112" s="188" t="str">
        <f>IF(ISERROR(getgrade(Broadsheet!BD223,data!$H$4:$I$9)),"#",getgrade(Broadsheet!BD223,data!$H$4:$I$9))</f>
        <v/>
      </c>
      <c r="BE112" s="188" t="str">
        <f>IF(ISERROR(getgrade(Broadsheet!BE223,data!$H$4:$I$9)),"#",getgrade(Broadsheet!BE223,data!$H$4:$I$9))</f>
        <v/>
      </c>
      <c r="BF112" s="188" t="str">
        <f>IF(ISERROR(getgrade(Broadsheet!BF223,data!$H$4:$I$9)),"#",getgrade(Broadsheet!BF223,data!$H$4:$I$9))</f>
        <v/>
      </c>
      <c r="BG112" s="188" t="str">
        <f>IF(ISERROR(getgrade(Broadsheet!BG223,data!$H$4:$I$9)),"#",getgrade(Broadsheet!BG223,data!$H$4:$I$9))</f>
        <v/>
      </c>
      <c r="BH112" s="188" t="str">
        <f>IF(ISERROR(getgrade(Broadsheet!BH223,data!$H$4:$I$9)),"#",getgrade(Broadsheet!BH223,data!$H$4:$I$9))</f>
        <v/>
      </c>
      <c r="BI112" s="188" t="str">
        <f>IF(ISERROR(getgrade(Broadsheet!BI223,data!$H$4:$I$9)),"#",getgrade(Broadsheet!BI223,data!$H$4:$I$9))</f>
        <v/>
      </c>
      <c r="BJ112" s="188" t="str">
        <f>IF(ISERROR(getgrade(Broadsheet!BJ223,data!$H$4:$I$9)),"#",getgrade(Broadsheet!BJ223,data!$H$4:$I$9))</f>
        <v/>
      </c>
      <c r="BK112" s="188"/>
      <c r="BL112" s="188"/>
      <c r="BM112" s="188"/>
      <c r="BN112" s="188"/>
      <c r="BO112" s="188"/>
      <c r="BP112" s="188"/>
      <c r="BQ112" s="188"/>
      <c r="BR112" s="188"/>
      <c r="BS112" s="188"/>
      <c r="BT112" s="188"/>
      <c r="BU112" s="188"/>
      <c r="BV112" s="188"/>
      <c r="BW112" s="188"/>
      <c r="BX112" s="188"/>
      <c r="BY112" s="188"/>
      <c r="BZ112" s="188"/>
      <c r="CA112" s="188"/>
      <c r="CB112" s="188"/>
      <c r="CC112" s="188"/>
      <c r="CD112" s="188"/>
      <c r="CE112" s="188"/>
      <c r="CF112" s="188"/>
      <c r="CG112" s="188"/>
      <c r="CH112" s="188"/>
      <c r="CI112" s="188"/>
      <c r="CJ112" s="188"/>
      <c r="CK112" s="188"/>
      <c r="CL112" s="188"/>
      <c r="CM112" s="188"/>
      <c r="CN112" s="188"/>
      <c r="CO112" s="188"/>
      <c r="CP112" s="188"/>
      <c r="CQ112" s="188"/>
      <c r="CR112" s="188"/>
      <c r="CS112" s="188"/>
      <c r="CT112" s="188"/>
      <c r="CU112" s="188"/>
      <c r="CV112" s="188"/>
      <c r="CW112" s="188"/>
      <c r="CX112" s="188"/>
      <c r="CY112" s="188"/>
      <c r="CZ112" s="188"/>
      <c r="DA112" s="188"/>
      <c r="DB112" s="188"/>
      <c r="DC112" s="188"/>
      <c r="DD112" s="188"/>
      <c r="DE112" s="188"/>
      <c r="DF112" s="188"/>
      <c r="DG112" s="188"/>
      <c r="DH112" s="188"/>
      <c r="DI112" s="188"/>
      <c r="DJ112" s="188"/>
      <c r="DK112" s="188"/>
      <c r="DL112" s="188"/>
      <c r="DM112" s="188"/>
      <c r="DN112" s="188"/>
      <c r="DO112" s="188"/>
      <c r="DP112" s="188"/>
      <c r="DQ112" s="188"/>
      <c r="DR112" s="188"/>
      <c r="DS112" s="188"/>
      <c r="DT112" s="188"/>
      <c r="DU112" s="188"/>
      <c r="DV112" s="188"/>
      <c r="DW112" s="188"/>
      <c r="DX112" s="188"/>
      <c r="DY112" s="188"/>
      <c r="DZ112" s="188"/>
      <c r="EA112" s="188"/>
    </row>
    <row r="113" spans="1:131" ht="15.75" x14ac:dyDescent="0.25">
      <c r="A113" s="12">
        <f>Broadsheet!A224</f>
        <v>0</v>
      </c>
      <c r="B113" s="204" t="str">
        <f>IF(Broadsheet!B113="","",Broadsheet!B113)</f>
        <v/>
      </c>
      <c r="C113" s="24" t="str">
        <f>IF(Broadsheet!C113="","",Broadsheet!C113)</f>
        <v xml:space="preserve"> </v>
      </c>
      <c r="G113" s="24" t="str">
        <f t="shared" si="1"/>
        <v/>
      </c>
      <c r="H113" s="188" t="str">
        <f>IF(ISERROR(getgrade(Broadsheet!H224,data!$H$4:$I$9)),"#",getgrade(Broadsheet!H224,data!$H$4:$I$9))</f>
        <v/>
      </c>
      <c r="I113" s="188" t="str">
        <f>IF(ISERROR(getgrade(Broadsheet!I224,data!$H$4:$I$9)),"#",getgrade(Broadsheet!I224,data!$H$4:$I$9))</f>
        <v/>
      </c>
      <c r="J113" s="188" t="str">
        <f>IF(ISERROR(getgrade(Broadsheet!J224,data!$H$4:$I$9)),"#",getgrade(Broadsheet!J224,data!$H$4:$I$9))</f>
        <v/>
      </c>
      <c r="K113" s="188" t="str">
        <f>IF(ISERROR(getgrade(Broadsheet!K224,data!$H$4:$I$9)),"#",getgrade(Broadsheet!K224,data!$H$4:$I$9))</f>
        <v/>
      </c>
      <c r="L113" s="188" t="str">
        <f>IF(ISERROR(getgrade(Broadsheet!L224,data!$H$4:$I$9)),"#",getgrade(Broadsheet!L224,data!$H$4:$I$9))</f>
        <v/>
      </c>
      <c r="M113" s="188" t="str">
        <f>IF(ISERROR(getgrade(Broadsheet!M224,data!$H$4:$I$9)),"#",getgrade(Broadsheet!M224,data!$H$4:$I$9))</f>
        <v/>
      </c>
      <c r="N113" s="188" t="str">
        <f>IF(ISERROR(getgrade(Broadsheet!N224,data!$H$4:$I$9)),"#",getgrade(Broadsheet!N224,data!$H$4:$I$9))</f>
        <v/>
      </c>
      <c r="O113" s="188" t="str">
        <f>IF(ISERROR(getgrade(Broadsheet!O224,data!$H$4:$I$9)),"#",getgrade(Broadsheet!O224,data!$H$4:$I$9))</f>
        <v/>
      </c>
      <c r="P113" s="188" t="str">
        <f>IF(ISERROR(getgrade(Broadsheet!P224,data!$H$4:$I$9)),"#",getgrade(Broadsheet!P224,data!$H$4:$I$9))</f>
        <v/>
      </c>
      <c r="Q113" s="188" t="str">
        <f>IF(ISERROR(getgrade(Broadsheet!Q224,data!$H$4:$I$9)),"#",getgrade(Broadsheet!Q224,data!$H$4:$I$9))</f>
        <v/>
      </c>
      <c r="R113" s="188" t="str">
        <f>IF(ISERROR(getgrade(Broadsheet!R224,data!$H$4:$I$9)),"#",getgrade(Broadsheet!R224,data!$H$4:$I$9))</f>
        <v/>
      </c>
      <c r="S113" s="188" t="str">
        <f>IF(ISERROR(getgrade(Broadsheet!S224,data!$H$4:$I$9)),"#",getgrade(Broadsheet!S224,data!$H$4:$I$9))</f>
        <v/>
      </c>
      <c r="T113" s="188" t="str">
        <f>IF(ISERROR(getgrade(Broadsheet!T224,data!$H$4:$I$9)),"#",getgrade(Broadsheet!T224,data!$H$4:$I$9))</f>
        <v/>
      </c>
      <c r="U113" s="188" t="str">
        <f>IF(ISERROR(getgrade(Broadsheet!U224,data!$H$4:$I$9)),"#",getgrade(Broadsheet!U224,data!$H$4:$I$9))</f>
        <v/>
      </c>
      <c r="V113" s="188" t="str">
        <f>IF(ISERROR(getgrade(Broadsheet!V224,data!$H$4:$I$9)),"#",getgrade(Broadsheet!V224,data!$H$4:$I$9))</f>
        <v/>
      </c>
      <c r="W113" s="188" t="str">
        <f>IF(ISERROR(getgrade(Broadsheet!W224,data!$H$4:$I$9)),"#",getgrade(Broadsheet!W224,data!$H$4:$I$9))</f>
        <v/>
      </c>
      <c r="X113" s="188" t="str">
        <f>IF(ISERROR(getgrade(Broadsheet!X224,data!$H$4:$I$9)),"#",getgrade(Broadsheet!X224,data!$H$4:$I$9))</f>
        <v/>
      </c>
      <c r="Y113" s="188" t="str">
        <f>IF(ISERROR(getgrade(Broadsheet!Y224,data!$H$4:$I$9)),"#",getgrade(Broadsheet!Y224,data!$H$4:$I$9))</f>
        <v/>
      </c>
      <c r="Z113" s="188" t="str">
        <f>IF(ISERROR(getgrade(Broadsheet!Z224,data!$H$4:$I$9)),"#",getgrade(Broadsheet!Z224,data!$H$4:$I$9))</f>
        <v/>
      </c>
      <c r="AA113" s="188" t="str">
        <f>IF(ISERROR(getgrade(Broadsheet!AA224,data!$H$4:$I$9)),"#",getgrade(Broadsheet!AA224,data!$H$4:$I$9))</f>
        <v/>
      </c>
      <c r="AB113" s="188" t="str">
        <f>IF(ISERROR(getgrade(Broadsheet!AB224,data!$H$4:$I$9)),"#",getgrade(Broadsheet!AB224,data!$H$4:$I$9))</f>
        <v/>
      </c>
      <c r="AC113" s="188" t="str">
        <f>IF(ISERROR(getgrade(Broadsheet!AC224,data!$H$4:$I$9)),"#",getgrade(Broadsheet!AC224,data!$H$4:$I$9))</f>
        <v/>
      </c>
      <c r="AD113" s="188" t="str">
        <f>IF(ISERROR(getgrade(Broadsheet!AD224,data!$H$4:$I$9)),"#",getgrade(Broadsheet!AD224,data!$H$4:$I$9))</f>
        <v/>
      </c>
      <c r="AE113" s="188" t="str">
        <f>IF(ISERROR(getgrade(Broadsheet!AE224,data!$H$4:$I$9)),"#",getgrade(Broadsheet!AE224,data!$H$4:$I$9))</f>
        <v/>
      </c>
      <c r="AF113" s="188" t="str">
        <f>IF(ISERROR(getgrade(Broadsheet!AF224,data!$H$4:$I$9)),"#",getgrade(Broadsheet!AF224,data!$H$4:$I$9))</f>
        <v/>
      </c>
      <c r="AG113" s="188" t="str">
        <f>IF(ISERROR(getgrade(Broadsheet!AG224,data!$H$4:$I$9)),"#",getgrade(Broadsheet!AG224,data!$H$4:$I$9))</f>
        <v/>
      </c>
      <c r="AH113" s="188" t="str">
        <f>IF(ISERROR(getgrade(Broadsheet!AH224,data!$H$4:$I$9)),"#",getgrade(Broadsheet!AH224,data!$H$4:$I$9))</f>
        <v/>
      </c>
      <c r="AI113" s="188" t="str">
        <f>IF(ISERROR(getgrade(Broadsheet!AI224,data!$H$4:$I$9)),"#",getgrade(Broadsheet!AI224,data!$H$4:$I$9))</f>
        <v/>
      </c>
      <c r="AJ113" s="188" t="str">
        <f>IF(ISERROR(getgrade(Broadsheet!AJ224,data!$H$4:$I$9)),"#",getgrade(Broadsheet!AJ224,data!$H$4:$I$9))</f>
        <v/>
      </c>
      <c r="AK113" s="188" t="str">
        <f>IF(ISERROR(getgrade(Broadsheet!AK224,data!$H$4:$I$9)),"#",getgrade(Broadsheet!AK224,data!$H$4:$I$9))</f>
        <v/>
      </c>
      <c r="AL113" s="188" t="str">
        <f>IF(ISERROR(getgrade(Broadsheet!AL224,data!$H$4:$I$9)),"#",getgrade(Broadsheet!AL224,data!$H$4:$I$9))</f>
        <v/>
      </c>
      <c r="AM113" s="188" t="str">
        <f>IF(ISERROR(getgrade(Broadsheet!AM224,data!$H$4:$I$9)),"#",getgrade(Broadsheet!AM224,data!$H$4:$I$9))</f>
        <v/>
      </c>
      <c r="AN113" s="188" t="str">
        <f>IF(ISERROR(getgrade(Broadsheet!AN224,data!$H$4:$I$9)),"#",getgrade(Broadsheet!AN224,data!$H$4:$I$9))</f>
        <v/>
      </c>
      <c r="AO113" s="188" t="str">
        <f>IF(ISERROR(getgrade(Broadsheet!AO224,data!$H$4:$I$9)),"#",getgrade(Broadsheet!AO224,data!$H$4:$I$9))</f>
        <v/>
      </c>
      <c r="AP113" s="188" t="str">
        <f>IF(ISERROR(getgrade(Broadsheet!AP224,data!$H$4:$I$9)),"#",getgrade(Broadsheet!AP224,data!$H$4:$I$9))</f>
        <v/>
      </c>
      <c r="AQ113" s="188" t="str">
        <f>IF(ISERROR(getgrade(Broadsheet!AQ224,data!$H$4:$I$9)),"#",getgrade(Broadsheet!AQ224,data!$H$4:$I$9))</f>
        <v/>
      </c>
      <c r="AR113" s="188" t="str">
        <f>IF(ISERROR(getgrade(Broadsheet!AR224,data!$H$4:$I$9)),"#",getgrade(Broadsheet!AR224,data!$H$4:$I$9))</f>
        <v/>
      </c>
      <c r="AS113" s="188" t="str">
        <f>IF(ISERROR(getgrade(Broadsheet!AS224,data!$H$4:$I$9)),"#",getgrade(Broadsheet!AS224,data!$H$4:$I$9))</f>
        <v/>
      </c>
      <c r="AT113" s="188" t="str">
        <f>IF(ISERROR(getgrade(Broadsheet!AT224,data!$H$4:$I$9)),"#",getgrade(Broadsheet!AT224,data!$H$4:$I$9))</f>
        <v/>
      </c>
      <c r="AU113" s="188" t="str">
        <f>IF(ISERROR(getgrade(Broadsheet!AU224,data!$H$4:$I$9)),"#",getgrade(Broadsheet!AU224,data!$H$4:$I$9))</f>
        <v/>
      </c>
      <c r="AV113" s="188" t="str">
        <f>IF(ISERROR(getgrade(Broadsheet!AV224,data!$H$4:$I$9)),"#",getgrade(Broadsheet!AV224,data!$H$4:$I$9))</f>
        <v/>
      </c>
      <c r="AW113" s="188" t="str">
        <f>IF(ISERROR(getgrade(Broadsheet!AW224,data!$H$4:$I$9)),"#",getgrade(Broadsheet!AW224,data!$H$4:$I$9))</f>
        <v/>
      </c>
      <c r="AX113" s="188" t="str">
        <f>IF(ISERROR(getgrade(Broadsheet!AX224,data!$H$4:$I$9)),"#",getgrade(Broadsheet!AX224,data!$H$4:$I$9))</f>
        <v/>
      </c>
      <c r="AY113" s="188" t="str">
        <f>IF(ISERROR(getgrade(Broadsheet!AY224,data!$H$4:$I$9)),"#",getgrade(Broadsheet!AY224,data!$H$4:$I$9))</f>
        <v/>
      </c>
      <c r="AZ113" s="188" t="str">
        <f>IF(ISERROR(getgrade(Broadsheet!AZ224,data!$H$4:$I$9)),"#",getgrade(Broadsheet!AZ224,data!$H$4:$I$9))</f>
        <v/>
      </c>
      <c r="BA113" s="188" t="str">
        <f>IF(ISERROR(getgrade(Broadsheet!BA224,data!$H$4:$I$9)),"#",getgrade(Broadsheet!BA224,data!$H$4:$I$9))</f>
        <v/>
      </c>
      <c r="BB113" s="188" t="str">
        <f>IF(ISERROR(getgrade(Broadsheet!BB224,data!$H$4:$I$9)),"#",getgrade(Broadsheet!BB224,data!$H$4:$I$9))</f>
        <v/>
      </c>
      <c r="BC113" s="188" t="str">
        <f>IF(ISERROR(getgrade(Broadsheet!BC224,data!$H$4:$I$9)),"#",getgrade(Broadsheet!BC224,data!$H$4:$I$9))</f>
        <v/>
      </c>
      <c r="BD113" s="188" t="str">
        <f>IF(ISERROR(getgrade(Broadsheet!BD224,data!$H$4:$I$9)),"#",getgrade(Broadsheet!BD224,data!$H$4:$I$9))</f>
        <v/>
      </c>
      <c r="BE113" s="188" t="str">
        <f>IF(ISERROR(getgrade(Broadsheet!BE224,data!$H$4:$I$9)),"#",getgrade(Broadsheet!BE224,data!$H$4:$I$9))</f>
        <v/>
      </c>
      <c r="BF113" s="188" t="str">
        <f>IF(ISERROR(getgrade(Broadsheet!BF224,data!$H$4:$I$9)),"#",getgrade(Broadsheet!BF224,data!$H$4:$I$9))</f>
        <v/>
      </c>
      <c r="BG113" s="188" t="str">
        <f>IF(ISERROR(getgrade(Broadsheet!BG224,data!$H$4:$I$9)),"#",getgrade(Broadsheet!BG224,data!$H$4:$I$9))</f>
        <v/>
      </c>
      <c r="BH113" s="188" t="str">
        <f>IF(ISERROR(getgrade(Broadsheet!BH224,data!$H$4:$I$9)),"#",getgrade(Broadsheet!BH224,data!$H$4:$I$9))</f>
        <v/>
      </c>
      <c r="BI113" s="188" t="str">
        <f>IF(ISERROR(getgrade(Broadsheet!BI224,data!$H$4:$I$9)),"#",getgrade(Broadsheet!BI224,data!$H$4:$I$9))</f>
        <v/>
      </c>
      <c r="BJ113" s="188" t="str">
        <f>IF(ISERROR(getgrade(Broadsheet!BJ224,data!$H$4:$I$9)),"#",getgrade(Broadsheet!BJ224,data!$H$4:$I$9))</f>
        <v/>
      </c>
      <c r="BK113" s="188"/>
      <c r="BL113" s="188"/>
      <c r="BM113" s="188"/>
      <c r="BN113" s="188"/>
      <c r="BO113" s="188"/>
      <c r="BP113" s="188"/>
      <c r="BQ113" s="188"/>
      <c r="BR113" s="188"/>
      <c r="BS113" s="188"/>
      <c r="BT113" s="188"/>
      <c r="BU113" s="188"/>
      <c r="BV113" s="188"/>
      <c r="BW113" s="188"/>
      <c r="BX113" s="188"/>
      <c r="BY113" s="188"/>
      <c r="BZ113" s="188"/>
      <c r="CA113" s="188"/>
      <c r="CB113" s="188"/>
      <c r="CC113" s="188"/>
      <c r="CD113" s="188"/>
      <c r="CE113" s="188"/>
      <c r="CF113" s="188"/>
      <c r="CG113" s="188"/>
      <c r="CH113" s="188"/>
      <c r="CI113" s="188"/>
      <c r="CJ113" s="188"/>
      <c r="CK113" s="188"/>
      <c r="CL113" s="188"/>
      <c r="CM113" s="188"/>
      <c r="CN113" s="188"/>
      <c r="CO113" s="188"/>
      <c r="CP113" s="188"/>
      <c r="CQ113" s="188"/>
      <c r="CR113" s="188"/>
      <c r="CS113" s="188"/>
      <c r="CT113" s="188"/>
      <c r="CU113" s="188"/>
      <c r="CV113" s="188"/>
      <c r="CW113" s="188"/>
      <c r="CX113" s="188"/>
      <c r="CY113" s="188"/>
      <c r="CZ113" s="188"/>
      <c r="DA113" s="188"/>
      <c r="DB113" s="188"/>
      <c r="DC113" s="188"/>
      <c r="DD113" s="188"/>
      <c r="DE113" s="188"/>
      <c r="DF113" s="188"/>
      <c r="DG113" s="188"/>
      <c r="DH113" s="188"/>
      <c r="DI113" s="188"/>
      <c r="DJ113" s="188"/>
      <c r="DK113" s="188"/>
      <c r="DL113" s="188"/>
      <c r="DM113" s="188"/>
      <c r="DN113" s="188"/>
      <c r="DO113" s="188"/>
      <c r="DP113" s="188"/>
      <c r="DQ113" s="188"/>
      <c r="DR113" s="188"/>
      <c r="DS113" s="188"/>
      <c r="DT113" s="188"/>
      <c r="DU113" s="188"/>
      <c r="DV113" s="188"/>
      <c r="DW113" s="188"/>
      <c r="DX113" s="188"/>
      <c r="DY113" s="188"/>
      <c r="DZ113" s="188"/>
      <c r="EA113" s="188"/>
    </row>
    <row r="114" spans="1:131" ht="15.75" x14ac:dyDescent="0.25">
      <c r="A114" s="12">
        <f>Broadsheet!A225</f>
        <v>0</v>
      </c>
      <c r="B114" s="204" t="str">
        <f>IF(Broadsheet!B114="","",Broadsheet!B114)</f>
        <v/>
      </c>
      <c r="C114" s="24" t="str">
        <f>IF(Broadsheet!C114="","",Broadsheet!C114)</f>
        <v xml:space="preserve"> </v>
      </c>
      <c r="G114" s="24" t="str">
        <f t="shared" si="1"/>
        <v/>
      </c>
      <c r="H114" s="188" t="str">
        <f>IF(ISERROR(getgrade(Broadsheet!H225,data!$H$4:$I$9)),"#",getgrade(Broadsheet!H225,data!$H$4:$I$9))</f>
        <v/>
      </c>
      <c r="I114" s="188" t="str">
        <f>IF(ISERROR(getgrade(Broadsheet!I225,data!$H$4:$I$9)),"#",getgrade(Broadsheet!I225,data!$H$4:$I$9))</f>
        <v/>
      </c>
      <c r="J114" s="188" t="str">
        <f>IF(ISERROR(getgrade(Broadsheet!J225,data!$H$4:$I$9)),"#",getgrade(Broadsheet!J225,data!$H$4:$I$9))</f>
        <v/>
      </c>
      <c r="K114" s="188" t="str">
        <f>IF(ISERROR(getgrade(Broadsheet!K225,data!$H$4:$I$9)),"#",getgrade(Broadsheet!K225,data!$H$4:$I$9))</f>
        <v/>
      </c>
      <c r="L114" s="188" t="str">
        <f>IF(ISERROR(getgrade(Broadsheet!L225,data!$H$4:$I$9)),"#",getgrade(Broadsheet!L225,data!$H$4:$I$9))</f>
        <v/>
      </c>
      <c r="M114" s="188" t="str">
        <f>IF(ISERROR(getgrade(Broadsheet!M225,data!$H$4:$I$9)),"#",getgrade(Broadsheet!M225,data!$H$4:$I$9))</f>
        <v/>
      </c>
      <c r="N114" s="188" t="str">
        <f>IF(ISERROR(getgrade(Broadsheet!N225,data!$H$4:$I$9)),"#",getgrade(Broadsheet!N225,data!$H$4:$I$9))</f>
        <v/>
      </c>
      <c r="O114" s="188" t="str">
        <f>IF(ISERROR(getgrade(Broadsheet!O225,data!$H$4:$I$9)),"#",getgrade(Broadsheet!O225,data!$H$4:$I$9))</f>
        <v/>
      </c>
      <c r="P114" s="188" t="str">
        <f>IF(ISERROR(getgrade(Broadsheet!P225,data!$H$4:$I$9)),"#",getgrade(Broadsheet!P225,data!$H$4:$I$9))</f>
        <v/>
      </c>
      <c r="Q114" s="188" t="str">
        <f>IF(ISERROR(getgrade(Broadsheet!Q225,data!$H$4:$I$9)),"#",getgrade(Broadsheet!Q225,data!$H$4:$I$9))</f>
        <v/>
      </c>
      <c r="R114" s="188" t="str">
        <f>IF(ISERROR(getgrade(Broadsheet!R225,data!$H$4:$I$9)),"#",getgrade(Broadsheet!R225,data!$H$4:$I$9))</f>
        <v/>
      </c>
      <c r="S114" s="188" t="str">
        <f>IF(ISERROR(getgrade(Broadsheet!S225,data!$H$4:$I$9)),"#",getgrade(Broadsheet!S225,data!$H$4:$I$9))</f>
        <v/>
      </c>
      <c r="T114" s="188" t="str">
        <f>IF(ISERROR(getgrade(Broadsheet!T225,data!$H$4:$I$9)),"#",getgrade(Broadsheet!T225,data!$H$4:$I$9))</f>
        <v/>
      </c>
      <c r="U114" s="188" t="str">
        <f>IF(ISERROR(getgrade(Broadsheet!U225,data!$H$4:$I$9)),"#",getgrade(Broadsheet!U225,data!$H$4:$I$9))</f>
        <v/>
      </c>
      <c r="V114" s="188" t="str">
        <f>IF(ISERROR(getgrade(Broadsheet!V225,data!$H$4:$I$9)),"#",getgrade(Broadsheet!V225,data!$H$4:$I$9))</f>
        <v/>
      </c>
      <c r="W114" s="188" t="str">
        <f>IF(ISERROR(getgrade(Broadsheet!W225,data!$H$4:$I$9)),"#",getgrade(Broadsheet!W225,data!$H$4:$I$9))</f>
        <v/>
      </c>
      <c r="X114" s="188" t="str">
        <f>IF(ISERROR(getgrade(Broadsheet!X225,data!$H$4:$I$9)),"#",getgrade(Broadsheet!X225,data!$H$4:$I$9))</f>
        <v/>
      </c>
      <c r="Y114" s="188" t="str">
        <f>IF(ISERROR(getgrade(Broadsheet!Y225,data!$H$4:$I$9)),"#",getgrade(Broadsheet!Y225,data!$H$4:$I$9))</f>
        <v/>
      </c>
      <c r="Z114" s="188" t="str">
        <f>IF(ISERROR(getgrade(Broadsheet!Z225,data!$H$4:$I$9)),"#",getgrade(Broadsheet!Z225,data!$H$4:$I$9))</f>
        <v/>
      </c>
      <c r="AA114" s="188" t="str">
        <f>IF(ISERROR(getgrade(Broadsheet!AA225,data!$H$4:$I$9)),"#",getgrade(Broadsheet!AA225,data!$H$4:$I$9))</f>
        <v/>
      </c>
      <c r="AB114" s="188" t="str">
        <f>IF(ISERROR(getgrade(Broadsheet!AB225,data!$H$4:$I$9)),"#",getgrade(Broadsheet!AB225,data!$H$4:$I$9))</f>
        <v/>
      </c>
      <c r="AC114" s="188" t="str">
        <f>IF(ISERROR(getgrade(Broadsheet!AC225,data!$H$4:$I$9)),"#",getgrade(Broadsheet!AC225,data!$H$4:$I$9))</f>
        <v/>
      </c>
      <c r="AD114" s="188" t="str">
        <f>IF(ISERROR(getgrade(Broadsheet!AD225,data!$H$4:$I$9)),"#",getgrade(Broadsheet!AD225,data!$H$4:$I$9))</f>
        <v/>
      </c>
      <c r="AE114" s="188" t="str">
        <f>IF(ISERROR(getgrade(Broadsheet!AE225,data!$H$4:$I$9)),"#",getgrade(Broadsheet!AE225,data!$H$4:$I$9))</f>
        <v/>
      </c>
      <c r="AF114" s="188" t="str">
        <f>IF(ISERROR(getgrade(Broadsheet!AF225,data!$H$4:$I$9)),"#",getgrade(Broadsheet!AF225,data!$H$4:$I$9))</f>
        <v/>
      </c>
      <c r="AG114" s="188" t="str">
        <f>IF(ISERROR(getgrade(Broadsheet!AG225,data!$H$4:$I$9)),"#",getgrade(Broadsheet!AG225,data!$H$4:$I$9))</f>
        <v/>
      </c>
      <c r="AH114" s="188" t="str">
        <f>IF(ISERROR(getgrade(Broadsheet!AH225,data!$H$4:$I$9)),"#",getgrade(Broadsheet!AH225,data!$H$4:$I$9))</f>
        <v/>
      </c>
      <c r="AI114" s="188" t="str">
        <f>IF(ISERROR(getgrade(Broadsheet!AI225,data!$H$4:$I$9)),"#",getgrade(Broadsheet!AI225,data!$H$4:$I$9))</f>
        <v/>
      </c>
      <c r="AJ114" s="188" t="str">
        <f>IF(ISERROR(getgrade(Broadsheet!AJ225,data!$H$4:$I$9)),"#",getgrade(Broadsheet!AJ225,data!$H$4:$I$9))</f>
        <v/>
      </c>
      <c r="AK114" s="188" t="str">
        <f>IF(ISERROR(getgrade(Broadsheet!AK225,data!$H$4:$I$9)),"#",getgrade(Broadsheet!AK225,data!$H$4:$I$9))</f>
        <v/>
      </c>
      <c r="AL114" s="188" t="str">
        <f>IF(ISERROR(getgrade(Broadsheet!AL225,data!$H$4:$I$9)),"#",getgrade(Broadsheet!AL225,data!$H$4:$I$9))</f>
        <v/>
      </c>
      <c r="AM114" s="188" t="str">
        <f>IF(ISERROR(getgrade(Broadsheet!AM225,data!$H$4:$I$9)),"#",getgrade(Broadsheet!AM225,data!$H$4:$I$9))</f>
        <v/>
      </c>
      <c r="AN114" s="188" t="str">
        <f>IF(ISERROR(getgrade(Broadsheet!AN225,data!$H$4:$I$9)),"#",getgrade(Broadsheet!AN225,data!$H$4:$I$9))</f>
        <v/>
      </c>
      <c r="AO114" s="188" t="str">
        <f>IF(ISERROR(getgrade(Broadsheet!AO225,data!$H$4:$I$9)),"#",getgrade(Broadsheet!AO225,data!$H$4:$I$9))</f>
        <v/>
      </c>
      <c r="AP114" s="188" t="str">
        <f>IF(ISERROR(getgrade(Broadsheet!AP225,data!$H$4:$I$9)),"#",getgrade(Broadsheet!AP225,data!$H$4:$I$9))</f>
        <v/>
      </c>
      <c r="AQ114" s="188" t="str">
        <f>IF(ISERROR(getgrade(Broadsheet!AQ225,data!$H$4:$I$9)),"#",getgrade(Broadsheet!AQ225,data!$H$4:$I$9))</f>
        <v/>
      </c>
      <c r="AR114" s="188" t="str">
        <f>IF(ISERROR(getgrade(Broadsheet!AR225,data!$H$4:$I$9)),"#",getgrade(Broadsheet!AR225,data!$H$4:$I$9))</f>
        <v/>
      </c>
      <c r="AS114" s="188" t="str">
        <f>IF(ISERROR(getgrade(Broadsheet!AS225,data!$H$4:$I$9)),"#",getgrade(Broadsheet!AS225,data!$H$4:$I$9))</f>
        <v/>
      </c>
      <c r="AT114" s="188" t="str">
        <f>IF(ISERROR(getgrade(Broadsheet!AT225,data!$H$4:$I$9)),"#",getgrade(Broadsheet!AT225,data!$H$4:$I$9))</f>
        <v/>
      </c>
      <c r="AU114" s="188" t="str">
        <f>IF(ISERROR(getgrade(Broadsheet!AU225,data!$H$4:$I$9)),"#",getgrade(Broadsheet!AU225,data!$H$4:$I$9))</f>
        <v/>
      </c>
      <c r="AV114" s="188" t="str">
        <f>IF(ISERROR(getgrade(Broadsheet!AV225,data!$H$4:$I$9)),"#",getgrade(Broadsheet!AV225,data!$H$4:$I$9))</f>
        <v/>
      </c>
      <c r="AW114" s="188" t="str">
        <f>IF(ISERROR(getgrade(Broadsheet!AW225,data!$H$4:$I$9)),"#",getgrade(Broadsheet!AW225,data!$H$4:$I$9))</f>
        <v/>
      </c>
      <c r="AX114" s="188" t="str">
        <f>IF(ISERROR(getgrade(Broadsheet!AX225,data!$H$4:$I$9)),"#",getgrade(Broadsheet!AX225,data!$H$4:$I$9))</f>
        <v/>
      </c>
      <c r="AY114" s="188" t="str">
        <f>IF(ISERROR(getgrade(Broadsheet!AY225,data!$H$4:$I$9)),"#",getgrade(Broadsheet!AY225,data!$H$4:$I$9))</f>
        <v/>
      </c>
      <c r="AZ114" s="188" t="str">
        <f>IF(ISERROR(getgrade(Broadsheet!AZ225,data!$H$4:$I$9)),"#",getgrade(Broadsheet!AZ225,data!$H$4:$I$9))</f>
        <v/>
      </c>
      <c r="BA114" s="188" t="str">
        <f>IF(ISERROR(getgrade(Broadsheet!BA225,data!$H$4:$I$9)),"#",getgrade(Broadsheet!BA225,data!$H$4:$I$9))</f>
        <v/>
      </c>
      <c r="BB114" s="188" t="str">
        <f>IF(ISERROR(getgrade(Broadsheet!BB225,data!$H$4:$I$9)),"#",getgrade(Broadsheet!BB225,data!$H$4:$I$9))</f>
        <v/>
      </c>
      <c r="BC114" s="188" t="str">
        <f>IF(ISERROR(getgrade(Broadsheet!BC225,data!$H$4:$I$9)),"#",getgrade(Broadsheet!BC225,data!$H$4:$I$9))</f>
        <v/>
      </c>
      <c r="BD114" s="188" t="str">
        <f>IF(ISERROR(getgrade(Broadsheet!BD225,data!$H$4:$I$9)),"#",getgrade(Broadsheet!BD225,data!$H$4:$I$9))</f>
        <v/>
      </c>
      <c r="BE114" s="188" t="str">
        <f>IF(ISERROR(getgrade(Broadsheet!BE225,data!$H$4:$I$9)),"#",getgrade(Broadsheet!BE225,data!$H$4:$I$9))</f>
        <v/>
      </c>
      <c r="BF114" s="188" t="str">
        <f>IF(ISERROR(getgrade(Broadsheet!BF225,data!$H$4:$I$9)),"#",getgrade(Broadsheet!BF225,data!$H$4:$I$9))</f>
        <v/>
      </c>
      <c r="BG114" s="188" t="str">
        <f>IF(ISERROR(getgrade(Broadsheet!BG225,data!$H$4:$I$9)),"#",getgrade(Broadsheet!BG225,data!$H$4:$I$9))</f>
        <v/>
      </c>
      <c r="BH114" s="188" t="str">
        <f>IF(ISERROR(getgrade(Broadsheet!BH225,data!$H$4:$I$9)),"#",getgrade(Broadsheet!BH225,data!$H$4:$I$9))</f>
        <v/>
      </c>
      <c r="BI114" s="188" t="str">
        <f>IF(ISERROR(getgrade(Broadsheet!BI225,data!$H$4:$I$9)),"#",getgrade(Broadsheet!BI225,data!$H$4:$I$9))</f>
        <v/>
      </c>
      <c r="BJ114" s="188" t="str">
        <f>IF(ISERROR(getgrade(Broadsheet!BJ225,data!$H$4:$I$9)),"#",getgrade(Broadsheet!BJ225,data!$H$4:$I$9))</f>
        <v/>
      </c>
      <c r="BK114" s="188"/>
      <c r="BL114" s="188"/>
      <c r="BM114" s="188"/>
      <c r="BN114" s="188"/>
      <c r="BO114" s="188"/>
      <c r="BP114" s="188"/>
      <c r="BQ114" s="188"/>
      <c r="BR114" s="188"/>
      <c r="BS114" s="188"/>
      <c r="BT114" s="188"/>
      <c r="BU114" s="188"/>
      <c r="BV114" s="188"/>
      <c r="BW114" s="188"/>
      <c r="BX114" s="188"/>
      <c r="BY114" s="188"/>
      <c r="BZ114" s="188"/>
      <c r="CA114" s="188"/>
      <c r="CB114" s="188"/>
      <c r="CC114" s="188"/>
      <c r="CD114" s="188"/>
      <c r="CE114" s="188"/>
      <c r="CF114" s="188"/>
      <c r="CG114" s="188"/>
      <c r="CH114" s="188"/>
      <c r="CI114" s="188"/>
      <c r="CJ114" s="188"/>
      <c r="CK114" s="188"/>
      <c r="CL114" s="188"/>
      <c r="CM114" s="188"/>
      <c r="CN114" s="188"/>
      <c r="CO114" s="188"/>
      <c r="CP114" s="188"/>
      <c r="CQ114" s="188"/>
      <c r="CR114" s="188"/>
      <c r="CS114" s="188"/>
      <c r="CT114" s="188"/>
      <c r="CU114" s="188"/>
      <c r="CV114" s="188"/>
      <c r="CW114" s="188"/>
      <c r="CX114" s="188"/>
      <c r="CY114" s="188"/>
      <c r="CZ114" s="188"/>
      <c r="DA114" s="188"/>
      <c r="DB114" s="188"/>
      <c r="DC114" s="188"/>
      <c r="DD114" s="188"/>
      <c r="DE114" s="188"/>
      <c r="DF114" s="188"/>
      <c r="DG114" s="188"/>
      <c r="DH114" s="188"/>
      <c r="DI114" s="188"/>
      <c r="DJ114" s="188"/>
      <c r="DK114" s="188"/>
      <c r="DL114" s="188"/>
      <c r="DM114" s="188"/>
      <c r="DN114" s="188"/>
      <c r="DO114" s="188"/>
      <c r="DP114" s="188"/>
      <c r="DQ114" s="188"/>
      <c r="DR114" s="188"/>
      <c r="DS114" s="188"/>
      <c r="DT114" s="188"/>
      <c r="DU114" s="188"/>
      <c r="DV114" s="188"/>
      <c r="DW114" s="188"/>
      <c r="DX114" s="188"/>
      <c r="DY114" s="188"/>
      <c r="DZ114" s="188"/>
      <c r="EA114" s="188"/>
    </row>
    <row r="115" spans="1:131" ht="15.75" x14ac:dyDescent="0.25">
      <c r="A115" s="12">
        <f>Broadsheet!A226</f>
        <v>0</v>
      </c>
      <c r="B115" s="204" t="str">
        <f>IF(Broadsheet!B115="","",Broadsheet!B115)</f>
        <v/>
      </c>
      <c r="C115" s="24" t="str">
        <f>IF(Broadsheet!C115="","",Broadsheet!C115)</f>
        <v xml:space="preserve"> </v>
      </c>
      <c r="G115" s="24" t="str">
        <f t="shared" si="1"/>
        <v/>
      </c>
      <c r="H115" s="188" t="str">
        <f>IF(ISERROR(getgrade(Broadsheet!H226,data!$H$4:$I$9)),"#",getgrade(Broadsheet!H226,data!$H$4:$I$9))</f>
        <v/>
      </c>
      <c r="I115" s="188" t="str">
        <f>IF(ISERROR(getgrade(Broadsheet!I226,data!$H$4:$I$9)),"#",getgrade(Broadsheet!I226,data!$H$4:$I$9))</f>
        <v/>
      </c>
      <c r="J115" s="188" t="str">
        <f>IF(ISERROR(getgrade(Broadsheet!J226,data!$H$4:$I$9)),"#",getgrade(Broadsheet!J226,data!$H$4:$I$9))</f>
        <v/>
      </c>
      <c r="K115" s="188" t="str">
        <f>IF(ISERROR(getgrade(Broadsheet!K226,data!$H$4:$I$9)),"#",getgrade(Broadsheet!K226,data!$H$4:$I$9))</f>
        <v/>
      </c>
      <c r="L115" s="188" t="str">
        <f>IF(ISERROR(getgrade(Broadsheet!L226,data!$H$4:$I$9)),"#",getgrade(Broadsheet!L226,data!$H$4:$I$9))</f>
        <v/>
      </c>
      <c r="M115" s="188" t="str">
        <f>IF(ISERROR(getgrade(Broadsheet!M226,data!$H$4:$I$9)),"#",getgrade(Broadsheet!M226,data!$H$4:$I$9))</f>
        <v/>
      </c>
      <c r="N115" s="188" t="str">
        <f>IF(ISERROR(getgrade(Broadsheet!N226,data!$H$4:$I$9)),"#",getgrade(Broadsheet!N226,data!$H$4:$I$9))</f>
        <v/>
      </c>
      <c r="O115" s="188" t="str">
        <f>IF(ISERROR(getgrade(Broadsheet!O226,data!$H$4:$I$9)),"#",getgrade(Broadsheet!O226,data!$H$4:$I$9))</f>
        <v/>
      </c>
      <c r="P115" s="188" t="str">
        <f>IF(ISERROR(getgrade(Broadsheet!P226,data!$H$4:$I$9)),"#",getgrade(Broadsheet!P226,data!$H$4:$I$9))</f>
        <v/>
      </c>
      <c r="Q115" s="188" t="str">
        <f>IF(ISERROR(getgrade(Broadsheet!Q226,data!$H$4:$I$9)),"#",getgrade(Broadsheet!Q226,data!$H$4:$I$9))</f>
        <v/>
      </c>
      <c r="R115" s="188" t="str">
        <f>IF(ISERROR(getgrade(Broadsheet!R226,data!$H$4:$I$9)),"#",getgrade(Broadsheet!R226,data!$H$4:$I$9))</f>
        <v/>
      </c>
      <c r="S115" s="188" t="str">
        <f>IF(ISERROR(getgrade(Broadsheet!S226,data!$H$4:$I$9)),"#",getgrade(Broadsheet!S226,data!$H$4:$I$9))</f>
        <v/>
      </c>
      <c r="T115" s="188" t="str">
        <f>IF(ISERROR(getgrade(Broadsheet!T226,data!$H$4:$I$9)),"#",getgrade(Broadsheet!T226,data!$H$4:$I$9))</f>
        <v/>
      </c>
      <c r="U115" s="188" t="str">
        <f>IF(ISERROR(getgrade(Broadsheet!U226,data!$H$4:$I$9)),"#",getgrade(Broadsheet!U226,data!$H$4:$I$9))</f>
        <v/>
      </c>
      <c r="V115" s="188" t="str">
        <f>IF(ISERROR(getgrade(Broadsheet!V226,data!$H$4:$I$9)),"#",getgrade(Broadsheet!V226,data!$H$4:$I$9))</f>
        <v/>
      </c>
      <c r="W115" s="188" t="str">
        <f>IF(ISERROR(getgrade(Broadsheet!W226,data!$H$4:$I$9)),"#",getgrade(Broadsheet!W226,data!$H$4:$I$9))</f>
        <v/>
      </c>
      <c r="X115" s="188" t="str">
        <f>IF(ISERROR(getgrade(Broadsheet!X226,data!$H$4:$I$9)),"#",getgrade(Broadsheet!X226,data!$H$4:$I$9))</f>
        <v/>
      </c>
      <c r="Y115" s="188" t="str">
        <f>IF(ISERROR(getgrade(Broadsheet!Y226,data!$H$4:$I$9)),"#",getgrade(Broadsheet!Y226,data!$H$4:$I$9))</f>
        <v/>
      </c>
      <c r="Z115" s="188" t="str">
        <f>IF(ISERROR(getgrade(Broadsheet!Z226,data!$H$4:$I$9)),"#",getgrade(Broadsheet!Z226,data!$H$4:$I$9))</f>
        <v/>
      </c>
      <c r="AA115" s="188" t="str">
        <f>IF(ISERROR(getgrade(Broadsheet!AA226,data!$H$4:$I$9)),"#",getgrade(Broadsheet!AA226,data!$H$4:$I$9))</f>
        <v/>
      </c>
      <c r="AB115" s="188" t="str">
        <f>IF(ISERROR(getgrade(Broadsheet!AB226,data!$H$4:$I$9)),"#",getgrade(Broadsheet!AB226,data!$H$4:$I$9))</f>
        <v/>
      </c>
      <c r="AC115" s="188" t="str">
        <f>IF(ISERROR(getgrade(Broadsheet!AC226,data!$H$4:$I$9)),"#",getgrade(Broadsheet!AC226,data!$H$4:$I$9))</f>
        <v/>
      </c>
      <c r="AD115" s="188" t="str">
        <f>IF(ISERROR(getgrade(Broadsheet!AD226,data!$H$4:$I$9)),"#",getgrade(Broadsheet!AD226,data!$H$4:$I$9))</f>
        <v/>
      </c>
      <c r="AE115" s="188" t="str">
        <f>IF(ISERROR(getgrade(Broadsheet!AE226,data!$H$4:$I$9)),"#",getgrade(Broadsheet!AE226,data!$H$4:$I$9))</f>
        <v/>
      </c>
      <c r="AF115" s="188" t="str">
        <f>IF(ISERROR(getgrade(Broadsheet!AF226,data!$H$4:$I$9)),"#",getgrade(Broadsheet!AF226,data!$H$4:$I$9))</f>
        <v/>
      </c>
      <c r="AG115" s="188" t="str">
        <f>IF(ISERROR(getgrade(Broadsheet!AG226,data!$H$4:$I$9)),"#",getgrade(Broadsheet!AG226,data!$H$4:$I$9))</f>
        <v/>
      </c>
      <c r="AH115" s="188" t="str">
        <f>IF(ISERROR(getgrade(Broadsheet!AH226,data!$H$4:$I$9)),"#",getgrade(Broadsheet!AH226,data!$H$4:$I$9))</f>
        <v/>
      </c>
      <c r="AI115" s="188" t="str">
        <f>IF(ISERROR(getgrade(Broadsheet!AI226,data!$H$4:$I$9)),"#",getgrade(Broadsheet!AI226,data!$H$4:$I$9))</f>
        <v/>
      </c>
      <c r="AJ115" s="188" t="str">
        <f>IF(ISERROR(getgrade(Broadsheet!AJ226,data!$H$4:$I$9)),"#",getgrade(Broadsheet!AJ226,data!$H$4:$I$9))</f>
        <v/>
      </c>
      <c r="AK115" s="188" t="str">
        <f>IF(ISERROR(getgrade(Broadsheet!AK226,data!$H$4:$I$9)),"#",getgrade(Broadsheet!AK226,data!$H$4:$I$9))</f>
        <v/>
      </c>
      <c r="AL115" s="188" t="str">
        <f>IF(ISERROR(getgrade(Broadsheet!AL226,data!$H$4:$I$9)),"#",getgrade(Broadsheet!AL226,data!$H$4:$I$9))</f>
        <v/>
      </c>
      <c r="AM115" s="188" t="str">
        <f>IF(ISERROR(getgrade(Broadsheet!AM226,data!$H$4:$I$9)),"#",getgrade(Broadsheet!AM226,data!$H$4:$I$9))</f>
        <v/>
      </c>
      <c r="AN115" s="188" t="str">
        <f>IF(ISERROR(getgrade(Broadsheet!AN226,data!$H$4:$I$9)),"#",getgrade(Broadsheet!AN226,data!$H$4:$I$9))</f>
        <v/>
      </c>
      <c r="AO115" s="188" t="str">
        <f>IF(ISERROR(getgrade(Broadsheet!AO226,data!$H$4:$I$9)),"#",getgrade(Broadsheet!AO226,data!$H$4:$I$9))</f>
        <v/>
      </c>
      <c r="AP115" s="188" t="str">
        <f>IF(ISERROR(getgrade(Broadsheet!AP226,data!$H$4:$I$9)),"#",getgrade(Broadsheet!AP226,data!$H$4:$I$9))</f>
        <v/>
      </c>
      <c r="AQ115" s="188" t="str">
        <f>IF(ISERROR(getgrade(Broadsheet!AQ226,data!$H$4:$I$9)),"#",getgrade(Broadsheet!AQ226,data!$H$4:$I$9))</f>
        <v/>
      </c>
      <c r="AR115" s="188" t="str">
        <f>IF(ISERROR(getgrade(Broadsheet!AR226,data!$H$4:$I$9)),"#",getgrade(Broadsheet!AR226,data!$H$4:$I$9))</f>
        <v/>
      </c>
      <c r="AS115" s="188" t="str">
        <f>IF(ISERROR(getgrade(Broadsheet!AS226,data!$H$4:$I$9)),"#",getgrade(Broadsheet!AS226,data!$H$4:$I$9))</f>
        <v/>
      </c>
      <c r="AT115" s="188" t="str">
        <f>IF(ISERROR(getgrade(Broadsheet!AT226,data!$H$4:$I$9)),"#",getgrade(Broadsheet!AT226,data!$H$4:$I$9))</f>
        <v/>
      </c>
      <c r="AU115" s="188" t="str">
        <f>IF(ISERROR(getgrade(Broadsheet!AU226,data!$H$4:$I$9)),"#",getgrade(Broadsheet!AU226,data!$H$4:$I$9))</f>
        <v/>
      </c>
      <c r="AV115" s="188" t="str">
        <f>IF(ISERROR(getgrade(Broadsheet!AV226,data!$H$4:$I$9)),"#",getgrade(Broadsheet!AV226,data!$H$4:$I$9))</f>
        <v/>
      </c>
      <c r="AW115" s="188" t="str">
        <f>IF(ISERROR(getgrade(Broadsheet!AW226,data!$H$4:$I$9)),"#",getgrade(Broadsheet!AW226,data!$H$4:$I$9))</f>
        <v/>
      </c>
      <c r="AX115" s="188" t="str">
        <f>IF(ISERROR(getgrade(Broadsheet!AX226,data!$H$4:$I$9)),"#",getgrade(Broadsheet!AX226,data!$H$4:$I$9))</f>
        <v/>
      </c>
      <c r="AY115" s="188" t="str">
        <f>IF(ISERROR(getgrade(Broadsheet!AY226,data!$H$4:$I$9)),"#",getgrade(Broadsheet!AY226,data!$H$4:$I$9))</f>
        <v/>
      </c>
      <c r="AZ115" s="188" t="str">
        <f>IF(ISERROR(getgrade(Broadsheet!AZ226,data!$H$4:$I$9)),"#",getgrade(Broadsheet!AZ226,data!$H$4:$I$9))</f>
        <v/>
      </c>
      <c r="BA115" s="188" t="str">
        <f>IF(ISERROR(getgrade(Broadsheet!BA226,data!$H$4:$I$9)),"#",getgrade(Broadsheet!BA226,data!$H$4:$I$9))</f>
        <v/>
      </c>
      <c r="BB115" s="188" t="str">
        <f>IF(ISERROR(getgrade(Broadsheet!BB226,data!$H$4:$I$9)),"#",getgrade(Broadsheet!BB226,data!$H$4:$I$9))</f>
        <v/>
      </c>
      <c r="BC115" s="188" t="str">
        <f>IF(ISERROR(getgrade(Broadsheet!BC226,data!$H$4:$I$9)),"#",getgrade(Broadsheet!BC226,data!$H$4:$I$9))</f>
        <v/>
      </c>
      <c r="BD115" s="188" t="str">
        <f>IF(ISERROR(getgrade(Broadsheet!BD226,data!$H$4:$I$9)),"#",getgrade(Broadsheet!BD226,data!$H$4:$I$9))</f>
        <v/>
      </c>
      <c r="BE115" s="188" t="str">
        <f>IF(ISERROR(getgrade(Broadsheet!BE226,data!$H$4:$I$9)),"#",getgrade(Broadsheet!BE226,data!$H$4:$I$9))</f>
        <v/>
      </c>
      <c r="BF115" s="188" t="str">
        <f>IF(ISERROR(getgrade(Broadsheet!BF226,data!$H$4:$I$9)),"#",getgrade(Broadsheet!BF226,data!$H$4:$I$9))</f>
        <v/>
      </c>
      <c r="BG115" s="188" t="str">
        <f>IF(ISERROR(getgrade(Broadsheet!BG226,data!$H$4:$I$9)),"#",getgrade(Broadsheet!BG226,data!$H$4:$I$9))</f>
        <v/>
      </c>
      <c r="BH115" s="188" t="str">
        <f>IF(ISERROR(getgrade(Broadsheet!BH226,data!$H$4:$I$9)),"#",getgrade(Broadsheet!BH226,data!$H$4:$I$9))</f>
        <v/>
      </c>
      <c r="BI115" s="188" t="str">
        <f>IF(ISERROR(getgrade(Broadsheet!BI226,data!$H$4:$I$9)),"#",getgrade(Broadsheet!BI226,data!$H$4:$I$9))</f>
        <v/>
      </c>
      <c r="BJ115" s="188" t="str">
        <f>IF(ISERROR(getgrade(Broadsheet!BJ226,data!$H$4:$I$9)),"#",getgrade(Broadsheet!BJ226,data!$H$4:$I$9))</f>
        <v/>
      </c>
      <c r="BK115" s="188"/>
      <c r="BL115" s="188"/>
      <c r="BM115" s="188"/>
      <c r="BN115" s="188"/>
      <c r="BO115" s="188"/>
      <c r="BP115" s="188"/>
      <c r="BQ115" s="188"/>
      <c r="BR115" s="188"/>
      <c r="BS115" s="188"/>
      <c r="BT115" s="188"/>
      <c r="BU115" s="188"/>
      <c r="BV115" s="188"/>
      <c r="BW115" s="188"/>
      <c r="BX115" s="188"/>
      <c r="BY115" s="188"/>
      <c r="BZ115" s="188"/>
      <c r="CA115" s="188"/>
      <c r="CB115" s="188"/>
      <c r="CC115" s="188"/>
      <c r="CD115" s="188"/>
      <c r="CE115" s="188"/>
      <c r="CF115" s="188"/>
      <c r="CG115" s="188"/>
      <c r="CH115" s="188"/>
      <c r="CI115" s="188"/>
      <c r="CJ115" s="188"/>
      <c r="CK115" s="188"/>
      <c r="CL115" s="188"/>
      <c r="CM115" s="188"/>
      <c r="CN115" s="188"/>
      <c r="CO115" s="188"/>
      <c r="CP115" s="188"/>
      <c r="CQ115" s="188"/>
      <c r="CR115" s="188"/>
      <c r="CS115" s="188"/>
      <c r="CT115" s="188"/>
      <c r="CU115" s="188"/>
      <c r="CV115" s="188"/>
      <c r="CW115" s="188"/>
      <c r="CX115" s="188"/>
      <c r="CY115" s="188"/>
      <c r="CZ115" s="188"/>
      <c r="DA115" s="188"/>
      <c r="DB115" s="188"/>
      <c r="DC115" s="188"/>
      <c r="DD115" s="188"/>
      <c r="DE115" s="188"/>
      <c r="DF115" s="188"/>
      <c r="DG115" s="188"/>
      <c r="DH115" s="188"/>
      <c r="DI115" s="188"/>
      <c r="DJ115" s="188"/>
      <c r="DK115" s="188"/>
      <c r="DL115" s="188"/>
      <c r="DM115" s="188"/>
      <c r="DN115" s="188"/>
      <c r="DO115" s="188"/>
      <c r="DP115" s="188"/>
      <c r="DQ115" s="188"/>
      <c r="DR115" s="188"/>
      <c r="DS115" s="188"/>
      <c r="DT115" s="188"/>
      <c r="DU115" s="188"/>
      <c r="DV115" s="188"/>
      <c r="DW115" s="188"/>
      <c r="DX115" s="188"/>
      <c r="DY115" s="188"/>
      <c r="DZ115" s="188"/>
      <c r="EA115" s="188"/>
    </row>
    <row r="116" spans="1:131" ht="15.75" x14ac:dyDescent="0.25">
      <c r="A116" s="12">
        <f>Broadsheet!A227</f>
        <v>0</v>
      </c>
      <c r="B116" s="204" t="str">
        <f>IF(Broadsheet!B116="","",Broadsheet!B116)</f>
        <v/>
      </c>
      <c r="C116" s="24" t="str">
        <f>IF(Broadsheet!C116="","",Broadsheet!C116)</f>
        <v xml:space="preserve"> </v>
      </c>
      <c r="G116" s="24" t="str">
        <f t="shared" si="1"/>
        <v/>
      </c>
      <c r="H116" s="188" t="str">
        <f>IF(ISERROR(getgrade(Broadsheet!H227,data!$H$4:$I$9)),"#",getgrade(Broadsheet!H227,data!$H$4:$I$9))</f>
        <v/>
      </c>
      <c r="I116" s="188" t="str">
        <f>IF(ISERROR(getgrade(Broadsheet!I227,data!$H$4:$I$9)),"#",getgrade(Broadsheet!I227,data!$H$4:$I$9))</f>
        <v/>
      </c>
      <c r="J116" s="188" t="str">
        <f>IF(ISERROR(getgrade(Broadsheet!J227,data!$H$4:$I$9)),"#",getgrade(Broadsheet!J227,data!$H$4:$I$9))</f>
        <v/>
      </c>
      <c r="K116" s="188" t="str">
        <f>IF(ISERROR(getgrade(Broadsheet!K227,data!$H$4:$I$9)),"#",getgrade(Broadsheet!K227,data!$H$4:$I$9))</f>
        <v/>
      </c>
      <c r="L116" s="188" t="str">
        <f>IF(ISERROR(getgrade(Broadsheet!L227,data!$H$4:$I$9)),"#",getgrade(Broadsheet!L227,data!$H$4:$I$9))</f>
        <v/>
      </c>
      <c r="M116" s="188" t="str">
        <f>IF(ISERROR(getgrade(Broadsheet!M227,data!$H$4:$I$9)),"#",getgrade(Broadsheet!M227,data!$H$4:$I$9))</f>
        <v/>
      </c>
      <c r="N116" s="188" t="str">
        <f>IF(ISERROR(getgrade(Broadsheet!N227,data!$H$4:$I$9)),"#",getgrade(Broadsheet!N227,data!$H$4:$I$9))</f>
        <v/>
      </c>
      <c r="O116" s="188" t="str">
        <f>IF(ISERROR(getgrade(Broadsheet!O227,data!$H$4:$I$9)),"#",getgrade(Broadsheet!O227,data!$H$4:$I$9))</f>
        <v/>
      </c>
      <c r="P116" s="188" t="str">
        <f>IF(ISERROR(getgrade(Broadsheet!P227,data!$H$4:$I$9)),"#",getgrade(Broadsheet!P227,data!$H$4:$I$9))</f>
        <v/>
      </c>
      <c r="Q116" s="188" t="str">
        <f>IF(ISERROR(getgrade(Broadsheet!Q227,data!$H$4:$I$9)),"#",getgrade(Broadsheet!Q227,data!$H$4:$I$9))</f>
        <v/>
      </c>
      <c r="R116" s="188" t="str">
        <f>IF(ISERROR(getgrade(Broadsheet!R227,data!$H$4:$I$9)),"#",getgrade(Broadsheet!R227,data!$H$4:$I$9))</f>
        <v/>
      </c>
      <c r="S116" s="188" t="str">
        <f>IF(ISERROR(getgrade(Broadsheet!S227,data!$H$4:$I$9)),"#",getgrade(Broadsheet!S227,data!$H$4:$I$9))</f>
        <v/>
      </c>
      <c r="T116" s="188" t="str">
        <f>IF(ISERROR(getgrade(Broadsheet!T227,data!$H$4:$I$9)),"#",getgrade(Broadsheet!T227,data!$H$4:$I$9))</f>
        <v/>
      </c>
      <c r="U116" s="188" t="str">
        <f>IF(ISERROR(getgrade(Broadsheet!U227,data!$H$4:$I$9)),"#",getgrade(Broadsheet!U227,data!$H$4:$I$9))</f>
        <v/>
      </c>
      <c r="V116" s="188" t="str">
        <f>IF(ISERROR(getgrade(Broadsheet!V227,data!$H$4:$I$9)),"#",getgrade(Broadsheet!V227,data!$H$4:$I$9))</f>
        <v/>
      </c>
      <c r="W116" s="188" t="str">
        <f>IF(ISERROR(getgrade(Broadsheet!W227,data!$H$4:$I$9)),"#",getgrade(Broadsheet!W227,data!$H$4:$I$9))</f>
        <v/>
      </c>
      <c r="X116" s="188" t="str">
        <f>IF(ISERROR(getgrade(Broadsheet!X227,data!$H$4:$I$9)),"#",getgrade(Broadsheet!X227,data!$H$4:$I$9))</f>
        <v/>
      </c>
      <c r="Y116" s="188" t="str">
        <f>IF(ISERROR(getgrade(Broadsheet!Y227,data!$H$4:$I$9)),"#",getgrade(Broadsheet!Y227,data!$H$4:$I$9))</f>
        <v/>
      </c>
      <c r="Z116" s="188" t="str">
        <f>IF(ISERROR(getgrade(Broadsheet!Z227,data!$H$4:$I$9)),"#",getgrade(Broadsheet!Z227,data!$H$4:$I$9))</f>
        <v/>
      </c>
      <c r="AA116" s="188" t="str">
        <f>IF(ISERROR(getgrade(Broadsheet!AA227,data!$H$4:$I$9)),"#",getgrade(Broadsheet!AA227,data!$H$4:$I$9))</f>
        <v/>
      </c>
      <c r="AB116" s="188" t="str">
        <f>IF(ISERROR(getgrade(Broadsheet!AB227,data!$H$4:$I$9)),"#",getgrade(Broadsheet!AB227,data!$H$4:$I$9))</f>
        <v/>
      </c>
      <c r="AC116" s="188" t="str">
        <f>IF(ISERROR(getgrade(Broadsheet!AC227,data!$H$4:$I$9)),"#",getgrade(Broadsheet!AC227,data!$H$4:$I$9))</f>
        <v/>
      </c>
      <c r="AD116" s="188" t="str">
        <f>IF(ISERROR(getgrade(Broadsheet!AD227,data!$H$4:$I$9)),"#",getgrade(Broadsheet!AD227,data!$H$4:$I$9))</f>
        <v/>
      </c>
      <c r="AE116" s="188" t="str">
        <f>IF(ISERROR(getgrade(Broadsheet!AE227,data!$H$4:$I$9)),"#",getgrade(Broadsheet!AE227,data!$H$4:$I$9))</f>
        <v/>
      </c>
      <c r="AF116" s="188" t="str">
        <f>IF(ISERROR(getgrade(Broadsheet!AF227,data!$H$4:$I$9)),"#",getgrade(Broadsheet!AF227,data!$H$4:$I$9))</f>
        <v/>
      </c>
      <c r="AG116" s="188" t="str">
        <f>IF(ISERROR(getgrade(Broadsheet!AG227,data!$H$4:$I$9)),"#",getgrade(Broadsheet!AG227,data!$H$4:$I$9))</f>
        <v/>
      </c>
      <c r="AH116" s="188" t="str">
        <f>IF(ISERROR(getgrade(Broadsheet!AH227,data!$H$4:$I$9)),"#",getgrade(Broadsheet!AH227,data!$H$4:$I$9))</f>
        <v/>
      </c>
      <c r="AI116" s="188" t="str">
        <f>IF(ISERROR(getgrade(Broadsheet!AI227,data!$H$4:$I$9)),"#",getgrade(Broadsheet!AI227,data!$H$4:$I$9))</f>
        <v/>
      </c>
      <c r="AJ116" s="188" t="str">
        <f>IF(ISERROR(getgrade(Broadsheet!AJ227,data!$H$4:$I$9)),"#",getgrade(Broadsheet!AJ227,data!$H$4:$I$9))</f>
        <v/>
      </c>
      <c r="AK116" s="188" t="str">
        <f>IF(ISERROR(getgrade(Broadsheet!AK227,data!$H$4:$I$9)),"#",getgrade(Broadsheet!AK227,data!$H$4:$I$9))</f>
        <v/>
      </c>
      <c r="AL116" s="188" t="str">
        <f>IF(ISERROR(getgrade(Broadsheet!AL227,data!$H$4:$I$9)),"#",getgrade(Broadsheet!AL227,data!$H$4:$I$9))</f>
        <v/>
      </c>
      <c r="AM116" s="188" t="str">
        <f>IF(ISERROR(getgrade(Broadsheet!AM227,data!$H$4:$I$9)),"#",getgrade(Broadsheet!AM227,data!$H$4:$I$9))</f>
        <v/>
      </c>
      <c r="AN116" s="188" t="str">
        <f>IF(ISERROR(getgrade(Broadsheet!AN227,data!$H$4:$I$9)),"#",getgrade(Broadsheet!AN227,data!$H$4:$I$9))</f>
        <v/>
      </c>
      <c r="AO116" s="188" t="str">
        <f>IF(ISERROR(getgrade(Broadsheet!AO227,data!$H$4:$I$9)),"#",getgrade(Broadsheet!AO227,data!$H$4:$I$9))</f>
        <v/>
      </c>
      <c r="AP116" s="188" t="str">
        <f>IF(ISERROR(getgrade(Broadsheet!AP227,data!$H$4:$I$9)),"#",getgrade(Broadsheet!AP227,data!$H$4:$I$9))</f>
        <v/>
      </c>
      <c r="AQ116" s="188" t="str">
        <f>IF(ISERROR(getgrade(Broadsheet!AQ227,data!$H$4:$I$9)),"#",getgrade(Broadsheet!AQ227,data!$H$4:$I$9))</f>
        <v/>
      </c>
      <c r="AR116" s="188" t="str">
        <f>IF(ISERROR(getgrade(Broadsheet!AR227,data!$H$4:$I$9)),"#",getgrade(Broadsheet!AR227,data!$H$4:$I$9))</f>
        <v/>
      </c>
      <c r="AS116" s="188" t="str">
        <f>IF(ISERROR(getgrade(Broadsheet!AS227,data!$H$4:$I$9)),"#",getgrade(Broadsheet!AS227,data!$H$4:$I$9))</f>
        <v/>
      </c>
      <c r="AT116" s="188" t="str">
        <f>IF(ISERROR(getgrade(Broadsheet!AT227,data!$H$4:$I$9)),"#",getgrade(Broadsheet!AT227,data!$H$4:$I$9))</f>
        <v/>
      </c>
      <c r="AU116" s="188" t="str">
        <f>IF(ISERROR(getgrade(Broadsheet!AU227,data!$H$4:$I$9)),"#",getgrade(Broadsheet!AU227,data!$H$4:$I$9))</f>
        <v/>
      </c>
      <c r="AV116" s="188" t="str">
        <f>IF(ISERROR(getgrade(Broadsheet!AV227,data!$H$4:$I$9)),"#",getgrade(Broadsheet!AV227,data!$H$4:$I$9))</f>
        <v/>
      </c>
      <c r="AW116" s="188" t="str">
        <f>IF(ISERROR(getgrade(Broadsheet!AW227,data!$H$4:$I$9)),"#",getgrade(Broadsheet!AW227,data!$H$4:$I$9))</f>
        <v/>
      </c>
      <c r="AX116" s="188" t="str">
        <f>IF(ISERROR(getgrade(Broadsheet!AX227,data!$H$4:$I$9)),"#",getgrade(Broadsheet!AX227,data!$H$4:$I$9))</f>
        <v/>
      </c>
      <c r="AY116" s="188" t="str">
        <f>IF(ISERROR(getgrade(Broadsheet!AY227,data!$H$4:$I$9)),"#",getgrade(Broadsheet!AY227,data!$H$4:$I$9))</f>
        <v/>
      </c>
      <c r="AZ116" s="188" t="str">
        <f>IF(ISERROR(getgrade(Broadsheet!AZ227,data!$H$4:$I$9)),"#",getgrade(Broadsheet!AZ227,data!$H$4:$I$9))</f>
        <v/>
      </c>
      <c r="BA116" s="188" t="str">
        <f>IF(ISERROR(getgrade(Broadsheet!BA227,data!$H$4:$I$9)),"#",getgrade(Broadsheet!BA227,data!$H$4:$I$9))</f>
        <v/>
      </c>
      <c r="BB116" s="188" t="str">
        <f>IF(ISERROR(getgrade(Broadsheet!BB227,data!$H$4:$I$9)),"#",getgrade(Broadsheet!BB227,data!$H$4:$I$9))</f>
        <v/>
      </c>
      <c r="BC116" s="188" t="str">
        <f>IF(ISERROR(getgrade(Broadsheet!BC227,data!$H$4:$I$9)),"#",getgrade(Broadsheet!BC227,data!$H$4:$I$9))</f>
        <v/>
      </c>
      <c r="BD116" s="188" t="str">
        <f>IF(ISERROR(getgrade(Broadsheet!BD227,data!$H$4:$I$9)),"#",getgrade(Broadsheet!BD227,data!$H$4:$I$9))</f>
        <v/>
      </c>
      <c r="BE116" s="188" t="str">
        <f>IF(ISERROR(getgrade(Broadsheet!BE227,data!$H$4:$I$9)),"#",getgrade(Broadsheet!BE227,data!$H$4:$I$9))</f>
        <v/>
      </c>
      <c r="BF116" s="188" t="str">
        <f>IF(ISERROR(getgrade(Broadsheet!BF227,data!$H$4:$I$9)),"#",getgrade(Broadsheet!BF227,data!$H$4:$I$9))</f>
        <v/>
      </c>
      <c r="BG116" s="188" t="str">
        <f>IF(ISERROR(getgrade(Broadsheet!BG227,data!$H$4:$I$9)),"#",getgrade(Broadsheet!BG227,data!$H$4:$I$9))</f>
        <v/>
      </c>
      <c r="BH116" s="188" t="str">
        <f>IF(ISERROR(getgrade(Broadsheet!BH227,data!$H$4:$I$9)),"#",getgrade(Broadsheet!BH227,data!$H$4:$I$9))</f>
        <v/>
      </c>
      <c r="BI116" s="188" t="str">
        <f>IF(ISERROR(getgrade(Broadsheet!BI227,data!$H$4:$I$9)),"#",getgrade(Broadsheet!BI227,data!$H$4:$I$9))</f>
        <v/>
      </c>
      <c r="BJ116" s="188" t="str">
        <f>IF(ISERROR(getgrade(Broadsheet!BJ227,data!$H$4:$I$9)),"#",getgrade(Broadsheet!BJ227,data!$H$4:$I$9))</f>
        <v/>
      </c>
      <c r="BK116" s="188"/>
      <c r="BL116" s="188"/>
      <c r="BM116" s="188"/>
      <c r="BN116" s="188"/>
      <c r="BO116" s="188"/>
      <c r="BP116" s="188"/>
      <c r="BQ116" s="188"/>
      <c r="BR116" s="188"/>
      <c r="BS116" s="188"/>
      <c r="BT116" s="188"/>
      <c r="BU116" s="188"/>
      <c r="BV116" s="188"/>
      <c r="BW116" s="188"/>
      <c r="BX116" s="188"/>
      <c r="BY116" s="188"/>
      <c r="BZ116" s="188"/>
      <c r="CA116" s="188"/>
      <c r="CB116" s="188"/>
      <c r="CC116" s="188"/>
      <c r="CD116" s="188"/>
      <c r="CE116" s="188"/>
      <c r="CF116" s="188"/>
      <c r="CG116" s="188"/>
      <c r="CH116" s="188"/>
      <c r="CI116" s="188"/>
      <c r="CJ116" s="188"/>
      <c r="CK116" s="188"/>
      <c r="CL116" s="188"/>
      <c r="CM116" s="188"/>
      <c r="CN116" s="188"/>
      <c r="CO116" s="188"/>
      <c r="CP116" s="188"/>
      <c r="CQ116" s="188"/>
      <c r="CR116" s="188"/>
      <c r="CS116" s="188"/>
      <c r="CT116" s="188"/>
      <c r="CU116" s="188"/>
      <c r="CV116" s="188"/>
      <c r="CW116" s="188"/>
      <c r="CX116" s="188"/>
      <c r="CY116" s="188"/>
      <c r="CZ116" s="188"/>
      <c r="DA116" s="188"/>
      <c r="DB116" s="188"/>
      <c r="DC116" s="188"/>
      <c r="DD116" s="188"/>
      <c r="DE116" s="188"/>
      <c r="DF116" s="188"/>
      <c r="DG116" s="188"/>
      <c r="DH116" s="188"/>
      <c r="DI116" s="188"/>
      <c r="DJ116" s="188"/>
      <c r="DK116" s="188"/>
      <c r="DL116" s="188"/>
      <c r="DM116" s="188"/>
      <c r="DN116" s="188"/>
      <c r="DO116" s="188"/>
      <c r="DP116" s="188"/>
      <c r="DQ116" s="188"/>
      <c r="DR116" s="188"/>
      <c r="DS116" s="188"/>
      <c r="DT116" s="188"/>
      <c r="DU116" s="188"/>
      <c r="DV116" s="188"/>
      <c r="DW116" s="188"/>
      <c r="DX116" s="188"/>
      <c r="DY116" s="188"/>
      <c r="DZ116" s="188"/>
      <c r="EA116" s="188"/>
    </row>
    <row r="117" spans="1:131" ht="15.75" x14ac:dyDescent="0.25">
      <c r="A117" s="12">
        <f>Broadsheet!A228</f>
        <v>0</v>
      </c>
      <c r="B117" s="204" t="str">
        <f>IF(Broadsheet!B117="","",Broadsheet!B117)</f>
        <v/>
      </c>
      <c r="C117" s="24" t="str">
        <f>IF(Broadsheet!C117="","",Broadsheet!C117)</f>
        <v xml:space="preserve"> </v>
      </c>
      <c r="G117" s="24" t="str">
        <f t="shared" si="1"/>
        <v/>
      </c>
      <c r="H117" s="188" t="str">
        <f>IF(ISERROR(getgrade(Broadsheet!H228,data!$H$4:$I$9)),"#",getgrade(Broadsheet!H228,data!$H$4:$I$9))</f>
        <v/>
      </c>
      <c r="I117" s="188" t="str">
        <f>IF(ISERROR(getgrade(Broadsheet!I228,data!$H$4:$I$9)),"#",getgrade(Broadsheet!I228,data!$H$4:$I$9))</f>
        <v/>
      </c>
      <c r="J117" s="188" t="str">
        <f>IF(ISERROR(getgrade(Broadsheet!J228,data!$H$4:$I$9)),"#",getgrade(Broadsheet!J228,data!$H$4:$I$9))</f>
        <v/>
      </c>
      <c r="K117" s="188" t="str">
        <f>IF(ISERROR(getgrade(Broadsheet!K228,data!$H$4:$I$9)),"#",getgrade(Broadsheet!K228,data!$H$4:$I$9))</f>
        <v/>
      </c>
      <c r="L117" s="188" t="str">
        <f>IF(ISERROR(getgrade(Broadsheet!L228,data!$H$4:$I$9)),"#",getgrade(Broadsheet!L228,data!$H$4:$I$9))</f>
        <v/>
      </c>
      <c r="M117" s="188" t="str">
        <f>IF(ISERROR(getgrade(Broadsheet!M228,data!$H$4:$I$9)),"#",getgrade(Broadsheet!M228,data!$H$4:$I$9))</f>
        <v/>
      </c>
      <c r="N117" s="188" t="str">
        <f>IF(ISERROR(getgrade(Broadsheet!N228,data!$H$4:$I$9)),"#",getgrade(Broadsheet!N228,data!$H$4:$I$9))</f>
        <v/>
      </c>
      <c r="O117" s="188" t="str">
        <f>IF(ISERROR(getgrade(Broadsheet!O228,data!$H$4:$I$9)),"#",getgrade(Broadsheet!O228,data!$H$4:$I$9))</f>
        <v/>
      </c>
      <c r="P117" s="188" t="str">
        <f>IF(ISERROR(getgrade(Broadsheet!P228,data!$H$4:$I$9)),"#",getgrade(Broadsheet!P228,data!$H$4:$I$9))</f>
        <v/>
      </c>
      <c r="Q117" s="188" t="str">
        <f>IF(ISERROR(getgrade(Broadsheet!Q228,data!$H$4:$I$9)),"#",getgrade(Broadsheet!Q228,data!$H$4:$I$9))</f>
        <v/>
      </c>
      <c r="R117" s="188" t="str">
        <f>IF(ISERROR(getgrade(Broadsheet!R228,data!$H$4:$I$9)),"#",getgrade(Broadsheet!R228,data!$H$4:$I$9))</f>
        <v/>
      </c>
      <c r="S117" s="188" t="str">
        <f>IF(ISERROR(getgrade(Broadsheet!S228,data!$H$4:$I$9)),"#",getgrade(Broadsheet!S228,data!$H$4:$I$9))</f>
        <v/>
      </c>
      <c r="T117" s="188" t="str">
        <f>IF(ISERROR(getgrade(Broadsheet!T228,data!$H$4:$I$9)),"#",getgrade(Broadsheet!T228,data!$H$4:$I$9))</f>
        <v/>
      </c>
      <c r="U117" s="188" t="str">
        <f>IF(ISERROR(getgrade(Broadsheet!U228,data!$H$4:$I$9)),"#",getgrade(Broadsheet!U228,data!$H$4:$I$9))</f>
        <v/>
      </c>
      <c r="V117" s="188" t="str">
        <f>IF(ISERROR(getgrade(Broadsheet!V228,data!$H$4:$I$9)),"#",getgrade(Broadsheet!V228,data!$H$4:$I$9))</f>
        <v/>
      </c>
      <c r="W117" s="188" t="str">
        <f>IF(ISERROR(getgrade(Broadsheet!W228,data!$H$4:$I$9)),"#",getgrade(Broadsheet!W228,data!$H$4:$I$9))</f>
        <v/>
      </c>
      <c r="X117" s="188" t="str">
        <f>IF(ISERROR(getgrade(Broadsheet!X228,data!$H$4:$I$9)),"#",getgrade(Broadsheet!X228,data!$H$4:$I$9))</f>
        <v/>
      </c>
      <c r="Y117" s="188" t="str">
        <f>IF(ISERROR(getgrade(Broadsheet!Y228,data!$H$4:$I$9)),"#",getgrade(Broadsheet!Y228,data!$H$4:$I$9))</f>
        <v/>
      </c>
      <c r="Z117" s="188" t="str">
        <f>IF(ISERROR(getgrade(Broadsheet!Z228,data!$H$4:$I$9)),"#",getgrade(Broadsheet!Z228,data!$H$4:$I$9))</f>
        <v/>
      </c>
      <c r="AA117" s="188" t="str">
        <f>IF(ISERROR(getgrade(Broadsheet!AA228,data!$H$4:$I$9)),"#",getgrade(Broadsheet!AA228,data!$H$4:$I$9))</f>
        <v/>
      </c>
      <c r="AB117" s="188" t="str">
        <f>IF(ISERROR(getgrade(Broadsheet!AB228,data!$H$4:$I$9)),"#",getgrade(Broadsheet!AB228,data!$H$4:$I$9))</f>
        <v/>
      </c>
      <c r="AC117" s="188" t="str">
        <f>IF(ISERROR(getgrade(Broadsheet!AC228,data!$H$4:$I$9)),"#",getgrade(Broadsheet!AC228,data!$H$4:$I$9))</f>
        <v/>
      </c>
      <c r="AD117" s="188" t="str">
        <f>IF(ISERROR(getgrade(Broadsheet!AD228,data!$H$4:$I$9)),"#",getgrade(Broadsheet!AD228,data!$H$4:$I$9))</f>
        <v/>
      </c>
      <c r="AE117" s="188" t="str">
        <f>IF(ISERROR(getgrade(Broadsheet!AE228,data!$H$4:$I$9)),"#",getgrade(Broadsheet!AE228,data!$H$4:$I$9))</f>
        <v/>
      </c>
      <c r="AF117" s="188" t="str">
        <f>IF(ISERROR(getgrade(Broadsheet!AF228,data!$H$4:$I$9)),"#",getgrade(Broadsheet!AF228,data!$H$4:$I$9))</f>
        <v/>
      </c>
      <c r="AG117" s="188" t="str">
        <f>IF(ISERROR(getgrade(Broadsheet!AG228,data!$H$4:$I$9)),"#",getgrade(Broadsheet!AG228,data!$H$4:$I$9))</f>
        <v/>
      </c>
      <c r="AH117" s="188" t="str">
        <f>IF(ISERROR(getgrade(Broadsheet!AH228,data!$H$4:$I$9)),"#",getgrade(Broadsheet!AH228,data!$H$4:$I$9))</f>
        <v/>
      </c>
      <c r="AI117" s="188" t="str">
        <f>IF(ISERROR(getgrade(Broadsheet!AI228,data!$H$4:$I$9)),"#",getgrade(Broadsheet!AI228,data!$H$4:$I$9))</f>
        <v/>
      </c>
      <c r="AJ117" s="188" t="str">
        <f>IF(ISERROR(getgrade(Broadsheet!AJ228,data!$H$4:$I$9)),"#",getgrade(Broadsheet!AJ228,data!$H$4:$I$9))</f>
        <v/>
      </c>
      <c r="AK117" s="188" t="str">
        <f>IF(ISERROR(getgrade(Broadsheet!AK228,data!$H$4:$I$9)),"#",getgrade(Broadsheet!AK228,data!$H$4:$I$9))</f>
        <v/>
      </c>
      <c r="AL117" s="188" t="str">
        <f>IF(ISERROR(getgrade(Broadsheet!AL228,data!$H$4:$I$9)),"#",getgrade(Broadsheet!AL228,data!$H$4:$I$9))</f>
        <v/>
      </c>
      <c r="AM117" s="188" t="str">
        <f>IF(ISERROR(getgrade(Broadsheet!AM228,data!$H$4:$I$9)),"#",getgrade(Broadsheet!AM228,data!$H$4:$I$9))</f>
        <v/>
      </c>
      <c r="AN117" s="188" t="str">
        <f>IF(ISERROR(getgrade(Broadsheet!AN228,data!$H$4:$I$9)),"#",getgrade(Broadsheet!AN228,data!$H$4:$I$9))</f>
        <v/>
      </c>
      <c r="AO117" s="188" t="str">
        <f>IF(ISERROR(getgrade(Broadsheet!AO228,data!$H$4:$I$9)),"#",getgrade(Broadsheet!AO228,data!$H$4:$I$9))</f>
        <v/>
      </c>
      <c r="AP117" s="188" t="str">
        <f>IF(ISERROR(getgrade(Broadsheet!AP228,data!$H$4:$I$9)),"#",getgrade(Broadsheet!AP228,data!$H$4:$I$9))</f>
        <v/>
      </c>
      <c r="AQ117" s="188" t="str">
        <f>IF(ISERROR(getgrade(Broadsheet!AQ228,data!$H$4:$I$9)),"#",getgrade(Broadsheet!AQ228,data!$H$4:$I$9))</f>
        <v/>
      </c>
      <c r="AR117" s="188" t="str">
        <f>IF(ISERROR(getgrade(Broadsheet!AR228,data!$H$4:$I$9)),"#",getgrade(Broadsheet!AR228,data!$H$4:$I$9))</f>
        <v/>
      </c>
      <c r="AS117" s="188" t="str">
        <f>IF(ISERROR(getgrade(Broadsheet!AS228,data!$H$4:$I$9)),"#",getgrade(Broadsheet!AS228,data!$H$4:$I$9))</f>
        <v/>
      </c>
      <c r="AT117" s="188" t="str">
        <f>IF(ISERROR(getgrade(Broadsheet!AT228,data!$H$4:$I$9)),"#",getgrade(Broadsheet!AT228,data!$H$4:$I$9))</f>
        <v/>
      </c>
      <c r="AU117" s="188" t="str">
        <f>IF(ISERROR(getgrade(Broadsheet!AU228,data!$H$4:$I$9)),"#",getgrade(Broadsheet!AU228,data!$H$4:$I$9))</f>
        <v/>
      </c>
      <c r="AV117" s="188" t="str">
        <f>IF(ISERROR(getgrade(Broadsheet!AV228,data!$H$4:$I$9)),"#",getgrade(Broadsheet!AV228,data!$H$4:$I$9))</f>
        <v/>
      </c>
      <c r="AW117" s="188" t="str">
        <f>IF(ISERROR(getgrade(Broadsheet!AW228,data!$H$4:$I$9)),"#",getgrade(Broadsheet!AW228,data!$H$4:$I$9))</f>
        <v/>
      </c>
      <c r="AX117" s="188" t="str">
        <f>IF(ISERROR(getgrade(Broadsheet!AX228,data!$H$4:$I$9)),"#",getgrade(Broadsheet!AX228,data!$H$4:$I$9))</f>
        <v/>
      </c>
      <c r="AY117" s="188" t="str">
        <f>IF(ISERROR(getgrade(Broadsheet!AY228,data!$H$4:$I$9)),"#",getgrade(Broadsheet!AY228,data!$H$4:$I$9))</f>
        <v/>
      </c>
      <c r="AZ117" s="188" t="str">
        <f>IF(ISERROR(getgrade(Broadsheet!AZ228,data!$H$4:$I$9)),"#",getgrade(Broadsheet!AZ228,data!$H$4:$I$9))</f>
        <v/>
      </c>
      <c r="BA117" s="188" t="str">
        <f>IF(ISERROR(getgrade(Broadsheet!BA228,data!$H$4:$I$9)),"#",getgrade(Broadsheet!BA228,data!$H$4:$I$9))</f>
        <v/>
      </c>
      <c r="BB117" s="188" t="str">
        <f>IF(ISERROR(getgrade(Broadsheet!BB228,data!$H$4:$I$9)),"#",getgrade(Broadsheet!BB228,data!$H$4:$I$9))</f>
        <v/>
      </c>
      <c r="BC117" s="188" t="str">
        <f>IF(ISERROR(getgrade(Broadsheet!BC228,data!$H$4:$I$9)),"#",getgrade(Broadsheet!BC228,data!$H$4:$I$9))</f>
        <v/>
      </c>
      <c r="BD117" s="188" t="str">
        <f>IF(ISERROR(getgrade(Broadsheet!BD228,data!$H$4:$I$9)),"#",getgrade(Broadsheet!BD228,data!$H$4:$I$9))</f>
        <v/>
      </c>
      <c r="BE117" s="188" t="str">
        <f>IF(ISERROR(getgrade(Broadsheet!BE228,data!$H$4:$I$9)),"#",getgrade(Broadsheet!BE228,data!$H$4:$I$9))</f>
        <v/>
      </c>
      <c r="BF117" s="188" t="str">
        <f>IF(ISERROR(getgrade(Broadsheet!BF228,data!$H$4:$I$9)),"#",getgrade(Broadsheet!BF228,data!$H$4:$I$9))</f>
        <v/>
      </c>
      <c r="BG117" s="188" t="str">
        <f>IF(ISERROR(getgrade(Broadsheet!BG228,data!$H$4:$I$9)),"#",getgrade(Broadsheet!BG228,data!$H$4:$I$9))</f>
        <v/>
      </c>
      <c r="BH117" s="188" t="str">
        <f>IF(ISERROR(getgrade(Broadsheet!BH228,data!$H$4:$I$9)),"#",getgrade(Broadsheet!BH228,data!$H$4:$I$9))</f>
        <v/>
      </c>
      <c r="BI117" s="188" t="str">
        <f>IF(ISERROR(getgrade(Broadsheet!BI228,data!$H$4:$I$9)),"#",getgrade(Broadsheet!BI228,data!$H$4:$I$9))</f>
        <v/>
      </c>
      <c r="BJ117" s="188" t="str">
        <f>IF(ISERROR(getgrade(Broadsheet!BJ228,data!$H$4:$I$9)),"#",getgrade(Broadsheet!BJ228,data!$H$4:$I$9))</f>
        <v/>
      </c>
      <c r="BK117" s="188"/>
      <c r="BL117" s="188"/>
      <c r="BM117" s="188"/>
      <c r="BN117" s="188"/>
      <c r="BO117" s="188"/>
      <c r="BP117" s="188"/>
      <c r="BQ117" s="188"/>
      <c r="BR117" s="188"/>
      <c r="BS117" s="188"/>
      <c r="BT117" s="188"/>
      <c r="BU117" s="188"/>
      <c r="BV117" s="188"/>
      <c r="BW117" s="188"/>
      <c r="BX117" s="188"/>
      <c r="BY117" s="188"/>
      <c r="BZ117" s="188"/>
      <c r="CA117" s="188"/>
      <c r="CB117" s="188"/>
      <c r="CC117" s="188"/>
      <c r="CD117" s="188"/>
      <c r="CE117" s="188"/>
      <c r="CF117" s="188"/>
      <c r="CG117" s="188"/>
      <c r="CH117" s="188"/>
      <c r="CI117" s="188"/>
      <c r="CJ117" s="188"/>
      <c r="CK117" s="188"/>
      <c r="CL117" s="188"/>
      <c r="CM117" s="188"/>
      <c r="CN117" s="188"/>
      <c r="CO117" s="188"/>
      <c r="CP117" s="188"/>
      <c r="CQ117" s="188"/>
      <c r="CR117" s="188"/>
      <c r="CS117" s="188"/>
      <c r="CT117" s="188"/>
      <c r="CU117" s="188"/>
      <c r="CV117" s="188"/>
      <c r="CW117" s="188"/>
      <c r="CX117" s="188"/>
      <c r="CY117" s="188"/>
      <c r="CZ117" s="188"/>
      <c r="DA117" s="188"/>
      <c r="DB117" s="188"/>
      <c r="DC117" s="188"/>
      <c r="DD117" s="188"/>
      <c r="DE117" s="188"/>
      <c r="DF117" s="188"/>
      <c r="DG117" s="188"/>
      <c r="DH117" s="188"/>
      <c r="DI117" s="188"/>
      <c r="DJ117" s="188"/>
      <c r="DK117" s="188"/>
      <c r="DL117" s="188"/>
      <c r="DM117" s="188"/>
      <c r="DN117" s="188"/>
      <c r="DO117" s="188"/>
      <c r="DP117" s="188"/>
      <c r="DQ117" s="188"/>
      <c r="DR117" s="188"/>
      <c r="DS117" s="188"/>
      <c r="DT117" s="188"/>
      <c r="DU117" s="188"/>
      <c r="DV117" s="188"/>
      <c r="DW117" s="188"/>
      <c r="DX117" s="188"/>
      <c r="DY117" s="188"/>
      <c r="DZ117" s="188"/>
      <c r="EA117" s="188"/>
    </row>
    <row r="118" spans="1:131" ht="15.75" x14ac:dyDescent="0.25">
      <c r="A118" s="12">
        <f>Broadsheet!A229</f>
        <v>0</v>
      </c>
      <c r="B118" s="204" t="str">
        <f>IF(Broadsheet!B118="","",Broadsheet!B118)</f>
        <v/>
      </c>
      <c r="C118" s="24" t="str">
        <f>IF(Broadsheet!C118="","",Broadsheet!C118)</f>
        <v xml:space="preserve"> </v>
      </c>
      <c r="G118" s="24" t="str">
        <f t="shared" si="1"/>
        <v/>
      </c>
      <c r="H118" s="188" t="str">
        <f>IF(ISERROR(getgrade(Broadsheet!H229,data!$H$4:$I$9)),"#",getgrade(Broadsheet!H229,data!$H$4:$I$9))</f>
        <v/>
      </c>
      <c r="I118" s="188" t="str">
        <f>IF(ISERROR(getgrade(Broadsheet!I229,data!$H$4:$I$9)),"#",getgrade(Broadsheet!I229,data!$H$4:$I$9))</f>
        <v/>
      </c>
      <c r="J118" s="188" t="str">
        <f>IF(ISERROR(getgrade(Broadsheet!J229,data!$H$4:$I$9)),"#",getgrade(Broadsheet!J229,data!$H$4:$I$9))</f>
        <v/>
      </c>
      <c r="K118" s="188" t="str">
        <f>IF(ISERROR(getgrade(Broadsheet!K229,data!$H$4:$I$9)),"#",getgrade(Broadsheet!K229,data!$H$4:$I$9))</f>
        <v/>
      </c>
      <c r="L118" s="188" t="str">
        <f>IF(ISERROR(getgrade(Broadsheet!L229,data!$H$4:$I$9)),"#",getgrade(Broadsheet!L229,data!$H$4:$I$9))</f>
        <v/>
      </c>
      <c r="M118" s="188" t="str">
        <f>IF(ISERROR(getgrade(Broadsheet!M229,data!$H$4:$I$9)),"#",getgrade(Broadsheet!M229,data!$H$4:$I$9))</f>
        <v/>
      </c>
      <c r="N118" s="188" t="str">
        <f>IF(ISERROR(getgrade(Broadsheet!N229,data!$H$4:$I$9)),"#",getgrade(Broadsheet!N229,data!$H$4:$I$9))</f>
        <v/>
      </c>
      <c r="O118" s="188" t="str">
        <f>IF(ISERROR(getgrade(Broadsheet!O229,data!$H$4:$I$9)),"#",getgrade(Broadsheet!O229,data!$H$4:$I$9))</f>
        <v/>
      </c>
      <c r="P118" s="188" t="str">
        <f>IF(ISERROR(getgrade(Broadsheet!P229,data!$H$4:$I$9)),"#",getgrade(Broadsheet!P229,data!$H$4:$I$9))</f>
        <v/>
      </c>
      <c r="Q118" s="188" t="str">
        <f>IF(ISERROR(getgrade(Broadsheet!Q229,data!$H$4:$I$9)),"#",getgrade(Broadsheet!Q229,data!$H$4:$I$9))</f>
        <v/>
      </c>
      <c r="R118" s="188" t="str">
        <f>IF(ISERROR(getgrade(Broadsheet!R229,data!$H$4:$I$9)),"#",getgrade(Broadsheet!R229,data!$H$4:$I$9))</f>
        <v/>
      </c>
      <c r="S118" s="188" t="str">
        <f>IF(ISERROR(getgrade(Broadsheet!S229,data!$H$4:$I$9)),"#",getgrade(Broadsheet!S229,data!$H$4:$I$9))</f>
        <v/>
      </c>
      <c r="T118" s="188" t="str">
        <f>IF(ISERROR(getgrade(Broadsheet!T229,data!$H$4:$I$9)),"#",getgrade(Broadsheet!T229,data!$H$4:$I$9))</f>
        <v/>
      </c>
      <c r="U118" s="188" t="str">
        <f>IF(ISERROR(getgrade(Broadsheet!U229,data!$H$4:$I$9)),"#",getgrade(Broadsheet!U229,data!$H$4:$I$9))</f>
        <v/>
      </c>
      <c r="V118" s="188" t="str">
        <f>IF(ISERROR(getgrade(Broadsheet!V229,data!$H$4:$I$9)),"#",getgrade(Broadsheet!V229,data!$H$4:$I$9))</f>
        <v/>
      </c>
      <c r="W118" s="188" t="str">
        <f>IF(ISERROR(getgrade(Broadsheet!W229,data!$H$4:$I$9)),"#",getgrade(Broadsheet!W229,data!$H$4:$I$9))</f>
        <v/>
      </c>
      <c r="X118" s="188" t="str">
        <f>IF(ISERROR(getgrade(Broadsheet!X229,data!$H$4:$I$9)),"#",getgrade(Broadsheet!X229,data!$H$4:$I$9))</f>
        <v/>
      </c>
      <c r="Y118" s="188" t="str">
        <f>IF(ISERROR(getgrade(Broadsheet!Y229,data!$H$4:$I$9)),"#",getgrade(Broadsheet!Y229,data!$H$4:$I$9))</f>
        <v/>
      </c>
      <c r="Z118" s="188" t="str">
        <f>IF(ISERROR(getgrade(Broadsheet!Z229,data!$H$4:$I$9)),"#",getgrade(Broadsheet!Z229,data!$H$4:$I$9))</f>
        <v/>
      </c>
      <c r="AA118" s="188" t="str">
        <f>IF(ISERROR(getgrade(Broadsheet!AA229,data!$H$4:$I$9)),"#",getgrade(Broadsheet!AA229,data!$H$4:$I$9))</f>
        <v/>
      </c>
      <c r="AB118" s="188" t="str">
        <f>IF(ISERROR(getgrade(Broadsheet!AB229,data!$H$4:$I$9)),"#",getgrade(Broadsheet!AB229,data!$H$4:$I$9))</f>
        <v/>
      </c>
      <c r="AC118" s="188" t="str">
        <f>IF(ISERROR(getgrade(Broadsheet!AC229,data!$H$4:$I$9)),"#",getgrade(Broadsheet!AC229,data!$H$4:$I$9))</f>
        <v/>
      </c>
      <c r="AD118" s="188" t="str">
        <f>IF(ISERROR(getgrade(Broadsheet!AD229,data!$H$4:$I$9)),"#",getgrade(Broadsheet!AD229,data!$H$4:$I$9))</f>
        <v/>
      </c>
      <c r="AE118" s="188" t="str">
        <f>IF(ISERROR(getgrade(Broadsheet!AE229,data!$H$4:$I$9)),"#",getgrade(Broadsheet!AE229,data!$H$4:$I$9))</f>
        <v/>
      </c>
      <c r="AF118" s="188" t="str">
        <f>IF(ISERROR(getgrade(Broadsheet!AF229,data!$H$4:$I$9)),"#",getgrade(Broadsheet!AF229,data!$H$4:$I$9))</f>
        <v/>
      </c>
      <c r="AG118" s="188" t="str">
        <f>IF(ISERROR(getgrade(Broadsheet!AG229,data!$H$4:$I$9)),"#",getgrade(Broadsheet!AG229,data!$H$4:$I$9))</f>
        <v/>
      </c>
      <c r="AH118" s="188" t="str">
        <f>IF(ISERROR(getgrade(Broadsheet!AH229,data!$H$4:$I$9)),"#",getgrade(Broadsheet!AH229,data!$H$4:$I$9))</f>
        <v/>
      </c>
      <c r="AI118" s="188" t="str">
        <f>IF(ISERROR(getgrade(Broadsheet!AI229,data!$H$4:$I$9)),"#",getgrade(Broadsheet!AI229,data!$H$4:$I$9))</f>
        <v/>
      </c>
      <c r="AJ118" s="188" t="str">
        <f>IF(ISERROR(getgrade(Broadsheet!AJ229,data!$H$4:$I$9)),"#",getgrade(Broadsheet!AJ229,data!$H$4:$I$9))</f>
        <v/>
      </c>
      <c r="AK118" s="188" t="str">
        <f>IF(ISERROR(getgrade(Broadsheet!AK229,data!$H$4:$I$9)),"#",getgrade(Broadsheet!AK229,data!$H$4:$I$9))</f>
        <v/>
      </c>
      <c r="AL118" s="188" t="str">
        <f>IF(ISERROR(getgrade(Broadsheet!AL229,data!$H$4:$I$9)),"#",getgrade(Broadsheet!AL229,data!$H$4:$I$9))</f>
        <v/>
      </c>
      <c r="AM118" s="188" t="str">
        <f>IF(ISERROR(getgrade(Broadsheet!AM229,data!$H$4:$I$9)),"#",getgrade(Broadsheet!AM229,data!$H$4:$I$9))</f>
        <v/>
      </c>
      <c r="AN118" s="188" t="str">
        <f>IF(ISERROR(getgrade(Broadsheet!AN229,data!$H$4:$I$9)),"#",getgrade(Broadsheet!AN229,data!$H$4:$I$9))</f>
        <v/>
      </c>
      <c r="AO118" s="188" t="str">
        <f>IF(ISERROR(getgrade(Broadsheet!AO229,data!$H$4:$I$9)),"#",getgrade(Broadsheet!AO229,data!$H$4:$I$9))</f>
        <v/>
      </c>
      <c r="AP118" s="188" t="str">
        <f>IF(ISERROR(getgrade(Broadsheet!AP229,data!$H$4:$I$9)),"#",getgrade(Broadsheet!AP229,data!$H$4:$I$9))</f>
        <v/>
      </c>
      <c r="AQ118" s="188" t="str">
        <f>IF(ISERROR(getgrade(Broadsheet!AQ229,data!$H$4:$I$9)),"#",getgrade(Broadsheet!AQ229,data!$H$4:$I$9))</f>
        <v/>
      </c>
      <c r="AR118" s="188" t="str">
        <f>IF(ISERROR(getgrade(Broadsheet!AR229,data!$H$4:$I$9)),"#",getgrade(Broadsheet!AR229,data!$H$4:$I$9))</f>
        <v/>
      </c>
      <c r="AS118" s="188" t="str">
        <f>IF(ISERROR(getgrade(Broadsheet!AS229,data!$H$4:$I$9)),"#",getgrade(Broadsheet!AS229,data!$H$4:$I$9))</f>
        <v/>
      </c>
      <c r="AT118" s="188" t="str">
        <f>IF(ISERROR(getgrade(Broadsheet!AT229,data!$H$4:$I$9)),"#",getgrade(Broadsheet!AT229,data!$H$4:$I$9))</f>
        <v/>
      </c>
      <c r="AU118" s="188" t="str">
        <f>IF(ISERROR(getgrade(Broadsheet!AU229,data!$H$4:$I$9)),"#",getgrade(Broadsheet!AU229,data!$H$4:$I$9))</f>
        <v/>
      </c>
      <c r="AV118" s="188" t="str">
        <f>IF(ISERROR(getgrade(Broadsheet!AV229,data!$H$4:$I$9)),"#",getgrade(Broadsheet!AV229,data!$H$4:$I$9))</f>
        <v/>
      </c>
      <c r="AW118" s="188" t="str">
        <f>IF(ISERROR(getgrade(Broadsheet!AW229,data!$H$4:$I$9)),"#",getgrade(Broadsheet!AW229,data!$H$4:$I$9))</f>
        <v/>
      </c>
      <c r="AX118" s="188" t="str">
        <f>IF(ISERROR(getgrade(Broadsheet!AX229,data!$H$4:$I$9)),"#",getgrade(Broadsheet!AX229,data!$H$4:$I$9))</f>
        <v/>
      </c>
      <c r="AY118" s="188" t="str">
        <f>IF(ISERROR(getgrade(Broadsheet!AY229,data!$H$4:$I$9)),"#",getgrade(Broadsheet!AY229,data!$H$4:$I$9))</f>
        <v/>
      </c>
      <c r="AZ118" s="188" t="str">
        <f>IF(ISERROR(getgrade(Broadsheet!AZ229,data!$H$4:$I$9)),"#",getgrade(Broadsheet!AZ229,data!$H$4:$I$9))</f>
        <v/>
      </c>
      <c r="BA118" s="188" t="str">
        <f>IF(ISERROR(getgrade(Broadsheet!BA229,data!$H$4:$I$9)),"#",getgrade(Broadsheet!BA229,data!$H$4:$I$9))</f>
        <v/>
      </c>
      <c r="BB118" s="188" t="str">
        <f>IF(ISERROR(getgrade(Broadsheet!BB229,data!$H$4:$I$9)),"#",getgrade(Broadsheet!BB229,data!$H$4:$I$9))</f>
        <v/>
      </c>
      <c r="BC118" s="188" t="str">
        <f>IF(ISERROR(getgrade(Broadsheet!BC229,data!$H$4:$I$9)),"#",getgrade(Broadsheet!BC229,data!$H$4:$I$9))</f>
        <v/>
      </c>
      <c r="BD118" s="188" t="str">
        <f>IF(ISERROR(getgrade(Broadsheet!BD229,data!$H$4:$I$9)),"#",getgrade(Broadsheet!BD229,data!$H$4:$I$9))</f>
        <v/>
      </c>
      <c r="BE118" s="188" t="str">
        <f>IF(ISERROR(getgrade(Broadsheet!BE229,data!$H$4:$I$9)),"#",getgrade(Broadsheet!BE229,data!$H$4:$I$9))</f>
        <v/>
      </c>
      <c r="BF118" s="188" t="str">
        <f>IF(ISERROR(getgrade(Broadsheet!BF229,data!$H$4:$I$9)),"#",getgrade(Broadsheet!BF229,data!$H$4:$I$9))</f>
        <v/>
      </c>
      <c r="BG118" s="188" t="str">
        <f>IF(ISERROR(getgrade(Broadsheet!BG229,data!$H$4:$I$9)),"#",getgrade(Broadsheet!BG229,data!$H$4:$I$9))</f>
        <v/>
      </c>
      <c r="BH118" s="188" t="str">
        <f>IF(ISERROR(getgrade(Broadsheet!BH229,data!$H$4:$I$9)),"#",getgrade(Broadsheet!BH229,data!$H$4:$I$9))</f>
        <v/>
      </c>
      <c r="BI118" s="188" t="str">
        <f>IF(ISERROR(getgrade(Broadsheet!BI229,data!$H$4:$I$9)),"#",getgrade(Broadsheet!BI229,data!$H$4:$I$9))</f>
        <v/>
      </c>
      <c r="BJ118" s="188" t="str">
        <f>IF(ISERROR(getgrade(Broadsheet!BJ229,data!$H$4:$I$9)),"#",getgrade(Broadsheet!BJ229,data!$H$4:$I$9))</f>
        <v/>
      </c>
      <c r="BK118" s="188"/>
      <c r="BL118" s="188"/>
      <c r="BM118" s="188"/>
      <c r="BN118" s="188"/>
      <c r="BO118" s="188"/>
      <c r="BP118" s="188"/>
      <c r="BQ118" s="188"/>
      <c r="BR118" s="188"/>
      <c r="BS118" s="188"/>
      <c r="BT118" s="188"/>
      <c r="BU118" s="188"/>
      <c r="BV118" s="188"/>
      <c r="BW118" s="188"/>
      <c r="BX118" s="188"/>
      <c r="BY118" s="188"/>
      <c r="BZ118" s="188"/>
      <c r="CA118" s="188"/>
      <c r="CB118" s="188"/>
      <c r="CC118" s="188"/>
      <c r="CD118" s="188"/>
      <c r="CE118" s="188"/>
      <c r="CF118" s="188"/>
      <c r="CG118" s="188"/>
      <c r="CH118" s="188"/>
      <c r="CI118" s="188"/>
      <c r="CJ118" s="188"/>
      <c r="CK118" s="188"/>
      <c r="CL118" s="188"/>
      <c r="CM118" s="188"/>
      <c r="CN118" s="188"/>
      <c r="CO118" s="188"/>
      <c r="CP118" s="188"/>
      <c r="CQ118" s="188"/>
      <c r="CR118" s="188"/>
      <c r="CS118" s="188"/>
      <c r="CT118" s="188"/>
      <c r="CU118" s="188"/>
      <c r="CV118" s="188"/>
      <c r="CW118" s="188"/>
      <c r="CX118" s="188"/>
      <c r="CY118" s="188"/>
      <c r="CZ118" s="188"/>
      <c r="DA118" s="188"/>
      <c r="DB118" s="188"/>
      <c r="DC118" s="188"/>
      <c r="DD118" s="188"/>
      <c r="DE118" s="188"/>
      <c r="DF118" s="188"/>
      <c r="DG118" s="188"/>
      <c r="DH118" s="188"/>
      <c r="DI118" s="188"/>
      <c r="DJ118" s="188"/>
      <c r="DK118" s="188"/>
      <c r="DL118" s="188"/>
      <c r="DM118" s="188"/>
      <c r="DN118" s="188"/>
      <c r="DO118" s="188"/>
      <c r="DP118" s="188"/>
      <c r="DQ118" s="188"/>
      <c r="DR118" s="188"/>
      <c r="DS118" s="188"/>
      <c r="DT118" s="188"/>
      <c r="DU118" s="188"/>
      <c r="DV118" s="188"/>
      <c r="DW118" s="188"/>
      <c r="DX118" s="188"/>
      <c r="DY118" s="188"/>
      <c r="DZ118" s="188"/>
      <c r="EA118" s="188"/>
    </row>
    <row r="119" spans="1:131" ht="15.75" x14ac:dyDescent="0.25">
      <c r="A119" s="12">
        <f>Broadsheet!A230</f>
        <v>0</v>
      </c>
      <c r="B119" s="204" t="str">
        <f>IF(Broadsheet!B119="","",Broadsheet!B119)</f>
        <v/>
      </c>
      <c r="C119" s="24" t="str">
        <f>IF(Broadsheet!C119="","",Broadsheet!C119)</f>
        <v xml:space="preserve"> </v>
      </c>
      <c r="G119" s="24" t="str">
        <f t="shared" si="1"/>
        <v/>
      </c>
      <c r="H119" s="188" t="str">
        <f>IF(ISERROR(getgrade(Broadsheet!H230,data!$H$4:$I$9)),"#",getgrade(Broadsheet!H230,data!$H$4:$I$9))</f>
        <v/>
      </c>
      <c r="I119" s="188" t="str">
        <f>IF(ISERROR(getgrade(Broadsheet!I230,data!$H$4:$I$9)),"#",getgrade(Broadsheet!I230,data!$H$4:$I$9))</f>
        <v/>
      </c>
      <c r="J119" s="188" t="str">
        <f>IF(ISERROR(getgrade(Broadsheet!J230,data!$H$4:$I$9)),"#",getgrade(Broadsheet!J230,data!$H$4:$I$9))</f>
        <v/>
      </c>
      <c r="K119" s="188" t="str">
        <f>IF(ISERROR(getgrade(Broadsheet!K230,data!$H$4:$I$9)),"#",getgrade(Broadsheet!K230,data!$H$4:$I$9))</f>
        <v/>
      </c>
      <c r="L119" s="188" t="str">
        <f>IF(ISERROR(getgrade(Broadsheet!L230,data!$H$4:$I$9)),"#",getgrade(Broadsheet!L230,data!$H$4:$I$9))</f>
        <v/>
      </c>
      <c r="M119" s="188" t="str">
        <f>IF(ISERROR(getgrade(Broadsheet!M230,data!$H$4:$I$9)),"#",getgrade(Broadsheet!M230,data!$H$4:$I$9))</f>
        <v/>
      </c>
      <c r="N119" s="188" t="str">
        <f>IF(ISERROR(getgrade(Broadsheet!N230,data!$H$4:$I$9)),"#",getgrade(Broadsheet!N230,data!$H$4:$I$9))</f>
        <v/>
      </c>
      <c r="O119" s="188" t="str">
        <f>IF(ISERROR(getgrade(Broadsheet!O230,data!$H$4:$I$9)),"#",getgrade(Broadsheet!O230,data!$H$4:$I$9))</f>
        <v/>
      </c>
      <c r="P119" s="188" t="str">
        <f>IF(ISERROR(getgrade(Broadsheet!P230,data!$H$4:$I$9)),"#",getgrade(Broadsheet!P230,data!$H$4:$I$9))</f>
        <v/>
      </c>
      <c r="Q119" s="188" t="str">
        <f>IF(ISERROR(getgrade(Broadsheet!Q230,data!$H$4:$I$9)),"#",getgrade(Broadsheet!Q230,data!$H$4:$I$9))</f>
        <v/>
      </c>
      <c r="R119" s="188" t="str">
        <f>IF(ISERROR(getgrade(Broadsheet!R230,data!$H$4:$I$9)),"#",getgrade(Broadsheet!R230,data!$H$4:$I$9))</f>
        <v/>
      </c>
      <c r="S119" s="188" t="str">
        <f>IF(ISERROR(getgrade(Broadsheet!S230,data!$H$4:$I$9)),"#",getgrade(Broadsheet!S230,data!$H$4:$I$9))</f>
        <v/>
      </c>
      <c r="T119" s="188" t="str">
        <f>IF(ISERROR(getgrade(Broadsheet!T230,data!$H$4:$I$9)),"#",getgrade(Broadsheet!T230,data!$H$4:$I$9))</f>
        <v/>
      </c>
      <c r="U119" s="188" t="str">
        <f>IF(ISERROR(getgrade(Broadsheet!U230,data!$H$4:$I$9)),"#",getgrade(Broadsheet!U230,data!$H$4:$I$9))</f>
        <v/>
      </c>
      <c r="V119" s="188" t="str">
        <f>IF(ISERROR(getgrade(Broadsheet!V230,data!$H$4:$I$9)),"#",getgrade(Broadsheet!V230,data!$H$4:$I$9))</f>
        <v/>
      </c>
      <c r="W119" s="188" t="str">
        <f>IF(ISERROR(getgrade(Broadsheet!W230,data!$H$4:$I$9)),"#",getgrade(Broadsheet!W230,data!$H$4:$I$9))</f>
        <v/>
      </c>
      <c r="X119" s="188" t="str">
        <f>IF(ISERROR(getgrade(Broadsheet!X230,data!$H$4:$I$9)),"#",getgrade(Broadsheet!X230,data!$H$4:$I$9))</f>
        <v/>
      </c>
      <c r="Y119" s="188" t="str">
        <f>IF(ISERROR(getgrade(Broadsheet!Y230,data!$H$4:$I$9)),"#",getgrade(Broadsheet!Y230,data!$H$4:$I$9))</f>
        <v/>
      </c>
      <c r="Z119" s="188" t="str">
        <f>IF(ISERROR(getgrade(Broadsheet!Z230,data!$H$4:$I$9)),"#",getgrade(Broadsheet!Z230,data!$H$4:$I$9))</f>
        <v/>
      </c>
      <c r="AA119" s="188" t="str">
        <f>IF(ISERROR(getgrade(Broadsheet!AA230,data!$H$4:$I$9)),"#",getgrade(Broadsheet!AA230,data!$H$4:$I$9))</f>
        <v/>
      </c>
      <c r="AB119" s="188" t="str">
        <f>IF(ISERROR(getgrade(Broadsheet!AB230,data!$H$4:$I$9)),"#",getgrade(Broadsheet!AB230,data!$H$4:$I$9))</f>
        <v/>
      </c>
      <c r="AC119" s="188" t="str">
        <f>IF(ISERROR(getgrade(Broadsheet!AC230,data!$H$4:$I$9)),"#",getgrade(Broadsheet!AC230,data!$H$4:$I$9))</f>
        <v/>
      </c>
      <c r="AD119" s="188" t="str">
        <f>IF(ISERROR(getgrade(Broadsheet!AD230,data!$H$4:$I$9)),"#",getgrade(Broadsheet!AD230,data!$H$4:$I$9))</f>
        <v/>
      </c>
      <c r="AE119" s="188" t="str">
        <f>IF(ISERROR(getgrade(Broadsheet!AE230,data!$H$4:$I$9)),"#",getgrade(Broadsheet!AE230,data!$H$4:$I$9))</f>
        <v/>
      </c>
      <c r="AF119" s="188" t="str">
        <f>IF(ISERROR(getgrade(Broadsheet!AF230,data!$H$4:$I$9)),"#",getgrade(Broadsheet!AF230,data!$H$4:$I$9))</f>
        <v/>
      </c>
      <c r="AG119" s="188" t="str">
        <f>IF(ISERROR(getgrade(Broadsheet!AG230,data!$H$4:$I$9)),"#",getgrade(Broadsheet!AG230,data!$H$4:$I$9))</f>
        <v/>
      </c>
      <c r="AH119" s="188" t="str">
        <f>IF(ISERROR(getgrade(Broadsheet!AH230,data!$H$4:$I$9)),"#",getgrade(Broadsheet!AH230,data!$H$4:$I$9))</f>
        <v/>
      </c>
      <c r="AI119" s="188" t="str">
        <f>IF(ISERROR(getgrade(Broadsheet!AI230,data!$H$4:$I$9)),"#",getgrade(Broadsheet!AI230,data!$H$4:$I$9))</f>
        <v/>
      </c>
      <c r="AJ119" s="188" t="str">
        <f>IF(ISERROR(getgrade(Broadsheet!AJ230,data!$H$4:$I$9)),"#",getgrade(Broadsheet!AJ230,data!$H$4:$I$9))</f>
        <v/>
      </c>
      <c r="AK119" s="188" t="str">
        <f>IF(ISERROR(getgrade(Broadsheet!AK230,data!$H$4:$I$9)),"#",getgrade(Broadsheet!AK230,data!$H$4:$I$9))</f>
        <v/>
      </c>
      <c r="AL119" s="188" t="str">
        <f>IF(ISERROR(getgrade(Broadsheet!AL230,data!$H$4:$I$9)),"#",getgrade(Broadsheet!AL230,data!$H$4:$I$9))</f>
        <v/>
      </c>
      <c r="AM119" s="188" t="str">
        <f>IF(ISERROR(getgrade(Broadsheet!AM230,data!$H$4:$I$9)),"#",getgrade(Broadsheet!AM230,data!$H$4:$I$9))</f>
        <v/>
      </c>
      <c r="AN119" s="188" t="str">
        <f>IF(ISERROR(getgrade(Broadsheet!AN230,data!$H$4:$I$9)),"#",getgrade(Broadsheet!AN230,data!$H$4:$I$9))</f>
        <v/>
      </c>
      <c r="AO119" s="188" t="str">
        <f>IF(ISERROR(getgrade(Broadsheet!AO230,data!$H$4:$I$9)),"#",getgrade(Broadsheet!AO230,data!$H$4:$I$9))</f>
        <v/>
      </c>
      <c r="AP119" s="188" t="str">
        <f>IF(ISERROR(getgrade(Broadsheet!AP230,data!$H$4:$I$9)),"#",getgrade(Broadsheet!AP230,data!$H$4:$I$9))</f>
        <v/>
      </c>
      <c r="AQ119" s="188" t="str">
        <f>IF(ISERROR(getgrade(Broadsheet!AQ230,data!$H$4:$I$9)),"#",getgrade(Broadsheet!AQ230,data!$H$4:$I$9))</f>
        <v/>
      </c>
      <c r="AR119" s="188" t="str">
        <f>IF(ISERROR(getgrade(Broadsheet!AR230,data!$H$4:$I$9)),"#",getgrade(Broadsheet!AR230,data!$H$4:$I$9))</f>
        <v/>
      </c>
      <c r="AS119" s="188" t="str">
        <f>IF(ISERROR(getgrade(Broadsheet!AS230,data!$H$4:$I$9)),"#",getgrade(Broadsheet!AS230,data!$H$4:$I$9))</f>
        <v/>
      </c>
      <c r="AT119" s="188" t="str">
        <f>IF(ISERROR(getgrade(Broadsheet!AT230,data!$H$4:$I$9)),"#",getgrade(Broadsheet!AT230,data!$H$4:$I$9))</f>
        <v/>
      </c>
      <c r="AU119" s="188" t="str">
        <f>IF(ISERROR(getgrade(Broadsheet!AU230,data!$H$4:$I$9)),"#",getgrade(Broadsheet!AU230,data!$H$4:$I$9))</f>
        <v/>
      </c>
      <c r="AV119" s="188" t="str">
        <f>IF(ISERROR(getgrade(Broadsheet!AV230,data!$H$4:$I$9)),"#",getgrade(Broadsheet!AV230,data!$H$4:$I$9))</f>
        <v/>
      </c>
      <c r="AW119" s="188" t="str">
        <f>IF(ISERROR(getgrade(Broadsheet!AW230,data!$H$4:$I$9)),"#",getgrade(Broadsheet!AW230,data!$H$4:$I$9))</f>
        <v/>
      </c>
      <c r="AX119" s="188" t="str">
        <f>IF(ISERROR(getgrade(Broadsheet!AX230,data!$H$4:$I$9)),"#",getgrade(Broadsheet!AX230,data!$H$4:$I$9))</f>
        <v/>
      </c>
      <c r="AY119" s="188" t="str">
        <f>IF(ISERROR(getgrade(Broadsheet!AY230,data!$H$4:$I$9)),"#",getgrade(Broadsheet!AY230,data!$H$4:$I$9))</f>
        <v/>
      </c>
      <c r="AZ119" s="188" t="str">
        <f>IF(ISERROR(getgrade(Broadsheet!AZ230,data!$H$4:$I$9)),"#",getgrade(Broadsheet!AZ230,data!$H$4:$I$9))</f>
        <v/>
      </c>
      <c r="BA119" s="188" t="str">
        <f>IF(ISERROR(getgrade(Broadsheet!BA230,data!$H$4:$I$9)),"#",getgrade(Broadsheet!BA230,data!$H$4:$I$9))</f>
        <v/>
      </c>
      <c r="BB119" s="188" t="str">
        <f>IF(ISERROR(getgrade(Broadsheet!BB230,data!$H$4:$I$9)),"#",getgrade(Broadsheet!BB230,data!$H$4:$I$9))</f>
        <v/>
      </c>
      <c r="BC119" s="188" t="str">
        <f>IF(ISERROR(getgrade(Broadsheet!BC230,data!$H$4:$I$9)),"#",getgrade(Broadsheet!BC230,data!$H$4:$I$9))</f>
        <v/>
      </c>
      <c r="BD119" s="188" t="str">
        <f>IF(ISERROR(getgrade(Broadsheet!BD230,data!$H$4:$I$9)),"#",getgrade(Broadsheet!BD230,data!$H$4:$I$9))</f>
        <v/>
      </c>
      <c r="BE119" s="188" t="str">
        <f>IF(ISERROR(getgrade(Broadsheet!BE230,data!$H$4:$I$9)),"#",getgrade(Broadsheet!BE230,data!$H$4:$I$9))</f>
        <v/>
      </c>
      <c r="BF119" s="188" t="str">
        <f>IF(ISERROR(getgrade(Broadsheet!BF230,data!$H$4:$I$9)),"#",getgrade(Broadsheet!BF230,data!$H$4:$I$9))</f>
        <v/>
      </c>
      <c r="BG119" s="188" t="str">
        <f>IF(ISERROR(getgrade(Broadsheet!BG230,data!$H$4:$I$9)),"#",getgrade(Broadsheet!BG230,data!$H$4:$I$9))</f>
        <v/>
      </c>
      <c r="BH119" s="188" t="str">
        <f>IF(ISERROR(getgrade(Broadsheet!BH230,data!$H$4:$I$9)),"#",getgrade(Broadsheet!BH230,data!$H$4:$I$9))</f>
        <v/>
      </c>
      <c r="BI119" s="188" t="str">
        <f>IF(ISERROR(getgrade(Broadsheet!BI230,data!$H$4:$I$9)),"#",getgrade(Broadsheet!BI230,data!$H$4:$I$9))</f>
        <v/>
      </c>
      <c r="BJ119" s="188" t="str">
        <f>IF(ISERROR(getgrade(Broadsheet!BJ230,data!$H$4:$I$9)),"#",getgrade(Broadsheet!BJ230,data!$H$4:$I$9))</f>
        <v/>
      </c>
      <c r="BK119" s="188"/>
      <c r="BL119" s="188"/>
      <c r="BM119" s="188"/>
      <c r="BN119" s="188"/>
      <c r="BO119" s="188"/>
      <c r="BP119" s="188"/>
      <c r="BQ119" s="188"/>
      <c r="BR119" s="188"/>
      <c r="BS119" s="188"/>
      <c r="BT119" s="188"/>
      <c r="BU119" s="188"/>
      <c r="BV119" s="188"/>
      <c r="BW119" s="188"/>
      <c r="BX119" s="188"/>
      <c r="BY119" s="188"/>
      <c r="BZ119" s="188"/>
      <c r="CA119" s="188"/>
      <c r="CB119" s="188"/>
      <c r="CC119" s="188"/>
      <c r="CD119" s="188"/>
      <c r="CE119" s="188"/>
      <c r="CF119" s="188"/>
      <c r="CG119" s="188"/>
      <c r="CH119" s="188"/>
      <c r="CI119" s="188"/>
      <c r="CJ119" s="188"/>
      <c r="CK119" s="188"/>
      <c r="CL119" s="188"/>
      <c r="CM119" s="188"/>
      <c r="CN119" s="188"/>
      <c r="CO119" s="188"/>
      <c r="CP119" s="188"/>
      <c r="CQ119" s="188"/>
      <c r="CR119" s="188"/>
      <c r="CS119" s="188"/>
      <c r="CT119" s="188"/>
      <c r="CU119" s="188"/>
      <c r="CV119" s="188"/>
      <c r="CW119" s="188"/>
      <c r="CX119" s="188"/>
      <c r="CY119" s="188"/>
      <c r="CZ119" s="188"/>
      <c r="DA119" s="188"/>
      <c r="DB119" s="188"/>
      <c r="DC119" s="188"/>
      <c r="DD119" s="188"/>
      <c r="DE119" s="188"/>
      <c r="DF119" s="188"/>
      <c r="DG119" s="188"/>
      <c r="DH119" s="188"/>
      <c r="DI119" s="188"/>
      <c r="DJ119" s="188"/>
      <c r="DK119" s="188"/>
      <c r="DL119" s="188"/>
      <c r="DM119" s="188"/>
      <c r="DN119" s="188"/>
      <c r="DO119" s="188"/>
      <c r="DP119" s="188"/>
      <c r="DQ119" s="188"/>
      <c r="DR119" s="188"/>
      <c r="DS119" s="188"/>
      <c r="DT119" s="188"/>
      <c r="DU119" s="188"/>
      <c r="DV119" s="188"/>
      <c r="DW119" s="188"/>
      <c r="DX119" s="188"/>
      <c r="DY119" s="188"/>
      <c r="DZ119" s="188"/>
      <c r="EA119" s="188"/>
    </row>
    <row r="120" spans="1:131" ht="15.75" x14ac:dyDescent="0.25">
      <c r="A120" s="12">
        <f>Broadsheet!A231</f>
        <v>0</v>
      </c>
      <c r="B120" s="204" t="str">
        <f>IF(Broadsheet!B120="","",Broadsheet!B120)</f>
        <v/>
      </c>
      <c r="C120" s="24" t="str">
        <f>IF(Broadsheet!C120="","",Broadsheet!C120)</f>
        <v xml:space="preserve"> </v>
      </c>
      <c r="G120" s="24" t="str">
        <f t="shared" si="1"/>
        <v/>
      </c>
      <c r="H120" s="188" t="str">
        <f>IF(ISERROR(getgrade(Broadsheet!H231,data!$H$4:$I$9)),"#",getgrade(Broadsheet!H231,data!$H$4:$I$9))</f>
        <v/>
      </c>
      <c r="I120" s="188" t="str">
        <f>IF(ISERROR(getgrade(Broadsheet!I231,data!$H$4:$I$9)),"#",getgrade(Broadsheet!I231,data!$H$4:$I$9))</f>
        <v/>
      </c>
      <c r="J120" s="188" t="str">
        <f>IF(ISERROR(getgrade(Broadsheet!J231,data!$H$4:$I$9)),"#",getgrade(Broadsheet!J231,data!$H$4:$I$9))</f>
        <v/>
      </c>
      <c r="K120" s="188" t="str">
        <f>IF(ISERROR(getgrade(Broadsheet!K231,data!$H$4:$I$9)),"#",getgrade(Broadsheet!K231,data!$H$4:$I$9))</f>
        <v/>
      </c>
      <c r="L120" s="188" t="str">
        <f>IF(ISERROR(getgrade(Broadsheet!L231,data!$H$4:$I$9)),"#",getgrade(Broadsheet!L231,data!$H$4:$I$9))</f>
        <v/>
      </c>
      <c r="M120" s="188" t="str">
        <f>IF(ISERROR(getgrade(Broadsheet!M231,data!$H$4:$I$9)),"#",getgrade(Broadsheet!M231,data!$H$4:$I$9))</f>
        <v/>
      </c>
      <c r="N120" s="188" t="str">
        <f>IF(ISERROR(getgrade(Broadsheet!N231,data!$H$4:$I$9)),"#",getgrade(Broadsheet!N231,data!$H$4:$I$9))</f>
        <v/>
      </c>
      <c r="O120" s="188" t="str">
        <f>IF(ISERROR(getgrade(Broadsheet!O231,data!$H$4:$I$9)),"#",getgrade(Broadsheet!O231,data!$H$4:$I$9))</f>
        <v/>
      </c>
      <c r="P120" s="188" t="str">
        <f>IF(ISERROR(getgrade(Broadsheet!P231,data!$H$4:$I$9)),"#",getgrade(Broadsheet!P231,data!$H$4:$I$9))</f>
        <v/>
      </c>
      <c r="Q120" s="188" t="str">
        <f>IF(ISERROR(getgrade(Broadsheet!Q231,data!$H$4:$I$9)),"#",getgrade(Broadsheet!Q231,data!$H$4:$I$9))</f>
        <v/>
      </c>
      <c r="R120" s="188" t="str">
        <f>IF(ISERROR(getgrade(Broadsheet!R231,data!$H$4:$I$9)),"#",getgrade(Broadsheet!R231,data!$H$4:$I$9))</f>
        <v/>
      </c>
      <c r="S120" s="188" t="str">
        <f>IF(ISERROR(getgrade(Broadsheet!S231,data!$H$4:$I$9)),"#",getgrade(Broadsheet!S231,data!$H$4:$I$9))</f>
        <v/>
      </c>
      <c r="T120" s="188" t="str">
        <f>IF(ISERROR(getgrade(Broadsheet!T231,data!$H$4:$I$9)),"#",getgrade(Broadsheet!T231,data!$H$4:$I$9))</f>
        <v/>
      </c>
      <c r="U120" s="188" t="str">
        <f>IF(ISERROR(getgrade(Broadsheet!U231,data!$H$4:$I$9)),"#",getgrade(Broadsheet!U231,data!$H$4:$I$9))</f>
        <v/>
      </c>
      <c r="V120" s="188" t="str">
        <f>IF(ISERROR(getgrade(Broadsheet!V231,data!$H$4:$I$9)),"#",getgrade(Broadsheet!V231,data!$H$4:$I$9))</f>
        <v/>
      </c>
      <c r="W120" s="188" t="str">
        <f>IF(ISERROR(getgrade(Broadsheet!W231,data!$H$4:$I$9)),"#",getgrade(Broadsheet!W231,data!$H$4:$I$9))</f>
        <v/>
      </c>
      <c r="X120" s="188" t="str">
        <f>IF(ISERROR(getgrade(Broadsheet!X231,data!$H$4:$I$9)),"#",getgrade(Broadsheet!X231,data!$H$4:$I$9))</f>
        <v/>
      </c>
      <c r="Y120" s="188" t="str">
        <f>IF(ISERROR(getgrade(Broadsheet!Y231,data!$H$4:$I$9)),"#",getgrade(Broadsheet!Y231,data!$H$4:$I$9))</f>
        <v/>
      </c>
      <c r="Z120" s="188" t="str">
        <f>IF(ISERROR(getgrade(Broadsheet!Z231,data!$H$4:$I$9)),"#",getgrade(Broadsheet!Z231,data!$H$4:$I$9))</f>
        <v/>
      </c>
      <c r="AA120" s="188" t="str">
        <f>IF(ISERROR(getgrade(Broadsheet!AA231,data!$H$4:$I$9)),"#",getgrade(Broadsheet!AA231,data!$H$4:$I$9))</f>
        <v/>
      </c>
      <c r="AB120" s="188" t="str">
        <f>IF(ISERROR(getgrade(Broadsheet!AB231,data!$H$4:$I$9)),"#",getgrade(Broadsheet!AB231,data!$H$4:$I$9))</f>
        <v/>
      </c>
      <c r="AC120" s="188" t="str">
        <f>IF(ISERROR(getgrade(Broadsheet!AC231,data!$H$4:$I$9)),"#",getgrade(Broadsheet!AC231,data!$H$4:$I$9))</f>
        <v/>
      </c>
      <c r="AD120" s="188" t="str">
        <f>IF(ISERROR(getgrade(Broadsheet!AD231,data!$H$4:$I$9)),"#",getgrade(Broadsheet!AD231,data!$H$4:$I$9))</f>
        <v/>
      </c>
      <c r="AE120" s="188" t="str">
        <f>IF(ISERROR(getgrade(Broadsheet!AE231,data!$H$4:$I$9)),"#",getgrade(Broadsheet!AE231,data!$H$4:$I$9))</f>
        <v/>
      </c>
      <c r="AF120" s="188" t="str">
        <f>IF(ISERROR(getgrade(Broadsheet!AF231,data!$H$4:$I$9)),"#",getgrade(Broadsheet!AF231,data!$H$4:$I$9))</f>
        <v/>
      </c>
      <c r="AG120" s="188" t="str">
        <f>IF(ISERROR(getgrade(Broadsheet!AG231,data!$H$4:$I$9)),"#",getgrade(Broadsheet!AG231,data!$H$4:$I$9))</f>
        <v/>
      </c>
      <c r="AH120" s="188" t="str">
        <f>IF(ISERROR(getgrade(Broadsheet!AH231,data!$H$4:$I$9)),"#",getgrade(Broadsheet!AH231,data!$H$4:$I$9))</f>
        <v/>
      </c>
      <c r="AI120" s="188" t="str">
        <f>IF(ISERROR(getgrade(Broadsheet!AI231,data!$H$4:$I$9)),"#",getgrade(Broadsheet!AI231,data!$H$4:$I$9))</f>
        <v/>
      </c>
      <c r="AJ120" s="188" t="str">
        <f>IF(ISERROR(getgrade(Broadsheet!AJ231,data!$H$4:$I$9)),"#",getgrade(Broadsheet!AJ231,data!$H$4:$I$9))</f>
        <v/>
      </c>
      <c r="AK120" s="188" t="str">
        <f>IF(ISERROR(getgrade(Broadsheet!AK231,data!$H$4:$I$9)),"#",getgrade(Broadsheet!AK231,data!$H$4:$I$9))</f>
        <v/>
      </c>
      <c r="AL120" s="188" t="str">
        <f>IF(ISERROR(getgrade(Broadsheet!AL231,data!$H$4:$I$9)),"#",getgrade(Broadsheet!AL231,data!$H$4:$I$9))</f>
        <v/>
      </c>
      <c r="AM120" s="188" t="str">
        <f>IF(ISERROR(getgrade(Broadsheet!AM231,data!$H$4:$I$9)),"#",getgrade(Broadsheet!AM231,data!$H$4:$I$9))</f>
        <v/>
      </c>
      <c r="AN120" s="188" t="str">
        <f>IF(ISERROR(getgrade(Broadsheet!AN231,data!$H$4:$I$9)),"#",getgrade(Broadsheet!AN231,data!$H$4:$I$9))</f>
        <v/>
      </c>
      <c r="AO120" s="188" t="str">
        <f>IF(ISERROR(getgrade(Broadsheet!AO231,data!$H$4:$I$9)),"#",getgrade(Broadsheet!AO231,data!$H$4:$I$9))</f>
        <v/>
      </c>
      <c r="AP120" s="188" t="str">
        <f>IF(ISERROR(getgrade(Broadsheet!AP231,data!$H$4:$I$9)),"#",getgrade(Broadsheet!AP231,data!$H$4:$I$9))</f>
        <v/>
      </c>
      <c r="AQ120" s="188" t="str">
        <f>IF(ISERROR(getgrade(Broadsheet!AQ231,data!$H$4:$I$9)),"#",getgrade(Broadsheet!AQ231,data!$H$4:$I$9))</f>
        <v/>
      </c>
      <c r="AR120" s="188" t="str">
        <f>IF(ISERROR(getgrade(Broadsheet!AR231,data!$H$4:$I$9)),"#",getgrade(Broadsheet!AR231,data!$H$4:$I$9))</f>
        <v/>
      </c>
      <c r="AS120" s="188" t="str">
        <f>IF(ISERROR(getgrade(Broadsheet!AS231,data!$H$4:$I$9)),"#",getgrade(Broadsheet!AS231,data!$H$4:$I$9))</f>
        <v/>
      </c>
      <c r="AT120" s="188" t="str">
        <f>IF(ISERROR(getgrade(Broadsheet!AT231,data!$H$4:$I$9)),"#",getgrade(Broadsheet!AT231,data!$H$4:$I$9))</f>
        <v/>
      </c>
      <c r="AU120" s="188" t="str">
        <f>IF(ISERROR(getgrade(Broadsheet!AU231,data!$H$4:$I$9)),"#",getgrade(Broadsheet!AU231,data!$H$4:$I$9))</f>
        <v/>
      </c>
      <c r="AV120" s="188" t="str">
        <f>IF(ISERROR(getgrade(Broadsheet!AV231,data!$H$4:$I$9)),"#",getgrade(Broadsheet!AV231,data!$H$4:$I$9))</f>
        <v/>
      </c>
      <c r="AW120" s="188" t="str">
        <f>IF(ISERROR(getgrade(Broadsheet!AW231,data!$H$4:$I$9)),"#",getgrade(Broadsheet!AW231,data!$H$4:$I$9))</f>
        <v/>
      </c>
      <c r="AX120" s="188" t="str">
        <f>IF(ISERROR(getgrade(Broadsheet!AX231,data!$H$4:$I$9)),"#",getgrade(Broadsheet!AX231,data!$H$4:$I$9))</f>
        <v/>
      </c>
      <c r="AY120" s="188" t="str">
        <f>IF(ISERROR(getgrade(Broadsheet!AY231,data!$H$4:$I$9)),"#",getgrade(Broadsheet!AY231,data!$H$4:$I$9))</f>
        <v/>
      </c>
      <c r="AZ120" s="188" t="str">
        <f>IF(ISERROR(getgrade(Broadsheet!AZ231,data!$H$4:$I$9)),"#",getgrade(Broadsheet!AZ231,data!$H$4:$I$9))</f>
        <v/>
      </c>
      <c r="BA120" s="188" t="str">
        <f>IF(ISERROR(getgrade(Broadsheet!BA231,data!$H$4:$I$9)),"#",getgrade(Broadsheet!BA231,data!$H$4:$I$9))</f>
        <v/>
      </c>
      <c r="BB120" s="188" t="str">
        <f>IF(ISERROR(getgrade(Broadsheet!BB231,data!$H$4:$I$9)),"#",getgrade(Broadsheet!BB231,data!$H$4:$I$9))</f>
        <v/>
      </c>
      <c r="BC120" s="188" t="str">
        <f>IF(ISERROR(getgrade(Broadsheet!BC231,data!$H$4:$I$9)),"#",getgrade(Broadsheet!BC231,data!$H$4:$I$9))</f>
        <v/>
      </c>
      <c r="BD120" s="188" t="str">
        <f>IF(ISERROR(getgrade(Broadsheet!BD231,data!$H$4:$I$9)),"#",getgrade(Broadsheet!BD231,data!$H$4:$I$9))</f>
        <v/>
      </c>
      <c r="BE120" s="188" t="str">
        <f>IF(ISERROR(getgrade(Broadsheet!BE231,data!$H$4:$I$9)),"#",getgrade(Broadsheet!BE231,data!$H$4:$I$9))</f>
        <v/>
      </c>
      <c r="BF120" s="188" t="str">
        <f>IF(ISERROR(getgrade(Broadsheet!BF231,data!$H$4:$I$9)),"#",getgrade(Broadsheet!BF231,data!$H$4:$I$9))</f>
        <v/>
      </c>
      <c r="BG120" s="188" t="str">
        <f>IF(ISERROR(getgrade(Broadsheet!BG231,data!$H$4:$I$9)),"#",getgrade(Broadsheet!BG231,data!$H$4:$I$9))</f>
        <v/>
      </c>
      <c r="BH120" s="188" t="str">
        <f>IF(ISERROR(getgrade(Broadsheet!BH231,data!$H$4:$I$9)),"#",getgrade(Broadsheet!BH231,data!$H$4:$I$9))</f>
        <v/>
      </c>
      <c r="BI120" s="188" t="str">
        <f>IF(ISERROR(getgrade(Broadsheet!BI231,data!$H$4:$I$9)),"#",getgrade(Broadsheet!BI231,data!$H$4:$I$9))</f>
        <v/>
      </c>
      <c r="BJ120" s="188" t="str">
        <f>IF(ISERROR(getgrade(Broadsheet!BJ231,data!$H$4:$I$9)),"#",getgrade(Broadsheet!BJ231,data!$H$4:$I$9))</f>
        <v/>
      </c>
      <c r="BK120" s="188"/>
      <c r="BL120" s="188"/>
      <c r="BM120" s="188"/>
      <c r="BN120" s="188"/>
      <c r="BO120" s="188"/>
      <c r="BP120" s="188"/>
      <c r="BQ120" s="188"/>
      <c r="BR120" s="188"/>
      <c r="BS120" s="188"/>
      <c r="BT120" s="188"/>
      <c r="BU120" s="188"/>
      <c r="BV120" s="188"/>
      <c r="BW120" s="188"/>
      <c r="BX120" s="188"/>
      <c r="BY120" s="188"/>
      <c r="BZ120" s="188"/>
      <c r="CA120" s="188"/>
      <c r="CB120" s="188"/>
      <c r="CC120" s="188"/>
      <c r="CD120" s="188"/>
      <c r="CE120" s="188"/>
      <c r="CF120" s="188"/>
      <c r="CG120" s="188"/>
      <c r="CH120" s="188"/>
      <c r="CI120" s="188"/>
      <c r="CJ120" s="188"/>
      <c r="CK120" s="188"/>
      <c r="CL120" s="188"/>
      <c r="CM120" s="188"/>
      <c r="CN120" s="188"/>
      <c r="CO120" s="188"/>
      <c r="CP120" s="188"/>
      <c r="CQ120" s="188"/>
      <c r="CR120" s="188"/>
      <c r="CS120" s="188"/>
      <c r="CT120" s="188"/>
      <c r="CU120" s="188"/>
      <c r="CV120" s="188"/>
      <c r="CW120" s="188"/>
      <c r="CX120" s="188"/>
      <c r="CY120" s="188"/>
      <c r="CZ120" s="188"/>
      <c r="DA120" s="188"/>
      <c r="DB120" s="188"/>
      <c r="DC120" s="188"/>
      <c r="DD120" s="188"/>
      <c r="DE120" s="188"/>
      <c r="DF120" s="188"/>
      <c r="DG120" s="188"/>
      <c r="DH120" s="188"/>
      <c r="DI120" s="188"/>
      <c r="DJ120" s="188"/>
      <c r="DK120" s="188"/>
      <c r="DL120" s="188"/>
      <c r="DM120" s="188"/>
      <c r="DN120" s="188"/>
      <c r="DO120" s="188"/>
      <c r="DP120" s="188"/>
      <c r="DQ120" s="188"/>
      <c r="DR120" s="188"/>
      <c r="DS120" s="188"/>
      <c r="DT120" s="188"/>
      <c r="DU120" s="188"/>
      <c r="DV120" s="188"/>
      <c r="DW120" s="188"/>
      <c r="DX120" s="188"/>
      <c r="DY120" s="188"/>
      <c r="DZ120" s="188"/>
      <c r="EA120" s="188"/>
    </row>
    <row r="121" spans="1:131" ht="15.75" x14ac:dyDescent="0.25">
      <c r="A121" s="12">
        <f>Broadsheet!A232</f>
        <v>0</v>
      </c>
      <c r="B121" s="204" t="str">
        <f>IF(Broadsheet!B121="","",Broadsheet!B121)</f>
        <v/>
      </c>
      <c r="C121" s="24" t="str">
        <f>IF(Broadsheet!C121="","",Broadsheet!C121)</f>
        <v xml:space="preserve"> </v>
      </c>
      <c r="G121" s="24" t="str">
        <f t="shared" si="1"/>
        <v/>
      </c>
      <c r="H121" s="188" t="str">
        <f>IF(ISERROR(getgrade(Broadsheet!H232,data!$H$4:$I$9)),"#",getgrade(Broadsheet!H232,data!$H$4:$I$9))</f>
        <v/>
      </c>
      <c r="I121" s="188" t="str">
        <f>IF(ISERROR(getgrade(Broadsheet!I232,data!$H$4:$I$9)),"#",getgrade(Broadsheet!I232,data!$H$4:$I$9))</f>
        <v/>
      </c>
      <c r="J121" s="188" t="str">
        <f>IF(ISERROR(getgrade(Broadsheet!J232,data!$H$4:$I$9)),"#",getgrade(Broadsheet!J232,data!$H$4:$I$9))</f>
        <v/>
      </c>
      <c r="K121" s="188" t="str">
        <f>IF(ISERROR(getgrade(Broadsheet!K232,data!$H$4:$I$9)),"#",getgrade(Broadsheet!K232,data!$H$4:$I$9))</f>
        <v/>
      </c>
      <c r="L121" s="188" t="str">
        <f>IF(ISERROR(getgrade(Broadsheet!L232,data!$H$4:$I$9)),"#",getgrade(Broadsheet!L232,data!$H$4:$I$9))</f>
        <v/>
      </c>
      <c r="M121" s="188" t="str">
        <f>IF(ISERROR(getgrade(Broadsheet!M232,data!$H$4:$I$9)),"#",getgrade(Broadsheet!M232,data!$H$4:$I$9))</f>
        <v/>
      </c>
      <c r="N121" s="188" t="str">
        <f>IF(ISERROR(getgrade(Broadsheet!N232,data!$H$4:$I$9)),"#",getgrade(Broadsheet!N232,data!$H$4:$I$9))</f>
        <v/>
      </c>
      <c r="O121" s="188" t="str">
        <f>IF(ISERROR(getgrade(Broadsheet!O232,data!$H$4:$I$9)),"#",getgrade(Broadsheet!O232,data!$H$4:$I$9))</f>
        <v/>
      </c>
      <c r="P121" s="188" t="str">
        <f>IF(ISERROR(getgrade(Broadsheet!P232,data!$H$4:$I$9)),"#",getgrade(Broadsheet!P232,data!$H$4:$I$9))</f>
        <v/>
      </c>
      <c r="Q121" s="188" t="str">
        <f>IF(ISERROR(getgrade(Broadsheet!Q232,data!$H$4:$I$9)),"#",getgrade(Broadsheet!Q232,data!$H$4:$I$9))</f>
        <v/>
      </c>
      <c r="R121" s="188" t="str">
        <f>IF(ISERROR(getgrade(Broadsheet!R232,data!$H$4:$I$9)),"#",getgrade(Broadsheet!R232,data!$H$4:$I$9))</f>
        <v/>
      </c>
      <c r="S121" s="188" t="str">
        <f>IF(ISERROR(getgrade(Broadsheet!S232,data!$H$4:$I$9)),"#",getgrade(Broadsheet!S232,data!$H$4:$I$9))</f>
        <v/>
      </c>
      <c r="T121" s="188" t="str">
        <f>IF(ISERROR(getgrade(Broadsheet!T232,data!$H$4:$I$9)),"#",getgrade(Broadsheet!T232,data!$H$4:$I$9))</f>
        <v/>
      </c>
      <c r="U121" s="188" t="str">
        <f>IF(ISERROR(getgrade(Broadsheet!U232,data!$H$4:$I$9)),"#",getgrade(Broadsheet!U232,data!$H$4:$I$9))</f>
        <v/>
      </c>
      <c r="V121" s="188" t="str">
        <f>IF(ISERROR(getgrade(Broadsheet!V232,data!$H$4:$I$9)),"#",getgrade(Broadsheet!V232,data!$H$4:$I$9))</f>
        <v/>
      </c>
      <c r="W121" s="188" t="str">
        <f>IF(ISERROR(getgrade(Broadsheet!W232,data!$H$4:$I$9)),"#",getgrade(Broadsheet!W232,data!$H$4:$I$9))</f>
        <v/>
      </c>
      <c r="X121" s="188" t="str">
        <f>IF(ISERROR(getgrade(Broadsheet!X232,data!$H$4:$I$9)),"#",getgrade(Broadsheet!X232,data!$H$4:$I$9))</f>
        <v/>
      </c>
      <c r="Y121" s="188" t="str">
        <f>IF(ISERROR(getgrade(Broadsheet!Y232,data!$H$4:$I$9)),"#",getgrade(Broadsheet!Y232,data!$H$4:$I$9))</f>
        <v/>
      </c>
      <c r="Z121" s="188" t="str">
        <f>IF(ISERROR(getgrade(Broadsheet!Z232,data!$H$4:$I$9)),"#",getgrade(Broadsheet!Z232,data!$H$4:$I$9))</f>
        <v/>
      </c>
      <c r="AA121" s="188" t="str">
        <f>IF(ISERROR(getgrade(Broadsheet!AA232,data!$H$4:$I$9)),"#",getgrade(Broadsheet!AA232,data!$H$4:$I$9))</f>
        <v/>
      </c>
      <c r="AB121" s="188" t="str">
        <f>IF(ISERROR(getgrade(Broadsheet!AB232,data!$H$4:$I$9)),"#",getgrade(Broadsheet!AB232,data!$H$4:$I$9))</f>
        <v/>
      </c>
      <c r="AC121" s="188" t="str">
        <f>IF(ISERROR(getgrade(Broadsheet!AC232,data!$H$4:$I$9)),"#",getgrade(Broadsheet!AC232,data!$H$4:$I$9))</f>
        <v/>
      </c>
      <c r="AD121" s="188" t="str">
        <f>IF(ISERROR(getgrade(Broadsheet!AD232,data!$H$4:$I$9)),"#",getgrade(Broadsheet!AD232,data!$H$4:$I$9))</f>
        <v/>
      </c>
      <c r="AE121" s="188" t="str">
        <f>IF(ISERROR(getgrade(Broadsheet!AE232,data!$H$4:$I$9)),"#",getgrade(Broadsheet!AE232,data!$H$4:$I$9))</f>
        <v/>
      </c>
      <c r="AF121" s="188" t="str">
        <f>IF(ISERROR(getgrade(Broadsheet!AF232,data!$H$4:$I$9)),"#",getgrade(Broadsheet!AF232,data!$H$4:$I$9))</f>
        <v/>
      </c>
      <c r="AG121" s="188" t="str">
        <f>IF(ISERROR(getgrade(Broadsheet!AG232,data!$H$4:$I$9)),"#",getgrade(Broadsheet!AG232,data!$H$4:$I$9))</f>
        <v/>
      </c>
      <c r="AH121" s="188" t="str">
        <f>IF(ISERROR(getgrade(Broadsheet!AH232,data!$H$4:$I$9)),"#",getgrade(Broadsheet!AH232,data!$H$4:$I$9))</f>
        <v/>
      </c>
      <c r="AI121" s="188" t="str">
        <f>IF(ISERROR(getgrade(Broadsheet!AI232,data!$H$4:$I$9)),"#",getgrade(Broadsheet!AI232,data!$H$4:$I$9))</f>
        <v/>
      </c>
      <c r="AJ121" s="188" t="str">
        <f>IF(ISERROR(getgrade(Broadsheet!AJ232,data!$H$4:$I$9)),"#",getgrade(Broadsheet!AJ232,data!$H$4:$I$9))</f>
        <v/>
      </c>
      <c r="AK121" s="188" t="str">
        <f>IF(ISERROR(getgrade(Broadsheet!AK232,data!$H$4:$I$9)),"#",getgrade(Broadsheet!AK232,data!$H$4:$I$9))</f>
        <v/>
      </c>
      <c r="AL121" s="188" t="str">
        <f>IF(ISERROR(getgrade(Broadsheet!AL232,data!$H$4:$I$9)),"#",getgrade(Broadsheet!AL232,data!$H$4:$I$9))</f>
        <v/>
      </c>
      <c r="AM121" s="188" t="str">
        <f>IF(ISERROR(getgrade(Broadsheet!AM232,data!$H$4:$I$9)),"#",getgrade(Broadsheet!AM232,data!$H$4:$I$9))</f>
        <v/>
      </c>
      <c r="AN121" s="188" t="str">
        <f>IF(ISERROR(getgrade(Broadsheet!AN232,data!$H$4:$I$9)),"#",getgrade(Broadsheet!AN232,data!$H$4:$I$9))</f>
        <v/>
      </c>
      <c r="AO121" s="188" t="str">
        <f>IF(ISERROR(getgrade(Broadsheet!AO232,data!$H$4:$I$9)),"#",getgrade(Broadsheet!AO232,data!$H$4:$I$9))</f>
        <v/>
      </c>
      <c r="AP121" s="188" t="str">
        <f>IF(ISERROR(getgrade(Broadsheet!AP232,data!$H$4:$I$9)),"#",getgrade(Broadsheet!AP232,data!$H$4:$I$9))</f>
        <v/>
      </c>
      <c r="AQ121" s="188" t="str">
        <f>IF(ISERROR(getgrade(Broadsheet!AQ232,data!$H$4:$I$9)),"#",getgrade(Broadsheet!AQ232,data!$H$4:$I$9))</f>
        <v/>
      </c>
      <c r="AR121" s="188" t="str">
        <f>IF(ISERROR(getgrade(Broadsheet!AR232,data!$H$4:$I$9)),"#",getgrade(Broadsheet!AR232,data!$H$4:$I$9))</f>
        <v/>
      </c>
      <c r="AS121" s="188" t="str">
        <f>IF(ISERROR(getgrade(Broadsheet!AS232,data!$H$4:$I$9)),"#",getgrade(Broadsheet!AS232,data!$H$4:$I$9))</f>
        <v/>
      </c>
      <c r="AT121" s="188" t="str">
        <f>IF(ISERROR(getgrade(Broadsheet!AT232,data!$H$4:$I$9)),"#",getgrade(Broadsheet!AT232,data!$H$4:$I$9))</f>
        <v/>
      </c>
      <c r="AU121" s="188" t="str">
        <f>IF(ISERROR(getgrade(Broadsheet!AU232,data!$H$4:$I$9)),"#",getgrade(Broadsheet!AU232,data!$H$4:$I$9))</f>
        <v/>
      </c>
      <c r="AV121" s="188" t="str">
        <f>IF(ISERROR(getgrade(Broadsheet!AV232,data!$H$4:$I$9)),"#",getgrade(Broadsheet!AV232,data!$H$4:$I$9))</f>
        <v/>
      </c>
      <c r="AW121" s="188" t="str">
        <f>IF(ISERROR(getgrade(Broadsheet!AW232,data!$H$4:$I$9)),"#",getgrade(Broadsheet!AW232,data!$H$4:$I$9))</f>
        <v/>
      </c>
      <c r="AX121" s="188" t="str">
        <f>IF(ISERROR(getgrade(Broadsheet!AX232,data!$H$4:$I$9)),"#",getgrade(Broadsheet!AX232,data!$H$4:$I$9))</f>
        <v/>
      </c>
      <c r="AY121" s="188" t="str">
        <f>IF(ISERROR(getgrade(Broadsheet!AY232,data!$H$4:$I$9)),"#",getgrade(Broadsheet!AY232,data!$H$4:$I$9))</f>
        <v/>
      </c>
      <c r="AZ121" s="188" t="str">
        <f>IF(ISERROR(getgrade(Broadsheet!AZ232,data!$H$4:$I$9)),"#",getgrade(Broadsheet!AZ232,data!$H$4:$I$9))</f>
        <v/>
      </c>
      <c r="BA121" s="188" t="str">
        <f>IF(ISERROR(getgrade(Broadsheet!BA232,data!$H$4:$I$9)),"#",getgrade(Broadsheet!BA232,data!$H$4:$I$9))</f>
        <v/>
      </c>
      <c r="BB121" s="188" t="str">
        <f>IF(ISERROR(getgrade(Broadsheet!BB232,data!$H$4:$I$9)),"#",getgrade(Broadsheet!BB232,data!$H$4:$I$9))</f>
        <v/>
      </c>
      <c r="BC121" s="188" t="str">
        <f>IF(ISERROR(getgrade(Broadsheet!BC232,data!$H$4:$I$9)),"#",getgrade(Broadsheet!BC232,data!$H$4:$I$9))</f>
        <v/>
      </c>
      <c r="BD121" s="188" t="str">
        <f>IF(ISERROR(getgrade(Broadsheet!BD232,data!$H$4:$I$9)),"#",getgrade(Broadsheet!BD232,data!$H$4:$I$9))</f>
        <v/>
      </c>
      <c r="BE121" s="188" t="str">
        <f>IF(ISERROR(getgrade(Broadsheet!BE232,data!$H$4:$I$9)),"#",getgrade(Broadsheet!BE232,data!$H$4:$I$9))</f>
        <v/>
      </c>
      <c r="BF121" s="188" t="str">
        <f>IF(ISERROR(getgrade(Broadsheet!BF232,data!$H$4:$I$9)),"#",getgrade(Broadsheet!BF232,data!$H$4:$I$9))</f>
        <v/>
      </c>
      <c r="BG121" s="188" t="str">
        <f>IF(ISERROR(getgrade(Broadsheet!BG232,data!$H$4:$I$9)),"#",getgrade(Broadsheet!BG232,data!$H$4:$I$9))</f>
        <v/>
      </c>
      <c r="BH121" s="188" t="str">
        <f>IF(ISERROR(getgrade(Broadsheet!BH232,data!$H$4:$I$9)),"#",getgrade(Broadsheet!BH232,data!$H$4:$I$9))</f>
        <v/>
      </c>
      <c r="BI121" s="188" t="str">
        <f>IF(ISERROR(getgrade(Broadsheet!BI232,data!$H$4:$I$9)),"#",getgrade(Broadsheet!BI232,data!$H$4:$I$9))</f>
        <v/>
      </c>
      <c r="BJ121" s="188" t="str">
        <f>IF(ISERROR(getgrade(Broadsheet!BJ232,data!$H$4:$I$9)),"#",getgrade(Broadsheet!BJ232,data!$H$4:$I$9))</f>
        <v/>
      </c>
      <c r="BK121" s="188"/>
      <c r="BL121" s="188"/>
      <c r="BM121" s="188"/>
      <c r="BN121" s="188"/>
      <c r="BO121" s="188"/>
      <c r="BP121" s="188"/>
      <c r="BQ121" s="188"/>
      <c r="BR121" s="188"/>
      <c r="BS121" s="188"/>
      <c r="BT121" s="188"/>
      <c r="BU121" s="188"/>
      <c r="BV121" s="188"/>
      <c r="BW121" s="188"/>
      <c r="BX121" s="188"/>
      <c r="BY121" s="188"/>
      <c r="BZ121" s="188"/>
      <c r="CA121" s="188"/>
      <c r="CB121" s="188"/>
      <c r="CC121" s="188"/>
      <c r="CD121" s="188"/>
      <c r="CE121" s="188"/>
      <c r="CF121" s="188"/>
      <c r="CG121" s="188"/>
      <c r="CH121" s="188"/>
      <c r="CI121" s="188"/>
      <c r="CJ121" s="188"/>
      <c r="CK121" s="188"/>
      <c r="CL121" s="188"/>
      <c r="CM121" s="188"/>
      <c r="CN121" s="188"/>
      <c r="CO121" s="188"/>
      <c r="CP121" s="188"/>
      <c r="CQ121" s="188"/>
      <c r="CR121" s="188"/>
      <c r="CS121" s="188"/>
      <c r="CT121" s="188"/>
      <c r="CU121" s="188"/>
      <c r="CV121" s="188"/>
      <c r="CW121" s="188"/>
      <c r="CX121" s="188"/>
      <c r="CY121" s="188"/>
      <c r="CZ121" s="188"/>
      <c r="DA121" s="188"/>
      <c r="DB121" s="188"/>
      <c r="DC121" s="188"/>
      <c r="DD121" s="188"/>
      <c r="DE121" s="188"/>
      <c r="DF121" s="188"/>
      <c r="DG121" s="188"/>
      <c r="DH121" s="188"/>
      <c r="DI121" s="188"/>
      <c r="DJ121" s="188"/>
      <c r="DK121" s="188"/>
      <c r="DL121" s="188"/>
      <c r="DM121" s="188"/>
      <c r="DN121" s="188"/>
      <c r="DO121" s="188"/>
      <c r="DP121" s="188"/>
      <c r="DQ121" s="188"/>
      <c r="DR121" s="188"/>
      <c r="DS121" s="188"/>
      <c r="DT121" s="188"/>
      <c r="DU121" s="188"/>
      <c r="DV121" s="188"/>
      <c r="DW121" s="188"/>
      <c r="DX121" s="188"/>
      <c r="DY121" s="188"/>
      <c r="DZ121" s="188"/>
      <c r="EA121" s="188"/>
    </row>
    <row r="122" spans="1:131" ht="15.75" x14ac:dyDescent="0.25">
      <c r="A122" s="12">
        <f>Broadsheet!A233</f>
        <v>0</v>
      </c>
      <c r="B122" s="204" t="str">
        <f>IF(Broadsheet!B122="","",Broadsheet!B122)</f>
        <v/>
      </c>
      <c r="C122" s="24" t="str">
        <f>IF(Broadsheet!C122="","",Broadsheet!C122)</f>
        <v xml:space="preserve"> </v>
      </c>
      <c r="G122" s="24" t="str">
        <f t="shared" si="1"/>
        <v/>
      </c>
      <c r="H122" s="188" t="str">
        <f>IF(ISERROR(getgrade(Broadsheet!H233,data!$H$4:$I$9)),"#",getgrade(Broadsheet!H233,data!$H$4:$I$9))</f>
        <v/>
      </c>
      <c r="I122" s="188" t="str">
        <f>IF(ISERROR(getgrade(Broadsheet!I233,data!$H$4:$I$9)),"#",getgrade(Broadsheet!I233,data!$H$4:$I$9))</f>
        <v/>
      </c>
      <c r="J122" s="188" t="str">
        <f>IF(ISERROR(getgrade(Broadsheet!J233,data!$H$4:$I$9)),"#",getgrade(Broadsheet!J233,data!$H$4:$I$9))</f>
        <v/>
      </c>
      <c r="K122" s="188" t="str">
        <f>IF(ISERROR(getgrade(Broadsheet!K233,data!$H$4:$I$9)),"#",getgrade(Broadsheet!K233,data!$H$4:$I$9))</f>
        <v/>
      </c>
      <c r="L122" s="188" t="str">
        <f>IF(ISERROR(getgrade(Broadsheet!L233,data!$H$4:$I$9)),"#",getgrade(Broadsheet!L233,data!$H$4:$I$9))</f>
        <v/>
      </c>
      <c r="M122" s="188" t="str">
        <f>IF(ISERROR(getgrade(Broadsheet!M233,data!$H$4:$I$9)),"#",getgrade(Broadsheet!M233,data!$H$4:$I$9))</f>
        <v/>
      </c>
      <c r="N122" s="188" t="str">
        <f>IF(ISERROR(getgrade(Broadsheet!N233,data!$H$4:$I$9)),"#",getgrade(Broadsheet!N233,data!$H$4:$I$9))</f>
        <v/>
      </c>
      <c r="O122" s="188" t="str">
        <f>IF(ISERROR(getgrade(Broadsheet!O233,data!$H$4:$I$9)),"#",getgrade(Broadsheet!O233,data!$H$4:$I$9))</f>
        <v/>
      </c>
      <c r="P122" s="188" t="str">
        <f>IF(ISERROR(getgrade(Broadsheet!P233,data!$H$4:$I$9)),"#",getgrade(Broadsheet!P233,data!$H$4:$I$9))</f>
        <v/>
      </c>
      <c r="Q122" s="188" t="str">
        <f>IF(ISERROR(getgrade(Broadsheet!Q233,data!$H$4:$I$9)),"#",getgrade(Broadsheet!Q233,data!$H$4:$I$9))</f>
        <v/>
      </c>
      <c r="R122" s="188" t="str">
        <f>IF(ISERROR(getgrade(Broadsheet!R233,data!$H$4:$I$9)),"#",getgrade(Broadsheet!R233,data!$H$4:$I$9))</f>
        <v/>
      </c>
      <c r="S122" s="188" t="str">
        <f>IF(ISERROR(getgrade(Broadsheet!S233,data!$H$4:$I$9)),"#",getgrade(Broadsheet!S233,data!$H$4:$I$9))</f>
        <v/>
      </c>
      <c r="T122" s="188" t="str">
        <f>IF(ISERROR(getgrade(Broadsheet!T233,data!$H$4:$I$9)),"#",getgrade(Broadsheet!T233,data!$H$4:$I$9))</f>
        <v/>
      </c>
      <c r="U122" s="188" t="str">
        <f>IF(ISERROR(getgrade(Broadsheet!U233,data!$H$4:$I$9)),"#",getgrade(Broadsheet!U233,data!$H$4:$I$9))</f>
        <v/>
      </c>
      <c r="V122" s="188" t="str">
        <f>IF(ISERROR(getgrade(Broadsheet!V233,data!$H$4:$I$9)),"#",getgrade(Broadsheet!V233,data!$H$4:$I$9))</f>
        <v/>
      </c>
      <c r="W122" s="188" t="str">
        <f>IF(ISERROR(getgrade(Broadsheet!W233,data!$H$4:$I$9)),"#",getgrade(Broadsheet!W233,data!$H$4:$I$9))</f>
        <v/>
      </c>
      <c r="X122" s="188" t="str">
        <f>IF(ISERROR(getgrade(Broadsheet!X233,data!$H$4:$I$9)),"#",getgrade(Broadsheet!X233,data!$H$4:$I$9))</f>
        <v/>
      </c>
      <c r="Y122" s="188" t="str">
        <f>IF(ISERROR(getgrade(Broadsheet!Y233,data!$H$4:$I$9)),"#",getgrade(Broadsheet!Y233,data!$H$4:$I$9))</f>
        <v/>
      </c>
      <c r="Z122" s="188" t="str">
        <f>IF(ISERROR(getgrade(Broadsheet!Z233,data!$H$4:$I$9)),"#",getgrade(Broadsheet!Z233,data!$H$4:$I$9))</f>
        <v/>
      </c>
      <c r="AA122" s="188" t="str">
        <f>IF(ISERROR(getgrade(Broadsheet!AA233,data!$H$4:$I$9)),"#",getgrade(Broadsheet!AA233,data!$H$4:$I$9))</f>
        <v/>
      </c>
      <c r="AB122" s="188" t="str">
        <f>IF(ISERROR(getgrade(Broadsheet!AB233,data!$H$4:$I$9)),"#",getgrade(Broadsheet!AB233,data!$H$4:$I$9))</f>
        <v/>
      </c>
      <c r="AC122" s="188" t="str">
        <f>IF(ISERROR(getgrade(Broadsheet!AC233,data!$H$4:$I$9)),"#",getgrade(Broadsheet!AC233,data!$H$4:$I$9))</f>
        <v/>
      </c>
      <c r="AD122" s="188" t="str">
        <f>IF(ISERROR(getgrade(Broadsheet!AD233,data!$H$4:$I$9)),"#",getgrade(Broadsheet!AD233,data!$H$4:$I$9))</f>
        <v/>
      </c>
      <c r="AE122" s="188" t="str">
        <f>IF(ISERROR(getgrade(Broadsheet!AE233,data!$H$4:$I$9)),"#",getgrade(Broadsheet!AE233,data!$H$4:$I$9))</f>
        <v/>
      </c>
      <c r="AF122" s="188" t="str">
        <f>IF(ISERROR(getgrade(Broadsheet!AF233,data!$H$4:$I$9)),"#",getgrade(Broadsheet!AF233,data!$H$4:$I$9))</f>
        <v/>
      </c>
      <c r="AG122" s="188" t="str">
        <f>IF(ISERROR(getgrade(Broadsheet!AG233,data!$H$4:$I$9)),"#",getgrade(Broadsheet!AG233,data!$H$4:$I$9))</f>
        <v/>
      </c>
      <c r="AH122" s="188" t="str">
        <f>IF(ISERROR(getgrade(Broadsheet!AH233,data!$H$4:$I$9)),"#",getgrade(Broadsheet!AH233,data!$H$4:$I$9))</f>
        <v/>
      </c>
      <c r="AI122" s="188" t="str">
        <f>IF(ISERROR(getgrade(Broadsheet!AI233,data!$H$4:$I$9)),"#",getgrade(Broadsheet!AI233,data!$H$4:$I$9))</f>
        <v/>
      </c>
      <c r="AJ122" s="188" t="str">
        <f>IF(ISERROR(getgrade(Broadsheet!AJ233,data!$H$4:$I$9)),"#",getgrade(Broadsheet!AJ233,data!$H$4:$I$9))</f>
        <v/>
      </c>
      <c r="AK122" s="188" t="str">
        <f>IF(ISERROR(getgrade(Broadsheet!AK233,data!$H$4:$I$9)),"#",getgrade(Broadsheet!AK233,data!$H$4:$I$9))</f>
        <v/>
      </c>
      <c r="AL122" s="188" t="str">
        <f>IF(ISERROR(getgrade(Broadsheet!AL233,data!$H$4:$I$9)),"#",getgrade(Broadsheet!AL233,data!$H$4:$I$9))</f>
        <v/>
      </c>
      <c r="AM122" s="188" t="str">
        <f>IF(ISERROR(getgrade(Broadsheet!AM233,data!$H$4:$I$9)),"#",getgrade(Broadsheet!AM233,data!$H$4:$I$9))</f>
        <v/>
      </c>
      <c r="AN122" s="188" t="str">
        <f>IF(ISERROR(getgrade(Broadsheet!AN233,data!$H$4:$I$9)),"#",getgrade(Broadsheet!AN233,data!$H$4:$I$9))</f>
        <v/>
      </c>
      <c r="AO122" s="188" t="str">
        <f>IF(ISERROR(getgrade(Broadsheet!AO233,data!$H$4:$I$9)),"#",getgrade(Broadsheet!AO233,data!$H$4:$I$9))</f>
        <v/>
      </c>
      <c r="AP122" s="188" t="str">
        <f>IF(ISERROR(getgrade(Broadsheet!AP233,data!$H$4:$I$9)),"#",getgrade(Broadsheet!AP233,data!$H$4:$I$9))</f>
        <v/>
      </c>
      <c r="AQ122" s="188" t="str">
        <f>IF(ISERROR(getgrade(Broadsheet!AQ233,data!$H$4:$I$9)),"#",getgrade(Broadsheet!AQ233,data!$H$4:$I$9))</f>
        <v/>
      </c>
      <c r="AR122" s="188" t="str">
        <f>IF(ISERROR(getgrade(Broadsheet!AR233,data!$H$4:$I$9)),"#",getgrade(Broadsheet!AR233,data!$H$4:$I$9))</f>
        <v/>
      </c>
      <c r="AS122" s="188" t="str">
        <f>IF(ISERROR(getgrade(Broadsheet!AS233,data!$H$4:$I$9)),"#",getgrade(Broadsheet!AS233,data!$H$4:$I$9))</f>
        <v/>
      </c>
      <c r="AT122" s="188" t="str">
        <f>IF(ISERROR(getgrade(Broadsheet!AT233,data!$H$4:$I$9)),"#",getgrade(Broadsheet!AT233,data!$H$4:$I$9))</f>
        <v/>
      </c>
      <c r="AU122" s="188" t="str">
        <f>IF(ISERROR(getgrade(Broadsheet!AU233,data!$H$4:$I$9)),"#",getgrade(Broadsheet!AU233,data!$H$4:$I$9))</f>
        <v/>
      </c>
      <c r="AV122" s="188" t="str">
        <f>IF(ISERROR(getgrade(Broadsheet!AV233,data!$H$4:$I$9)),"#",getgrade(Broadsheet!AV233,data!$H$4:$I$9))</f>
        <v/>
      </c>
      <c r="AW122" s="188" t="str">
        <f>IF(ISERROR(getgrade(Broadsheet!AW233,data!$H$4:$I$9)),"#",getgrade(Broadsheet!AW233,data!$H$4:$I$9))</f>
        <v/>
      </c>
      <c r="AX122" s="188" t="str">
        <f>IF(ISERROR(getgrade(Broadsheet!AX233,data!$H$4:$I$9)),"#",getgrade(Broadsheet!AX233,data!$H$4:$I$9))</f>
        <v/>
      </c>
      <c r="AY122" s="188" t="str">
        <f>IF(ISERROR(getgrade(Broadsheet!AY233,data!$H$4:$I$9)),"#",getgrade(Broadsheet!AY233,data!$H$4:$I$9))</f>
        <v/>
      </c>
      <c r="AZ122" s="188" t="str">
        <f>IF(ISERROR(getgrade(Broadsheet!AZ233,data!$H$4:$I$9)),"#",getgrade(Broadsheet!AZ233,data!$H$4:$I$9))</f>
        <v/>
      </c>
      <c r="BA122" s="188" t="str">
        <f>IF(ISERROR(getgrade(Broadsheet!BA233,data!$H$4:$I$9)),"#",getgrade(Broadsheet!BA233,data!$H$4:$I$9))</f>
        <v/>
      </c>
      <c r="BB122" s="188" t="str">
        <f>IF(ISERROR(getgrade(Broadsheet!BB233,data!$H$4:$I$9)),"#",getgrade(Broadsheet!BB233,data!$H$4:$I$9))</f>
        <v/>
      </c>
      <c r="BC122" s="188" t="str">
        <f>IF(ISERROR(getgrade(Broadsheet!BC233,data!$H$4:$I$9)),"#",getgrade(Broadsheet!BC233,data!$H$4:$I$9))</f>
        <v/>
      </c>
      <c r="BD122" s="188" t="str">
        <f>IF(ISERROR(getgrade(Broadsheet!BD233,data!$H$4:$I$9)),"#",getgrade(Broadsheet!BD233,data!$H$4:$I$9))</f>
        <v/>
      </c>
      <c r="BE122" s="188" t="str">
        <f>IF(ISERROR(getgrade(Broadsheet!BE233,data!$H$4:$I$9)),"#",getgrade(Broadsheet!BE233,data!$H$4:$I$9))</f>
        <v/>
      </c>
      <c r="BF122" s="188" t="str">
        <f>IF(ISERROR(getgrade(Broadsheet!BF233,data!$H$4:$I$9)),"#",getgrade(Broadsheet!BF233,data!$H$4:$I$9))</f>
        <v/>
      </c>
      <c r="BG122" s="188" t="str">
        <f>IF(ISERROR(getgrade(Broadsheet!BG233,data!$H$4:$I$9)),"#",getgrade(Broadsheet!BG233,data!$H$4:$I$9))</f>
        <v/>
      </c>
      <c r="BH122" s="188" t="str">
        <f>IF(ISERROR(getgrade(Broadsheet!BH233,data!$H$4:$I$9)),"#",getgrade(Broadsheet!BH233,data!$H$4:$I$9))</f>
        <v/>
      </c>
      <c r="BI122" s="188" t="str">
        <f>IF(ISERROR(getgrade(Broadsheet!BI233,data!$H$4:$I$9)),"#",getgrade(Broadsheet!BI233,data!$H$4:$I$9))</f>
        <v/>
      </c>
      <c r="BJ122" s="188" t="str">
        <f>IF(ISERROR(getgrade(Broadsheet!BJ233,data!$H$4:$I$9)),"#",getgrade(Broadsheet!BJ233,data!$H$4:$I$9))</f>
        <v/>
      </c>
      <c r="BK122" s="188"/>
      <c r="BL122" s="188"/>
      <c r="BM122" s="188"/>
      <c r="BN122" s="188"/>
      <c r="BO122" s="188"/>
      <c r="BP122" s="188"/>
      <c r="BQ122" s="188"/>
      <c r="BR122" s="188"/>
      <c r="BS122" s="188"/>
      <c r="BT122" s="188"/>
      <c r="BU122" s="188"/>
      <c r="BV122" s="188"/>
      <c r="BW122" s="188"/>
      <c r="BX122" s="188"/>
      <c r="BY122" s="188"/>
      <c r="BZ122" s="188"/>
      <c r="CA122" s="188"/>
      <c r="CB122" s="188"/>
      <c r="CC122" s="188"/>
      <c r="CD122" s="188"/>
      <c r="CE122" s="188"/>
      <c r="CF122" s="188"/>
      <c r="CG122" s="188"/>
      <c r="CH122" s="188"/>
      <c r="CI122" s="188"/>
      <c r="CJ122" s="188"/>
      <c r="CK122" s="188"/>
      <c r="CL122" s="188"/>
      <c r="CM122" s="188"/>
      <c r="CN122" s="188"/>
      <c r="CO122" s="188"/>
      <c r="CP122" s="188"/>
      <c r="CQ122" s="188"/>
      <c r="CR122" s="188"/>
      <c r="CS122" s="188"/>
      <c r="CT122" s="188"/>
      <c r="CU122" s="188"/>
      <c r="CV122" s="188"/>
      <c r="CW122" s="188"/>
      <c r="CX122" s="188"/>
      <c r="CY122" s="188"/>
      <c r="CZ122" s="188"/>
      <c r="DA122" s="188"/>
      <c r="DB122" s="188"/>
      <c r="DC122" s="188"/>
      <c r="DD122" s="188"/>
      <c r="DE122" s="188"/>
      <c r="DF122" s="188"/>
      <c r="DG122" s="188"/>
      <c r="DH122" s="188"/>
      <c r="DI122" s="188"/>
      <c r="DJ122" s="188"/>
      <c r="DK122" s="188"/>
      <c r="DL122" s="188"/>
      <c r="DM122" s="188"/>
      <c r="DN122" s="188"/>
      <c r="DO122" s="188"/>
      <c r="DP122" s="188"/>
      <c r="DQ122" s="188"/>
      <c r="DR122" s="188"/>
      <c r="DS122" s="188"/>
      <c r="DT122" s="188"/>
      <c r="DU122" s="188"/>
      <c r="DV122" s="188"/>
      <c r="DW122" s="188"/>
      <c r="DX122" s="188"/>
      <c r="DY122" s="188"/>
      <c r="DZ122" s="188"/>
      <c r="EA122" s="188"/>
    </row>
    <row r="123" spans="1:131" ht="15.75" x14ac:dyDescent="0.25">
      <c r="A123" s="12">
        <f>Broadsheet!A234</f>
        <v>0</v>
      </c>
      <c r="B123" s="204" t="str">
        <f>IF(Broadsheet!B123="","",Broadsheet!B123)</f>
        <v/>
      </c>
      <c r="C123" s="24" t="str">
        <f>IF(Broadsheet!C123="","",Broadsheet!C123)</f>
        <v xml:space="preserve"> </v>
      </c>
      <c r="G123" s="24" t="str">
        <f t="shared" si="1"/>
        <v/>
      </c>
      <c r="H123" s="188" t="str">
        <f>IF(ISERROR(getgrade(Broadsheet!H234,data!$H$4:$I$9)),"#",getgrade(Broadsheet!H234,data!$H$4:$I$9))</f>
        <v/>
      </c>
      <c r="I123" s="188" t="str">
        <f>IF(ISERROR(getgrade(Broadsheet!I234,data!$H$4:$I$9)),"#",getgrade(Broadsheet!I234,data!$H$4:$I$9))</f>
        <v/>
      </c>
      <c r="J123" s="188" t="str">
        <f>IF(ISERROR(getgrade(Broadsheet!J234,data!$H$4:$I$9)),"#",getgrade(Broadsheet!J234,data!$H$4:$I$9))</f>
        <v/>
      </c>
      <c r="K123" s="188" t="str">
        <f>IF(ISERROR(getgrade(Broadsheet!K234,data!$H$4:$I$9)),"#",getgrade(Broadsheet!K234,data!$H$4:$I$9))</f>
        <v/>
      </c>
      <c r="L123" s="188" t="str">
        <f>IF(ISERROR(getgrade(Broadsheet!L234,data!$H$4:$I$9)),"#",getgrade(Broadsheet!L234,data!$H$4:$I$9))</f>
        <v/>
      </c>
      <c r="M123" s="188" t="str">
        <f>IF(ISERROR(getgrade(Broadsheet!M234,data!$H$4:$I$9)),"#",getgrade(Broadsheet!M234,data!$H$4:$I$9))</f>
        <v/>
      </c>
      <c r="N123" s="188" t="str">
        <f>IF(ISERROR(getgrade(Broadsheet!N234,data!$H$4:$I$9)),"#",getgrade(Broadsheet!N234,data!$H$4:$I$9))</f>
        <v/>
      </c>
      <c r="O123" s="188" t="str">
        <f>IF(ISERROR(getgrade(Broadsheet!O234,data!$H$4:$I$9)),"#",getgrade(Broadsheet!O234,data!$H$4:$I$9))</f>
        <v/>
      </c>
      <c r="P123" s="188" t="str">
        <f>IF(ISERROR(getgrade(Broadsheet!P234,data!$H$4:$I$9)),"#",getgrade(Broadsheet!P234,data!$H$4:$I$9))</f>
        <v/>
      </c>
      <c r="Q123" s="188" t="str">
        <f>IF(ISERROR(getgrade(Broadsheet!Q234,data!$H$4:$I$9)),"#",getgrade(Broadsheet!Q234,data!$H$4:$I$9))</f>
        <v/>
      </c>
      <c r="R123" s="188" t="str">
        <f>IF(ISERROR(getgrade(Broadsheet!R234,data!$H$4:$I$9)),"#",getgrade(Broadsheet!R234,data!$H$4:$I$9))</f>
        <v/>
      </c>
      <c r="S123" s="188" t="str">
        <f>IF(ISERROR(getgrade(Broadsheet!S234,data!$H$4:$I$9)),"#",getgrade(Broadsheet!S234,data!$H$4:$I$9))</f>
        <v/>
      </c>
      <c r="T123" s="188" t="str">
        <f>IF(ISERROR(getgrade(Broadsheet!T234,data!$H$4:$I$9)),"#",getgrade(Broadsheet!T234,data!$H$4:$I$9))</f>
        <v/>
      </c>
      <c r="U123" s="188" t="str">
        <f>IF(ISERROR(getgrade(Broadsheet!U234,data!$H$4:$I$9)),"#",getgrade(Broadsheet!U234,data!$H$4:$I$9))</f>
        <v/>
      </c>
      <c r="V123" s="188" t="str">
        <f>IF(ISERROR(getgrade(Broadsheet!V234,data!$H$4:$I$9)),"#",getgrade(Broadsheet!V234,data!$H$4:$I$9))</f>
        <v/>
      </c>
      <c r="W123" s="188" t="str">
        <f>IF(ISERROR(getgrade(Broadsheet!W234,data!$H$4:$I$9)),"#",getgrade(Broadsheet!W234,data!$H$4:$I$9))</f>
        <v/>
      </c>
      <c r="X123" s="188" t="str">
        <f>IF(ISERROR(getgrade(Broadsheet!X234,data!$H$4:$I$9)),"#",getgrade(Broadsheet!X234,data!$H$4:$I$9))</f>
        <v/>
      </c>
      <c r="Y123" s="188" t="str">
        <f>IF(ISERROR(getgrade(Broadsheet!Y234,data!$H$4:$I$9)),"#",getgrade(Broadsheet!Y234,data!$H$4:$I$9))</f>
        <v/>
      </c>
      <c r="Z123" s="188" t="str">
        <f>IF(ISERROR(getgrade(Broadsheet!Z234,data!$H$4:$I$9)),"#",getgrade(Broadsheet!Z234,data!$H$4:$I$9))</f>
        <v/>
      </c>
      <c r="AA123" s="188" t="str">
        <f>IF(ISERROR(getgrade(Broadsheet!AA234,data!$H$4:$I$9)),"#",getgrade(Broadsheet!AA234,data!$H$4:$I$9))</f>
        <v/>
      </c>
      <c r="AB123" s="188" t="str">
        <f>IF(ISERROR(getgrade(Broadsheet!AB234,data!$H$4:$I$9)),"#",getgrade(Broadsheet!AB234,data!$H$4:$I$9))</f>
        <v/>
      </c>
      <c r="AC123" s="188" t="str">
        <f>IF(ISERROR(getgrade(Broadsheet!AC234,data!$H$4:$I$9)),"#",getgrade(Broadsheet!AC234,data!$H$4:$I$9))</f>
        <v/>
      </c>
      <c r="AD123" s="188" t="str">
        <f>IF(ISERROR(getgrade(Broadsheet!AD234,data!$H$4:$I$9)),"#",getgrade(Broadsheet!AD234,data!$H$4:$I$9))</f>
        <v/>
      </c>
      <c r="AE123" s="188" t="str">
        <f>IF(ISERROR(getgrade(Broadsheet!AE234,data!$H$4:$I$9)),"#",getgrade(Broadsheet!AE234,data!$H$4:$I$9))</f>
        <v/>
      </c>
      <c r="AF123" s="188" t="str">
        <f>IF(ISERROR(getgrade(Broadsheet!AF234,data!$H$4:$I$9)),"#",getgrade(Broadsheet!AF234,data!$H$4:$I$9))</f>
        <v/>
      </c>
      <c r="AG123" s="188" t="str">
        <f>IF(ISERROR(getgrade(Broadsheet!AG234,data!$H$4:$I$9)),"#",getgrade(Broadsheet!AG234,data!$H$4:$I$9))</f>
        <v/>
      </c>
      <c r="AH123" s="188" t="str">
        <f>IF(ISERROR(getgrade(Broadsheet!AH234,data!$H$4:$I$9)),"#",getgrade(Broadsheet!AH234,data!$H$4:$I$9))</f>
        <v/>
      </c>
      <c r="AI123" s="188" t="str">
        <f>IF(ISERROR(getgrade(Broadsheet!AI234,data!$H$4:$I$9)),"#",getgrade(Broadsheet!AI234,data!$H$4:$I$9))</f>
        <v/>
      </c>
      <c r="AJ123" s="188" t="str">
        <f>IF(ISERROR(getgrade(Broadsheet!AJ234,data!$H$4:$I$9)),"#",getgrade(Broadsheet!AJ234,data!$H$4:$I$9))</f>
        <v/>
      </c>
      <c r="AK123" s="188" t="str">
        <f>IF(ISERROR(getgrade(Broadsheet!AK234,data!$H$4:$I$9)),"#",getgrade(Broadsheet!AK234,data!$H$4:$I$9))</f>
        <v/>
      </c>
      <c r="AL123" s="188" t="str">
        <f>IF(ISERROR(getgrade(Broadsheet!AL234,data!$H$4:$I$9)),"#",getgrade(Broadsheet!AL234,data!$H$4:$I$9))</f>
        <v/>
      </c>
      <c r="AM123" s="188" t="str">
        <f>IF(ISERROR(getgrade(Broadsheet!AM234,data!$H$4:$I$9)),"#",getgrade(Broadsheet!AM234,data!$H$4:$I$9))</f>
        <v/>
      </c>
      <c r="AN123" s="188" t="str">
        <f>IF(ISERROR(getgrade(Broadsheet!AN234,data!$H$4:$I$9)),"#",getgrade(Broadsheet!AN234,data!$H$4:$I$9))</f>
        <v/>
      </c>
      <c r="AO123" s="188" t="str">
        <f>IF(ISERROR(getgrade(Broadsheet!AO234,data!$H$4:$I$9)),"#",getgrade(Broadsheet!AO234,data!$H$4:$I$9))</f>
        <v/>
      </c>
      <c r="AP123" s="188" t="str">
        <f>IF(ISERROR(getgrade(Broadsheet!AP234,data!$H$4:$I$9)),"#",getgrade(Broadsheet!AP234,data!$H$4:$I$9))</f>
        <v/>
      </c>
      <c r="AQ123" s="188" t="str">
        <f>IF(ISERROR(getgrade(Broadsheet!AQ234,data!$H$4:$I$9)),"#",getgrade(Broadsheet!AQ234,data!$H$4:$I$9))</f>
        <v/>
      </c>
      <c r="AR123" s="188" t="str">
        <f>IF(ISERROR(getgrade(Broadsheet!AR234,data!$H$4:$I$9)),"#",getgrade(Broadsheet!AR234,data!$H$4:$I$9))</f>
        <v/>
      </c>
      <c r="AS123" s="188" t="str">
        <f>IF(ISERROR(getgrade(Broadsheet!AS234,data!$H$4:$I$9)),"#",getgrade(Broadsheet!AS234,data!$H$4:$I$9))</f>
        <v/>
      </c>
      <c r="AT123" s="188" t="str">
        <f>IF(ISERROR(getgrade(Broadsheet!AT234,data!$H$4:$I$9)),"#",getgrade(Broadsheet!AT234,data!$H$4:$I$9))</f>
        <v/>
      </c>
      <c r="AU123" s="188" t="str">
        <f>IF(ISERROR(getgrade(Broadsheet!AU234,data!$H$4:$I$9)),"#",getgrade(Broadsheet!AU234,data!$H$4:$I$9))</f>
        <v/>
      </c>
      <c r="AV123" s="188" t="str">
        <f>IF(ISERROR(getgrade(Broadsheet!AV234,data!$H$4:$I$9)),"#",getgrade(Broadsheet!AV234,data!$H$4:$I$9))</f>
        <v/>
      </c>
      <c r="AW123" s="188" t="str">
        <f>IF(ISERROR(getgrade(Broadsheet!AW234,data!$H$4:$I$9)),"#",getgrade(Broadsheet!AW234,data!$H$4:$I$9))</f>
        <v/>
      </c>
      <c r="AX123" s="188" t="str">
        <f>IF(ISERROR(getgrade(Broadsheet!AX234,data!$H$4:$I$9)),"#",getgrade(Broadsheet!AX234,data!$H$4:$I$9))</f>
        <v/>
      </c>
      <c r="AY123" s="188" t="str">
        <f>IF(ISERROR(getgrade(Broadsheet!AY234,data!$H$4:$I$9)),"#",getgrade(Broadsheet!AY234,data!$H$4:$I$9))</f>
        <v/>
      </c>
      <c r="AZ123" s="188" t="str">
        <f>IF(ISERROR(getgrade(Broadsheet!AZ234,data!$H$4:$I$9)),"#",getgrade(Broadsheet!AZ234,data!$H$4:$I$9))</f>
        <v/>
      </c>
      <c r="BA123" s="188" t="str">
        <f>IF(ISERROR(getgrade(Broadsheet!BA234,data!$H$4:$I$9)),"#",getgrade(Broadsheet!BA234,data!$H$4:$I$9))</f>
        <v/>
      </c>
      <c r="BB123" s="188" t="str">
        <f>IF(ISERROR(getgrade(Broadsheet!BB234,data!$H$4:$I$9)),"#",getgrade(Broadsheet!BB234,data!$H$4:$I$9))</f>
        <v/>
      </c>
      <c r="BC123" s="188" t="str">
        <f>IF(ISERROR(getgrade(Broadsheet!BC234,data!$H$4:$I$9)),"#",getgrade(Broadsheet!BC234,data!$H$4:$I$9))</f>
        <v/>
      </c>
      <c r="BD123" s="188" t="str">
        <f>IF(ISERROR(getgrade(Broadsheet!BD234,data!$H$4:$I$9)),"#",getgrade(Broadsheet!BD234,data!$H$4:$I$9))</f>
        <v/>
      </c>
      <c r="BE123" s="188" t="str">
        <f>IF(ISERROR(getgrade(Broadsheet!BE234,data!$H$4:$I$9)),"#",getgrade(Broadsheet!BE234,data!$H$4:$I$9))</f>
        <v/>
      </c>
      <c r="BF123" s="188" t="str">
        <f>IF(ISERROR(getgrade(Broadsheet!BF234,data!$H$4:$I$9)),"#",getgrade(Broadsheet!BF234,data!$H$4:$I$9))</f>
        <v/>
      </c>
      <c r="BG123" s="188" t="str">
        <f>IF(ISERROR(getgrade(Broadsheet!BG234,data!$H$4:$I$9)),"#",getgrade(Broadsheet!BG234,data!$H$4:$I$9))</f>
        <v/>
      </c>
      <c r="BH123" s="188" t="str">
        <f>IF(ISERROR(getgrade(Broadsheet!BH234,data!$H$4:$I$9)),"#",getgrade(Broadsheet!BH234,data!$H$4:$I$9))</f>
        <v/>
      </c>
      <c r="BI123" s="188" t="str">
        <f>IF(ISERROR(getgrade(Broadsheet!BI234,data!$H$4:$I$9)),"#",getgrade(Broadsheet!BI234,data!$H$4:$I$9))</f>
        <v/>
      </c>
      <c r="BJ123" s="188" t="str">
        <f>IF(ISERROR(getgrade(Broadsheet!BJ234,data!$H$4:$I$9)),"#",getgrade(Broadsheet!BJ234,data!$H$4:$I$9))</f>
        <v/>
      </c>
      <c r="BK123" s="188"/>
      <c r="BL123" s="188"/>
      <c r="BM123" s="188"/>
      <c r="BN123" s="188"/>
      <c r="BO123" s="188"/>
      <c r="BP123" s="188"/>
      <c r="BQ123" s="188"/>
      <c r="BR123" s="188"/>
      <c r="BS123" s="188"/>
      <c r="BT123" s="188"/>
      <c r="BU123" s="188"/>
      <c r="BV123" s="188"/>
      <c r="BW123" s="188"/>
      <c r="BX123" s="188"/>
      <c r="BY123" s="188"/>
      <c r="BZ123" s="188"/>
      <c r="CA123" s="188"/>
      <c r="CB123" s="188"/>
      <c r="CC123" s="188"/>
      <c r="CD123" s="188"/>
      <c r="CE123" s="188"/>
      <c r="CF123" s="188"/>
      <c r="CG123" s="188"/>
      <c r="CH123" s="188"/>
      <c r="CI123" s="188"/>
      <c r="CJ123" s="188"/>
      <c r="CK123" s="188"/>
      <c r="CL123" s="188"/>
      <c r="CM123" s="188"/>
      <c r="CN123" s="188"/>
      <c r="CO123" s="188"/>
      <c r="CP123" s="188"/>
      <c r="CQ123" s="188"/>
      <c r="CR123" s="188"/>
      <c r="CS123" s="188"/>
      <c r="CT123" s="188"/>
      <c r="CU123" s="188"/>
      <c r="CV123" s="188"/>
      <c r="CW123" s="188"/>
      <c r="CX123" s="188"/>
      <c r="CY123" s="188"/>
      <c r="CZ123" s="188"/>
      <c r="DA123" s="188"/>
      <c r="DB123" s="188"/>
      <c r="DC123" s="188"/>
      <c r="DD123" s="188"/>
      <c r="DE123" s="188"/>
      <c r="DF123" s="188"/>
      <c r="DG123" s="188"/>
      <c r="DH123" s="188"/>
      <c r="DI123" s="188"/>
      <c r="DJ123" s="188"/>
      <c r="DK123" s="188"/>
      <c r="DL123" s="188"/>
      <c r="DM123" s="188"/>
      <c r="DN123" s="188"/>
      <c r="DO123" s="188"/>
      <c r="DP123" s="188"/>
      <c r="DQ123" s="188"/>
      <c r="DR123" s="188"/>
      <c r="DS123" s="188"/>
      <c r="DT123" s="188"/>
      <c r="DU123" s="188"/>
      <c r="DV123" s="188"/>
      <c r="DW123" s="188"/>
      <c r="DX123" s="188"/>
      <c r="DY123" s="188"/>
      <c r="DZ123" s="188"/>
      <c r="EA123" s="188"/>
    </row>
    <row r="124" spans="1:131" ht="15.75" x14ac:dyDescent="0.25">
      <c r="A124" s="12">
        <f>Broadsheet!A235</f>
        <v>0</v>
      </c>
      <c r="B124" s="204" t="str">
        <f>IF(Broadsheet!B124="","",Broadsheet!B124)</f>
        <v/>
      </c>
      <c r="C124" s="24" t="str">
        <f>IF(Broadsheet!C124="","",Broadsheet!C124)</f>
        <v xml:space="preserve"> </v>
      </c>
      <c r="G124" s="24" t="str">
        <f t="shared" si="1"/>
        <v/>
      </c>
      <c r="H124" s="188" t="str">
        <f>IF(ISERROR(getgrade(Broadsheet!H235,data!$H$4:$I$9)),"#",getgrade(Broadsheet!H235,data!$H$4:$I$9))</f>
        <v/>
      </c>
      <c r="I124" s="188" t="str">
        <f>IF(ISERROR(getgrade(Broadsheet!I235,data!$H$4:$I$9)),"#",getgrade(Broadsheet!I235,data!$H$4:$I$9))</f>
        <v/>
      </c>
      <c r="J124" s="188" t="str">
        <f>IF(ISERROR(getgrade(Broadsheet!J235,data!$H$4:$I$9)),"#",getgrade(Broadsheet!J235,data!$H$4:$I$9))</f>
        <v/>
      </c>
      <c r="K124" s="188" t="str">
        <f>IF(ISERROR(getgrade(Broadsheet!K235,data!$H$4:$I$9)),"#",getgrade(Broadsheet!K235,data!$H$4:$I$9))</f>
        <v/>
      </c>
      <c r="L124" s="188" t="str">
        <f>IF(ISERROR(getgrade(Broadsheet!L235,data!$H$4:$I$9)),"#",getgrade(Broadsheet!L235,data!$H$4:$I$9))</f>
        <v/>
      </c>
      <c r="M124" s="188" t="str">
        <f>IF(ISERROR(getgrade(Broadsheet!M235,data!$H$4:$I$9)),"#",getgrade(Broadsheet!M235,data!$H$4:$I$9))</f>
        <v/>
      </c>
      <c r="N124" s="188" t="str">
        <f>IF(ISERROR(getgrade(Broadsheet!N235,data!$H$4:$I$9)),"#",getgrade(Broadsheet!N235,data!$H$4:$I$9))</f>
        <v/>
      </c>
      <c r="O124" s="188" t="str">
        <f>IF(ISERROR(getgrade(Broadsheet!O235,data!$H$4:$I$9)),"#",getgrade(Broadsheet!O235,data!$H$4:$I$9))</f>
        <v/>
      </c>
      <c r="P124" s="188" t="str">
        <f>IF(ISERROR(getgrade(Broadsheet!P235,data!$H$4:$I$9)),"#",getgrade(Broadsheet!P235,data!$H$4:$I$9))</f>
        <v/>
      </c>
      <c r="Q124" s="188" t="str">
        <f>IF(ISERROR(getgrade(Broadsheet!Q235,data!$H$4:$I$9)),"#",getgrade(Broadsheet!Q235,data!$H$4:$I$9))</f>
        <v/>
      </c>
      <c r="R124" s="188" t="str">
        <f>IF(ISERROR(getgrade(Broadsheet!R235,data!$H$4:$I$9)),"#",getgrade(Broadsheet!R235,data!$H$4:$I$9))</f>
        <v/>
      </c>
      <c r="S124" s="188" t="str">
        <f>IF(ISERROR(getgrade(Broadsheet!S235,data!$H$4:$I$9)),"#",getgrade(Broadsheet!S235,data!$H$4:$I$9))</f>
        <v/>
      </c>
      <c r="T124" s="188" t="str">
        <f>IF(ISERROR(getgrade(Broadsheet!T235,data!$H$4:$I$9)),"#",getgrade(Broadsheet!T235,data!$H$4:$I$9))</f>
        <v/>
      </c>
      <c r="U124" s="188" t="str">
        <f>IF(ISERROR(getgrade(Broadsheet!U235,data!$H$4:$I$9)),"#",getgrade(Broadsheet!U235,data!$H$4:$I$9))</f>
        <v/>
      </c>
      <c r="V124" s="188" t="str">
        <f>IF(ISERROR(getgrade(Broadsheet!V235,data!$H$4:$I$9)),"#",getgrade(Broadsheet!V235,data!$H$4:$I$9))</f>
        <v/>
      </c>
      <c r="W124" s="188" t="str">
        <f>IF(ISERROR(getgrade(Broadsheet!W235,data!$H$4:$I$9)),"#",getgrade(Broadsheet!W235,data!$H$4:$I$9))</f>
        <v/>
      </c>
      <c r="X124" s="188" t="str">
        <f>IF(ISERROR(getgrade(Broadsheet!X235,data!$H$4:$I$9)),"#",getgrade(Broadsheet!X235,data!$H$4:$I$9))</f>
        <v/>
      </c>
      <c r="Y124" s="188" t="str">
        <f>IF(ISERROR(getgrade(Broadsheet!Y235,data!$H$4:$I$9)),"#",getgrade(Broadsheet!Y235,data!$H$4:$I$9))</f>
        <v/>
      </c>
      <c r="Z124" s="188" t="str">
        <f>IF(ISERROR(getgrade(Broadsheet!Z235,data!$H$4:$I$9)),"#",getgrade(Broadsheet!Z235,data!$H$4:$I$9))</f>
        <v/>
      </c>
      <c r="AA124" s="188" t="str">
        <f>IF(ISERROR(getgrade(Broadsheet!AA235,data!$H$4:$I$9)),"#",getgrade(Broadsheet!AA235,data!$H$4:$I$9))</f>
        <v/>
      </c>
      <c r="AB124" s="188" t="str">
        <f>IF(ISERROR(getgrade(Broadsheet!AB235,data!$H$4:$I$9)),"#",getgrade(Broadsheet!AB235,data!$H$4:$I$9))</f>
        <v/>
      </c>
      <c r="AC124" s="188" t="str">
        <f>IF(ISERROR(getgrade(Broadsheet!AC235,data!$H$4:$I$9)),"#",getgrade(Broadsheet!AC235,data!$H$4:$I$9))</f>
        <v/>
      </c>
      <c r="AD124" s="188" t="str">
        <f>IF(ISERROR(getgrade(Broadsheet!AD235,data!$H$4:$I$9)),"#",getgrade(Broadsheet!AD235,data!$H$4:$I$9))</f>
        <v/>
      </c>
      <c r="AE124" s="188" t="str">
        <f>IF(ISERROR(getgrade(Broadsheet!AE235,data!$H$4:$I$9)),"#",getgrade(Broadsheet!AE235,data!$H$4:$I$9))</f>
        <v/>
      </c>
      <c r="AF124" s="188" t="str">
        <f>IF(ISERROR(getgrade(Broadsheet!AF235,data!$H$4:$I$9)),"#",getgrade(Broadsheet!AF235,data!$H$4:$I$9))</f>
        <v/>
      </c>
      <c r="AG124" s="188" t="str">
        <f>IF(ISERROR(getgrade(Broadsheet!AG235,data!$H$4:$I$9)),"#",getgrade(Broadsheet!AG235,data!$H$4:$I$9))</f>
        <v/>
      </c>
      <c r="AH124" s="188" t="str">
        <f>IF(ISERROR(getgrade(Broadsheet!AH235,data!$H$4:$I$9)),"#",getgrade(Broadsheet!AH235,data!$H$4:$I$9))</f>
        <v/>
      </c>
      <c r="AI124" s="188" t="str">
        <f>IF(ISERROR(getgrade(Broadsheet!AI235,data!$H$4:$I$9)),"#",getgrade(Broadsheet!AI235,data!$H$4:$I$9))</f>
        <v/>
      </c>
      <c r="AJ124" s="188" t="str">
        <f>IF(ISERROR(getgrade(Broadsheet!AJ235,data!$H$4:$I$9)),"#",getgrade(Broadsheet!AJ235,data!$H$4:$I$9))</f>
        <v/>
      </c>
      <c r="AK124" s="188" t="str">
        <f>IF(ISERROR(getgrade(Broadsheet!AK235,data!$H$4:$I$9)),"#",getgrade(Broadsheet!AK235,data!$H$4:$I$9))</f>
        <v/>
      </c>
      <c r="AL124" s="188" t="str">
        <f>IF(ISERROR(getgrade(Broadsheet!AL235,data!$H$4:$I$9)),"#",getgrade(Broadsheet!AL235,data!$H$4:$I$9))</f>
        <v/>
      </c>
      <c r="AM124" s="188" t="str">
        <f>IF(ISERROR(getgrade(Broadsheet!AM235,data!$H$4:$I$9)),"#",getgrade(Broadsheet!AM235,data!$H$4:$I$9))</f>
        <v/>
      </c>
      <c r="AN124" s="188" t="str">
        <f>IF(ISERROR(getgrade(Broadsheet!AN235,data!$H$4:$I$9)),"#",getgrade(Broadsheet!AN235,data!$H$4:$I$9))</f>
        <v/>
      </c>
      <c r="AO124" s="188" t="str">
        <f>IF(ISERROR(getgrade(Broadsheet!AO235,data!$H$4:$I$9)),"#",getgrade(Broadsheet!AO235,data!$H$4:$I$9))</f>
        <v/>
      </c>
      <c r="AP124" s="188" t="str">
        <f>IF(ISERROR(getgrade(Broadsheet!AP235,data!$H$4:$I$9)),"#",getgrade(Broadsheet!AP235,data!$H$4:$I$9))</f>
        <v/>
      </c>
      <c r="AQ124" s="188" t="str">
        <f>IF(ISERROR(getgrade(Broadsheet!AQ235,data!$H$4:$I$9)),"#",getgrade(Broadsheet!AQ235,data!$H$4:$I$9))</f>
        <v/>
      </c>
      <c r="AR124" s="188" t="str">
        <f>IF(ISERROR(getgrade(Broadsheet!AR235,data!$H$4:$I$9)),"#",getgrade(Broadsheet!AR235,data!$H$4:$I$9))</f>
        <v/>
      </c>
      <c r="AS124" s="188" t="str">
        <f>IF(ISERROR(getgrade(Broadsheet!AS235,data!$H$4:$I$9)),"#",getgrade(Broadsheet!AS235,data!$H$4:$I$9))</f>
        <v/>
      </c>
      <c r="AT124" s="188" t="str">
        <f>IF(ISERROR(getgrade(Broadsheet!AT235,data!$H$4:$I$9)),"#",getgrade(Broadsheet!AT235,data!$H$4:$I$9))</f>
        <v/>
      </c>
      <c r="AU124" s="188" t="str">
        <f>IF(ISERROR(getgrade(Broadsheet!AU235,data!$H$4:$I$9)),"#",getgrade(Broadsheet!AU235,data!$H$4:$I$9))</f>
        <v/>
      </c>
      <c r="AV124" s="188" t="str">
        <f>IF(ISERROR(getgrade(Broadsheet!AV235,data!$H$4:$I$9)),"#",getgrade(Broadsheet!AV235,data!$H$4:$I$9))</f>
        <v/>
      </c>
      <c r="AW124" s="188" t="str">
        <f>IF(ISERROR(getgrade(Broadsheet!AW235,data!$H$4:$I$9)),"#",getgrade(Broadsheet!AW235,data!$H$4:$I$9))</f>
        <v/>
      </c>
      <c r="AX124" s="188" t="str">
        <f>IF(ISERROR(getgrade(Broadsheet!AX235,data!$H$4:$I$9)),"#",getgrade(Broadsheet!AX235,data!$H$4:$I$9))</f>
        <v/>
      </c>
      <c r="AY124" s="188" t="str">
        <f>IF(ISERROR(getgrade(Broadsheet!AY235,data!$H$4:$I$9)),"#",getgrade(Broadsheet!AY235,data!$H$4:$I$9))</f>
        <v/>
      </c>
      <c r="AZ124" s="188" t="str">
        <f>IF(ISERROR(getgrade(Broadsheet!AZ235,data!$H$4:$I$9)),"#",getgrade(Broadsheet!AZ235,data!$H$4:$I$9))</f>
        <v/>
      </c>
      <c r="BA124" s="188" t="str">
        <f>IF(ISERROR(getgrade(Broadsheet!BA235,data!$H$4:$I$9)),"#",getgrade(Broadsheet!BA235,data!$H$4:$I$9))</f>
        <v/>
      </c>
      <c r="BB124" s="188" t="str">
        <f>IF(ISERROR(getgrade(Broadsheet!BB235,data!$H$4:$I$9)),"#",getgrade(Broadsheet!BB235,data!$H$4:$I$9))</f>
        <v/>
      </c>
      <c r="BC124" s="188" t="str">
        <f>IF(ISERROR(getgrade(Broadsheet!BC235,data!$H$4:$I$9)),"#",getgrade(Broadsheet!BC235,data!$H$4:$I$9))</f>
        <v/>
      </c>
      <c r="BD124" s="188" t="str">
        <f>IF(ISERROR(getgrade(Broadsheet!BD235,data!$H$4:$I$9)),"#",getgrade(Broadsheet!BD235,data!$H$4:$I$9))</f>
        <v/>
      </c>
      <c r="BE124" s="188" t="str">
        <f>IF(ISERROR(getgrade(Broadsheet!BE235,data!$H$4:$I$9)),"#",getgrade(Broadsheet!BE235,data!$H$4:$I$9))</f>
        <v/>
      </c>
      <c r="BF124" s="188" t="str">
        <f>IF(ISERROR(getgrade(Broadsheet!BF235,data!$H$4:$I$9)),"#",getgrade(Broadsheet!BF235,data!$H$4:$I$9))</f>
        <v/>
      </c>
      <c r="BG124" s="188" t="str">
        <f>IF(ISERROR(getgrade(Broadsheet!BG235,data!$H$4:$I$9)),"#",getgrade(Broadsheet!BG235,data!$H$4:$I$9))</f>
        <v/>
      </c>
      <c r="BH124" s="188" t="str">
        <f>IF(ISERROR(getgrade(Broadsheet!BH235,data!$H$4:$I$9)),"#",getgrade(Broadsheet!BH235,data!$H$4:$I$9))</f>
        <v/>
      </c>
      <c r="BI124" s="188" t="str">
        <f>IF(ISERROR(getgrade(Broadsheet!BI235,data!$H$4:$I$9)),"#",getgrade(Broadsheet!BI235,data!$H$4:$I$9))</f>
        <v/>
      </c>
      <c r="BJ124" s="188" t="str">
        <f>IF(ISERROR(getgrade(Broadsheet!BJ235,data!$H$4:$I$9)),"#",getgrade(Broadsheet!BJ235,data!$H$4:$I$9))</f>
        <v/>
      </c>
      <c r="BK124" s="188"/>
      <c r="BL124" s="188"/>
      <c r="BM124" s="188"/>
      <c r="BN124" s="188"/>
      <c r="BO124" s="188"/>
      <c r="BP124" s="188"/>
      <c r="BQ124" s="188"/>
      <c r="BR124" s="188"/>
      <c r="BS124" s="188"/>
      <c r="BT124" s="188"/>
      <c r="BU124" s="188"/>
      <c r="BV124" s="188"/>
      <c r="BW124" s="188"/>
      <c r="BX124" s="188"/>
      <c r="BY124" s="188"/>
      <c r="BZ124" s="188"/>
      <c r="CA124" s="188"/>
      <c r="CB124" s="188"/>
      <c r="CC124" s="188"/>
      <c r="CD124" s="188"/>
      <c r="CE124" s="188"/>
      <c r="CF124" s="188"/>
      <c r="CG124" s="188"/>
      <c r="CH124" s="188"/>
      <c r="CI124" s="188"/>
      <c r="CJ124" s="188"/>
      <c r="CK124" s="188"/>
      <c r="CL124" s="188"/>
      <c r="CM124" s="188"/>
      <c r="CN124" s="188"/>
      <c r="CO124" s="188"/>
      <c r="CP124" s="188"/>
      <c r="CQ124" s="188"/>
      <c r="CR124" s="188"/>
      <c r="CS124" s="188"/>
      <c r="CT124" s="188"/>
      <c r="CU124" s="188"/>
      <c r="CV124" s="188"/>
      <c r="CW124" s="188"/>
      <c r="CX124" s="188"/>
      <c r="CY124" s="188"/>
      <c r="CZ124" s="188"/>
      <c r="DA124" s="188"/>
      <c r="DB124" s="188"/>
      <c r="DC124" s="188"/>
      <c r="DD124" s="188"/>
      <c r="DE124" s="188"/>
      <c r="DF124" s="188"/>
      <c r="DG124" s="188"/>
      <c r="DH124" s="188"/>
      <c r="DI124" s="188"/>
      <c r="DJ124" s="188"/>
      <c r="DK124" s="188"/>
      <c r="DL124" s="188"/>
      <c r="DM124" s="188"/>
      <c r="DN124" s="188"/>
      <c r="DO124" s="188"/>
      <c r="DP124" s="188"/>
      <c r="DQ124" s="188"/>
      <c r="DR124" s="188"/>
      <c r="DS124" s="188"/>
      <c r="DT124" s="188"/>
      <c r="DU124" s="188"/>
      <c r="DV124" s="188"/>
      <c r="DW124" s="188"/>
      <c r="DX124" s="188"/>
      <c r="DY124" s="188"/>
      <c r="DZ124" s="188"/>
      <c r="EA124" s="188"/>
    </row>
    <row r="125" spans="1:131" ht="15.75" x14ac:dyDescent="0.25">
      <c r="A125" s="12">
        <f>Broadsheet!A236</f>
        <v>0</v>
      </c>
      <c r="B125" s="204" t="str">
        <f>IF(Broadsheet!B125="","",Broadsheet!B125)</f>
        <v/>
      </c>
      <c r="C125" s="24" t="str">
        <f>IF(Broadsheet!C125="","",Broadsheet!C125)</f>
        <v xml:space="preserve"> </v>
      </c>
      <c r="G125" s="24" t="str">
        <f t="shared" si="1"/>
        <v/>
      </c>
      <c r="H125" s="188" t="str">
        <f>IF(ISERROR(getgrade(Broadsheet!H236,data!$H$4:$I$9)),"#",getgrade(Broadsheet!H236,data!$H$4:$I$9))</f>
        <v/>
      </c>
      <c r="I125" s="188" t="str">
        <f>IF(ISERROR(getgrade(Broadsheet!I236,data!$H$4:$I$9)),"#",getgrade(Broadsheet!I236,data!$H$4:$I$9))</f>
        <v/>
      </c>
      <c r="J125" s="188" t="str">
        <f>IF(ISERROR(getgrade(Broadsheet!J236,data!$H$4:$I$9)),"#",getgrade(Broadsheet!J236,data!$H$4:$I$9))</f>
        <v/>
      </c>
      <c r="K125" s="188" t="str">
        <f>IF(ISERROR(getgrade(Broadsheet!K236,data!$H$4:$I$9)),"#",getgrade(Broadsheet!K236,data!$H$4:$I$9))</f>
        <v/>
      </c>
      <c r="L125" s="188" t="str">
        <f>IF(ISERROR(getgrade(Broadsheet!L236,data!$H$4:$I$9)),"#",getgrade(Broadsheet!L236,data!$H$4:$I$9))</f>
        <v/>
      </c>
      <c r="M125" s="188" t="str">
        <f>IF(ISERROR(getgrade(Broadsheet!M236,data!$H$4:$I$9)),"#",getgrade(Broadsheet!M236,data!$H$4:$I$9))</f>
        <v/>
      </c>
      <c r="N125" s="188" t="str">
        <f>IF(ISERROR(getgrade(Broadsheet!N236,data!$H$4:$I$9)),"#",getgrade(Broadsheet!N236,data!$H$4:$I$9))</f>
        <v/>
      </c>
      <c r="O125" s="188" t="str">
        <f>IF(ISERROR(getgrade(Broadsheet!O236,data!$H$4:$I$9)),"#",getgrade(Broadsheet!O236,data!$H$4:$I$9))</f>
        <v/>
      </c>
      <c r="P125" s="188" t="str">
        <f>IF(ISERROR(getgrade(Broadsheet!P236,data!$H$4:$I$9)),"#",getgrade(Broadsheet!P236,data!$H$4:$I$9))</f>
        <v/>
      </c>
      <c r="Q125" s="188" t="str">
        <f>IF(ISERROR(getgrade(Broadsheet!Q236,data!$H$4:$I$9)),"#",getgrade(Broadsheet!Q236,data!$H$4:$I$9))</f>
        <v/>
      </c>
      <c r="R125" s="188" t="str">
        <f>IF(ISERROR(getgrade(Broadsheet!R236,data!$H$4:$I$9)),"#",getgrade(Broadsheet!R236,data!$H$4:$I$9))</f>
        <v/>
      </c>
      <c r="S125" s="188" t="str">
        <f>IF(ISERROR(getgrade(Broadsheet!S236,data!$H$4:$I$9)),"#",getgrade(Broadsheet!S236,data!$H$4:$I$9))</f>
        <v/>
      </c>
      <c r="T125" s="188" t="str">
        <f>IF(ISERROR(getgrade(Broadsheet!T236,data!$H$4:$I$9)),"#",getgrade(Broadsheet!T236,data!$H$4:$I$9))</f>
        <v/>
      </c>
      <c r="U125" s="188" t="str">
        <f>IF(ISERROR(getgrade(Broadsheet!U236,data!$H$4:$I$9)),"#",getgrade(Broadsheet!U236,data!$H$4:$I$9))</f>
        <v/>
      </c>
      <c r="V125" s="188" t="str">
        <f>IF(ISERROR(getgrade(Broadsheet!V236,data!$H$4:$I$9)),"#",getgrade(Broadsheet!V236,data!$H$4:$I$9))</f>
        <v/>
      </c>
      <c r="W125" s="188" t="str">
        <f>IF(ISERROR(getgrade(Broadsheet!W236,data!$H$4:$I$9)),"#",getgrade(Broadsheet!W236,data!$H$4:$I$9))</f>
        <v/>
      </c>
      <c r="X125" s="188" t="str">
        <f>IF(ISERROR(getgrade(Broadsheet!X236,data!$H$4:$I$9)),"#",getgrade(Broadsheet!X236,data!$H$4:$I$9))</f>
        <v/>
      </c>
      <c r="Y125" s="188" t="str">
        <f>IF(ISERROR(getgrade(Broadsheet!Y236,data!$H$4:$I$9)),"#",getgrade(Broadsheet!Y236,data!$H$4:$I$9))</f>
        <v/>
      </c>
      <c r="Z125" s="188" t="str">
        <f>IF(ISERROR(getgrade(Broadsheet!Z236,data!$H$4:$I$9)),"#",getgrade(Broadsheet!Z236,data!$H$4:$I$9))</f>
        <v/>
      </c>
      <c r="AA125" s="188" t="str">
        <f>IF(ISERROR(getgrade(Broadsheet!AA236,data!$H$4:$I$9)),"#",getgrade(Broadsheet!AA236,data!$H$4:$I$9))</f>
        <v/>
      </c>
      <c r="AB125" s="188" t="str">
        <f>IF(ISERROR(getgrade(Broadsheet!AB236,data!$H$4:$I$9)),"#",getgrade(Broadsheet!AB236,data!$H$4:$I$9))</f>
        <v/>
      </c>
      <c r="AC125" s="188" t="str">
        <f>IF(ISERROR(getgrade(Broadsheet!AC236,data!$H$4:$I$9)),"#",getgrade(Broadsheet!AC236,data!$H$4:$I$9))</f>
        <v/>
      </c>
      <c r="AD125" s="188" t="str">
        <f>IF(ISERROR(getgrade(Broadsheet!AD236,data!$H$4:$I$9)),"#",getgrade(Broadsheet!AD236,data!$H$4:$I$9))</f>
        <v/>
      </c>
      <c r="AE125" s="188" t="str">
        <f>IF(ISERROR(getgrade(Broadsheet!AE236,data!$H$4:$I$9)),"#",getgrade(Broadsheet!AE236,data!$H$4:$I$9))</f>
        <v/>
      </c>
      <c r="AF125" s="188" t="str">
        <f>IF(ISERROR(getgrade(Broadsheet!AF236,data!$H$4:$I$9)),"#",getgrade(Broadsheet!AF236,data!$H$4:$I$9))</f>
        <v/>
      </c>
      <c r="AG125" s="188" t="str">
        <f>IF(ISERROR(getgrade(Broadsheet!AG236,data!$H$4:$I$9)),"#",getgrade(Broadsheet!AG236,data!$H$4:$I$9))</f>
        <v/>
      </c>
      <c r="AH125" s="188" t="str">
        <f>IF(ISERROR(getgrade(Broadsheet!AH236,data!$H$4:$I$9)),"#",getgrade(Broadsheet!AH236,data!$H$4:$I$9))</f>
        <v/>
      </c>
      <c r="AI125" s="188" t="str">
        <f>IF(ISERROR(getgrade(Broadsheet!AI236,data!$H$4:$I$9)),"#",getgrade(Broadsheet!AI236,data!$H$4:$I$9))</f>
        <v/>
      </c>
      <c r="AJ125" s="188" t="str">
        <f>IF(ISERROR(getgrade(Broadsheet!AJ236,data!$H$4:$I$9)),"#",getgrade(Broadsheet!AJ236,data!$H$4:$I$9))</f>
        <v/>
      </c>
      <c r="AK125" s="188" t="str">
        <f>IF(ISERROR(getgrade(Broadsheet!AK236,data!$H$4:$I$9)),"#",getgrade(Broadsheet!AK236,data!$H$4:$I$9))</f>
        <v/>
      </c>
      <c r="AL125" s="188" t="str">
        <f>IF(ISERROR(getgrade(Broadsheet!AL236,data!$H$4:$I$9)),"#",getgrade(Broadsheet!AL236,data!$H$4:$I$9))</f>
        <v/>
      </c>
      <c r="AM125" s="188" t="str">
        <f>IF(ISERROR(getgrade(Broadsheet!AM236,data!$H$4:$I$9)),"#",getgrade(Broadsheet!AM236,data!$H$4:$I$9))</f>
        <v/>
      </c>
      <c r="AN125" s="188" t="str">
        <f>IF(ISERROR(getgrade(Broadsheet!AN236,data!$H$4:$I$9)),"#",getgrade(Broadsheet!AN236,data!$H$4:$I$9))</f>
        <v/>
      </c>
      <c r="AO125" s="188" t="str">
        <f>IF(ISERROR(getgrade(Broadsheet!AO236,data!$H$4:$I$9)),"#",getgrade(Broadsheet!AO236,data!$H$4:$I$9))</f>
        <v/>
      </c>
      <c r="AP125" s="188" t="str">
        <f>IF(ISERROR(getgrade(Broadsheet!AP236,data!$H$4:$I$9)),"#",getgrade(Broadsheet!AP236,data!$H$4:$I$9))</f>
        <v/>
      </c>
      <c r="AQ125" s="188" t="str">
        <f>IF(ISERROR(getgrade(Broadsheet!AQ236,data!$H$4:$I$9)),"#",getgrade(Broadsheet!AQ236,data!$H$4:$I$9))</f>
        <v/>
      </c>
      <c r="AR125" s="188" t="str">
        <f>IF(ISERROR(getgrade(Broadsheet!AR236,data!$H$4:$I$9)),"#",getgrade(Broadsheet!AR236,data!$H$4:$I$9))</f>
        <v/>
      </c>
      <c r="AS125" s="188" t="str">
        <f>IF(ISERROR(getgrade(Broadsheet!AS236,data!$H$4:$I$9)),"#",getgrade(Broadsheet!AS236,data!$H$4:$I$9))</f>
        <v/>
      </c>
      <c r="AT125" s="188" t="str">
        <f>IF(ISERROR(getgrade(Broadsheet!AT236,data!$H$4:$I$9)),"#",getgrade(Broadsheet!AT236,data!$H$4:$I$9))</f>
        <v/>
      </c>
      <c r="AU125" s="188" t="str">
        <f>IF(ISERROR(getgrade(Broadsheet!AU236,data!$H$4:$I$9)),"#",getgrade(Broadsheet!AU236,data!$H$4:$I$9))</f>
        <v/>
      </c>
      <c r="AV125" s="188" t="str">
        <f>IF(ISERROR(getgrade(Broadsheet!AV236,data!$H$4:$I$9)),"#",getgrade(Broadsheet!AV236,data!$H$4:$I$9))</f>
        <v/>
      </c>
      <c r="AW125" s="188" t="str">
        <f>IF(ISERROR(getgrade(Broadsheet!AW236,data!$H$4:$I$9)),"#",getgrade(Broadsheet!AW236,data!$H$4:$I$9))</f>
        <v/>
      </c>
      <c r="AX125" s="188" t="str">
        <f>IF(ISERROR(getgrade(Broadsheet!AX236,data!$H$4:$I$9)),"#",getgrade(Broadsheet!AX236,data!$H$4:$I$9))</f>
        <v/>
      </c>
      <c r="AY125" s="188" t="str">
        <f>IF(ISERROR(getgrade(Broadsheet!AY236,data!$H$4:$I$9)),"#",getgrade(Broadsheet!AY236,data!$H$4:$I$9))</f>
        <v/>
      </c>
      <c r="AZ125" s="188" t="str">
        <f>IF(ISERROR(getgrade(Broadsheet!AZ236,data!$H$4:$I$9)),"#",getgrade(Broadsheet!AZ236,data!$H$4:$I$9))</f>
        <v/>
      </c>
      <c r="BA125" s="188" t="str">
        <f>IF(ISERROR(getgrade(Broadsheet!BA236,data!$H$4:$I$9)),"#",getgrade(Broadsheet!BA236,data!$H$4:$I$9))</f>
        <v/>
      </c>
      <c r="BB125" s="188" t="str">
        <f>IF(ISERROR(getgrade(Broadsheet!BB236,data!$H$4:$I$9)),"#",getgrade(Broadsheet!BB236,data!$H$4:$I$9))</f>
        <v/>
      </c>
      <c r="BC125" s="188" t="str">
        <f>IF(ISERROR(getgrade(Broadsheet!BC236,data!$H$4:$I$9)),"#",getgrade(Broadsheet!BC236,data!$H$4:$I$9))</f>
        <v/>
      </c>
      <c r="BD125" s="188" t="str">
        <f>IF(ISERROR(getgrade(Broadsheet!BD236,data!$H$4:$I$9)),"#",getgrade(Broadsheet!BD236,data!$H$4:$I$9))</f>
        <v/>
      </c>
      <c r="BE125" s="188" t="str">
        <f>IF(ISERROR(getgrade(Broadsheet!BE236,data!$H$4:$I$9)),"#",getgrade(Broadsheet!BE236,data!$H$4:$I$9))</f>
        <v/>
      </c>
      <c r="BF125" s="188" t="str">
        <f>IF(ISERROR(getgrade(Broadsheet!BF236,data!$H$4:$I$9)),"#",getgrade(Broadsheet!BF236,data!$H$4:$I$9))</f>
        <v/>
      </c>
      <c r="BG125" s="188" t="str">
        <f>IF(ISERROR(getgrade(Broadsheet!BG236,data!$H$4:$I$9)),"#",getgrade(Broadsheet!BG236,data!$H$4:$I$9))</f>
        <v/>
      </c>
      <c r="BH125" s="188" t="str">
        <f>IF(ISERROR(getgrade(Broadsheet!BH236,data!$H$4:$I$9)),"#",getgrade(Broadsheet!BH236,data!$H$4:$I$9))</f>
        <v/>
      </c>
      <c r="BI125" s="188" t="str">
        <f>IF(ISERROR(getgrade(Broadsheet!BI236,data!$H$4:$I$9)),"#",getgrade(Broadsheet!BI236,data!$H$4:$I$9))</f>
        <v/>
      </c>
      <c r="BJ125" s="188" t="str">
        <f>IF(ISERROR(getgrade(Broadsheet!BJ236,data!$H$4:$I$9)),"#",getgrade(Broadsheet!BJ236,data!$H$4:$I$9))</f>
        <v/>
      </c>
      <c r="BK125" s="188"/>
      <c r="BL125" s="188"/>
      <c r="BM125" s="188"/>
      <c r="BN125" s="188"/>
      <c r="BO125" s="188"/>
      <c r="BP125" s="188"/>
      <c r="BQ125" s="188"/>
      <c r="BR125" s="188"/>
      <c r="BS125" s="188"/>
      <c r="BT125" s="188"/>
      <c r="BU125" s="188"/>
      <c r="BV125" s="188"/>
      <c r="BW125" s="188"/>
      <c r="BX125" s="188"/>
      <c r="BY125" s="188"/>
      <c r="BZ125" s="188"/>
      <c r="CA125" s="188"/>
      <c r="CB125" s="188"/>
      <c r="CC125" s="188"/>
      <c r="CD125" s="188"/>
      <c r="CE125" s="188"/>
      <c r="CF125" s="188"/>
      <c r="CG125" s="188"/>
      <c r="CH125" s="188"/>
      <c r="CI125" s="188"/>
      <c r="CJ125" s="188"/>
      <c r="CK125" s="188"/>
      <c r="CL125" s="188"/>
      <c r="CM125" s="188"/>
      <c r="CN125" s="188"/>
      <c r="CO125" s="188"/>
      <c r="CP125" s="188"/>
      <c r="CQ125" s="188"/>
      <c r="CR125" s="188"/>
      <c r="CS125" s="188"/>
      <c r="CT125" s="188"/>
      <c r="CU125" s="188"/>
      <c r="CV125" s="188"/>
      <c r="CW125" s="188"/>
      <c r="CX125" s="188"/>
      <c r="CY125" s="188"/>
      <c r="CZ125" s="188"/>
      <c r="DA125" s="188"/>
      <c r="DB125" s="188"/>
      <c r="DC125" s="188"/>
      <c r="DD125" s="188"/>
      <c r="DE125" s="188"/>
      <c r="DF125" s="188"/>
      <c r="DG125" s="188"/>
      <c r="DH125" s="188"/>
      <c r="DI125" s="188"/>
      <c r="DJ125" s="188"/>
      <c r="DK125" s="188"/>
      <c r="DL125" s="188"/>
      <c r="DM125" s="188"/>
      <c r="DN125" s="188"/>
      <c r="DO125" s="188"/>
      <c r="DP125" s="188"/>
      <c r="DQ125" s="188"/>
      <c r="DR125" s="188"/>
      <c r="DS125" s="188"/>
      <c r="DT125" s="188"/>
      <c r="DU125" s="188"/>
      <c r="DV125" s="188"/>
      <c r="DW125" s="188"/>
      <c r="DX125" s="188"/>
      <c r="DY125" s="188"/>
      <c r="DZ125" s="188"/>
      <c r="EA125" s="188"/>
    </row>
    <row r="126" spans="1:131" ht="15.75" x14ac:dyDescent="0.25">
      <c r="A126" s="12">
        <f>Broadsheet!A237</f>
        <v>0</v>
      </c>
      <c r="B126" s="204" t="str">
        <f>IF(Broadsheet!B126="","",Broadsheet!B126)</f>
        <v/>
      </c>
      <c r="C126" s="24" t="str">
        <f>IF(Broadsheet!C126="","",Broadsheet!C126)</f>
        <v xml:space="preserve"> </v>
      </c>
      <c r="G126" s="24" t="str">
        <f t="shared" si="1"/>
        <v/>
      </c>
      <c r="H126" s="188" t="str">
        <f>IF(ISERROR(getgrade(Broadsheet!H237,data!$H$4:$I$9)),"#",getgrade(Broadsheet!H237,data!$H$4:$I$9))</f>
        <v/>
      </c>
      <c r="I126" s="188" t="str">
        <f>IF(ISERROR(getgrade(Broadsheet!I237,data!$H$4:$I$9)),"#",getgrade(Broadsheet!I237,data!$H$4:$I$9))</f>
        <v/>
      </c>
      <c r="J126" s="188" t="str">
        <f>IF(ISERROR(getgrade(Broadsheet!J237,data!$H$4:$I$9)),"#",getgrade(Broadsheet!J237,data!$H$4:$I$9))</f>
        <v/>
      </c>
      <c r="K126" s="188" t="str">
        <f>IF(ISERROR(getgrade(Broadsheet!K237,data!$H$4:$I$9)),"#",getgrade(Broadsheet!K237,data!$H$4:$I$9))</f>
        <v/>
      </c>
      <c r="L126" s="188" t="str">
        <f>IF(ISERROR(getgrade(Broadsheet!L237,data!$H$4:$I$9)),"#",getgrade(Broadsheet!L237,data!$H$4:$I$9))</f>
        <v/>
      </c>
      <c r="M126" s="188" t="str">
        <f>IF(ISERROR(getgrade(Broadsheet!M237,data!$H$4:$I$9)),"#",getgrade(Broadsheet!M237,data!$H$4:$I$9))</f>
        <v/>
      </c>
      <c r="N126" s="188" t="str">
        <f>IF(ISERROR(getgrade(Broadsheet!N237,data!$H$4:$I$9)),"#",getgrade(Broadsheet!N237,data!$H$4:$I$9))</f>
        <v/>
      </c>
      <c r="O126" s="188" t="str">
        <f>IF(ISERROR(getgrade(Broadsheet!O237,data!$H$4:$I$9)),"#",getgrade(Broadsheet!O237,data!$H$4:$I$9))</f>
        <v/>
      </c>
      <c r="P126" s="188" t="str">
        <f>IF(ISERROR(getgrade(Broadsheet!P237,data!$H$4:$I$9)),"#",getgrade(Broadsheet!P237,data!$H$4:$I$9))</f>
        <v/>
      </c>
      <c r="Q126" s="188" t="str">
        <f>IF(ISERROR(getgrade(Broadsheet!Q237,data!$H$4:$I$9)),"#",getgrade(Broadsheet!Q237,data!$H$4:$I$9))</f>
        <v/>
      </c>
      <c r="R126" s="188" t="str">
        <f>IF(ISERROR(getgrade(Broadsheet!R237,data!$H$4:$I$9)),"#",getgrade(Broadsheet!R237,data!$H$4:$I$9))</f>
        <v/>
      </c>
      <c r="S126" s="188" t="str">
        <f>IF(ISERROR(getgrade(Broadsheet!S237,data!$H$4:$I$9)),"#",getgrade(Broadsheet!S237,data!$H$4:$I$9))</f>
        <v/>
      </c>
      <c r="T126" s="188" t="str">
        <f>IF(ISERROR(getgrade(Broadsheet!T237,data!$H$4:$I$9)),"#",getgrade(Broadsheet!T237,data!$H$4:$I$9))</f>
        <v/>
      </c>
      <c r="U126" s="188" t="str">
        <f>IF(ISERROR(getgrade(Broadsheet!U237,data!$H$4:$I$9)),"#",getgrade(Broadsheet!U237,data!$H$4:$I$9))</f>
        <v/>
      </c>
      <c r="V126" s="188" t="str">
        <f>IF(ISERROR(getgrade(Broadsheet!V237,data!$H$4:$I$9)),"#",getgrade(Broadsheet!V237,data!$H$4:$I$9))</f>
        <v/>
      </c>
      <c r="W126" s="188" t="str">
        <f>IF(ISERROR(getgrade(Broadsheet!W237,data!$H$4:$I$9)),"#",getgrade(Broadsheet!W237,data!$H$4:$I$9))</f>
        <v/>
      </c>
      <c r="X126" s="188" t="str">
        <f>IF(ISERROR(getgrade(Broadsheet!X237,data!$H$4:$I$9)),"#",getgrade(Broadsheet!X237,data!$H$4:$I$9))</f>
        <v/>
      </c>
      <c r="Y126" s="188" t="str">
        <f>IF(ISERROR(getgrade(Broadsheet!Y237,data!$H$4:$I$9)),"#",getgrade(Broadsheet!Y237,data!$H$4:$I$9))</f>
        <v/>
      </c>
      <c r="Z126" s="188" t="str">
        <f>IF(ISERROR(getgrade(Broadsheet!Z237,data!$H$4:$I$9)),"#",getgrade(Broadsheet!Z237,data!$H$4:$I$9))</f>
        <v/>
      </c>
      <c r="AA126" s="188" t="str">
        <f>IF(ISERROR(getgrade(Broadsheet!AA237,data!$H$4:$I$9)),"#",getgrade(Broadsheet!AA237,data!$H$4:$I$9))</f>
        <v/>
      </c>
      <c r="AB126" s="188" t="str">
        <f>IF(ISERROR(getgrade(Broadsheet!AB237,data!$H$4:$I$9)),"#",getgrade(Broadsheet!AB237,data!$H$4:$I$9))</f>
        <v/>
      </c>
      <c r="AC126" s="188" t="str">
        <f>IF(ISERROR(getgrade(Broadsheet!AC237,data!$H$4:$I$9)),"#",getgrade(Broadsheet!AC237,data!$H$4:$I$9))</f>
        <v/>
      </c>
      <c r="AD126" s="188" t="str">
        <f>IF(ISERROR(getgrade(Broadsheet!AD237,data!$H$4:$I$9)),"#",getgrade(Broadsheet!AD237,data!$H$4:$I$9))</f>
        <v/>
      </c>
      <c r="AE126" s="188" t="str">
        <f>IF(ISERROR(getgrade(Broadsheet!AE237,data!$H$4:$I$9)),"#",getgrade(Broadsheet!AE237,data!$H$4:$I$9))</f>
        <v/>
      </c>
      <c r="AF126" s="188" t="str">
        <f>IF(ISERROR(getgrade(Broadsheet!AF237,data!$H$4:$I$9)),"#",getgrade(Broadsheet!AF237,data!$H$4:$I$9))</f>
        <v/>
      </c>
      <c r="AG126" s="188" t="str">
        <f>IF(ISERROR(getgrade(Broadsheet!AG237,data!$H$4:$I$9)),"#",getgrade(Broadsheet!AG237,data!$H$4:$I$9))</f>
        <v/>
      </c>
      <c r="AH126" s="188" t="str">
        <f>IF(ISERROR(getgrade(Broadsheet!AH237,data!$H$4:$I$9)),"#",getgrade(Broadsheet!AH237,data!$H$4:$I$9))</f>
        <v/>
      </c>
      <c r="AI126" s="188" t="str">
        <f>IF(ISERROR(getgrade(Broadsheet!AI237,data!$H$4:$I$9)),"#",getgrade(Broadsheet!AI237,data!$H$4:$I$9))</f>
        <v/>
      </c>
      <c r="AJ126" s="188" t="str">
        <f>IF(ISERROR(getgrade(Broadsheet!AJ237,data!$H$4:$I$9)),"#",getgrade(Broadsheet!AJ237,data!$H$4:$I$9))</f>
        <v/>
      </c>
      <c r="AK126" s="188" t="str">
        <f>IF(ISERROR(getgrade(Broadsheet!AK237,data!$H$4:$I$9)),"#",getgrade(Broadsheet!AK237,data!$H$4:$I$9))</f>
        <v/>
      </c>
      <c r="AL126" s="188" t="str">
        <f>IF(ISERROR(getgrade(Broadsheet!AL237,data!$H$4:$I$9)),"#",getgrade(Broadsheet!AL237,data!$H$4:$I$9))</f>
        <v/>
      </c>
      <c r="AM126" s="188" t="str">
        <f>IF(ISERROR(getgrade(Broadsheet!AM237,data!$H$4:$I$9)),"#",getgrade(Broadsheet!AM237,data!$H$4:$I$9))</f>
        <v/>
      </c>
      <c r="AN126" s="188" t="str">
        <f>IF(ISERROR(getgrade(Broadsheet!AN237,data!$H$4:$I$9)),"#",getgrade(Broadsheet!AN237,data!$H$4:$I$9))</f>
        <v/>
      </c>
      <c r="AO126" s="188" t="str">
        <f>IF(ISERROR(getgrade(Broadsheet!AO237,data!$H$4:$I$9)),"#",getgrade(Broadsheet!AO237,data!$H$4:$I$9))</f>
        <v/>
      </c>
      <c r="AP126" s="188" t="str">
        <f>IF(ISERROR(getgrade(Broadsheet!AP237,data!$H$4:$I$9)),"#",getgrade(Broadsheet!AP237,data!$H$4:$I$9))</f>
        <v/>
      </c>
      <c r="AQ126" s="188" t="str">
        <f>IF(ISERROR(getgrade(Broadsheet!AQ237,data!$H$4:$I$9)),"#",getgrade(Broadsheet!AQ237,data!$H$4:$I$9))</f>
        <v/>
      </c>
      <c r="AR126" s="188" t="str">
        <f>IF(ISERROR(getgrade(Broadsheet!AR237,data!$H$4:$I$9)),"#",getgrade(Broadsheet!AR237,data!$H$4:$I$9))</f>
        <v/>
      </c>
      <c r="AS126" s="188" t="str">
        <f>IF(ISERROR(getgrade(Broadsheet!AS237,data!$H$4:$I$9)),"#",getgrade(Broadsheet!AS237,data!$H$4:$I$9))</f>
        <v/>
      </c>
      <c r="AT126" s="188" t="str">
        <f>IF(ISERROR(getgrade(Broadsheet!AT237,data!$H$4:$I$9)),"#",getgrade(Broadsheet!AT237,data!$H$4:$I$9))</f>
        <v/>
      </c>
      <c r="AU126" s="188" t="str">
        <f>IF(ISERROR(getgrade(Broadsheet!AU237,data!$H$4:$I$9)),"#",getgrade(Broadsheet!AU237,data!$H$4:$I$9))</f>
        <v/>
      </c>
      <c r="AV126" s="188" t="str">
        <f>IF(ISERROR(getgrade(Broadsheet!AV237,data!$H$4:$I$9)),"#",getgrade(Broadsheet!AV237,data!$H$4:$I$9))</f>
        <v/>
      </c>
      <c r="AW126" s="188" t="str">
        <f>IF(ISERROR(getgrade(Broadsheet!AW237,data!$H$4:$I$9)),"#",getgrade(Broadsheet!AW237,data!$H$4:$I$9))</f>
        <v/>
      </c>
      <c r="AX126" s="188" t="str">
        <f>IF(ISERROR(getgrade(Broadsheet!AX237,data!$H$4:$I$9)),"#",getgrade(Broadsheet!AX237,data!$H$4:$I$9))</f>
        <v/>
      </c>
      <c r="AY126" s="188" t="str">
        <f>IF(ISERROR(getgrade(Broadsheet!AY237,data!$H$4:$I$9)),"#",getgrade(Broadsheet!AY237,data!$H$4:$I$9))</f>
        <v/>
      </c>
      <c r="AZ126" s="188" t="str">
        <f>IF(ISERROR(getgrade(Broadsheet!AZ237,data!$H$4:$I$9)),"#",getgrade(Broadsheet!AZ237,data!$H$4:$I$9))</f>
        <v/>
      </c>
      <c r="BA126" s="188" t="str">
        <f>IF(ISERROR(getgrade(Broadsheet!BA237,data!$H$4:$I$9)),"#",getgrade(Broadsheet!BA237,data!$H$4:$I$9))</f>
        <v/>
      </c>
      <c r="BB126" s="188" t="str">
        <f>IF(ISERROR(getgrade(Broadsheet!BB237,data!$H$4:$I$9)),"#",getgrade(Broadsheet!BB237,data!$H$4:$I$9))</f>
        <v/>
      </c>
      <c r="BC126" s="188" t="str">
        <f>IF(ISERROR(getgrade(Broadsheet!BC237,data!$H$4:$I$9)),"#",getgrade(Broadsheet!BC237,data!$H$4:$I$9))</f>
        <v/>
      </c>
      <c r="BD126" s="188" t="str">
        <f>IF(ISERROR(getgrade(Broadsheet!BD237,data!$H$4:$I$9)),"#",getgrade(Broadsheet!BD237,data!$H$4:$I$9))</f>
        <v/>
      </c>
      <c r="BE126" s="188" t="str">
        <f>IF(ISERROR(getgrade(Broadsheet!BE237,data!$H$4:$I$9)),"#",getgrade(Broadsheet!BE237,data!$H$4:$I$9))</f>
        <v/>
      </c>
      <c r="BF126" s="188" t="str">
        <f>IF(ISERROR(getgrade(Broadsheet!BF237,data!$H$4:$I$9)),"#",getgrade(Broadsheet!BF237,data!$H$4:$I$9))</f>
        <v/>
      </c>
      <c r="BG126" s="188" t="str">
        <f>IF(ISERROR(getgrade(Broadsheet!BG237,data!$H$4:$I$9)),"#",getgrade(Broadsheet!BG237,data!$H$4:$I$9))</f>
        <v/>
      </c>
      <c r="BH126" s="188" t="str">
        <f>IF(ISERROR(getgrade(Broadsheet!BH237,data!$H$4:$I$9)),"#",getgrade(Broadsheet!BH237,data!$H$4:$I$9))</f>
        <v/>
      </c>
      <c r="BI126" s="188" t="str">
        <f>IF(ISERROR(getgrade(Broadsheet!BI237,data!$H$4:$I$9)),"#",getgrade(Broadsheet!BI237,data!$H$4:$I$9))</f>
        <v/>
      </c>
      <c r="BJ126" s="188" t="str">
        <f>IF(ISERROR(getgrade(Broadsheet!BJ237,data!$H$4:$I$9)),"#",getgrade(Broadsheet!BJ237,data!$H$4:$I$9))</f>
        <v/>
      </c>
      <c r="BK126" s="188"/>
      <c r="BL126" s="188"/>
      <c r="BM126" s="188"/>
      <c r="BN126" s="188"/>
      <c r="BO126" s="188"/>
      <c r="BP126" s="188"/>
      <c r="BQ126" s="188"/>
      <c r="BR126" s="188"/>
      <c r="BS126" s="188"/>
      <c r="BT126" s="188"/>
      <c r="BU126" s="188"/>
      <c r="BV126" s="188"/>
      <c r="BW126" s="188"/>
      <c r="BX126" s="188"/>
      <c r="BY126" s="188"/>
      <c r="BZ126" s="188"/>
      <c r="CA126" s="188"/>
      <c r="CB126" s="188"/>
      <c r="CC126" s="188"/>
      <c r="CD126" s="188"/>
      <c r="CE126" s="188"/>
      <c r="CF126" s="188"/>
      <c r="CG126" s="188"/>
      <c r="CH126" s="188"/>
      <c r="CI126" s="188"/>
      <c r="CJ126" s="188"/>
      <c r="CK126" s="188"/>
      <c r="CL126" s="188"/>
      <c r="CM126" s="188"/>
      <c r="CN126" s="188"/>
      <c r="CO126" s="188"/>
      <c r="CP126" s="188"/>
      <c r="CQ126" s="188"/>
      <c r="CR126" s="188"/>
      <c r="CS126" s="188"/>
      <c r="CT126" s="188"/>
      <c r="CU126" s="188"/>
      <c r="CV126" s="188"/>
      <c r="CW126" s="188"/>
      <c r="CX126" s="188"/>
      <c r="CY126" s="188"/>
      <c r="CZ126" s="188"/>
      <c r="DA126" s="188"/>
      <c r="DB126" s="188"/>
      <c r="DC126" s="188"/>
      <c r="DD126" s="188"/>
      <c r="DE126" s="188"/>
      <c r="DF126" s="188"/>
      <c r="DG126" s="188"/>
      <c r="DH126" s="188"/>
      <c r="DI126" s="188"/>
      <c r="DJ126" s="188"/>
      <c r="DK126" s="188"/>
      <c r="DL126" s="188"/>
      <c r="DM126" s="188"/>
      <c r="DN126" s="188"/>
      <c r="DO126" s="188"/>
      <c r="DP126" s="188"/>
      <c r="DQ126" s="188"/>
      <c r="DR126" s="188"/>
      <c r="DS126" s="188"/>
      <c r="DT126" s="188"/>
      <c r="DU126" s="188"/>
      <c r="DV126" s="188"/>
      <c r="DW126" s="188"/>
      <c r="DX126" s="188"/>
      <c r="DY126" s="188"/>
      <c r="DZ126" s="188"/>
      <c r="EA126" s="188"/>
    </row>
    <row r="127" spans="1:131" ht="15.75" x14ac:dyDescent="0.25">
      <c r="A127" s="12">
        <f>Broadsheet!A238</f>
        <v>0</v>
      </c>
      <c r="B127" s="204" t="str">
        <f>IF(Broadsheet!B127="","",Broadsheet!B127)</f>
        <v/>
      </c>
      <c r="C127" s="24" t="str">
        <f>IF(Broadsheet!C127="","",Broadsheet!C127)</f>
        <v xml:space="preserve"> </v>
      </c>
      <c r="G127" s="24" t="str">
        <f t="shared" si="1"/>
        <v/>
      </c>
      <c r="H127" s="188" t="str">
        <f>IF(ISERROR(getgrade(Broadsheet!H238,data!$H$4:$I$9)),"#",getgrade(Broadsheet!H238,data!$H$4:$I$9))</f>
        <v/>
      </c>
      <c r="I127" s="188" t="str">
        <f>IF(ISERROR(getgrade(Broadsheet!I238,data!$H$4:$I$9)),"#",getgrade(Broadsheet!I238,data!$H$4:$I$9))</f>
        <v/>
      </c>
      <c r="J127" s="188" t="str">
        <f>IF(ISERROR(getgrade(Broadsheet!J238,data!$H$4:$I$9)),"#",getgrade(Broadsheet!J238,data!$H$4:$I$9))</f>
        <v/>
      </c>
      <c r="K127" s="188" t="str">
        <f>IF(ISERROR(getgrade(Broadsheet!K238,data!$H$4:$I$9)),"#",getgrade(Broadsheet!K238,data!$H$4:$I$9))</f>
        <v/>
      </c>
      <c r="L127" s="188" t="str">
        <f>IF(ISERROR(getgrade(Broadsheet!L238,data!$H$4:$I$9)),"#",getgrade(Broadsheet!L238,data!$H$4:$I$9))</f>
        <v/>
      </c>
      <c r="M127" s="188" t="str">
        <f>IF(ISERROR(getgrade(Broadsheet!M238,data!$H$4:$I$9)),"#",getgrade(Broadsheet!M238,data!$H$4:$I$9))</f>
        <v/>
      </c>
      <c r="N127" s="188" t="str">
        <f>IF(ISERROR(getgrade(Broadsheet!N238,data!$H$4:$I$9)),"#",getgrade(Broadsheet!N238,data!$H$4:$I$9))</f>
        <v/>
      </c>
      <c r="O127" s="188" t="str">
        <f>IF(ISERROR(getgrade(Broadsheet!O238,data!$H$4:$I$9)),"#",getgrade(Broadsheet!O238,data!$H$4:$I$9))</f>
        <v/>
      </c>
      <c r="P127" s="188" t="str">
        <f>IF(ISERROR(getgrade(Broadsheet!P238,data!$H$4:$I$9)),"#",getgrade(Broadsheet!P238,data!$H$4:$I$9))</f>
        <v/>
      </c>
      <c r="Q127" s="188" t="str">
        <f>IF(ISERROR(getgrade(Broadsheet!Q238,data!$H$4:$I$9)),"#",getgrade(Broadsheet!Q238,data!$H$4:$I$9))</f>
        <v/>
      </c>
      <c r="R127" s="188" t="str">
        <f>IF(ISERROR(getgrade(Broadsheet!R238,data!$H$4:$I$9)),"#",getgrade(Broadsheet!R238,data!$H$4:$I$9))</f>
        <v/>
      </c>
      <c r="S127" s="188" t="str">
        <f>IF(ISERROR(getgrade(Broadsheet!S238,data!$H$4:$I$9)),"#",getgrade(Broadsheet!S238,data!$H$4:$I$9))</f>
        <v/>
      </c>
      <c r="T127" s="188" t="str">
        <f>IF(ISERROR(getgrade(Broadsheet!T238,data!$H$4:$I$9)),"#",getgrade(Broadsheet!T238,data!$H$4:$I$9))</f>
        <v/>
      </c>
      <c r="U127" s="188" t="str">
        <f>IF(ISERROR(getgrade(Broadsheet!U238,data!$H$4:$I$9)),"#",getgrade(Broadsheet!U238,data!$H$4:$I$9))</f>
        <v/>
      </c>
      <c r="V127" s="188" t="str">
        <f>IF(ISERROR(getgrade(Broadsheet!V238,data!$H$4:$I$9)),"#",getgrade(Broadsheet!V238,data!$H$4:$I$9))</f>
        <v/>
      </c>
      <c r="W127" s="188" t="str">
        <f>IF(ISERROR(getgrade(Broadsheet!W238,data!$H$4:$I$9)),"#",getgrade(Broadsheet!W238,data!$H$4:$I$9))</f>
        <v/>
      </c>
      <c r="X127" s="188" t="str">
        <f>IF(ISERROR(getgrade(Broadsheet!X238,data!$H$4:$I$9)),"#",getgrade(Broadsheet!X238,data!$H$4:$I$9))</f>
        <v/>
      </c>
      <c r="Y127" s="188" t="str">
        <f>IF(ISERROR(getgrade(Broadsheet!Y238,data!$H$4:$I$9)),"#",getgrade(Broadsheet!Y238,data!$H$4:$I$9))</f>
        <v/>
      </c>
      <c r="Z127" s="188" t="str">
        <f>IF(ISERROR(getgrade(Broadsheet!Z238,data!$H$4:$I$9)),"#",getgrade(Broadsheet!Z238,data!$H$4:$I$9))</f>
        <v/>
      </c>
      <c r="AA127" s="188" t="str">
        <f>IF(ISERROR(getgrade(Broadsheet!AA238,data!$H$4:$I$9)),"#",getgrade(Broadsheet!AA238,data!$H$4:$I$9))</f>
        <v/>
      </c>
      <c r="AB127" s="188" t="str">
        <f>IF(ISERROR(getgrade(Broadsheet!AB238,data!$H$4:$I$9)),"#",getgrade(Broadsheet!AB238,data!$H$4:$I$9))</f>
        <v/>
      </c>
      <c r="AC127" s="188" t="str">
        <f>IF(ISERROR(getgrade(Broadsheet!AC238,data!$H$4:$I$9)),"#",getgrade(Broadsheet!AC238,data!$H$4:$I$9))</f>
        <v/>
      </c>
      <c r="AD127" s="188" t="str">
        <f>IF(ISERROR(getgrade(Broadsheet!AD238,data!$H$4:$I$9)),"#",getgrade(Broadsheet!AD238,data!$H$4:$I$9))</f>
        <v/>
      </c>
      <c r="AE127" s="188" t="str">
        <f>IF(ISERROR(getgrade(Broadsheet!AE238,data!$H$4:$I$9)),"#",getgrade(Broadsheet!AE238,data!$H$4:$I$9))</f>
        <v/>
      </c>
      <c r="AF127" s="188" t="str">
        <f>IF(ISERROR(getgrade(Broadsheet!AF238,data!$H$4:$I$9)),"#",getgrade(Broadsheet!AF238,data!$H$4:$I$9))</f>
        <v/>
      </c>
      <c r="AG127" s="188" t="str">
        <f>IF(ISERROR(getgrade(Broadsheet!AG238,data!$H$4:$I$9)),"#",getgrade(Broadsheet!AG238,data!$H$4:$I$9))</f>
        <v/>
      </c>
      <c r="AH127" s="188" t="str">
        <f>IF(ISERROR(getgrade(Broadsheet!AH238,data!$H$4:$I$9)),"#",getgrade(Broadsheet!AH238,data!$H$4:$I$9))</f>
        <v/>
      </c>
      <c r="AI127" s="188" t="str">
        <f>IF(ISERROR(getgrade(Broadsheet!AI238,data!$H$4:$I$9)),"#",getgrade(Broadsheet!AI238,data!$H$4:$I$9))</f>
        <v/>
      </c>
      <c r="AJ127" s="188" t="str">
        <f>IF(ISERROR(getgrade(Broadsheet!AJ238,data!$H$4:$I$9)),"#",getgrade(Broadsheet!AJ238,data!$H$4:$I$9))</f>
        <v/>
      </c>
      <c r="AK127" s="188" t="str">
        <f>IF(ISERROR(getgrade(Broadsheet!AK238,data!$H$4:$I$9)),"#",getgrade(Broadsheet!AK238,data!$H$4:$I$9))</f>
        <v/>
      </c>
      <c r="AL127" s="188" t="str">
        <f>IF(ISERROR(getgrade(Broadsheet!AL238,data!$H$4:$I$9)),"#",getgrade(Broadsheet!AL238,data!$H$4:$I$9))</f>
        <v/>
      </c>
      <c r="AM127" s="188" t="str">
        <f>IF(ISERROR(getgrade(Broadsheet!AM238,data!$H$4:$I$9)),"#",getgrade(Broadsheet!AM238,data!$H$4:$I$9))</f>
        <v/>
      </c>
      <c r="AN127" s="188" t="str">
        <f>IF(ISERROR(getgrade(Broadsheet!AN238,data!$H$4:$I$9)),"#",getgrade(Broadsheet!AN238,data!$H$4:$I$9))</f>
        <v/>
      </c>
      <c r="AO127" s="188" t="str">
        <f>IF(ISERROR(getgrade(Broadsheet!AO238,data!$H$4:$I$9)),"#",getgrade(Broadsheet!AO238,data!$H$4:$I$9))</f>
        <v/>
      </c>
      <c r="AP127" s="188" t="str">
        <f>IF(ISERROR(getgrade(Broadsheet!AP238,data!$H$4:$I$9)),"#",getgrade(Broadsheet!AP238,data!$H$4:$I$9))</f>
        <v/>
      </c>
      <c r="AQ127" s="188" t="str">
        <f>IF(ISERROR(getgrade(Broadsheet!AQ238,data!$H$4:$I$9)),"#",getgrade(Broadsheet!AQ238,data!$H$4:$I$9))</f>
        <v/>
      </c>
      <c r="AR127" s="188" t="str">
        <f>IF(ISERROR(getgrade(Broadsheet!AR238,data!$H$4:$I$9)),"#",getgrade(Broadsheet!AR238,data!$H$4:$I$9))</f>
        <v/>
      </c>
      <c r="AS127" s="188" t="str">
        <f>IF(ISERROR(getgrade(Broadsheet!AS238,data!$H$4:$I$9)),"#",getgrade(Broadsheet!AS238,data!$H$4:$I$9))</f>
        <v/>
      </c>
      <c r="AT127" s="188" t="str">
        <f>IF(ISERROR(getgrade(Broadsheet!AT238,data!$H$4:$I$9)),"#",getgrade(Broadsheet!AT238,data!$H$4:$I$9))</f>
        <v/>
      </c>
      <c r="AU127" s="188" t="str">
        <f>IF(ISERROR(getgrade(Broadsheet!AU238,data!$H$4:$I$9)),"#",getgrade(Broadsheet!AU238,data!$H$4:$I$9))</f>
        <v/>
      </c>
      <c r="AV127" s="188" t="str">
        <f>IF(ISERROR(getgrade(Broadsheet!AV238,data!$H$4:$I$9)),"#",getgrade(Broadsheet!AV238,data!$H$4:$I$9))</f>
        <v/>
      </c>
      <c r="AW127" s="188" t="str">
        <f>IF(ISERROR(getgrade(Broadsheet!AW238,data!$H$4:$I$9)),"#",getgrade(Broadsheet!AW238,data!$H$4:$I$9))</f>
        <v/>
      </c>
      <c r="AX127" s="188" t="str">
        <f>IF(ISERROR(getgrade(Broadsheet!AX238,data!$H$4:$I$9)),"#",getgrade(Broadsheet!AX238,data!$H$4:$I$9))</f>
        <v/>
      </c>
      <c r="AY127" s="188" t="str">
        <f>IF(ISERROR(getgrade(Broadsheet!AY238,data!$H$4:$I$9)),"#",getgrade(Broadsheet!AY238,data!$H$4:$I$9))</f>
        <v/>
      </c>
      <c r="AZ127" s="188" t="str">
        <f>IF(ISERROR(getgrade(Broadsheet!AZ238,data!$H$4:$I$9)),"#",getgrade(Broadsheet!AZ238,data!$H$4:$I$9))</f>
        <v/>
      </c>
      <c r="BA127" s="188" t="str">
        <f>IF(ISERROR(getgrade(Broadsheet!BA238,data!$H$4:$I$9)),"#",getgrade(Broadsheet!BA238,data!$H$4:$I$9))</f>
        <v/>
      </c>
      <c r="BB127" s="188" t="str">
        <f>IF(ISERROR(getgrade(Broadsheet!BB238,data!$H$4:$I$9)),"#",getgrade(Broadsheet!BB238,data!$H$4:$I$9))</f>
        <v/>
      </c>
      <c r="BC127" s="188" t="str">
        <f>IF(ISERROR(getgrade(Broadsheet!BC238,data!$H$4:$I$9)),"#",getgrade(Broadsheet!BC238,data!$H$4:$I$9))</f>
        <v/>
      </c>
      <c r="BD127" s="188" t="str">
        <f>IF(ISERROR(getgrade(Broadsheet!BD238,data!$H$4:$I$9)),"#",getgrade(Broadsheet!BD238,data!$H$4:$I$9))</f>
        <v/>
      </c>
      <c r="BE127" s="188" t="str">
        <f>IF(ISERROR(getgrade(Broadsheet!BE238,data!$H$4:$I$9)),"#",getgrade(Broadsheet!BE238,data!$H$4:$I$9))</f>
        <v/>
      </c>
      <c r="BF127" s="188" t="str">
        <f>IF(ISERROR(getgrade(Broadsheet!BF238,data!$H$4:$I$9)),"#",getgrade(Broadsheet!BF238,data!$H$4:$I$9))</f>
        <v/>
      </c>
      <c r="BG127" s="188" t="str">
        <f>IF(ISERROR(getgrade(Broadsheet!BG238,data!$H$4:$I$9)),"#",getgrade(Broadsheet!BG238,data!$H$4:$I$9))</f>
        <v/>
      </c>
      <c r="BH127" s="188" t="str">
        <f>IF(ISERROR(getgrade(Broadsheet!BH238,data!$H$4:$I$9)),"#",getgrade(Broadsheet!BH238,data!$H$4:$I$9))</f>
        <v/>
      </c>
      <c r="BI127" s="188" t="str">
        <f>IF(ISERROR(getgrade(Broadsheet!BI238,data!$H$4:$I$9)),"#",getgrade(Broadsheet!BI238,data!$H$4:$I$9))</f>
        <v/>
      </c>
      <c r="BJ127" s="188" t="str">
        <f>IF(ISERROR(getgrade(Broadsheet!BJ238,data!$H$4:$I$9)),"#",getgrade(Broadsheet!BJ238,data!$H$4:$I$9))</f>
        <v/>
      </c>
      <c r="BK127" s="188"/>
      <c r="BL127" s="188"/>
      <c r="BM127" s="188"/>
      <c r="BN127" s="188"/>
      <c r="BO127" s="188"/>
      <c r="BP127" s="188"/>
      <c r="BQ127" s="188"/>
      <c r="BR127" s="188"/>
      <c r="BS127" s="188"/>
      <c r="BT127" s="188"/>
      <c r="BU127" s="188"/>
      <c r="BV127" s="188"/>
      <c r="BW127" s="188"/>
      <c r="BX127" s="188"/>
      <c r="BY127" s="188"/>
      <c r="BZ127" s="188"/>
      <c r="CA127" s="188"/>
      <c r="CB127" s="188"/>
      <c r="CC127" s="188"/>
      <c r="CD127" s="188"/>
      <c r="CE127" s="188"/>
      <c r="CF127" s="188"/>
      <c r="CG127" s="188"/>
      <c r="CH127" s="188"/>
      <c r="CI127" s="188"/>
      <c r="CJ127" s="188"/>
      <c r="CK127" s="188"/>
      <c r="CL127" s="188"/>
      <c r="CM127" s="188"/>
      <c r="CN127" s="188"/>
      <c r="CO127" s="188"/>
      <c r="CP127" s="188"/>
      <c r="CQ127" s="188"/>
      <c r="CR127" s="188"/>
      <c r="CS127" s="188"/>
      <c r="CT127" s="188"/>
      <c r="CU127" s="188"/>
      <c r="CV127" s="188"/>
      <c r="CW127" s="188"/>
      <c r="CX127" s="188"/>
      <c r="CY127" s="188"/>
      <c r="CZ127" s="188"/>
      <c r="DA127" s="188"/>
      <c r="DB127" s="188"/>
      <c r="DC127" s="188"/>
      <c r="DD127" s="188"/>
      <c r="DE127" s="188"/>
      <c r="DF127" s="188"/>
      <c r="DG127" s="188"/>
      <c r="DH127" s="188"/>
      <c r="DI127" s="188"/>
      <c r="DJ127" s="188"/>
      <c r="DK127" s="188"/>
      <c r="DL127" s="188"/>
      <c r="DM127" s="188"/>
      <c r="DN127" s="188"/>
      <c r="DO127" s="188"/>
      <c r="DP127" s="188"/>
      <c r="DQ127" s="188"/>
      <c r="DR127" s="188"/>
      <c r="DS127" s="188"/>
      <c r="DT127" s="188"/>
      <c r="DU127" s="188"/>
      <c r="DV127" s="188"/>
      <c r="DW127" s="188"/>
      <c r="DX127" s="188"/>
      <c r="DY127" s="188"/>
      <c r="DZ127" s="188"/>
      <c r="EA127" s="188"/>
    </row>
    <row r="128" spans="1:131" ht="15.75" x14ac:dyDescent="0.25">
      <c r="A128" s="12">
        <f>Broadsheet!A239</f>
        <v>0</v>
      </c>
      <c r="B128" s="204" t="str">
        <f>IF(Broadsheet!B128="","",Broadsheet!B128)</f>
        <v/>
      </c>
      <c r="C128" s="24" t="str">
        <f>IF(Broadsheet!C128="","",Broadsheet!C128)</f>
        <v xml:space="preserve"> </v>
      </c>
      <c r="G128" s="24" t="str">
        <f t="shared" si="1"/>
        <v/>
      </c>
      <c r="H128" s="188" t="str">
        <f>IF(ISERROR(getgrade(Broadsheet!H239,data!$H$4:$I$9)),"#",getgrade(Broadsheet!H239,data!$H$4:$I$9))</f>
        <v/>
      </c>
      <c r="I128" s="188" t="str">
        <f>IF(ISERROR(getgrade(Broadsheet!I239,data!$H$4:$I$9)),"#",getgrade(Broadsheet!I239,data!$H$4:$I$9))</f>
        <v/>
      </c>
      <c r="J128" s="188" t="str">
        <f>IF(ISERROR(getgrade(Broadsheet!J239,data!$H$4:$I$9)),"#",getgrade(Broadsheet!J239,data!$H$4:$I$9))</f>
        <v/>
      </c>
      <c r="K128" s="188" t="str">
        <f>IF(ISERROR(getgrade(Broadsheet!K239,data!$H$4:$I$9)),"#",getgrade(Broadsheet!K239,data!$H$4:$I$9))</f>
        <v/>
      </c>
      <c r="L128" s="188" t="str">
        <f>IF(ISERROR(getgrade(Broadsheet!L239,data!$H$4:$I$9)),"#",getgrade(Broadsheet!L239,data!$H$4:$I$9))</f>
        <v/>
      </c>
      <c r="M128" s="188" t="str">
        <f>IF(ISERROR(getgrade(Broadsheet!M239,data!$H$4:$I$9)),"#",getgrade(Broadsheet!M239,data!$H$4:$I$9))</f>
        <v/>
      </c>
      <c r="N128" s="188" t="str">
        <f>IF(ISERROR(getgrade(Broadsheet!N239,data!$H$4:$I$9)),"#",getgrade(Broadsheet!N239,data!$H$4:$I$9))</f>
        <v/>
      </c>
      <c r="O128" s="188" t="str">
        <f>IF(ISERROR(getgrade(Broadsheet!O239,data!$H$4:$I$9)),"#",getgrade(Broadsheet!O239,data!$H$4:$I$9))</f>
        <v/>
      </c>
      <c r="P128" s="188" t="str">
        <f>IF(ISERROR(getgrade(Broadsheet!P239,data!$H$4:$I$9)),"#",getgrade(Broadsheet!P239,data!$H$4:$I$9))</f>
        <v/>
      </c>
      <c r="Q128" s="188" t="str">
        <f>IF(ISERROR(getgrade(Broadsheet!Q239,data!$H$4:$I$9)),"#",getgrade(Broadsheet!Q239,data!$H$4:$I$9))</f>
        <v/>
      </c>
      <c r="R128" s="188" t="str">
        <f>IF(ISERROR(getgrade(Broadsheet!R239,data!$H$4:$I$9)),"#",getgrade(Broadsheet!R239,data!$H$4:$I$9))</f>
        <v/>
      </c>
      <c r="S128" s="188" t="str">
        <f>IF(ISERROR(getgrade(Broadsheet!S239,data!$H$4:$I$9)),"#",getgrade(Broadsheet!S239,data!$H$4:$I$9))</f>
        <v/>
      </c>
      <c r="T128" s="188" t="str">
        <f>IF(ISERROR(getgrade(Broadsheet!T239,data!$H$4:$I$9)),"#",getgrade(Broadsheet!T239,data!$H$4:$I$9))</f>
        <v/>
      </c>
      <c r="U128" s="188" t="str">
        <f>IF(ISERROR(getgrade(Broadsheet!U239,data!$H$4:$I$9)),"#",getgrade(Broadsheet!U239,data!$H$4:$I$9))</f>
        <v/>
      </c>
      <c r="V128" s="188" t="str">
        <f>IF(ISERROR(getgrade(Broadsheet!V239,data!$H$4:$I$9)),"#",getgrade(Broadsheet!V239,data!$H$4:$I$9))</f>
        <v/>
      </c>
      <c r="W128" s="188" t="str">
        <f>IF(ISERROR(getgrade(Broadsheet!W239,data!$H$4:$I$9)),"#",getgrade(Broadsheet!W239,data!$H$4:$I$9))</f>
        <v/>
      </c>
      <c r="X128" s="188" t="str">
        <f>IF(ISERROR(getgrade(Broadsheet!X239,data!$H$4:$I$9)),"#",getgrade(Broadsheet!X239,data!$H$4:$I$9))</f>
        <v/>
      </c>
      <c r="Y128" s="188" t="str">
        <f>IF(ISERROR(getgrade(Broadsheet!Y239,data!$H$4:$I$9)),"#",getgrade(Broadsheet!Y239,data!$H$4:$I$9))</f>
        <v/>
      </c>
      <c r="Z128" s="188" t="str">
        <f>IF(ISERROR(getgrade(Broadsheet!Z239,data!$H$4:$I$9)),"#",getgrade(Broadsheet!Z239,data!$H$4:$I$9))</f>
        <v/>
      </c>
      <c r="AA128" s="188" t="str">
        <f>IF(ISERROR(getgrade(Broadsheet!AA239,data!$H$4:$I$9)),"#",getgrade(Broadsheet!AA239,data!$H$4:$I$9))</f>
        <v/>
      </c>
      <c r="AB128" s="188" t="str">
        <f>IF(ISERROR(getgrade(Broadsheet!AB239,data!$H$4:$I$9)),"#",getgrade(Broadsheet!AB239,data!$H$4:$I$9))</f>
        <v/>
      </c>
      <c r="AC128" s="188" t="str">
        <f>IF(ISERROR(getgrade(Broadsheet!AC239,data!$H$4:$I$9)),"#",getgrade(Broadsheet!AC239,data!$H$4:$I$9))</f>
        <v/>
      </c>
      <c r="AD128" s="188" t="str">
        <f>IF(ISERROR(getgrade(Broadsheet!AD239,data!$H$4:$I$9)),"#",getgrade(Broadsheet!AD239,data!$H$4:$I$9))</f>
        <v/>
      </c>
      <c r="AE128" s="188" t="str">
        <f>IF(ISERROR(getgrade(Broadsheet!AE239,data!$H$4:$I$9)),"#",getgrade(Broadsheet!AE239,data!$H$4:$I$9))</f>
        <v/>
      </c>
      <c r="AF128" s="188" t="str">
        <f>IF(ISERROR(getgrade(Broadsheet!AF239,data!$H$4:$I$9)),"#",getgrade(Broadsheet!AF239,data!$H$4:$I$9))</f>
        <v/>
      </c>
      <c r="AG128" s="188" t="str">
        <f>IF(ISERROR(getgrade(Broadsheet!AG239,data!$H$4:$I$9)),"#",getgrade(Broadsheet!AG239,data!$H$4:$I$9))</f>
        <v/>
      </c>
      <c r="AH128" s="188" t="str">
        <f>IF(ISERROR(getgrade(Broadsheet!AH239,data!$H$4:$I$9)),"#",getgrade(Broadsheet!AH239,data!$H$4:$I$9))</f>
        <v/>
      </c>
      <c r="AI128" s="188" t="str">
        <f>IF(ISERROR(getgrade(Broadsheet!AI239,data!$H$4:$I$9)),"#",getgrade(Broadsheet!AI239,data!$H$4:$I$9))</f>
        <v/>
      </c>
      <c r="AJ128" s="188" t="str">
        <f>IF(ISERROR(getgrade(Broadsheet!AJ239,data!$H$4:$I$9)),"#",getgrade(Broadsheet!AJ239,data!$H$4:$I$9))</f>
        <v/>
      </c>
      <c r="AK128" s="188" t="str">
        <f>IF(ISERROR(getgrade(Broadsheet!AK239,data!$H$4:$I$9)),"#",getgrade(Broadsheet!AK239,data!$H$4:$I$9))</f>
        <v/>
      </c>
      <c r="AL128" s="188" t="str">
        <f>IF(ISERROR(getgrade(Broadsheet!AL239,data!$H$4:$I$9)),"#",getgrade(Broadsheet!AL239,data!$H$4:$I$9))</f>
        <v/>
      </c>
      <c r="AM128" s="188" t="str">
        <f>IF(ISERROR(getgrade(Broadsheet!AM239,data!$H$4:$I$9)),"#",getgrade(Broadsheet!AM239,data!$H$4:$I$9))</f>
        <v/>
      </c>
      <c r="AN128" s="188" t="str">
        <f>IF(ISERROR(getgrade(Broadsheet!AN239,data!$H$4:$I$9)),"#",getgrade(Broadsheet!AN239,data!$H$4:$I$9))</f>
        <v/>
      </c>
      <c r="AO128" s="188" t="str">
        <f>IF(ISERROR(getgrade(Broadsheet!AO239,data!$H$4:$I$9)),"#",getgrade(Broadsheet!AO239,data!$H$4:$I$9))</f>
        <v/>
      </c>
      <c r="AP128" s="188" t="str">
        <f>IF(ISERROR(getgrade(Broadsheet!AP239,data!$H$4:$I$9)),"#",getgrade(Broadsheet!AP239,data!$H$4:$I$9))</f>
        <v/>
      </c>
      <c r="AQ128" s="188" t="str">
        <f>IF(ISERROR(getgrade(Broadsheet!AQ239,data!$H$4:$I$9)),"#",getgrade(Broadsheet!AQ239,data!$H$4:$I$9))</f>
        <v/>
      </c>
      <c r="AR128" s="188" t="str">
        <f>IF(ISERROR(getgrade(Broadsheet!AR239,data!$H$4:$I$9)),"#",getgrade(Broadsheet!AR239,data!$H$4:$I$9))</f>
        <v/>
      </c>
      <c r="AS128" s="188" t="str">
        <f>IF(ISERROR(getgrade(Broadsheet!AS239,data!$H$4:$I$9)),"#",getgrade(Broadsheet!AS239,data!$H$4:$I$9))</f>
        <v/>
      </c>
      <c r="AT128" s="188" t="str">
        <f>IF(ISERROR(getgrade(Broadsheet!AT239,data!$H$4:$I$9)),"#",getgrade(Broadsheet!AT239,data!$H$4:$I$9))</f>
        <v/>
      </c>
      <c r="AU128" s="188" t="str">
        <f>IF(ISERROR(getgrade(Broadsheet!AU239,data!$H$4:$I$9)),"#",getgrade(Broadsheet!AU239,data!$H$4:$I$9))</f>
        <v/>
      </c>
      <c r="AV128" s="188" t="str">
        <f>IF(ISERROR(getgrade(Broadsheet!AV239,data!$H$4:$I$9)),"#",getgrade(Broadsheet!AV239,data!$H$4:$I$9))</f>
        <v/>
      </c>
      <c r="AW128" s="188" t="str">
        <f>IF(ISERROR(getgrade(Broadsheet!AW239,data!$H$4:$I$9)),"#",getgrade(Broadsheet!AW239,data!$H$4:$I$9))</f>
        <v/>
      </c>
      <c r="AX128" s="188" t="str">
        <f>IF(ISERROR(getgrade(Broadsheet!AX239,data!$H$4:$I$9)),"#",getgrade(Broadsheet!AX239,data!$H$4:$I$9))</f>
        <v/>
      </c>
      <c r="AY128" s="188" t="str">
        <f>IF(ISERROR(getgrade(Broadsheet!AY239,data!$H$4:$I$9)),"#",getgrade(Broadsheet!AY239,data!$H$4:$I$9))</f>
        <v/>
      </c>
      <c r="AZ128" s="188" t="str">
        <f>IF(ISERROR(getgrade(Broadsheet!AZ239,data!$H$4:$I$9)),"#",getgrade(Broadsheet!AZ239,data!$H$4:$I$9))</f>
        <v/>
      </c>
      <c r="BA128" s="188" t="str">
        <f>IF(ISERROR(getgrade(Broadsheet!BA239,data!$H$4:$I$9)),"#",getgrade(Broadsheet!BA239,data!$H$4:$I$9))</f>
        <v/>
      </c>
      <c r="BB128" s="188" t="str">
        <f>IF(ISERROR(getgrade(Broadsheet!BB239,data!$H$4:$I$9)),"#",getgrade(Broadsheet!BB239,data!$H$4:$I$9))</f>
        <v/>
      </c>
      <c r="BC128" s="188" t="str">
        <f>IF(ISERROR(getgrade(Broadsheet!BC239,data!$H$4:$I$9)),"#",getgrade(Broadsheet!BC239,data!$H$4:$I$9))</f>
        <v/>
      </c>
      <c r="BD128" s="188" t="str">
        <f>IF(ISERROR(getgrade(Broadsheet!BD239,data!$H$4:$I$9)),"#",getgrade(Broadsheet!BD239,data!$H$4:$I$9))</f>
        <v/>
      </c>
      <c r="BE128" s="188" t="str">
        <f>IF(ISERROR(getgrade(Broadsheet!BE239,data!$H$4:$I$9)),"#",getgrade(Broadsheet!BE239,data!$H$4:$I$9))</f>
        <v/>
      </c>
      <c r="BF128" s="188" t="str">
        <f>IF(ISERROR(getgrade(Broadsheet!BF239,data!$H$4:$I$9)),"#",getgrade(Broadsheet!BF239,data!$H$4:$I$9))</f>
        <v/>
      </c>
      <c r="BG128" s="188" t="str">
        <f>IF(ISERROR(getgrade(Broadsheet!BG239,data!$H$4:$I$9)),"#",getgrade(Broadsheet!BG239,data!$H$4:$I$9))</f>
        <v/>
      </c>
      <c r="BH128" s="188" t="str">
        <f>IF(ISERROR(getgrade(Broadsheet!BH239,data!$H$4:$I$9)),"#",getgrade(Broadsheet!BH239,data!$H$4:$I$9))</f>
        <v/>
      </c>
      <c r="BI128" s="188" t="str">
        <f>IF(ISERROR(getgrade(Broadsheet!BI239,data!$H$4:$I$9)),"#",getgrade(Broadsheet!BI239,data!$H$4:$I$9))</f>
        <v/>
      </c>
      <c r="BJ128" s="188" t="str">
        <f>IF(ISERROR(getgrade(Broadsheet!BJ239,data!$H$4:$I$9)),"#",getgrade(Broadsheet!BJ239,data!$H$4:$I$9))</f>
        <v/>
      </c>
      <c r="BK128" s="188"/>
      <c r="BL128" s="188"/>
      <c r="BM128" s="188"/>
      <c r="BN128" s="188"/>
      <c r="BO128" s="188"/>
      <c r="BP128" s="188"/>
      <c r="BQ128" s="188"/>
      <c r="BR128" s="188"/>
      <c r="BS128" s="188"/>
      <c r="BT128" s="188"/>
      <c r="BU128" s="188"/>
      <c r="BV128" s="188"/>
      <c r="BW128" s="188"/>
      <c r="BX128" s="188"/>
      <c r="BY128" s="188"/>
      <c r="BZ128" s="188"/>
      <c r="CA128" s="188"/>
      <c r="CB128" s="188"/>
      <c r="CC128" s="188"/>
      <c r="CD128" s="188"/>
      <c r="CE128" s="188"/>
      <c r="CF128" s="188"/>
      <c r="CG128" s="188"/>
      <c r="CH128" s="188"/>
      <c r="CI128" s="188"/>
      <c r="CJ128" s="188"/>
      <c r="CK128" s="188"/>
      <c r="CL128" s="188"/>
      <c r="CM128" s="188"/>
      <c r="CN128" s="188"/>
      <c r="CO128" s="188"/>
      <c r="CP128" s="188"/>
      <c r="CQ128" s="188"/>
      <c r="CR128" s="188"/>
      <c r="CS128" s="188"/>
      <c r="CT128" s="188"/>
      <c r="CU128" s="188"/>
      <c r="CV128" s="188"/>
      <c r="CW128" s="188"/>
      <c r="CX128" s="188"/>
      <c r="CY128" s="188"/>
      <c r="CZ128" s="188"/>
      <c r="DA128" s="188"/>
      <c r="DB128" s="188"/>
      <c r="DC128" s="188"/>
      <c r="DD128" s="188"/>
      <c r="DE128" s="188"/>
      <c r="DF128" s="188"/>
      <c r="DG128" s="188"/>
      <c r="DH128" s="188"/>
      <c r="DI128" s="188"/>
      <c r="DJ128" s="188"/>
      <c r="DK128" s="188"/>
      <c r="DL128" s="188"/>
      <c r="DM128" s="188"/>
      <c r="DN128" s="188"/>
      <c r="DO128" s="188"/>
      <c r="DP128" s="188"/>
      <c r="DQ128" s="188"/>
      <c r="DR128" s="188"/>
      <c r="DS128" s="188"/>
      <c r="DT128" s="188"/>
      <c r="DU128" s="188"/>
      <c r="DV128" s="188"/>
      <c r="DW128" s="188"/>
      <c r="DX128" s="188"/>
      <c r="DY128" s="188"/>
      <c r="DZ128" s="188"/>
      <c r="EA128" s="188"/>
    </row>
    <row r="129" spans="1:131" ht="15.75" x14ac:dyDescent="0.25">
      <c r="A129" s="12">
        <f>Broadsheet!A240</f>
        <v>0</v>
      </c>
      <c r="B129" s="204" t="str">
        <f>IF(Broadsheet!B129="","",Broadsheet!B129)</f>
        <v/>
      </c>
      <c r="C129" s="24" t="str">
        <f>IF(Broadsheet!C129="","",Broadsheet!C129)</f>
        <v xml:space="preserve"> </v>
      </c>
      <c r="G129" s="24" t="str">
        <f t="shared" si="1"/>
        <v/>
      </c>
      <c r="H129" s="188" t="str">
        <f>IF(ISERROR(getgrade(Broadsheet!H240,data!$H$4:$I$9)),"#",getgrade(Broadsheet!H240,data!$H$4:$I$9))</f>
        <v/>
      </c>
      <c r="I129" s="188" t="str">
        <f>IF(ISERROR(getgrade(Broadsheet!I240,data!$H$4:$I$9)),"#",getgrade(Broadsheet!I240,data!$H$4:$I$9))</f>
        <v/>
      </c>
      <c r="J129" s="188" t="str">
        <f>IF(ISERROR(getgrade(Broadsheet!J240,data!$H$4:$I$9)),"#",getgrade(Broadsheet!J240,data!$H$4:$I$9))</f>
        <v/>
      </c>
      <c r="K129" s="188" t="str">
        <f>IF(ISERROR(getgrade(Broadsheet!K240,data!$H$4:$I$9)),"#",getgrade(Broadsheet!K240,data!$H$4:$I$9))</f>
        <v/>
      </c>
      <c r="L129" s="188" t="str">
        <f>IF(ISERROR(getgrade(Broadsheet!L240,data!$H$4:$I$9)),"#",getgrade(Broadsheet!L240,data!$H$4:$I$9))</f>
        <v/>
      </c>
      <c r="M129" s="188" t="str">
        <f>IF(ISERROR(getgrade(Broadsheet!M240,data!$H$4:$I$9)),"#",getgrade(Broadsheet!M240,data!$H$4:$I$9))</f>
        <v/>
      </c>
      <c r="N129" s="188" t="str">
        <f>IF(ISERROR(getgrade(Broadsheet!N240,data!$H$4:$I$9)),"#",getgrade(Broadsheet!N240,data!$H$4:$I$9))</f>
        <v/>
      </c>
      <c r="O129" s="188" t="str">
        <f>IF(ISERROR(getgrade(Broadsheet!O240,data!$H$4:$I$9)),"#",getgrade(Broadsheet!O240,data!$H$4:$I$9))</f>
        <v/>
      </c>
      <c r="P129" s="188" t="str">
        <f>IF(ISERROR(getgrade(Broadsheet!P240,data!$H$4:$I$9)),"#",getgrade(Broadsheet!P240,data!$H$4:$I$9))</f>
        <v/>
      </c>
      <c r="Q129" s="188" t="str">
        <f>IF(ISERROR(getgrade(Broadsheet!Q240,data!$H$4:$I$9)),"#",getgrade(Broadsheet!Q240,data!$H$4:$I$9))</f>
        <v/>
      </c>
      <c r="R129" s="188" t="str">
        <f>IF(ISERROR(getgrade(Broadsheet!R240,data!$H$4:$I$9)),"#",getgrade(Broadsheet!R240,data!$H$4:$I$9))</f>
        <v/>
      </c>
      <c r="S129" s="188" t="str">
        <f>IF(ISERROR(getgrade(Broadsheet!S240,data!$H$4:$I$9)),"#",getgrade(Broadsheet!S240,data!$H$4:$I$9))</f>
        <v/>
      </c>
      <c r="T129" s="188" t="str">
        <f>IF(ISERROR(getgrade(Broadsheet!T240,data!$H$4:$I$9)),"#",getgrade(Broadsheet!T240,data!$H$4:$I$9))</f>
        <v/>
      </c>
      <c r="U129" s="188" t="str">
        <f>IF(ISERROR(getgrade(Broadsheet!U240,data!$H$4:$I$9)),"#",getgrade(Broadsheet!U240,data!$H$4:$I$9))</f>
        <v/>
      </c>
      <c r="V129" s="188" t="str">
        <f>IF(ISERROR(getgrade(Broadsheet!V240,data!$H$4:$I$9)),"#",getgrade(Broadsheet!V240,data!$H$4:$I$9))</f>
        <v/>
      </c>
      <c r="W129" s="188" t="str">
        <f>IF(ISERROR(getgrade(Broadsheet!W240,data!$H$4:$I$9)),"#",getgrade(Broadsheet!W240,data!$H$4:$I$9))</f>
        <v/>
      </c>
      <c r="X129" s="188" t="str">
        <f>IF(ISERROR(getgrade(Broadsheet!X240,data!$H$4:$I$9)),"#",getgrade(Broadsheet!X240,data!$H$4:$I$9))</f>
        <v/>
      </c>
      <c r="Y129" s="188" t="str">
        <f>IF(ISERROR(getgrade(Broadsheet!Y240,data!$H$4:$I$9)),"#",getgrade(Broadsheet!Y240,data!$H$4:$I$9))</f>
        <v/>
      </c>
      <c r="Z129" s="188" t="str">
        <f>IF(ISERROR(getgrade(Broadsheet!Z240,data!$H$4:$I$9)),"#",getgrade(Broadsheet!Z240,data!$H$4:$I$9))</f>
        <v/>
      </c>
      <c r="AA129" s="188" t="str">
        <f>IF(ISERROR(getgrade(Broadsheet!AA240,data!$H$4:$I$9)),"#",getgrade(Broadsheet!AA240,data!$H$4:$I$9))</f>
        <v/>
      </c>
      <c r="AB129" s="188" t="str">
        <f>IF(ISERROR(getgrade(Broadsheet!AB240,data!$H$4:$I$9)),"#",getgrade(Broadsheet!AB240,data!$H$4:$I$9))</f>
        <v/>
      </c>
      <c r="AC129" s="188" t="str">
        <f>IF(ISERROR(getgrade(Broadsheet!AC240,data!$H$4:$I$9)),"#",getgrade(Broadsheet!AC240,data!$H$4:$I$9))</f>
        <v/>
      </c>
      <c r="AD129" s="188" t="str">
        <f>IF(ISERROR(getgrade(Broadsheet!AD240,data!$H$4:$I$9)),"#",getgrade(Broadsheet!AD240,data!$H$4:$I$9))</f>
        <v/>
      </c>
      <c r="AE129" s="188" t="str">
        <f>IF(ISERROR(getgrade(Broadsheet!AE240,data!$H$4:$I$9)),"#",getgrade(Broadsheet!AE240,data!$H$4:$I$9))</f>
        <v/>
      </c>
      <c r="AF129" s="188" t="str">
        <f>IF(ISERROR(getgrade(Broadsheet!AF240,data!$H$4:$I$9)),"#",getgrade(Broadsheet!AF240,data!$H$4:$I$9))</f>
        <v/>
      </c>
      <c r="AG129" s="188" t="str">
        <f>IF(ISERROR(getgrade(Broadsheet!AG240,data!$H$4:$I$9)),"#",getgrade(Broadsheet!AG240,data!$H$4:$I$9))</f>
        <v/>
      </c>
      <c r="AH129" s="188" t="str">
        <f>IF(ISERROR(getgrade(Broadsheet!AH240,data!$H$4:$I$9)),"#",getgrade(Broadsheet!AH240,data!$H$4:$I$9))</f>
        <v/>
      </c>
      <c r="AI129" s="188" t="str">
        <f>IF(ISERROR(getgrade(Broadsheet!AI240,data!$H$4:$I$9)),"#",getgrade(Broadsheet!AI240,data!$H$4:$I$9))</f>
        <v/>
      </c>
      <c r="AJ129" s="188" t="str">
        <f>IF(ISERROR(getgrade(Broadsheet!AJ240,data!$H$4:$I$9)),"#",getgrade(Broadsheet!AJ240,data!$H$4:$I$9))</f>
        <v/>
      </c>
      <c r="AK129" s="188" t="str">
        <f>IF(ISERROR(getgrade(Broadsheet!AK240,data!$H$4:$I$9)),"#",getgrade(Broadsheet!AK240,data!$H$4:$I$9))</f>
        <v/>
      </c>
      <c r="AL129" s="188" t="str">
        <f>IF(ISERROR(getgrade(Broadsheet!AL240,data!$H$4:$I$9)),"#",getgrade(Broadsheet!AL240,data!$H$4:$I$9))</f>
        <v/>
      </c>
      <c r="AM129" s="188" t="str">
        <f>IF(ISERROR(getgrade(Broadsheet!AM240,data!$H$4:$I$9)),"#",getgrade(Broadsheet!AM240,data!$H$4:$I$9))</f>
        <v/>
      </c>
      <c r="AN129" s="188" t="str">
        <f>IF(ISERROR(getgrade(Broadsheet!AN240,data!$H$4:$I$9)),"#",getgrade(Broadsheet!AN240,data!$H$4:$I$9))</f>
        <v/>
      </c>
      <c r="AO129" s="188" t="str">
        <f>IF(ISERROR(getgrade(Broadsheet!AO240,data!$H$4:$I$9)),"#",getgrade(Broadsheet!AO240,data!$H$4:$I$9))</f>
        <v/>
      </c>
      <c r="AP129" s="188" t="str">
        <f>IF(ISERROR(getgrade(Broadsheet!AP240,data!$H$4:$I$9)),"#",getgrade(Broadsheet!AP240,data!$H$4:$I$9))</f>
        <v/>
      </c>
      <c r="AQ129" s="188" t="str">
        <f>IF(ISERROR(getgrade(Broadsheet!AQ240,data!$H$4:$I$9)),"#",getgrade(Broadsheet!AQ240,data!$H$4:$I$9))</f>
        <v/>
      </c>
      <c r="AR129" s="188" t="str">
        <f>IF(ISERROR(getgrade(Broadsheet!AR240,data!$H$4:$I$9)),"#",getgrade(Broadsheet!AR240,data!$H$4:$I$9))</f>
        <v/>
      </c>
      <c r="AS129" s="188" t="str">
        <f>IF(ISERROR(getgrade(Broadsheet!AS240,data!$H$4:$I$9)),"#",getgrade(Broadsheet!AS240,data!$H$4:$I$9))</f>
        <v/>
      </c>
      <c r="AT129" s="188" t="str">
        <f>IF(ISERROR(getgrade(Broadsheet!AT240,data!$H$4:$I$9)),"#",getgrade(Broadsheet!AT240,data!$H$4:$I$9))</f>
        <v/>
      </c>
      <c r="AU129" s="188" t="str">
        <f>IF(ISERROR(getgrade(Broadsheet!AU240,data!$H$4:$I$9)),"#",getgrade(Broadsheet!AU240,data!$H$4:$I$9))</f>
        <v/>
      </c>
      <c r="AV129" s="188" t="str">
        <f>IF(ISERROR(getgrade(Broadsheet!AV240,data!$H$4:$I$9)),"#",getgrade(Broadsheet!AV240,data!$H$4:$I$9))</f>
        <v/>
      </c>
      <c r="AW129" s="188" t="str">
        <f>IF(ISERROR(getgrade(Broadsheet!AW240,data!$H$4:$I$9)),"#",getgrade(Broadsheet!AW240,data!$H$4:$I$9))</f>
        <v/>
      </c>
      <c r="AX129" s="188" t="str">
        <f>IF(ISERROR(getgrade(Broadsheet!AX240,data!$H$4:$I$9)),"#",getgrade(Broadsheet!AX240,data!$H$4:$I$9))</f>
        <v/>
      </c>
      <c r="AY129" s="188" t="str">
        <f>IF(ISERROR(getgrade(Broadsheet!AY240,data!$H$4:$I$9)),"#",getgrade(Broadsheet!AY240,data!$H$4:$I$9))</f>
        <v/>
      </c>
      <c r="AZ129" s="188" t="str">
        <f>IF(ISERROR(getgrade(Broadsheet!AZ240,data!$H$4:$I$9)),"#",getgrade(Broadsheet!AZ240,data!$H$4:$I$9))</f>
        <v/>
      </c>
      <c r="BA129" s="188" t="str">
        <f>IF(ISERROR(getgrade(Broadsheet!BA240,data!$H$4:$I$9)),"#",getgrade(Broadsheet!BA240,data!$H$4:$I$9))</f>
        <v/>
      </c>
      <c r="BB129" s="188" t="str">
        <f>IF(ISERROR(getgrade(Broadsheet!BB240,data!$H$4:$I$9)),"#",getgrade(Broadsheet!BB240,data!$H$4:$I$9))</f>
        <v/>
      </c>
      <c r="BC129" s="188" t="str">
        <f>IF(ISERROR(getgrade(Broadsheet!BC240,data!$H$4:$I$9)),"#",getgrade(Broadsheet!BC240,data!$H$4:$I$9))</f>
        <v/>
      </c>
      <c r="BD129" s="188" t="str">
        <f>IF(ISERROR(getgrade(Broadsheet!BD240,data!$H$4:$I$9)),"#",getgrade(Broadsheet!BD240,data!$H$4:$I$9))</f>
        <v/>
      </c>
      <c r="BE129" s="188" t="str">
        <f>IF(ISERROR(getgrade(Broadsheet!BE240,data!$H$4:$I$9)),"#",getgrade(Broadsheet!BE240,data!$H$4:$I$9))</f>
        <v/>
      </c>
      <c r="BF129" s="188" t="str">
        <f>IF(ISERROR(getgrade(Broadsheet!BF240,data!$H$4:$I$9)),"#",getgrade(Broadsheet!BF240,data!$H$4:$I$9))</f>
        <v/>
      </c>
      <c r="BG129" s="188" t="str">
        <f>IF(ISERROR(getgrade(Broadsheet!BG240,data!$H$4:$I$9)),"#",getgrade(Broadsheet!BG240,data!$H$4:$I$9))</f>
        <v/>
      </c>
      <c r="BH129" s="188" t="str">
        <f>IF(ISERROR(getgrade(Broadsheet!BH240,data!$H$4:$I$9)),"#",getgrade(Broadsheet!BH240,data!$H$4:$I$9))</f>
        <v/>
      </c>
      <c r="BI129" s="188" t="str">
        <f>IF(ISERROR(getgrade(Broadsheet!BI240,data!$H$4:$I$9)),"#",getgrade(Broadsheet!BI240,data!$H$4:$I$9))</f>
        <v/>
      </c>
      <c r="BJ129" s="188" t="str">
        <f>IF(ISERROR(getgrade(Broadsheet!BJ240,data!$H$4:$I$9)),"#",getgrade(Broadsheet!BJ240,data!$H$4:$I$9))</f>
        <v/>
      </c>
      <c r="BK129" s="188"/>
      <c r="BL129" s="188"/>
      <c r="BM129" s="188"/>
      <c r="BN129" s="188"/>
      <c r="BO129" s="188"/>
      <c r="BP129" s="188"/>
      <c r="BQ129" s="188"/>
      <c r="BR129" s="188"/>
      <c r="BS129" s="188"/>
      <c r="BT129" s="188"/>
      <c r="BU129" s="188"/>
      <c r="BV129" s="188"/>
      <c r="BW129" s="188"/>
      <c r="BX129" s="188"/>
      <c r="BY129" s="188"/>
      <c r="BZ129" s="188"/>
      <c r="CA129" s="188"/>
      <c r="CB129" s="188"/>
      <c r="CC129" s="188"/>
      <c r="CD129" s="188"/>
      <c r="CE129" s="188"/>
      <c r="CF129" s="188"/>
      <c r="CG129" s="188"/>
      <c r="CH129" s="188"/>
      <c r="CI129" s="188"/>
      <c r="CJ129" s="188"/>
      <c r="CK129" s="188"/>
      <c r="CL129" s="188"/>
      <c r="CM129" s="188"/>
      <c r="CN129" s="188"/>
      <c r="CO129" s="188"/>
      <c r="CP129" s="188"/>
      <c r="CQ129" s="188"/>
      <c r="CR129" s="188"/>
      <c r="CS129" s="188"/>
      <c r="CT129" s="188"/>
      <c r="CU129" s="188"/>
      <c r="CV129" s="188"/>
      <c r="CW129" s="188"/>
      <c r="CX129" s="188"/>
      <c r="CY129" s="188"/>
      <c r="CZ129" s="188"/>
      <c r="DA129" s="188"/>
      <c r="DB129" s="188"/>
      <c r="DC129" s="188"/>
      <c r="DD129" s="188"/>
      <c r="DE129" s="188"/>
      <c r="DF129" s="188"/>
      <c r="DG129" s="188"/>
      <c r="DH129" s="188"/>
      <c r="DI129" s="188"/>
      <c r="DJ129" s="188"/>
      <c r="DK129" s="188"/>
      <c r="DL129" s="188"/>
      <c r="DM129" s="188"/>
      <c r="DN129" s="188"/>
      <c r="DO129" s="188"/>
      <c r="DP129" s="188"/>
      <c r="DQ129" s="188"/>
      <c r="DR129" s="188"/>
      <c r="DS129" s="188"/>
      <c r="DT129" s="188"/>
      <c r="DU129" s="188"/>
      <c r="DV129" s="188"/>
      <c r="DW129" s="188"/>
      <c r="DX129" s="188"/>
      <c r="DY129" s="188"/>
      <c r="DZ129" s="188"/>
      <c r="EA129" s="188"/>
    </row>
    <row r="130" spans="1:131" ht="15.75" x14ac:dyDescent="0.25">
      <c r="A130" s="12">
        <f>Broadsheet!A241</f>
        <v>0</v>
      </c>
      <c r="B130" s="204" t="str">
        <f>IF(Broadsheet!B130="","",Broadsheet!B130)</f>
        <v/>
      </c>
      <c r="C130" s="24" t="str">
        <f>IF(Broadsheet!C130="","",Broadsheet!C130)</f>
        <v xml:space="preserve"> </v>
      </c>
      <c r="G130" s="24" t="str">
        <f t="shared" si="1"/>
        <v/>
      </c>
      <c r="H130" s="188" t="str">
        <f>IF(ISERROR(getgrade(Broadsheet!H241,data!$H$4:$I$9)),"#",getgrade(Broadsheet!H241,data!$H$4:$I$9))</f>
        <v/>
      </c>
      <c r="I130" s="188" t="str">
        <f>IF(ISERROR(getgrade(Broadsheet!I241,data!$H$4:$I$9)),"#",getgrade(Broadsheet!I241,data!$H$4:$I$9))</f>
        <v/>
      </c>
      <c r="J130" s="188" t="str">
        <f>IF(ISERROR(getgrade(Broadsheet!J241,data!$H$4:$I$9)),"#",getgrade(Broadsheet!J241,data!$H$4:$I$9))</f>
        <v/>
      </c>
      <c r="K130" s="188" t="str">
        <f>IF(ISERROR(getgrade(Broadsheet!K241,data!$H$4:$I$9)),"#",getgrade(Broadsheet!K241,data!$H$4:$I$9))</f>
        <v/>
      </c>
      <c r="L130" s="188" t="str">
        <f>IF(ISERROR(getgrade(Broadsheet!L241,data!$H$4:$I$9)),"#",getgrade(Broadsheet!L241,data!$H$4:$I$9))</f>
        <v/>
      </c>
      <c r="M130" s="188" t="str">
        <f>IF(ISERROR(getgrade(Broadsheet!M241,data!$H$4:$I$9)),"#",getgrade(Broadsheet!M241,data!$H$4:$I$9))</f>
        <v/>
      </c>
      <c r="N130" s="188" t="str">
        <f>IF(ISERROR(getgrade(Broadsheet!N241,data!$H$4:$I$9)),"#",getgrade(Broadsheet!N241,data!$H$4:$I$9))</f>
        <v/>
      </c>
      <c r="O130" s="188" t="str">
        <f>IF(ISERROR(getgrade(Broadsheet!O241,data!$H$4:$I$9)),"#",getgrade(Broadsheet!O241,data!$H$4:$I$9))</f>
        <v/>
      </c>
      <c r="P130" s="188" t="str">
        <f>IF(ISERROR(getgrade(Broadsheet!P241,data!$H$4:$I$9)),"#",getgrade(Broadsheet!P241,data!$H$4:$I$9))</f>
        <v/>
      </c>
      <c r="Q130" s="188" t="str">
        <f>IF(ISERROR(getgrade(Broadsheet!Q241,data!$H$4:$I$9)),"#",getgrade(Broadsheet!Q241,data!$H$4:$I$9))</f>
        <v/>
      </c>
      <c r="R130" s="188" t="str">
        <f>IF(ISERROR(getgrade(Broadsheet!R241,data!$H$4:$I$9)),"#",getgrade(Broadsheet!R241,data!$H$4:$I$9))</f>
        <v/>
      </c>
      <c r="S130" s="188" t="str">
        <f>IF(ISERROR(getgrade(Broadsheet!S241,data!$H$4:$I$9)),"#",getgrade(Broadsheet!S241,data!$H$4:$I$9))</f>
        <v/>
      </c>
      <c r="T130" s="188" t="str">
        <f>IF(ISERROR(getgrade(Broadsheet!T241,data!$H$4:$I$9)),"#",getgrade(Broadsheet!T241,data!$H$4:$I$9))</f>
        <v/>
      </c>
      <c r="U130" s="188" t="str">
        <f>IF(ISERROR(getgrade(Broadsheet!U241,data!$H$4:$I$9)),"#",getgrade(Broadsheet!U241,data!$H$4:$I$9))</f>
        <v/>
      </c>
      <c r="V130" s="188" t="str">
        <f>IF(ISERROR(getgrade(Broadsheet!V241,data!$H$4:$I$9)),"#",getgrade(Broadsheet!V241,data!$H$4:$I$9))</f>
        <v/>
      </c>
      <c r="W130" s="188" t="str">
        <f>IF(ISERROR(getgrade(Broadsheet!W241,data!$H$4:$I$9)),"#",getgrade(Broadsheet!W241,data!$H$4:$I$9))</f>
        <v/>
      </c>
      <c r="X130" s="188" t="str">
        <f>IF(ISERROR(getgrade(Broadsheet!X241,data!$H$4:$I$9)),"#",getgrade(Broadsheet!X241,data!$H$4:$I$9))</f>
        <v/>
      </c>
      <c r="Y130" s="188" t="str">
        <f>IF(ISERROR(getgrade(Broadsheet!Y241,data!$H$4:$I$9)),"#",getgrade(Broadsheet!Y241,data!$H$4:$I$9))</f>
        <v/>
      </c>
      <c r="Z130" s="188" t="str">
        <f>IF(ISERROR(getgrade(Broadsheet!Z241,data!$H$4:$I$9)),"#",getgrade(Broadsheet!Z241,data!$H$4:$I$9))</f>
        <v/>
      </c>
      <c r="AA130" s="188" t="str">
        <f>IF(ISERROR(getgrade(Broadsheet!AA241,data!$H$4:$I$9)),"#",getgrade(Broadsheet!AA241,data!$H$4:$I$9))</f>
        <v/>
      </c>
      <c r="AB130" s="188" t="str">
        <f>IF(ISERROR(getgrade(Broadsheet!AB241,data!$H$4:$I$9)),"#",getgrade(Broadsheet!AB241,data!$H$4:$I$9))</f>
        <v/>
      </c>
      <c r="AC130" s="188" t="str">
        <f>IF(ISERROR(getgrade(Broadsheet!AC241,data!$H$4:$I$9)),"#",getgrade(Broadsheet!AC241,data!$H$4:$I$9))</f>
        <v/>
      </c>
      <c r="AD130" s="188" t="str">
        <f>IF(ISERROR(getgrade(Broadsheet!AD241,data!$H$4:$I$9)),"#",getgrade(Broadsheet!AD241,data!$H$4:$I$9))</f>
        <v/>
      </c>
      <c r="AE130" s="188" t="str">
        <f>IF(ISERROR(getgrade(Broadsheet!AE241,data!$H$4:$I$9)),"#",getgrade(Broadsheet!AE241,data!$H$4:$I$9))</f>
        <v/>
      </c>
      <c r="AF130" s="188" t="str">
        <f>IF(ISERROR(getgrade(Broadsheet!AF241,data!$H$4:$I$9)),"#",getgrade(Broadsheet!AF241,data!$H$4:$I$9))</f>
        <v/>
      </c>
      <c r="AG130" s="188" t="str">
        <f>IF(ISERROR(getgrade(Broadsheet!AG241,data!$H$4:$I$9)),"#",getgrade(Broadsheet!AG241,data!$H$4:$I$9))</f>
        <v/>
      </c>
      <c r="AH130" s="188" t="str">
        <f>IF(ISERROR(getgrade(Broadsheet!AH241,data!$H$4:$I$9)),"#",getgrade(Broadsheet!AH241,data!$H$4:$I$9))</f>
        <v/>
      </c>
      <c r="AI130" s="188" t="str">
        <f>IF(ISERROR(getgrade(Broadsheet!AI241,data!$H$4:$I$9)),"#",getgrade(Broadsheet!AI241,data!$H$4:$I$9))</f>
        <v/>
      </c>
      <c r="AJ130" s="188" t="str">
        <f>IF(ISERROR(getgrade(Broadsheet!AJ241,data!$H$4:$I$9)),"#",getgrade(Broadsheet!AJ241,data!$H$4:$I$9))</f>
        <v/>
      </c>
      <c r="AK130" s="188" t="str">
        <f>IF(ISERROR(getgrade(Broadsheet!AK241,data!$H$4:$I$9)),"#",getgrade(Broadsheet!AK241,data!$H$4:$I$9))</f>
        <v/>
      </c>
      <c r="AL130" s="188" t="str">
        <f>IF(ISERROR(getgrade(Broadsheet!AL241,data!$H$4:$I$9)),"#",getgrade(Broadsheet!AL241,data!$H$4:$I$9))</f>
        <v/>
      </c>
      <c r="AM130" s="188" t="str">
        <f>IF(ISERROR(getgrade(Broadsheet!AM241,data!$H$4:$I$9)),"#",getgrade(Broadsheet!AM241,data!$H$4:$I$9))</f>
        <v/>
      </c>
      <c r="AN130" s="188" t="str">
        <f>IF(ISERROR(getgrade(Broadsheet!AN241,data!$H$4:$I$9)),"#",getgrade(Broadsheet!AN241,data!$H$4:$I$9))</f>
        <v/>
      </c>
      <c r="AO130" s="188" t="str">
        <f>IF(ISERROR(getgrade(Broadsheet!AO241,data!$H$4:$I$9)),"#",getgrade(Broadsheet!AO241,data!$H$4:$I$9))</f>
        <v/>
      </c>
      <c r="AP130" s="188" t="str">
        <f>IF(ISERROR(getgrade(Broadsheet!AP241,data!$H$4:$I$9)),"#",getgrade(Broadsheet!AP241,data!$H$4:$I$9))</f>
        <v/>
      </c>
      <c r="AQ130" s="188" t="str">
        <f>IF(ISERROR(getgrade(Broadsheet!AQ241,data!$H$4:$I$9)),"#",getgrade(Broadsheet!AQ241,data!$H$4:$I$9))</f>
        <v/>
      </c>
      <c r="AR130" s="188" t="str">
        <f>IF(ISERROR(getgrade(Broadsheet!AR241,data!$H$4:$I$9)),"#",getgrade(Broadsheet!AR241,data!$H$4:$I$9))</f>
        <v/>
      </c>
      <c r="AS130" s="188" t="str">
        <f>IF(ISERROR(getgrade(Broadsheet!AS241,data!$H$4:$I$9)),"#",getgrade(Broadsheet!AS241,data!$H$4:$I$9))</f>
        <v/>
      </c>
      <c r="AT130" s="188" t="str">
        <f>IF(ISERROR(getgrade(Broadsheet!AT241,data!$H$4:$I$9)),"#",getgrade(Broadsheet!AT241,data!$H$4:$I$9))</f>
        <v/>
      </c>
      <c r="AU130" s="188" t="str">
        <f>IF(ISERROR(getgrade(Broadsheet!AU241,data!$H$4:$I$9)),"#",getgrade(Broadsheet!AU241,data!$H$4:$I$9))</f>
        <v/>
      </c>
      <c r="AV130" s="188" t="str">
        <f>IF(ISERROR(getgrade(Broadsheet!AV241,data!$H$4:$I$9)),"#",getgrade(Broadsheet!AV241,data!$H$4:$I$9))</f>
        <v/>
      </c>
      <c r="AW130" s="188" t="str">
        <f>IF(ISERROR(getgrade(Broadsheet!AW241,data!$H$4:$I$9)),"#",getgrade(Broadsheet!AW241,data!$H$4:$I$9))</f>
        <v/>
      </c>
      <c r="AX130" s="188" t="str">
        <f>IF(ISERROR(getgrade(Broadsheet!AX241,data!$H$4:$I$9)),"#",getgrade(Broadsheet!AX241,data!$H$4:$I$9))</f>
        <v/>
      </c>
      <c r="AY130" s="188" t="str">
        <f>IF(ISERROR(getgrade(Broadsheet!AY241,data!$H$4:$I$9)),"#",getgrade(Broadsheet!AY241,data!$H$4:$I$9))</f>
        <v/>
      </c>
      <c r="AZ130" s="188" t="str">
        <f>IF(ISERROR(getgrade(Broadsheet!AZ241,data!$H$4:$I$9)),"#",getgrade(Broadsheet!AZ241,data!$H$4:$I$9))</f>
        <v/>
      </c>
      <c r="BA130" s="188" t="str">
        <f>IF(ISERROR(getgrade(Broadsheet!BA241,data!$H$4:$I$9)),"#",getgrade(Broadsheet!BA241,data!$H$4:$I$9))</f>
        <v/>
      </c>
      <c r="BB130" s="188" t="str">
        <f>IF(ISERROR(getgrade(Broadsheet!BB241,data!$H$4:$I$9)),"#",getgrade(Broadsheet!BB241,data!$H$4:$I$9))</f>
        <v/>
      </c>
      <c r="BC130" s="188" t="str">
        <f>IF(ISERROR(getgrade(Broadsheet!BC241,data!$H$4:$I$9)),"#",getgrade(Broadsheet!BC241,data!$H$4:$I$9))</f>
        <v/>
      </c>
      <c r="BD130" s="188" t="str">
        <f>IF(ISERROR(getgrade(Broadsheet!BD241,data!$H$4:$I$9)),"#",getgrade(Broadsheet!BD241,data!$H$4:$I$9))</f>
        <v/>
      </c>
      <c r="BE130" s="188" t="str">
        <f>IF(ISERROR(getgrade(Broadsheet!BE241,data!$H$4:$I$9)),"#",getgrade(Broadsheet!BE241,data!$H$4:$I$9))</f>
        <v/>
      </c>
      <c r="BF130" s="188" t="str">
        <f>IF(ISERROR(getgrade(Broadsheet!BF241,data!$H$4:$I$9)),"#",getgrade(Broadsheet!BF241,data!$H$4:$I$9))</f>
        <v/>
      </c>
      <c r="BG130" s="188" t="str">
        <f>IF(ISERROR(getgrade(Broadsheet!BG241,data!$H$4:$I$9)),"#",getgrade(Broadsheet!BG241,data!$H$4:$I$9))</f>
        <v/>
      </c>
      <c r="BH130" s="188" t="str">
        <f>IF(ISERROR(getgrade(Broadsheet!BH241,data!$H$4:$I$9)),"#",getgrade(Broadsheet!BH241,data!$H$4:$I$9))</f>
        <v/>
      </c>
      <c r="BI130" s="188" t="str">
        <f>IF(ISERROR(getgrade(Broadsheet!BI241,data!$H$4:$I$9)),"#",getgrade(Broadsheet!BI241,data!$H$4:$I$9))</f>
        <v/>
      </c>
      <c r="BJ130" s="188" t="str">
        <f>IF(ISERROR(getgrade(Broadsheet!BJ241,data!$H$4:$I$9)),"#",getgrade(Broadsheet!BJ241,data!$H$4:$I$9))</f>
        <v/>
      </c>
      <c r="BK130" s="188"/>
      <c r="BL130" s="188"/>
      <c r="BM130" s="188"/>
      <c r="BN130" s="188"/>
      <c r="BO130" s="188"/>
      <c r="BP130" s="188"/>
      <c r="BQ130" s="188"/>
      <c r="BR130" s="188"/>
      <c r="BS130" s="188"/>
      <c r="BT130" s="188"/>
      <c r="BU130" s="188"/>
      <c r="BV130" s="188"/>
      <c r="BW130" s="188"/>
      <c r="BX130" s="188"/>
      <c r="BY130" s="188"/>
      <c r="BZ130" s="188"/>
      <c r="CA130" s="188"/>
      <c r="CB130" s="188"/>
      <c r="CC130" s="188"/>
      <c r="CD130" s="188"/>
      <c r="CE130" s="188"/>
      <c r="CF130" s="188"/>
      <c r="CG130" s="188"/>
      <c r="CH130" s="188"/>
      <c r="CI130" s="188"/>
      <c r="CJ130" s="188"/>
      <c r="CK130" s="188"/>
      <c r="CL130" s="188"/>
      <c r="CM130" s="188"/>
      <c r="CN130" s="188"/>
      <c r="CO130" s="188"/>
      <c r="CP130" s="188"/>
      <c r="CQ130" s="188"/>
      <c r="CR130" s="188"/>
      <c r="CS130" s="188"/>
      <c r="CT130" s="188"/>
      <c r="CU130" s="188"/>
      <c r="CV130" s="188"/>
      <c r="CW130" s="188"/>
      <c r="CX130" s="188"/>
      <c r="CY130" s="188"/>
      <c r="CZ130" s="188"/>
      <c r="DA130" s="188"/>
      <c r="DB130" s="188"/>
      <c r="DC130" s="188"/>
      <c r="DD130" s="188"/>
      <c r="DE130" s="188"/>
      <c r="DF130" s="188"/>
      <c r="DG130" s="188"/>
      <c r="DH130" s="188"/>
      <c r="DI130" s="188"/>
      <c r="DJ130" s="188"/>
      <c r="DK130" s="188"/>
      <c r="DL130" s="188"/>
      <c r="DM130" s="188"/>
      <c r="DN130" s="188"/>
      <c r="DO130" s="188"/>
      <c r="DP130" s="188"/>
      <c r="DQ130" s="188"/>
      <c r="DR130" s="188"/>
      <c r="DS130" s="188"/>
      <c r="DT130" s="188"/>
      <c r="DU130" s="188"/>
      <c r="DV130" s="188"/>
      <c r="DW130" s="188"/>
      <c r="DX130" s="188"/>
      <c r="DY130" s="188"/>
      <c r="DZ130" s="188"/>
      <c r="EA130" s="188"/>
    </row>
    <row r="131" spans="1:131" ht="15.75" x14ac:dyDescent="0.25">
      <c r="A131" s="12">
        <f>Broadsheet!A242</f>
        <v>0</v>
      </c>
      <c r="B131" s="204" t="str">
        <f>IF(Broadsheet!B131="","",Broadsheet!B131)</f>
        <v/>
      </c>
      <c r="C131" s="24" t="str">
        <f>IF(Broadsheet!C131="","",Broadsheet!C131)</f>
        <v xml:space="preserve"> </v>
      </c>
      <c r="G131" s="24" t="str">
        <f t="shared" si="1"/>
        <v/>
      </c>
      <c r="H131" s="188" t="str">
        <f>IF(ISERROR(getgrade(Broadsheet!H242,data!$H$4:$I$9)),"#",getgrade(Broadsheet!H242,data!$H$4:$I$9))</f>
        <v/>
      </c>
      <c r="I131" s="188" t="str">
        <f>IF(ISERROR(getgrade(Broadsheet!I242,data!$H$4:$I$9)),"#",getgrade(Broadsheet!I242,data!$H$4:$I$9))</f>
        <v/>
      </c>
      <c r="J131" s="188" t="str">
        <f>IF(ISERROR(getgrade(Broadsheet!J242,data!$H$4:$I$9)),"#",getgrade(Broadsheet!J242,data!$H$4:$I$9))</f>
        <v/>
      </c>
      <c r="K131" s="188" t="str">
        <f>IF(ISERROR(getgrade(Broadsheet!K242,data!$H$4:$I$9)),"#",getgrade(Broadsheet!K242,data!$H$4:$I$9))</f>
        <v/>
      </c>
      <c r="L131" s="188" t="str">
        <f>IF(ISERROR(getgrade(Broadsheet!L242,data!$H$4:$I$9)),"#",getgrade(Broadsheet!L242,data!$H$4:$I$9))</f>
        <v/>
      </c>
      <c r="M131" s="188" t="str">
        <f>IF(ISERROR(getgrade(Broadsheet!M242,data!$H$4:$I$9)),"#",getgrade(Broadsheet!M242,data!$H$4:$I$9))</f>
        <v/>
      </c>
      <c r="N131" s="188" t="str">
        <f>IF(ISERROR(getgrade(Broadsheet!N242,data!$H$4:$I$9)),"#",getgrade(Broadsheet!N242,data!$H$4:$I$9))</f>
        <v/>
      </c>
      <c r="O131" s="188" t="str">
        <f>IF(ISERROR(getgrade(Broadsheet!O242,data!$H$4:$I$9)),"#",getgrade(Broadsheet!O242,data!$H$4:$I$9))</f>
        <v/>
      </c>
      <c r="P131" s="188" t="str">
        <f>IF(ISERROR(getgrade(Broadsheet!P242,data!$H$4:$I$9)),"#",getgrade(Broadsheet!P242,data!$H$4:$I$9))</f>
        <v/>
      </c>
      <c r="Q131" s="188" t="str">
        <f>IF(ISERROR(getgrade(Broadsheet!Q242,data!$H$4:$I$9)),"#",getgrade(Broadsheet!Q242,data!$H$4:$I$9))</f>
        <v/>
      </c>
      <c r="R131" s="188" t="str">
        <f>IF(ISERROR(getgrade(Broadsheet!R242,data!$H$4:$I$9)),"#",getgrade(Broadsheet!R242,data!$H$4:$I$9))</f>
        <v/>
      </c>
      <c r="S131" s="188" t="str">
        <f>IF(ISERROR(getgrade(Broadsheet!S242,data!$H$4:$I$9)),"#",getgrade(Broadsheet!S242,data!$H$4:$I$9))</f>
        <v/>
      </c>
      <c r="T131" s="188" t="str">
        <f>IF(ISERROR(getgrade(Broadsheet!T242,data!$H$4:$I$9)),"#",getgrade(Broadsheet!T242,data!$H$4:$I$9))</f>
        <v/>
      </c>
      <c r="U131" s="188" t="str">
        <f>IF(ISERROR(getgrade(Broadsheet!U242,data!$H$4:$I$9)),"#",getgrade(Broadsheet!U242,data!$H$4:$I$9))</f>
        <v/>
      </c>
      <c r="V131" s="188" t="str">
        <f>IF(ISERROR(getgrade(Broadsheet!V242,data!$H$4:$I$9)),"#",getgrade(Broadsheet!V242,data!$H$4:$I$9))</f>
        <v/>
      </c>
      <c r="W131" s="188" t="str">
        <f>IF(ISERROR(getgrade(Broadsheet!W242,data!$H$4:$I$9)),"#",getgrade(Broadsheet!W242,data!$H$4:$I$9))</f>
        <v/>
      </c>
      <c r="X131" s="188" t="str">
        <f>IF(ISERROR(getgrade(Broadsheet!X242,data!$H$4:$I$9)),"#",getgrade(Broadsheet!X242,data!$H$4:$I$9))</f>
        <v/>
      </c>
      <c r="Y131" s="188" t="str">
        <f>IF(ISERROR(getgrade(Broadsheet!Y242,data!$H$4:$I$9)),"#",getgrade(Broadsheet!Y242,data!$H$4:$I$9))</f>
        <v/>
      </c>
      <c r="Z131" s="188" t="str">
        <f>IF(ISERROR(getgrade(Broadsheet!Z242,data!$H$4:$I$9)),"#",getgrade(Broadsheet!Z242,data!$H$4:$I$9))</f>
        <v/>
      </c>
      <c r="AA131" s="188" t="str">
        <f>IF(ISERROR(getgrade(Broadsheet!AA242,data!$H$4:$I$9)),"#",getgrade(Broadsheet!AA242,data!$H$4:$I$9))</f>
        <v/>
      </c>
      <c r="AB131" s="188" t="str">
        <f>IF(ISERROR(getgrade(Broadsheet!AB242,data!$H$4:$I$9)),"#",getgrade(Broadsheet!AB242,data!$H$4:$I$9))</f>
        <v/>
      </c>
      <c r="AC131" s="188" t="str">
        <f>IF(ISERROR(getgrade(Broadsheet!AC242,data!$H$4:$I$9)),"#",getgrade(Broadsheet!AC242,data!$H$4:$I$9))</f>
        <v/>
      </c>
      <c r="AD131" s="188" t="str">
        <f>IF(ISERROR(getgrade(Broadsheet!AD242,data!$H$4:$I$9)),"#",getgrade(Broadsheet!AD242,data!$H$4:$I$9))</f>
        <v/>
      </c>
      <c r="AE131" s="188" t="str">
        <f>IF(ISERROR(getgrade(Broadsheet!AE242,data!$H$4:$I$9)),"#",getgrade(Broadsheet!AE242,data!$H$4:$I$9))</f>
        <v/>
      </c>
      <c r="AF131" s="188" t="str">
        <f>IF(ISERROR(getgrade(Broadsheet!AF242,data!$H$4:$I$9)),"#",getgrade(Broadsheet!AF242,data!$H$4:$I$9))</f>
        <v/>
      </c>
      <c r="AG131" s="188" t="str">
        <f>IF(ISERROR(getgrade(Broadsheet!AG242,data!$H$4:$I$9)),"#",getgrade(Broadsheet!AG242,data!$H$4:$I$9))</f>
        <v/>
      </c>
      <c r="AH131" s="188" t="str">
        <f>IF(ISERROR(getgrade(Broadsheet!AH242,data!$H$4:$I$9)),"#",getgrade(Broadsheet!AH242,data!$H$4:$I$9))</f>
        <v/>
      </c>
      <c r="AI131" s="188" t="str">
        <f>IF(ISERROR(getgrade(Broadsheet!AI242,data!$H$4:$I$9)),"#",getgrade(Broadsheet!AI242,data!$H$4:$I$9))</f>
        <v/>
      </c>
      <c r="AJ131" s="188" t="str">
        <f>IF(ISERROR(getgrade(Broadsheet!AJ242,data!$H$4:$I$9)),"#",getgrade(Broadsheet!AJ242,data!$H$4:$I$9))</f>
        <v/>
      </c>
      <c r="AK131" s="188" t="str">
        <f>IF(ISERROR(getgrade(Broadsheet!AK242,data!$H$4:$I$9)),"#",getgrade(Broadsheet!AK242,data!$H$4:$I$9))</f>
        <v/>
      </c>
      <c r="AL131" s="188" t="str">
        <f>IF(ISERROR(getgrade(Broadsheet!AL242,data!$H$4:$I$9)),"#",getgrade(Broadsheet!AL242,data!$H$4:$I$9))</f>
        <v/>
      </c>
      <c r="AM131" s="188" t="str">
        <f>IF(ISERROR(getgrade(Broadsheet!AM242,data!$H$4:$I$9)),"#",getgrade(Broadsheet!AM242,data!$H$4:$I$9))</f>
        <v/>
      </c>
      <c r="AN131" s="188" t="str">
        <f>IF(ISERROR(getgrade(Broadsheet!AN242,data!$H$4:$I$9)),"#",getgrade(Broadsheet!AN242,data!$H$4:$I$9))</f>
        <v/>
      </c>
      <c r="AO131" s="188" t="str">
        <f>IF(ISERROR(getgrade(Broadsheet!AO242,data!$H$4:$I$9)),"#",getgrade(Broadsheet!AO242,data!$H$4:$I$9))</f>
        <v/>
      </c>
      <c r="AP131" s="188" t="str">
        <f>IF(ISERROR(getgrade(Broadsheet!AP242,data!$H$4:$I$9)),"#",getgrade(Broadsheet!AP242,data!$H$4:$I$9))</f>
        <v/>
      </c>
      <c r="AQ131" s="188" t="str">
        <f>IF(ISERROR(getgrade(Broadsheet!AQ242,data!$H$4:$I$9)),"#",getgrade(Broadsheet!AQ242,data!$H$4:$I$9))</f>
        <v/>
      </c>
      <c r="AR131" s="188" t="str">
        <f>IF(ISERROR(getgrade(Broadsheet!AR242,data!$H$4:$I$9)),"#",getgrade(Broadsheet!AR242,data!$H$4:$I$9))</f>
        <v/>
      </c>
      <c r="AS131" s="188" t="str">
        <f>IF(ISERROR(getgrade(Broadsheet!AS242,data!$H$4:$I$9)),"#",getgrade(Broadsheet!AS242,data!$H$4:$I$9))</f>
        <v/>
      </c>
      <c r="AT131" s="188" t="str">
        <f>IF(ISERROR(getgrade(Broadsheet!AT242,data!$H$4:$I$9)),"#",getgrade(Broadsheet!AT242,data!$H$4:$I$9))</f>
        <v/>
      </c>
      <c r="AU131" s="188" t="str">
        <f>IF(ISERROR(getgrade(Broadsheet!AU242,data!$H$4:$I$9)),"#",getgrade(Broadsheet!AU242,data!$H$4:$I$9))</f>
        <v/>
      </c>
      <c r="AV131" s="188" t="str">
        <f>IF(ISERROR(getgrade(Broadsheet!AV242,data!$H$4:$I$9)),"#",getgrade(Broadsheet!AV242,data!$H$4:$I$9))</f>
        <v/>
      </c>
      <c r="AW131" s="188" t="str">
        <f>IF(ISERROR(getgrade(Broadsheet!AW242,data!$H$4:$I$9)),"#",getgrade(Broadsheet!AW242,data!$H$4:$I$9))</f>
        <v/>
      </c>
      <c r="AX131" s="188" t="str">
        <f>IF(ISERROR(getgrade(Broadsheet!AX242,data!$H$4:$I$9)),"#",getgrade(Broadsheet!AX242,data!$H$4:$I$9))</f>
        <v/>
      </c>
      <c r="AY131" s="188" t="str">
        <f>IF(ISERROR(getgrade(Broadsheet!AY242,data!$H$4:$I$9)),"#",getgrade(Broadsheet!AY242,data!$H$4:$I$9))</f>
        <v/>
      </c>
      <c r="AZ131" s="188" t="str">
        <f>IF(ISERROR(getgrade(Broadsheet!AZ242,data!$H$4:$I$9)),"#",getgrade(Broadsheet!AZ242,data!$H$4:$I$9))</f>
        <v/>
      </c>
      <c r="BA131" s="188" t="str">
        <f>IF(ISERROR(getgrade(Broadsheet!BA242,data!$H$4:$I$9)),"#",getgrade(Broadsheet!BA242,data!$H$4:$I$9))</f>
        <v/>
      </c>
      <c r="BB131" s="188" t="str">
        <f>IF(ISERROR(getgrade(Broadsheet!BB242,data!$H$4:$I$9)),"#",getgrade(Broadsheet!BB242,data!$H$4:$I$9))</f>
        <v/>
      </c>
      <c r="BC131" s="188" t="str">
        <f>IF(ISERROR(getgrade(Broadsheet!BC242,data!$H$4:$I$9)),"#",getgrade(Broadsheet!BC242,data!$H$4:$I$9))</f>
        <v/>
      </c>
      <c r="BD131" s="188" t="str">
        <f>IF(ISERROR(getgrade(Broadsheet!BD242,data!$H$4:$I$9)),"#",getgrade(Broadsheet!BD242,data!$H$4:$I$9))</f>
        <v/>
      </c>
      <c r="BE131" s="188" t="str">
        <f>IF(ISERROR(getgrade(Broadsheet!BE242,data!$H$4:$I$9)),"#",getgrade(Broadsheet!BE242,data!$H$4:$I$9))</f>
        <v/>
      </c>
      <c r="BF131" s="188" t="str">
        <f>IF(ISERROR(getgrade(Broadsheet!BF242,data!$H$4:$I$9)),"#",getgrade(Broadsheet!BF242,data!$H$4:$I$9))</f>
        <v/>
      </c>
      <c r="BG131" s="188" t="str">
        <f>IF(ISERROR(getgrade(Broadsheet!BG242,data!$H$4:$I$9)),"#",getgrade(Broadsheet!BG242,data!$H$4:$I$9))</f>
        <v/>
      </c>
      <c r="BH131" s="188" t="str">
        <f>IF(ISERROR(getgrade(Broadsheet!BH242,data!$H$4:$I$9)),"#",getgrade(Broadsheet!BH242,data!$H$4:$I$9))</f>
        <v/>
      </c>
      <c r="BI131" s="188" t="str">
        <f>IF(ISERROR(getgrade(Broadsheet!BI242,data!$H$4:$I$9)),"#",getgrade(Broadsheet!BI242,data!$H$4:$I$9))</f>
        <v/>
      </c>
      <c r="BJ131" s="188" t="str">
        <f>IF(ISERROR(getgrade(Broadsheet!BJ242,data!$H$4:$I$9)),"#",getgrade(Broadsheet!BJ242,data!$H$4:$I$9))</f>
        <v/>
      </c>
      <c r="BK131" s="188"/>
      <c r="BL131" s="188"/>
      <c r="BM131" s="188"/>
      <c r="BN131" s="188"/>
      <c r="BO131" s="188"/>
      <c r="BP131" s="188"/>
      <c r="BQ131" s="188"/>
      <c r="BR131" s="188"/>
      <c r="BS131" s="188"/>
      <c r="BT131" s="188"/>
      <c r="BU131" s="188"/>
      <c r="BV131" s="188"/>
      <c r="BW131" s="188"/>
      <c r="BX131" s="188"/>
      <c r="BY131" s="188"/>
      <c r="BZ131" s="188"/>
      <c r="CA131" s="188"/>
      <c r="CB131" s="188"/>
      <c r="CC131" s="188"/>
      <c r="CD131" s="188"/>
      <c r="CE131" s="188"/>
      <c r="CF131" s="188"/>
      <c r="CG131" s="188"/>
      <c r="CH131" s="188"/>
      <c r="CI131" s="188"/>
      <c r="CJ131" s="188"/>
      <c r="CK131" s="188"/>
      <c r="CL131" s="188"/>
      <c r="CM131" s="188"/>
      <c r="CN131" s="188"/>
      <c r="CO131" s="188"/>
      <c r="CP131" s="188"/>
      <c r="CQ131" s="188"/>
      <c r="CR131" s="188"/>
      <c r="CS131" s="188"/>
      <c r="CT131" s="188"/>
      <c r="CU131" s="188"/>
      <c r="CV131" s="188"/>
      <c r="CW131" s="188"/>
      <c r="CX131" s="188"/>
      <c r="CY131" s="188"/>
      <c r="CZ131" s="188"/>
      <c r="DA131" s="188"/>
      <c r="DB131" s="188"/>
      <c r="DC131" s="188"/>
      <c r="DD131" s="188"/>
      <c r="DE131" s="188"/>
      <c r="DF131" s="188"/>
      <c r="DG131" s="188"/>
      <c r="DH131" s="188"/>
      <c r="DI131" s="188"/>
      <c r="DJ131" s="188"/>
      <c r="DK131" s="188"/>
      <c r="DL131" s="188"/>
      <c r="DM131" s="188"/>
      <c r="DN131" s="188"/>
      <c r="DO131" s="188"/>
      <c r="DP131" s="188"/>
      <c r="DQ131" s="188"/>
      <c r="DR131" s="188"/>
      <c r="DS131" s="188"/>
      <c r="DT131" s="188"/>
      <c r="DU131" s="188"/>
      <c r="DV131" s="188"/>
      <c r="DW131" s="188"/>
      <c r="DX131" s="188"/>
      <c r="DY131" s="188"/>
      <c r="DZ131" s="188"/>
      <c r="EA131" s="188"/>
    </row>
    <row r="132" spans="1:131" ht="15.75" x14ac:dyDescent="0.25">
      <c r="A132" s="12">
        <f>Broadsheet!A243</f>
        <v>0</v>
      </c>
      <c r="B132" s="204" t="str">
        <f>IF(Broadsheet!B132="","",Broadsheet!B132)</f>
        <v/>
      </c>
      <c r="C132" s="24" t="str">
        <f>IF(Broadsheet!C132="","",Broadsheet!C132)</f>
        <v xml:space="preserve"> </v>
      </c>
      <c r="G132" s="24" t="str">
        <f t="shared" si="1"/>
        <v/>
      </c>
      <c r="H132" s="188" t="str">
        <f>IF(ISERROR(getgrade(Broadsheet!H243,data!$H$4:$I$9)),"#",getgrade(Broadsheet!H243,data!$H$4:$I$9))</f>
        <v/>
      </c>
      <c r="I132" s="188" t="str">
        <f>IF(ISERROR(getgrade(Broadsheet!I243,data!$H$4:$I$9)),"#",getgrade(Broadsheet!I243,data!$H$4:$I$9))</f>
        <v/>
      </c>
      <c r="J132" s="188" t="str">
        <f>IF(ISERROR(getgrade(Broadsheet!J243,data!$H$4:$I$9)),"#",getgrade(Broadsheet!J243,data!$H$4:$I$9))</f>
        <v/>
      </c>
      <c r="K132" s="188" t="str">
        <f>IF(ISERROR(getgrade(Broadsheet!K243,data!$H$4:$I$9)),"#",getgrade(Broadsheet!K243,data!$H$4:$I$9))</f>
        <v/>
      </c>
      <c r="L132" s="188" t="str">
        <f>IF(ISERROR(getgrade(Broadsheet!L243,data!$H$4:$I$9)),"#",getgrade(Broadsheet!L243,data!$H$4:$I$9))</f>
        <v/>
      </c>
      <c r="M132" s="188" t="str">
        <f>IF(ISERROR(getgrade(Broadsheet!M243,data!$H$4:$I$9)),"#",getgrade(Broadsheet!M243,data!$H$4:$I$9))</f>
        <v/>
      </c>
      <c r="N132" s="188" t="str">
        <f>IF(ISERROR(getgrade(Broadsheet!N243,data!$H$4:$I$9)),"#",getgrade(Broadsheet!N243,data!$H$4:$I$9))</f>
        <v/>
      </c>
      <c r="O132" s="188" t="str">
        <f>IF(ISERROR(getgrade(Broadsheet!O243,data!$H$4:$I$9)),"#",getgrade(Broadsheet!O243,data!$H$4:$I$9))</f>
        <v/>
      </c>
      <c r="P132" s="188" t="str">
        <f>IF(ISERROR(getgrade(Broadsheet!P243,data!$H$4:$I$9)),"#",getgrade(Broadsheet!P243,data!$H$4:$I$9))</f>
        <v/>
      </c>
      <c r="Q132" s="188" t="str">
        <f>IF(ISERROR(getgrade(Broadsheet!Q243,data!$H$4:$I$9)),"#",getgrade(Broadsheet!Q243,data!$H$4:$I$9))</f>
        <v/>
      </c>
      <c r="R132" s="188" t="str">
        <f>IF(ISERROR(getgrade(Broadsheet!R243,data!$H$4:$I$9)),"#",getgrade(Broadsheet!R243,data!$H$4:$I$9))</f>
        <v/>
      </c>
      <c r="S132" s="188" t="str">
        <f>IF(ISERROR(getgrade(Broadsheet!S243,data!$H$4:$I$9)),"#",getgrade(Broadsheet!S243,data!$H$4:$I$9))</f>
        <v/>
      </c>
      <c r="T132" s="188" t="str">
        <f>IF(ISERROR(getgrade(Broadsheet!T243,data!$H$4:$I$9)),"#",getgrade(Broadsheet!T243,data!$H$4:$I$9))</f>
        <v/>
      </c>
      <c r="U132" s="188" t="str">
        <f>IF(ISERROR(getgrade(Broadsheet!U243,data!$H$4:$I$9)),"#",getgrade(Broadsheet!U243,data!$H$4:$I$9))</f>
        <v/>
      </c>
      <c r="V132" s="188" t="str">
        <f>IF(ISERROR(getgrade(Broadsheet!V243,data!$H$4:$I$9)),"#",getgrade(Broadsheet!V243,data!$H$4:$I$9))</f>
        <v/>
      </c>
      <c r="W132" s="188" t="str">
        <f>IF(ISERROR(getgrade(Broadsheet!W243,data!$H$4:$I$9)),"#",getgrade(Broadsheet!W243,data!$H$4:$I$9))</f>
        <v/>
      </c>
      <c r="X132" s="188" t="str">
        <f>IF(ISERROR(getgrade(Broadsheet!X243,data!$H$4:$I$9)),"#",getgrade(Broadsheet!X243,data!$H$4:$I$9))</f>
        <v/>
      </c>
      <c r="Y132" s="188" t="str">
        <f>IF(ISERROR(getgrade(Broadsheet!Y243,data!$H$4:$I$9)),"#",getgrade(Broadsheet!Y243,data!$H$4:$I$9))</f>
        <v/>
      </c>
      <c r="Z132" s="188" t="str">
        <f>IF(ISERROR(getgrade(Broadsheet!Z243,data!$H$4:$I$9)),"#",getgrade(Broadsheet!Z243,data!$H$4:$I$9))</f>
        <v/>
      </c>
      <c r="AA132" s="188" t="str">
        <f>IF(ISERROR(getgrade(Broadsheet!AA243,data!$H$4:$I$9)),"#",getgrade(Broadsheet!AA243,data!$H$4:$I$9))</f>
        <v/>
      </c>
      <c r="AB132" s="188" t="str">
        <f>IF(ISERROR(getgrade(Broadsheet!AB243,data!$H$4:$I$9)),"#",getgrade(Broadsheet!AB243,data!$H$4:$I$9))</f>
        <v/>
      </c>
      <c r="AC132" s="188" t="str">
        <f>IF(ISERROR(getgrade(Broadsheet!AC243,data!$H$4:$I$9)),"#",getgrade(Broadsheet!AC243,data!$H$4:$I$9))</f>
        <v/>
      </c>
      <c r="AD132" s="188" t="str">
        <f>IF(ISERROR(getgrade(Broadsheet!AD243,data!$H$4:$I$9)),"#",getgrade(Broadsheet!AD243,data!$H$4:$I$9))</f>
        <v/>
      </c>
      <c r="AE132" s="188" t="str">
        <f>IF(ISERROR(getgrade(Broadsheet!AE243,data!$H$4:$I$9)),"#",getgrade(Broadsheet!AE243,data!$H$4:$I$9))</f>
        <v/>
      </c>
      <c r="AF132" s="188" t="str">
        <f>IF(ISERROR(getgrade(Broadsheet!AF243,data!$H$4:$I$9)),"#",getgrade(Broadsheet!AF243,data!$H$4:$I$9))</f>
        <v/>
      </c>
      <c r="AG132" s="188" t="str">
        <f>IF(ISERROR(getgrade(Broadsheet!AG243,data!$H$4:$I$9)),"#",getgrade(Broadsheet!AG243,data!$H$4:$I$9))</f>
        <v/>
      </c>
      <c r="AH132" s="188" t="str">
        <f>IF(ISERROR(getgrade(Broadsheet!AH243,data!$H$4:$I$9)),"#",getgrade(Broadsheet!AH243,data!$H$4:$I$9))</f>
        <v/>
      </c>
      <c r="AI132" s="188" t="str">
        <f>IF(ISERROR(getgrade(Broadsheet!AI243,data!$H$4:$I$9)),"#",getgrade(Broadsheet!AI243,data!$H$4:$I$9))</f>
        <v/>
      </c>
      <c r="AJ132" s="188" t="str">
        <f>IF(ISERROR(getgrade(Broadsheet!AJ243,data!$H$4:$I$9)),"#",getgrade(Broadsheet!AJ243,data!$H$4:$I$9))</f>
        <v/>
      </c>
      <c r="AK132" s="188" t="str">
        <f>IF(ISERROR(getgrade(Broadsheet!AK243,data!$H$4:$I$9)),"#",getgrade(Broadsheet!AK243,data!$H$4:$I$9))</f>
        <v/>
      </c>
      <c r="AL132" s="188" t="str">
        <f>IF(ISERROR(getgrade(Broadsheet!AL243,data!$H$4:$I$9)),"#",getgrade(Broadsheet!AL243,data!$H$4:$I$9))</f>
        <v/>
      </c>
      <c r="AM132" s="188" t="str">
        <f>IF(ISERROR(getgrade(Broadsheet!AM243,data!$H$4:$I$9)),"#",getgrade(Broadsheet!AM243,data!$H$4:$I$9))</f>
        <v/>
      </c>
      <c r="AN132" s="188" t="str">
        <f>IF(ISERROR(getgrade(Broadsheet!AN243,data!$H$4:$I$9)),"#",getgrade(Broadsheet!AN243,data!$H$4:$I$9))</f>
        <v/>
      </c>
      <c r="AO132" s="188" t="str">
        <f>IF(ISERROR(getgrade(Broadsheet!AO243,data!$H$4:$I$9)),"#",getgrade(Broadsheet!AO243,data!$H$4:$I$9))</f>
        <v/>
      </c>
      <c r="AP132" s="188" t="str">
        <f>IF(ISERROR(getgrade(Broadsheet!AP243,data!$H$4:$I$9)),"#",getgrade(Broadsheet!AP243,data!$H$4:$I$9))</f>
        <v/>
      </c>
      <c r="AQ132" s="188" t="str">
        <f>IF(ISERROR(getgrade(Broadsheet!AQ243,data!$H$4:$I$9)),"#",getgrade(Broadsheet!AQ243,data!$H$4:$I$9))</f>
        <v/>
      </c>
      <c r="AR132" s="188" t="str">
        <f>IF(ISERROR(getgrade(Broadsheet!AR243,data!$H$4:$I$9)),"#",getgrade(Broadsheet!AR243,data!$H$4:$I$9))</f>
        <v/>
      </c>
      <c r="AS132" s="188" t="str">
        <f>IF(ISERROR(getgrade(Broadsheet!AS243,data!$H$4:$I$9)),"#",getgrade(Broadsheet!AS243,data!$H$4:$I$9))</f>
        <v/>
      </c>
      <c r="AT132" s="188" t="str">
        <f>IF(ISERROR(getgrade(Broadsheet!AT243,data!$H$4:$I$9)),"#",getgrade(Broadsheet!AT243,data!$H$4:$I$9))</f>
        <v/>
      </c>
      <c r="AU132" s="188" t="str">
        <f>IF(ISERROR(getgrade(Broadsheet!AU243,data!$H$4:$I$9)),"#",getgrade(Broadsheet!AU243,data!$H$4:$I$9))</f>
        <v/>
      </c>
      <c r="AV132" s="188" t="str">
        <f>IF(ISERROR(getgrade(Broadsheet!AV243,data!$H$4:$I$9)),"#",getgrade(Broadsheet!AV243,data!$H$4:$I$9))</f>
        <v/>
      </c>
      <c r="AW132" s="188" t="str">
        <f>IF(ISERROR(getgrade(Broadsheet!AW243,data!$H$4:$I$9)),"#",getgrade(Broadsheet!AW243,data!$H$4:$I$9))</f>
        <v/>
      </c>
      <c r="AX132" s="188" t="str">
        <f>IF(ISERROR(getgrade(Broadsheet!AX243,data!$H$4:$I$9)),"#",getgrade(Broadsheet!AX243,data!$H$4:$I$9))</f>
        <v/>
      </c>
      <c r="AY132" s="188" t="str">
        <f>IF(ISERROR(getgrade(Broadsheet!AY243,data!$H$4:$I$9)),"#",getgrade(Broadsheet!AY243,data!$H$4:$I$9))</f>
        <v/>
      </c>
      <c r="AZ132" s="188" t="str">
        <f>IF(ISERROR(getgrade(Broadsheet!AZ243,data!$H$4:$I$9)),"#",getgrade(Broadsheet!AZ243,data!$H$4:$I$9))</f>
        <v/>
      </c>
      <c r="BA132" s="188" t="str">
        <f>IF(ISERROR(getgrade(Broadsheet!BA243,data!$H$4:$I$9)),"#",getgrade(Broadsheet!BA243,data!$H$4:$I$9))</f>
        <v/>
      </c>
      <c r="BB132" s="188" t="str">
        <f>IF(ISERROR(getgrade(Broadsheet!BB243,data!$H$4:$I$9)),"#",getgrade(Broadsheet!BB243,data!$H$4:$I$9))</f>
        <v/>
      </c>
      <c r="BC132" s="188" t="str">
        <f>IF(ISERROR(getgrade(Broadsheet!BC243,data!$H$4:$I$9)),"#",getgrade(Broadsheet!BC243,data!$H$4:$I$9))</f>
        <v/>
      </c>
      <c r="BD132" s="188" t="str">
        <f>IF(ISERROR(getgrade(Broadsheet!BD243,data!$H$4:$I$9)),"#",getgrade(Broadsheet!BD243,data!$H$4:$I$9))</f>
        <v/>
      </c>
      <c r="BE132" s="188" t="str">
        <f>IF(ISERROR(getgrade(Broadsheet!BE243,data!$H$4:$I$9)),"#",getgrade(Broadsheet!BE243,data!$H$4:$I$9))</f>
        <v/>
      </c>
      <c r="BF132" s="188" t="str">
        <f>IF(ISERROR(getgrade(Broadsheet!BF243,data!$H$4:$I$9)),"#",getgrade(Broadsheet!BF243,data!$H$4:$I$9))</f>
        <v/>
      </c>
      <c r="BG132" s="188" t="str">
        <f>IF(ISERROR(getgrade(Broadsheet!BG243,data!$H$4:$I$9)),"#",getgrade(Broadsheet!BG243,data!$H$4:$I$9))</f>
        <v/>
      </c>
      <c r="BH132" s="188" t="str">
        <f>IF(ISERROR(getgrade(Broadsheet!BH243,data!$H$4:$I$9)),"#",getgrade(Broadsheet!BH243,data!$H$4:$I$9))</f>
        <v/>
      </c>
      <c r="BI132" s="188" t="str">
        <f>IF(ISERROR(getgrade(Broadsheet!BI243,data!$H$4:$I$9)),"#",getgrade(Broadsheet!BI243,data!$H$4:$I$9))</f>
        <v/>
      </c>
      <c r="BJ132" s="188" t="str">
        <f>IF(ISERROR(getgrade(Broadsheet!BJ243,data!$H$4:$I$9)),"#",getgrade(Broadsheet!BJ243,data!$H$4:$I$9))</f>
        <v/>
      </c>
      <c r="BK132" s="188"/>
      <c r="BL132" s="188"/>
      <c r="BM132" s="188"/>
      <c r="BN132" s="188"/>
      <c r="BO132" s="188"/>
      <c r="BP132" s="188"/>
      <c r="BQ132" s="188"/>
      <c r="BR132" s="188"/>
      <c r="BS132" s="188"/>
      <c r="BT132" s="188"/>
      <c r="BU132" s="188"/>
      <c r="BV132" s="188"/>
      <c r="BW132" s="188"/>
      <c r="BX132" s="188"/>
      <c r="BY132" s="188"/>
      <c r="BZ132" s="188"/>
      <c r="CA132" s="188"/>
      <c r="CB132" s="188"/>
      <c r="CC132" s="188"/>
      <c r="CD132" s="188"/>
      <c r="CE132" s="188"/>
      <c r="CF132" s="188"/>
      <c r="CG132" s="188"/>
      <c r="CH132" s="188"/>
      <c r="CI132" s="188"/>
      <c r="CJ132" s="188"/>
      <c r="CK132" s="188"/>
      <c r="CL132" s="188"/>
      <c r="CM132" s="188"/>
      <c r="CN132" s="188"/>
      <c r="CO132" s="188"/>
      <c r="CP132" s="188"/>
      <c r="CQ132" s="188"/>
      <c r="CR132" s="188"/>
      <c r="CS132" s="188"/>
      <c r="CT132" s="188"/>
      <c r="CU132" s="188"/>
      <c r="CV132" s="188"/>
      <c r="CW132" s="188"/>
      <c r="CX132" s="188"/>
      <c r="CY132" s="188"/>
      <c r="CZ132" s="188"/>
      <c r="DA132" s="188"/>
      <c r="DB132" s="188"/>
      <c r="DC132" s="188"/>
      <c r="DD132" s="188"/>
      <c r="DE132" s="188"/>
      <c r="DF132" s="188"/>
      <c r="DG132" s="188"/>
      <c r="DH132" s="188"/>
      <c r="DI132" s="188"/>
      <c r="DJ132" s="188"/>
      <c r="DK132" s="188"/>
      <c r="DL132" s="188"/>
      <c r="DM132" s="188"/>
      <c r="DN132" s="188"/>
      <c r="DO132" s="188"/>
      <c r="DP132" s="188"/>
      <c r="DQ132" s="188"/>
      <c r="DR132" s="188"/>
      <c r="DS132" s="188"/>
      <c r="DT132" s="188"/>
      <c r="DU132" s="188"/>
      <c r="DV132" s="188"/>
      <c r="DW132" s="188"/>
      <c r="DX132" s="188"/>
      <c r="DY132" s="188"/>
      <c r="DZ132" s="188"/>
      <c r="EA132" s="188"/>
    </row>
    <row r="133" spans="1:131" ht="15.75" x14ac:dyDescent="0.25">
      <c r="A133" s="12">
        <f>Broadsheet!A244</f>
        <v>0</v>
      </c>
      <c r="B133" s="204" t="str">
        <f>IF(Broadsheet!B133="","",Broadsheet!B133)</f>
        <v/>
      </c>
      <c r="C133" s="24" t="str">
        <f>IF(Broadsheet!C133="","",Broadsheet!C133)</f>
        <v xml:space="preserve"> </v>
      </c>
      <c r="G133" s="24" t="str">
        <f t="shared" si="1"/>
        <v/>
      </c>
      <c r="H133" s="188" t="str">
        <f>IF(ISERROR(getgrade(Broadsheet!H244,data!$H$4:$I$9)),"#",getgrade(Broadsheet!H244,data!$H$4:$I$9))</f>
        <v/>
      </c>
      <c r="I133" s="188" t="str">
        <f>IF(ISERROR(getgrade(Broadsheet!I244,data!$H$4:$I$9)),"#",getgrade(Broadsheet!I244,data!$H$4:$I$9))</f>
        <v/>
      </c>
      <c r="J133" s="188" t="str">
        <f>IF(ISERROR(getgrade(Broadsheet!J244,data!$H$4:$I$9)),"#",getgrade(Broadsheet!J244,data!$H$4:$I$9))</f>
        <v/>
      </c>
      <c r="K133" s="188" t="str">
        <f>IF(ISERROR(getgrade(Broadsheet!K244,data!$H$4:$I$9)),"#",getgrade(Broadsheet!K244,data!$H$4:$I$9))</f>
        <v/>
      </c>
      <c r="L133" s="188" t="str">
        <f>IF(ISERROR(getgrade(Broadsheet!L244,data!$H$4:$I$9)),"#",getgrade(Broadsheet!L244,data!$H$4:$I$9))</f>
        <v/>
      </c>
      <c r="M133" s="188" t="str">
        <f>IF(ISERROR(getgrade(Broadsheet!M244,data!$H$4:$I$9)),"#",getgrade(Broadsheet!M244,data!$H$4:$I$9))</f>
        <v/>
      </c>
      <c r="N133" s="188" t="str">
        <f>IF(ISERROR(getgrade(Broadsheet!N244,data!$H$4:$I$9)),"#",getgrade(Broadsheet!N244,data!$H$4:$I$9))</f>
        <v/>
      </c>
      <c r="O133" s="188" t="str">
        <f>IF(ISERROR(getgrade(Broadsheet!O244,data!$H$4:$I$9)),"#",getgrade(Broadsheet!O244,data!$H$4:$I$9))</f>
        <v/>
      </c>
      <c r="P133" s="188" t="str">
        <f>IF(ISERROR(getgrade(Broadsheet!P244,data!$H$4:$I$9)),"#",getgrade(Broadsheet!P244,data!$H$4:$I$9))</f>
        <v/>
      </c>
      <c r="Q133" s="188" t="str">
        <f>IF(ISERROR(getgrade(Broadsheet!Q244,data!$H$4:$I$9)),"#",getgrade(Broadsheet!Q244,data!$H$4:$I$9))</f>
        <v/>
      </c>
      <c r="R133" s="188" t="str">
        <f>IF(ISERROR(getgrade(Broadsheet!R244,data!$H$4:$I$9)),"#",getgrade(Broadsheet!R244,data!$H$4:$I$9))</f>
        <v/>
      </c>
      <c r="S133" s="188" t="str">
        <f>IF(ISERROR(getgrade(Broadsheet!S244,data!$H$4:$I$9)),"#",getgrade(Broadsheet!S244,data!$H$4:$I$9))</f>
        <v/>
      </c>
      <c r="T133" s="188" t="str">
        <f>IF(ISERROR(getgrade(Broadsheet!T244,data!$H$4:$I$9)),"#",getgrade(Broadsheet!T244,data!$H$4:$I$9))</f>
        <v/>
      </c>
      <c r="U133" s="188" t="str">
        <f>IF(ISERROR(getgrade(Broadsheet!U244,data!$H$4:$I$9)),"#",getgrade(Broadsheet!U244,data!$H$4:$I$9))</f>
        <v/>
      </c>
      <c r="V133" s="188" t="str">
        <f>IF(ISERROR(getgrade(Broadsheet!V244,data!$H$4:$I$9)),"#",getgrade(Broadsheet!V244,data!$H$4:$I$9))</f>
        <v/>
      </c>
      <c r="W133" s="188" t="str">
        <f>IF(ISERROR(getgrade(Broadsheet!W244,data!$H$4:$I$9)),"#",getgrade(Broadsheet!W244,data!$H$4:$I$9))</f>
        <v/>
      </c>
      <c r="X133" s="188" t="str">
        <f>IF(ISERROR(getgrade(Broadsheet!X244,data!$H$4:$I$9)),"#",getgrade(Broadsheet!X244,data!$H$4:$I$9))</f>
        <v/>
      </c>
      <c r="Y133" s="188" t="str">
        <f>IF(ISERROR(getgrade(Broadsheet!Y244,data!$H$4:$I$9)),"#",getgrade(Broadsheet!Y244,data!$H$4:$I$9))</f>
        <v/>
      </c>
      <c r="Z133" s="188" t="str">
        <f>IF(ISERROR(getgrade(Broadsheet!Z244,data!$H$4:$I$9)),"#",getgrade(Broadsheet!Z244,data!$H$4:$I$9))</f>
        <v/>
      </c>
      <c r="AA133" s="188" t="str">
        <f>IF(ISERROR(getgrade(Broadsheet!AA244,data!$H$4:$I$9)),"#",getgrade(Broadsheet!AA244,data!$H$4:$I$9))</f>
        <v/>
      </c>
      <c r="AB133" s="188" t="str">
        <f>IF(ISERROR(getgrade(Broadsheet!AB244,data!$H$4:$I$9)),"#",getgrade(Broadsheet!AB244,data!$H$4:$I$9))</f>
        <v/>
      </c>
      <c r="AC133" s="188" t="str">
        <f>IF(ISERROR(getgrade(Broadsheet!AC244,data!$H$4:$I$9)),"#",getgrade(Broadsheet!AC244,data!$H$4:$I$9))</f>
        <v/>
      </c>
      <c r="AD133" s="188" t="str">
        <f>IF(ISERROR(getgrade(Broadsheet!AD244,data!$H$4:$I$9)),"#",getgrade(Broadsheet!AD244,data!$H$4:$I$9))</f>
        <v/>
      </c>
      <c r="AE133" s="188" t="str">
        <f>IF(ISERROR(getgrade(Broadsheet!AE244,data!$H$4:$I$9)),"#",getgrade(Broadsheet!AE244,data!$H$4:$I$9))</f>
        <v/>
      </c>
      <c r="AF133" s="188" t="str">
        <f>IF(ISERROR(getgrade(Broadsheet!AF244,data!$H$4:$I$9)),"#",getgrade(Broadsheet!AF244,data!$H$4:$I$9))</f>
        <v/>
      </c>
      <c r="AG133" s="188" t="str">
        <f>IF(ISERROR(getgrade(Broadsheet!AG244,data!$H$4:$I$9)),"#",getgrade(Broadsheet!AG244,data!$H$4:$I$9))</f>
        <v/>
      </c>
      <c r="AH133" s="188" t="str">
        <f>IF(ISERROR(getgrade(Broadsheet!AH244,data!$H$4:$I$9)),"#",getgrade(Broadsheet!AH244,data!$H$4:$I$9))</f>
        <v/>
      </c>
      <c r="AI133" s="188" t="str">
        <f>IF(ISERROR(getgrade(Broadsheet!AI244,data!$H$4:$I$9)),"#",getgrade(Broadsheet!AI244,data!$H$4:$I$9))</f>
        <v/>
      </c>
      <c r="AJ133" s="188" t="str">
        <f>IF(ISERROR(getgrade(Broadsheet!AJ244,data!$H$4:$I$9)),"#",getgrade(Broadsheet!AJ244,data!$H$4:$I$9))</f>
        <v/>
      </c>
      <c r="AK133" s="188" t="str">
        <f>IF(ISERROR(getgrade(Broadsheet!AK244,data!$H$4:$I$9)),"#",getgrade(Broadsheet!AK244,data!$H$4:$I$9))</f>
        <v/>
      </c>
      <c r="AL133" s="188" t="str">
        <f>IF(ISERROR(getgrade(Broadsheet!AL244,data!$H$4:$I$9)),"#",getgrade(Broadsheet!AL244,data!$H$4:$I$9))</f>
        <v/>
      </c>
      <c r="AM133" s="188" t="str">
        <f>IF(ISERROR(getgrade(Broadsheet!AM244,data!$H$4:$I$9)),"#",getgrade(Broadsheet!AM244,data!$H$4:$I$9))</f>
        <v/>
      </c>
      <c r="AN133" s="188" t="str">
        <f>IF(ISERROR(getgrade(Broadsheet!AN244,data!$H$4:$I$9)),"#",getgrade(Broadsheet!AN244,data!$H$4:$I$9))</f>
        <v/>
      </c>
      <c r="AO133" s="188" t="str">
        <f>IF(ISERROR(getgrade(Broadsheet!AO244,data!$H$4:$I$9)),"#",getgrade(Broadsheet!AO244,data!$H$4:$I$9))</f>
        <v/>
      </c>
      <c r="AP133" s="188" t="str">
        <f>IF(ISERROR(getgrade(Broadsheet!AP244,data!$H$4:$I$9)),"#",getgrade(Broadsheet!AP244,data!$H$4:$I$9))</f>
        <v/>
      </c>
      <c r="AQ133" s="188" t="str">
        <f>IF(ISERROR(getgrade(Broadsheet!AQ244,data!$H$4:$I$9)),"#",getgrade(Broadsheet!AQ244,data!$H$4:$I$9))</f>
        <v/>
      </c>
      <c r="AR133" s="188" t="str">
        <f>IF(ISERROR(getgrade(Broadsheet!AR244,data!$H$4:$I$9)),"#",getgrade(Broadsheet!AR244,data!$H$4:$I$9))</f>
        <v/>
      </c>
      <c r="AS133" s="188" t="str">
        <f>IF(ISERROR(getgrade(Broadsheet!AS244,data!$H$4:$I$9)),"#",getgrade(Broadsheet!AS244,data!$H$4:$I$9))</f>
        <v/>
      </c>
      <c r="AT133" s="188" t="str">
        <f>IF(ISERROR(getgrade(Broadsheet!AT244,data!$H$4:$I$9)),"#",getgrade(Broadsheet!AT244,data!$H$4:$I$9))</f>
        <v/>
      </c>
      <c r="AU133" s="188" t="str">
        <f>IF(ISERROR(getgrade(Broadsheet!AU244,data!$H$4:$I$9)),"#",getgrade(Broadsheet!AU244,data!$H$4:$I$9))</f>
        <v/>
      </c>
      <c r="AV133" s="188" t="str">
        <f>IF(ISERROR(getgrade(Broadsheet!AV244,data!$H$4:$I$9)),"#",getgrade(Broadsheet!AV244,data!$H$4:$I$9))</f>
        <v/>
      </c>
      <c r="AW133" s="188" t="str">
        <f>IF(ISERROR(getgrade(Broadsheet!AW244,data!$H$4:$I$9)),"#",getgrade(Broadsheet!AW244,data!$H$4:$I$9))</f>
        <v/>
      </c>
      <c r="AX133" s="188" t="str">
        <f>IF(ISERROR(getgrade(Broadsheet!AX244,data!$H$4:$I$9)),"#",getgrade(Broadsheet!AX244,data!$H$4:$I$9))</f>
        <v/>
      </c>
      <c r="AY133" s="188" t="str">
        <f>IF(ISERROR(getgrade(Broadsheet!AY244,data!$H$4:$I$9)),"#",getgrade(Broadsheet!AY244,data!$H$4:$I$9))</f>
        <v/>
      </c>
      <c r="AZ133" s="188" t="str">
        <f>IF(ISERROR(getgrade(Broadsheet!AZ244,data!$H$4:$I$9)),"#",getgrade(Broadsheet!AZ244,data!$H$4:$I$9))</f>
        <v/>
      </c>
      <c r="BA133" s="188" t="str">
        <f>IF(ISERROR(getgrade(Broadsheet!BA244,data!$H$4:$I$9)),"#",getgrade(Broadsheet!BA244,data!$H$4:$I$9))</f>
        <v/>
      </c>
      <c r="BB133" s="188" t="str">
        <f>IF(ISERROR(getgrade(Broadsheet!BB244,data!$H$4:$I$9)),"#",getgrade(Broadsheet!BB244,data!$H$4:$I$9))</f>
        <v/>
      </c>
      <c r="BC133" s="188" t="str">
        <f>IF(ISERROR(getgrade(Broadsheet!BC244,data!$H$4:$I$9)),"#",getgrade(Broadsheet!BC244,data!$H$4:$I$9))</f>
        <v/>
      </c>
      <c r="BD133" s="188" t="str">
        <f>IF(ISERROR(getgrade(Broadsheet!BD244,data!$H$4:$I$9)),"#",getgrade(Broadsheet!BD244,data!$H$4:$I$9))</f>
        <v/>
      </c>
      <c r="BE133" s="188" t="str">
        <f>IF(ISERROR(getgrade(Broadsheet!BE244,data!$H$4:$I$9)),"#",getgrade(Broadsheet!BE244,data!$H$4:$I$9))</f>
        <v/>
      </c>
      <c r="BF133" s="188" t="str">
        <f>IF(ISERROR(getgrade(Broadsheet!BF244,data!$H$4:$I$9)),"#",getgrade(Broadsheet!BF244,data!$H$4:$I$9))</f>
        <v/>
      </c>
      <c r="BG133" s="188" t="str">
        <f>IF(ISERROR(getgrade(Broadsheet!BG244,data!$H$4:$I$9)),"#",getgrade(Broadsheet!BG244,data!$H$4:$I$9))</f>
        <v/>
      </c>
      <c r="BH133" s="188" t="str">
        <f>IF(ISERROR(getgrade(Broadsheet!BH244,data!$H$4:$I$9)),"#",getgrade(Broadsheet!BH244,data!$H$4:$I$9))</f>
        <v/>
      </c>
      <c r="BI133" s="188" t="str">
        <f>IF(ISERROR(getgrade(Broadsheet!BI244,data!$H$4:$I$9)),"#",getgrade(Broadsheet!BI244,data!$H$4:$I$9))</f>
        <v/>
      </c>
      <c r="BJ133" s="188" t="str">
        <f>IF(ISERROR(getgrade(Broadsheet!BJ244,data!$H$4:$I$9)),"#",getgrade(Broadsheet!BJ244,data!$H$4:$I$9))</f>
        <v/>
      </c>
      <c r="BK133" s="188"/>
      <c r="BL133" s="188"/>
      <c r="BM133" s="188"/>
      <c r="BN133" s="188"/>
      <c r="BO133" s="188"/>
      <c r="BP133" s="188"/>
      <c r="BQ133" s="188"/>
      <c r="BR133" s="188"/>
      <c r="BS133" s="188"/>
      <c r="BT133" s="188"/>
      <c r="BU133" s="188"/>
      <c r="BV133" s="188"/>
      <c r="BW133" s="188"/>
      <c r="BX133" s="188"/>
      <c r="BY133" s="188"/>
      <c r="BZ133" s="188"/>
      <c r="CA133" s="188"/>
      <c r="CB133" s="188"/>
      <c r="CC133" s="188"/>
      <c r="CD133" s="188"/>
      <c r="CE133" s="188"/>
      <c r="CF133" s="188"/>
      <c r="CG133" s="188"/>
      <c r="CH133" s="188"/>
      <c r="CI133" s="188"/>
      <c r="CJ133" s="188"/>
      <c r="CK133" s="188"/>
      <c r="CL133" s="188"/>
      <c r="CM133" s="188"/>
      <c r="CN133" s="188"/>
      <c r="CO133" s="188"/>
      <c r="CP133" s="188"/>
      <c r="CQ133" s="188"/>
      <c r="CR133" s="188"/>
      <c r="CS133" s="188"/>
      <c r="CT133" s="188"/>
      <c r="CU133" s="188"/>
      <c r="CV133" s="188"/>
      <c r="CW133" s="188"/>
      <c r="CX133" s="188"/>
      <c r="CY133" s="188"/>
      <c r="CZ133" s="188"/>
      <c r="DA133" s="188"/>
      <c r="DB133" s="188"/>
      <c r="DC133" s="188"/>
      <c r="DD133" s="188"/>
      <c r="DE133" s="188"/>
      <c r="DF133" s="188"/>
      <c r="DG133" s="188"/>
      <c r="DH133" s="188"/>
      <c r="DI133" s="188"/>
      <c r="DJ133" s="188"/>
      <c r="DK133" s="188"/>
      <c r="DL133" s="188"/>
      <c r="DM133" s="188"/>
      <c r="DN133" s="188"/>
      <c r="DO133" s="188"/>
      <c r="DP133" s="188"/>
      <c r="DQ133" s="188"/>
      <c r="DR133" s="188"/>
      <c r="DS133" s="188"/>
      <c r="DT133" s="188"/>
      <c r="DU133" s="188"/>
      <c r="DV133" s="188"/>
      <c r="DW133" s="188"/>
      <c r="DX133" s="188"/>
      <c r="DY133" s="188"/>
      <c r="DZ133" s="188"/>
      <c r="EA133" s="188"/>
    </row>
    <row r="134" spans="1:131" ht="15.75" x14ac:dyDescent="0.25">
      <c r="A134" s="12">
        <f>Broadsheet!A245</f>
        <v>0</v>
      </c>
      <c r="B134" s="204" t="str">
        <f>IF(Broadsheet!B134="","",Broadsheet!B134)</f>
        <v/>
      </c>
      <c r="C134" s="24" t="str">
        <f>IF(Broadsheet!C134="","",Broadsheet!C134)</f>
        <v xml:space="preserve"> </v>
      </c>
      <c r="G134" s="24" t="str">
        <f t="shared" si="1"/>
        <v/>
      </c>
      <c r="H134" s="188" t="str">
        <f>IF(ISERROR(getgrade(Broadsheet!H245,data!$H$4:$I$9)),"#",getgrade(Broadsheet!H245,data!$H$4:$I$9))</f>
        <v/>
      </c>
      <c r="I134" s="188" t="str">
        <f>IF(ISERROR(getgrade(Broadsheet!I245,data!$H$4:$I$9)),"#",getgrade(Broadsheet!I245,data!$H$4:$I$9))</f>
        <v/>
      </c>
      <c r="J134" s="188" t="str">
        <f>IF(ISERROR(getgrade(Broadsheet!J245,data!$H$4:$I$9)),"#",getgrade(Broadsheet!J245,data!$H$4:$I$9))</f>
        <v/>
      </c>
      <c r="K134" s="188" t="str">
        <f>IF(ISERROR(getgrade(Broadsheet!K245,data!$H$4:$I$9)),"#",getgrade(Broadsheet!K245,data!$H$4:$I$9))</f>
        <v/>
      </c>
      <c r="L134" s="188" t="str">
        <f>IF(ISERROR(getgrade(Broadsheet!L245,data!$H$4:$I$9)),"#",getgrade(Broadsheet!L245,data!$H$4:$I$9))</f>
        <v/>
      </c>
      <c r="M134" s="188" t="str">
        <f>IF(ISERROR(getgrade(Broadsheet!M245,data!$H$4:$I$9)),"#",getgrade(Broadsheet!M245,data!$H$4:$I$9))</f>
        <v/>
      </c>
      <c r="N134" s="188" t="str">
        <f>IF(ISERROR(getgrade(Broadsheet!N245,data!$H$4:$I$9)),"#",getgrade(Broadsheet!N245,data!$H$4:$I$9))</f>
        <v/>
      </c>
      <c r="O134" s="188" t="str">
        <f>IF(ISERROR(getgrade(Broadsheet!O245,data!$H$4:$I$9)),"#",getgrade(Broadsheet!O245,data!$H$4:$I$9))</f>
        <v/>
      </c>
      <c r="P134" s="188" t="str">
        <f>IF(ISERROR(getgrade(Broadsheet!P245,data!$H$4:$I$9)),"#",getgrade(Broadsheet!P245,data!$H$4:$I$9))</f>
        <v/>
      </c>
      <c r="Q134" s="188" t="str">
        <f>IF(ISERROR(getgrade(Broadsheet!Q245,data!$H$4:$I$9)),"#",getgrade(Broadsheet!Q245,data!$H$4:$I$9))</f>
        <v/>
      </c>
      <c r="R134" s="188" t="str">
        <f>IF(ISERROR(getgrade(Broadsheet!R245,data!$H$4:$I$9)),"#",getgrade(Broadsheet!R245,data!$H$4:$I$9))</f>
        <v/>
      </c>
      <c r="S134" s="188" t="str">
        <f>IF(ISERROR(getgrade(Broadsheet!S245,data!$H$4:$I$9)),"#",getgrade(Broadsheet!S245,data!$H$4:$I$9))</f>
        <v/>
      </c>
      <c r="T134" s="188" t="str">
        <f>IF(ISERROR(getgrade(Broadsheet!T245,data!$H$4:$I$9)),"#",getgrade(Broadsheet!T245,data!$H$4:$I$9))</f>
        <v/>
      </c>
      <c r="U134" s="188" t="str">
        <f>IF(ISERROR(getgrade(Broadsheet!U245,data!$H$4:$I$9)),"#",getgrade(Broadsheet!U245,data!$H$4:$I$9))</f>
        <v/>
      </c>
      <c r="V134" s="188" t="str">
        <f>IF(ISERROR(getgrade(Broadsheet!V245,data!$H$4:$I$9)),"#",getgrade(Broadsheet!V245,data!$H$4:$I$9))</f>
        <v/>
      </c>
      <c r="W134" s="188" t="str">
        <f>IF(ISERROR(getgrade(Broadsheet!W245,data!$H$4:$I$9)),"#",getgrade(Broadsheet!W245,data!$H$4:$I$9))</f>
        <v/>
      </c>
      <c r="X134" s="188" t="str">
        <f>IF(ISERROR(getgrade(Broadsheet!X245,data!$H$4:$I$9)),"#",getgrade(Broadsheet!X245,data!$H$4:$I$9))</f>
        <v/>
      </c>
      <c r="Y134" s="188" t="str">
        <f>IF(ISERROR(getgrade(Broadsheet!Y245,data!$H$4:$I$9)),"#",getgrade(Broadsheet!Y245,data!$H$4:$I$9))</f>
        <v/>
      </c>
      <c r="Z134" s="188" t="str">
        <f>IF(ISERROR(getgrade(Broadsheet!Z245,data!$H$4:$I$9)),"#",getgrade(Broadsheet!Z245,data!$H$4:$I$9))</f>
        <v/>
      </c>
      <c r="AA134" s="188" t="str">
        <f>IF(ISERROR(getgrade(Broadsheet!AA245,data!$H$4:$I$9)),"#",getgrade(Broadsheet!AA245,data!$H$4:$I$9))</f>
        <v/>
      </c>
      <c r="AB134" s="188" t="str">
        <f>IF(ISERROR(getgrade(Broadsheet!AB245,data!$H$4:$I$9)),"#",getgrade(Broadsheet!AB245,data!$H$4:$I$9))</f>
        <v/>
      </c>
      <c r="AC134" s="188" t="str">
        <f>IF(ISERROR(getgrade(Broadsheet!AC245,data!$H$4:$I$9)),"#",getgrade(Broadsheet!AC245,data!$H$4:$I$9))</f>
        <v/>
      </c>
      <c r="AD134" s="188" t="str">
        <f>IF(ISERROR(getgrade(Broadsheet!AD245,data!$H$4:$I$9)),"#",getgrade(Broadsheet!AD245,data!$H$4:$I$9))</f>
        <v/>
      </c>
      <c r="AE134" s="188" t="str">
        <f>IF(ISERROR(getgrade(Broadsheet!AE245,data!$H$4:$I$9)),"#",getgrade(Broadsheet!AE245,data!$H$4:$I$9))</f>
        <v/>
      </c>
      <c r="AF134" s="188" t="str">
        <f>IF(ISERROR(getgrade(Broadsheet!AF245,data!$H$4:$I$9)),"#",getgrade(Broadsheet!AF245,data!$H$4:$I$9))</f>
        <v/>
      </c>
      <c r="AG134" s="188" t="str">
        <f>IF(ISERROR(getgrade(Broadsheet!AG245,data!$H$4:$I$9)),"#",getgrade(Broadsheet!AG245,data!$H$4:$I$9))</f>
        <v/>
      </c>
      <c r="AH134" s="188" t="str">
        <f>IF(ISERROR(getgrade(Broadsheet!AH245,data!$H$4:$I$9)),"#",getgrade(Broadsheet!AH245,data!$H$4:$I$9))</f>
        <v/>
      </c>
      <c r="AI134" s="188" t="str">
        <f>IF(ISERROR(getgrade(Broadsheet!AI245,data!$H$4:$I$9)),"#",getgrade(Broadsheet!AI245,data!$H$4:$I$9))</f>
        <v/>
      </c>
      <c r="AJ134" s="188" t="str">
        <f>IF(ISERROR(getgrade(Broadsheet!AJ245,data!$H$4:$I$9)),"#",getgrade(Broadsheet!AJ245,data!$H$4:$I$9))</f>
        <v/>
      </c>
      <c r="AK134" s="188" t="str">
        <f>IF(ISERROR(getgrade(Broadsheet!AK245,data!$H$4:$I$9)),"#",getgrade(Broadsheet!AK245,data!$H$4:$I$9))</f>
        <v/>
      </c>
      <c r="AL134" s="188" t="str">
        <f>IF(ISERROR(getgrade(Broadsheet!AL245,data!$H$4:$I$9)),"#",getgrade(Broadsheet!AL245,data!$H$4:$I$9))</f>
        <v/>
      </c>
      <c r="AM134" s="188" t="str">
        <f>IF(ISERROR(getgrade(Broadsheet!AM245,data!$H$4:$I$9)),"#",getgrade(Broadsheet!AM245,data!$H$4:$I$9))</f>
        <v/>
      </c>
      <c r="AN134" s="188" t="str">
        <f>IF(ISERROR(getgrade(Broadsheet!AN245,data!$H$4:$I$9)),"#",getgrade(Broadsheet!AN245,data!$H$4:$I$9))</f>
        <v/>
      </c>
      <c r="AO134" s="188" t="str">
        <f>IF(ISERROR(getgrade(Broadsheet!AO245,data!$H$4:$I$9)),"#",getgrade(Broadsheet!AO245,data!$H$4:$I$9))</f>
        <v/>
      </c>
      <c r="AP134" s="188" t="str">
        <f>IF(ISERROR(getgrade(Broadsheet!AP245,data!$H$4:$I$9)),"#",getgrade(Broadsheet!AP245,data!$H$4:$I$9))</f>
        <v/>
      </c>
      <c r="AQ134" s="188" t="str">
        <f>IF(ISERROR(getgrade(Broadsheet!AQ245,data!$H$4:$I$9)),"#",getgrade(Broadsheet!AQ245,data!$H$4:$I$9))</f>
        <v/>
      </c>
      <c r="AR134" s="188" t="str">
        <f>IF(ISERROR(getgrade(Broadsheet!AR245,data!$H$4:$I$9)),"#",getgrade(Broadsheet!AR245,data!$H$4:$I$9))</f>
        <v/>
      </c>
      <c r="AS134" s="188" t="str">
        <f>IF(ISERROR(getgrade(Broadsheet!AS245,data!$H$4:$I$9)),"#",getgrade(Broadsheet!AS245,data!$H$4:$I$9))</f>
        <v/>
      </c>
      <c r="AT134" s="188" t="str">
        <f>IF(ISERROR(getgrade(Broadsheet!AT245,data!$H$4:$I$9)),"#",getgrade(Broadsheet!AT245,data!$H$4:$I$9))</f>
        <v/>
      </c>
      <c r="AU134" s="188" t="str">
        <f>IF(ISERROR(getgrade(Broadsheet!AU245,data!$H$4:$I$9)),"#",getgrade(Broadsheet!AU245,data!$H$4:$I$9))</f>
        <v/>
      </c>
      <c r="AV134" s="188" t="str">
        <f>IF(ISERROR(getgrade(Broadsheet!AV245,data!$H$4:$I$9)),"#",getgrade(Broadsheet!AV245,data!$H$4:$I$9))</f>
        <v/>
      </c>
      <c r="AW134" s="188" t="str">
        <f>IF(ISERROR(getgrade(Broadsheet!AW245,data!$H$4:$I$9)),"#",getgrade(Broadsheet!AW245,data!$H$4:$I$9))</f>
        <v/>
      </c>
      <c r="AX134" s="188" t="str">
        <f>IF(ISERROR(getgrade(Broadsheet!AX245,data!$H$4:$I$9)),"#",getgrade(Broadsheet!AX245,data!$H$4:$I$9))</f>
        <v/>
      </c>
      <c r="AY134" s="188" t="str">
        <f>IF(ISERROR(getgrade(Broadsheet!AY245,data!$H$4:$I$9)),"#",getgrade(Broadsheet!AY245,data!$H$4:$I$9))</f>
        <v/>
      </c>
      <c r="AZ134" s="188" t="str">
        <f>IF(ISERROR(getgrade(Broadsheet!AZ245,data!$H$4:$I$9)),"#",getgrade(Broadsheet!AZ245,data!$H$4:$I$9))</f>
        <v/>
      </c>
      <c r="BA134" s="188" t="str">
        <f>IF(ISERROR(getgrade(Broadsheet!BA245,data!$H$4:$I$9)),"#",getgrade(Broadsheet!BA245,data!$H$4:$I$9))</f>
        <v/>
      </c>
      <c r="BB134" s="188" t="str">
        <f>IF(ISERROR(getgrade(Broadsheet!BB245,data!$H$4:$I$9)),"#",getgrade(Broadsheet!BB245,data!$H$4:$I$9))</f>
        <v/>
      </c>
      <c r="BC134" s="188" t="str">
        <f>IF(ISERROR(getgrade(Broadsheet!BC245,data!$H$4:$I$9)),"#",getgrade(Broadsheet!BC245,data!$H$4:$I$9))</f>
        <v/>
      </c>
      <c r="BD134" s="188" t="str">
        <f>IF(ISERROR(getgrade(Broadsheet!BD245,data!$H$4:$I$9)),"#",getgrade(Broadsheet!BD245,data!$H$4:$I$9))</f>
        <v/>
      </c>
      <c r="BE134" s="188" t="str">
        <f>IF(ISERROR(getgrade(Broadsheet!BE245,data!$H$4:$I$9)),"#",getgrade(Broadsheet!BE245,data!$H$4:$I$9))</f>
        <v/>
      </c>
      <c r="BF134" s="188" t="str">
        <f>IF(ISERROR(getgrade(Broadsheet!BF245,data!$H$4:$I$9)),"#",getgrade(Broadsheet!BF245,data!$H$4:$I$9))</f>
        <v/>
      </c>
      <c r="BG134" s="188" t="str">
        <f>IF(ISERROR(getgrade(Broadsheet!BG245,data!$H$4:$I$9)),"#",getgrade(Broadsheet!BG245,data!$H$4:$I$9))</f>
        <v/>
      </c>
      <c r="BH134" s="188" t="str">
        <f>IF(ISERROR(getgrade(Broadsheet!BH245,data!$H$4:$I$9)),"#",getgrade(Broadsheet!BH245,data!$H$4:$I$9))</f>
        <v/>
      </c>
      <c r="BI134" s="188" t="str">
        <f>IF(ISERROR(getgrade(Broadsheet!BI245,data!$H$4:$I$9)),"#",getgrade(Broadsheet!BI245,data!$H$4:$I$9))</f>
        <v/>
      </c>
      <c r="BJ134" s="188" t="str">
        <f>IF(ISERROR(getgrade(Broadsheet!BJ245,data!$H$4:$I$9)),"#",getgrade(Broadsheet!BJ245,data!$H$4:$I$9))</f>
        <v/>
      </c>
      <c r="BK134" s="188"/>
      <c r="BL134" s="188"/>
      <c r="BM134" s="188"/>
      <c r="BN134" s="188"/>
      <c r="BO134" s="188"/>
      <c r="BP134" s="188"/>
      <c r="BQ134" s="188"/>
      <c r="BR134" s="188"/>
      <c r="BS134" s="188"/>
      <c r="BT134" s="188"/>
      <c r="BU134" s="188"/>
      <c r="BV134" s="188"/>
      <c r="BW134" s="188"/>
      <c r="BX134" s="188"/>
      <c r="BY134" s="188"/>
      <c r="BZ134" s="188"/>
      <c r="CA134" s="188"/>
      <c r="CB134" s="188"/>
      <c r="CC134" s="188"/>
      <c r="CD134" s="188"/>
      <c r="CE134" s="188"/>
      <c r="CF134" s="188"/>
      <c r="CG134" s="188"/>
      <c r="CH134" s="188"/>
      <c r="CI134" s="188"/>
      <c r="CJ134" s="188"/>
      <c r="CK134" s="188"/>
      <c r="CL134" s="188"/>
      <c r="CM134" s="188"/>
      <c r="CN134" s="188"/>
      <c r="CO134" s="188"/>
      <c r="CP134" s="188"/>
      <c r="CQ134" s="188"/>
      <c r="CR134" s="188"/>
      <c r="CS134" s="188"/>
      <c r="CT134" s="188"/>
      <c r="CU134" s="188"/>
      <c r="CV134" s="188"/>
      <c r="CW134" s="188"/>
      <c r="CX134" s="188"/>
      <c r="CY134" s="188"/>
      <c r="CZ134" s="188"/>
      <c r="DA134" s="188"/>
      <c r="DB134" s="188"/>
      <c r="DC134" s="188"/>
      <c r="DD134" s="188"/>
      <c r="DE134" s="188"/>
      <c r="DF134" s="188"/>
      <c r="DG134" s="188"/>
      <c r="DH134" s="188"/>
      <c r="DI134" s="188"/>
      <c r="DJ134" s="188"/>
      <c r="DK134" s="188"/>
      <c r="DL134" s="188"/>
      <c r="DM134" s="188"/>
      <c r="DN134" s="188"/>
      <c r="DO134" s="188"/>
      <c r="DP134" s="188"/>
      <c r="DQ134" s="188"/>
      <c r="DR134" s="188"/>
      <c r="DS134" s="188"/>
      <c r="DT134" s="188"/>
      <c r="DU134" s="188"/>
      <c r="DV134" s="188"/>
      <c r="DW134" s="188"/>
      <c r="DX134" s="188"/>
      <c r="DY134" s="188"/>
      <c r="DZ134" s="188"/>
      <c r="EA134" s="188"/>
    </row>
    <row r="135" spans="1:131" ht="15.75" x14ac:dyDescent="0.25">
      <c r="A135" s="12">
        <f>Broadsheet!A246</f>
        <v>0</v>
      </c>
      <c r="B135" s="204" t="str">
        <f>IF(Broadsheet!B135="","",Broadsheet!B135)</f>
        <v/>
      </c>
      <c r="C135" s="24" t="str">
        <f>IF(Broadsheet!C135="","",Broadsheet!C135)</f>
        <v xml:space="preserve"> </v>
      </c>
      <c r="G135" s="24" t="str">
        <f t="shared" si="1"/>
        <v/>
      </c>
      <c r="H135" s="188" t="str">
        <f>IF(ISERROR(getgrade(Broadsheet!H246,data!$H$4:$I$9)),"#",getgrade(Broadsheet!H246,data!$H$4:$I$9))</f>
        <v/>
      </c>
      <c r="I135" s="188" t="str">
        <f>IF(ISERROR(getgrade(Broadsheet!I246,data!$H$4:$I$9)),"#",getgrade(Broadsheet!I246,data!$H$4:$I$9))</f>
        <v/>
      </c>
      <c r="J135" s="188" t="str">
        <f>IF(ISERROR(getgrade(Broadsheet!J246,data!$H$4:$I$9)),"#",getgrade(Broadsheet!J246,data!$H$4:$I$9))</f>
        <v/>
      </c>
      <c r="K135" s="188" t="str">
        <f>IF(ISERROR(getgrade(Broadsheet!K246,data!$H$4:$I$9)),"#",getgrade(Broadsheet!K246,data!$H$4:$I$9))</f>
        <v/>
      </c>
      <c r="L135" s="188" t="str">
        <f>IF(ISERROR(getgrade(Broadsheet!L246,data!$H$4:$I$9)),"#",getgrade(Broadsheet!L246,data!$H$4:$I$9))</f>
        <v/>
      </c>
      <c r="M135" s="188" t="str">
        <f>IF(ISERROR(getgrade(Broadsheet!M246,data!$H$4:$I$9)),"#",getgrade(Broadsheet!M246,data!$H$4:$I$9))</f>
        <v/>
      </c>
      <c r="N135" s="188" t="str">
        <f>IF(ISERROR(getgrade(Broadsheet!N246,data!$H$4:$I$9)),"#",getgrade(Broadsheet!N246,data!$H$4:$I$9))</f>
        <v/>
      </c>
      <c r="O135" s="188" t="str">
        <f>IF(ISERROR(getgrade(Broadsheet!O246,data!$H$4:$I$9)),"#",getgrade(Broadsheet!O246,data!$H$4:$I$9))</f>
        <v/>
      </c>
      <c r="P135" s="188" t="str">
        <f>IF(ISERROR(getgrade(Broadsheet!P246,data!$H$4:$I$9)),"#",getgrade(Broadsheet!P246,data!$H$4:$I$9))</f>
        <v/>
      </c>
      <c r="Q135" s="188" t="str">
        <f>IF(ISERROR(getgrade(Broadsheet!Q246,data!$H$4:$I$9)),"#",getgrade(Broadsheet!Q246,data!$H$4:$I$9))</f>
        <v/>
      </c>
      <c r="R135" s="188" t="str">
        <f>IF(ISERROR(getgrade(Broadsheet!R246,data!$H$4:$I$9)),"#",getgrade(Broadsheet!R246,data!$H$4:$I$9))</f>
        <v/>
      </c>
      <c r="S135" s="188" t="str">
        <f>IF(ISERROR(getgrade(Broadsheet!S246,data!$H$4:$I$9)),"#",getgrade(Broadsheet!S246,data!$H$4:$I$9))</f>
        <v/>
      </c>
      <c r="T135" s="188" t="str">
        <f>IF(ISERROR(getgrade(Broadsheet!T246,data!$H$4:$I$9)),"#",getgrade(Broadsheet!T246,data!$H$4:$I$9))</f>
        <v/>
      </c>
      <c r="U135" s="188" t="str">
        <f>IF(ISERROR(getgrade(Broadsheet!U246,data!$H$4:$I$9)),"#",getgrade(Broadsheet!U246,data!$H$4:$I$9))</f>
        <v/>
      </c>
      <c r="V135" s="188" t="str">
        <f>IF(ISERROR(getgrade(Broadsheet!V246,data!$H$4:$I$9)),"#",getgrade(Broadsheet!V246,data!$H$4:$I$9))</f>
        <v/>
      </c>
      <c r="W135" s="188" t="str">
        <f>IF(ISERROR(getgrade(Broadsheet!W246,data!$H$4:$I$9)),"#",getgrade(Broadsheet!W246,data!$H$4:$I$9))</f>
        <v/>
      </c>
      <c r="X135" s="188" t="str">
        <f>IF(ISERROR(getgrade(Broadsheet!X246,data!$H$4:$I$9)),"#",getgrade(Broadsheet!X246,data!$H$4:$I$9))</f>
        <v/>
      </c>
      <c r="Y135" s="188" t="str">
        <f>IF(ISERROR(getgrade(Broadsheet!Y246,data!$H$4:$I$9)),"#",getgrade(Broadsheet!Y246,data!$H$4:$I$9))</f>
        <v/>
      </c>
      <c r="Z135" s="188" t="str">
        <f>IF(ISERROR(getgrade(Broadsheet!Z246,data!$H$4:$I$9)),"#",getgrade(Broadsheet!Z246,data!$H$4:$I$9))</f>
        <v/>
      </c>
      <c r="AA135" s="188" t="str">
        <f>IF(ISERROR(getgrade(Broadsheet!AA246,data!$H$4:$I$9)),"#",getgrade(Broadsheet!AA246,data!$H$4:$I$9))</f>
        <v/>
      </c>
      <c r="AB135" s="188" t="str">
        <f>IF(ISERROR(getgrade(Broadsheet!AB246,data!$H$4:$I$9)),"#",getgrade(Broadsheet!AB246,data!$H$4:$I$9))</f>
        <v/>
      </c>
      <c r="AC135" s="188" t="str">
        <f>IF(ISERROR(getgrade(Broadsheet!AC246,data!$H$4:$I$9)),"#",getgrade(Broadsheet!AC246,data!$H$4:$I$9))</f>
        <v/>
      </c>
      <c r="AD135" s="188" t="str">
        <f>IF(ISERROR(getgrade(Broadsheet!AD246,data!$H$4:$I$9)),"#",getgrade(Broadsheet!AD246,data!$H$4:$I$9))</f>
        <v/>
      </c>
      <c r="AE135" s="188" t="str">
        <f>IF(ISERROR(getgrade(Broadsheet!AE246,data!$H$4:$I$9)),"#",getgrade(Broadsheet!AE246,data!$H$4:$I$9))</f>
        <v/>
      </c>
      <c r="AF135" s="188" t="str">
        <f>IF(ISERROR(getgrade(Broadsheet!AF246,data!$H$4:$I$9)),"#",getgrade(Broadsheet!AF246,data!$H$4:$I$9))</f>
        <v/>
      </c>
      <c r="AG135" s="188" t="str">
        <f>IF(ISERROR(getgrade(Broadsheet!AG246,data!$H$4:$I$9)),"#",getgrade(Broadsheet!AG246,data!$H$4:$I$9))</f>
        <v/>
      </c>
      <c r="AH135" s="188" t="str">
        <f>IF(ISERROR(getgrade(Broadsheet!AH246,data!$H$4:$I$9)),"#",getgrade(Broadsheet!AH246,data!$H$4:$I$9))</f>
        <v/>
      </c>
      <c r="AI135" s="188" t="str">
        <f>IF(ISERROR(getgrade(Broadsheet!AI246,data!$H$4:$I$9)),"#",getgrade(Broadsheet!AI246,data!$H$4:$I$9))</f>
        <v/>
      </c>
      <c r="AJ135" s="188" t="str">
        <f>IF(ISERROR(getgrade(Broadsheet!AJ246,data!$H$4:$I$9)),"#",getgrade(Broadsheet!AJ246,data!$H$4:$I$9))</f>
        <v/>
      </c>
      <c r="AK135" s="188" t="str">
        <f>IF(ISERROR(getgrade(Broadsheet!AK246,data!$H$4:$I$9)),"#",getgrade(Broadsheet!AK246,data!$H$4:$I$9))</f>
        <v/>
      </c>
      <c r="AL135" s="188" t="str">
        <f>IF(ISERROR(getgrade(Broadsheet!AL246,data!$H$4:$I$9)),"#",getgrade(Broadsheet!AL246,data!$H$4:$I$9))</f>
        <v/>
      </c>
      <c r="AM135" s="188" t="str">
        <f>IF(ISERROR(getgrade(Broadsheet!AM246,data!$H$4:$I$9)),"#",getgrade(Broadsheet!AM246,data!$H$4:$I$9))</f>
        <v/>
      </c>
      <c r="AN135" s="188" t="str">
        <f>IF(ISERROR(getgrade(Broadsheet!AN246,data!$H$4:$I$9)),"#",getgrade(Broadsheet!AN246,data!$H$4:$I$9))</f>
        <v/>
      </c>
      <c r="AO135" s="188" t="str">
        <f>IF(ISERROR(getgrade(Broadsheet!AO246,data!$H$4:$I$9)),"#",getgrade(Broadsheet!AO246,data!$H$4:$I$9))</f>
        <v/>
      </c>
      <c r="AP135" s="188" t="str">
        <f>IF(ISERROR(getgrade(Broadsheet!AP246,data!$H$4:$I$9)),"#",getgrade(Broadsheet!AP246,data!$H$4:$I$9))</f>
        <v/>
      </c>
      <c r="AQ135" s="188" t="str">
        <f>IF(ISERROR(getgrade(Broadsheet!AQ246,data!$H$4:$I$9)),"#",getgrade(Broadsheet!AQ246,data!$H$4:$I$9))</f>
        <v/>
      </c>
      <c r="AR135" s="188" t="str">
        <f>IF(ISERROR(getgrade(Broadsheet!AR246,data!$H$4:$I$9)),"#",getgrade(Broadsheet!AR246,data!$H$4:$I$9))</f>
        <v/>
      </c>
      <c r="AS135" s="188" t="str">
        <f>IF(ISERROR(getgrade(Broadsheet!AS246,data!$H$4:$I$9)),"#",getgrade(Broadsheet!AS246,data!$H$4:$I$9))</f>
        <v/>
      </c>
      <c r="AT135" s="188" t="str">
        <f>IF(ISERROR(getgrade(Broadsheet!AT246,data!$H$4:$I$9)),"#",getgrade(Broadsheet!AT246,data!$H$4:$I$9))</f>
        <v/>
      </c>
      <c r="AU135" s="188" t="str">
        <f>IF(ISERROR(getgrade(Broadsheet!AU246,data!$H$4:$I$9)),"#",getgrade(Broadsheet!AU246,data!$H$4:$I$9))</f>
        <v/>
      </c>
      <c r="AV135" s="188" t="str">
        <f>IF(ISERROR(getgrade(Broadsheet!AV246,data!$H$4:$I$9)),"#",getgrade(Broadsheet!AV246,data!$H$4:$I$9))</f>
        <v/>
      </c>
      <c r="AW135" s="188" t="str">
        <f>IF(ISERROR(getgrade(Broadsheet!AW246,data!$H$4:$I$9)),"#",getgrade(Broadsheet!AW246,data!$H$4:$I$9))</f>
        <v/>
      </c>
      <c r="AX135" s="188" t="str">
        <f>IF(ISERROR(getgrade(Broadsheet!AX246,data!$H$4:$I$9)),"#",getgrade(Broadsheet!AX246,data!$H$4:$I$9))</f>
        <v/>
      </c>
      <c r="AY135" s="188" t="str">
        <f>IF(ISERROR(getgrade(Broadsheet!AY246,data!$H$4:$I$9)),"#",getgrade(Broadsheet!AY246,data!$H$4:$I$9))</f>
        <v/>
      </c>
      <c r="AZ135" s="188" t="str">
        <f>IF(ISERROR(getgrade(Broadsheet!AZ246,data!$H$4:$I$9)),"#",getgrade(Broadsheet!AZ246,data!$H$4:$I$9))</f>
        <v/>
      </c>
      <c r="BA135" s="188" t="str">
        <f>IF(ISERROR(getgrade(Broadsheet!BA246,data!$H$4:$I$9)),"#",getgrade(Broadsheet!BA246,data!$H$4:$I$9))</f>
        <v/>
      </c>
      <c r="BB135" s="188" t="str">
        <f>IF(ISERROR(getgrade(Broadsheet!BB246,data!$H$4:$I$9)),"#",getgrade(Broadsheet!BB246,data!$H$4:$I$9))</f>
        <v/>
      </c>
      <c r="BC135" s="188" t="str">
        <f>IF(ISERROR(getgrade(Broadsheet!BC246,data!$H$4:$I$9)),"#",getgrade(Broadsheet!BC246,data!$H$4:$I$9))</f>
        <v/>
      </c>
      <c r="BD135" s="188" t="str">
        <f>IF(ISERROR(getgrade(Broadsheet!BD246,data!$H$4:$I$9)),"#",getgrade(Broadsheet!BD246,data!$H$4:$I$9))</f>
        <v/>
      </c>
      <c r="BE135" s="188" t="str">
        <f>IF(ISERROR(getgrade(Broadsheet!BE246,data!$H$4:$I$9)),"#",getgrade(Broadsheet!BE246,data!$H$4:$I$9))</f>
        <v/>
      </c>
      <c r="BF135" s="188" t="str">
        <f>IF(ISERROR(getgrade(Broadsheet!BF246,data!$H$4:$I$9)),"#",getgrade(Broadsheet!BF246,data!$H$4:$I$9))</f>
        <v/>
      </c>
      <c r="BG135" s="188" t="str">
        <f>IF(ISERROR(getgrade(Broadsheet!BG246,data!$H$4:$I$9)),"#",getgrade(Broadsheet!BG246,data!$H$4:$I$9))</f>
        <v/>
      </c>
      <c r="BH135" s="188" t="str">
        <f>IF(ISERROR(getgrade(Broadsheet!BH246,data!$H$4:$I$9)),"#",getgrade(Broadsheet!BH246,data!$H$4:$I$9))</f>
        <v/>
      </c>
      <c r="BI135" s="188" t="str">
        <f>IF(ISERROR(getgrade(Broadsheet!BI246,data!$H$4:$I$9)),"#",getgrade(Broadsheet!BI246,data!$H$4:$I$9))</f>
        <v/>
      </c>
      <c r="BJ135" s="188" t="str">
        <f>IF(ISERROR(getgrade(Broadsheet!BJ246,data!$H$4:$I$9)),"#",getgrade(Broadsheet!BJ246,data!$H$4:$I$9))</f>
        <v/>
      </c>
      <c r="BK135" s="188"/>
      <c r="BL135" s="188"/>
      <c r="BM135" s="188"/>
      <c r="BN135" s="188"/>
      <c r="BO135" s="188"/>
      <c r="BP135" s="188"/>
      <c r="BQ135" s="188"/>
      <c r="BR135" s="188"/>
      <c r="BS135" s="188"/>
      <c r="BT135" s="188"/>
      <c r="BU135" s="188"/>
      <c r="BV135" s="188"/>
      <c r="BW135" s="188"/>
      <c r="BX135" s="188"/>
      <c r="BY135" s="188"/>
      <c r="BZ135" s="188"/>
      <c r="CA135" s="188"/>
      <c r="CB135" s="188"/>
      <c r="CC135" s="188"/>
      <c r="CD135" s="188"/>
      <c r="CE135" s="188"/>
      <c r="CF135" s="188"/>
      <c r="CG135" s="188"/>
      <c r="CH135" s="188"/>
      <c r="CI135" s="188"/>
      <c r="CJ135" s="188"/>
      <c r="CK135" s="188"/>
      <c r="CL135" s="188"/>
      <c r="CM135" s="188"/>
      <c r="CN135" s="188"/>
      <c r="CO135" s="188"/>
      <c r="CP135" s="188"/>
      <c r="CQ135" s="188"/>
      <c r="CR135" s="188"/>
      <c r="CS135" s="188"/>
      <c r="CT135" s="188"/>
      <c r="CU135" s="188"/>
      <c r="CV135" s="188"/>
      <c r="CW135" s="188"/>
      <c r="CX135" s="188"/>
      <c r="CY135" s="188"/>
      <c r="CZ135" s="188"/>
      <c r="DA135" s="188"/>
      <c r="DB135" s="188"/>
      <c r="DC135" s="188"/>
      <c r="DD135" s="188"/>
      <c r="DE135" s="188"/>
      <c r="DF135" s="188"/>
      <c r="DG135" s="188"/>
      <c r="DH135" s="188"/>
      <c r="DI135" s="188"/>
      <c r="DJ135" s="188"/>
      <c r="DK135" s="188"/>
      <c r="DL135" s="188"/>
      <c r="DM135" s="188"/>
      <c r="DN135" s="188"/>
      <c r="DO135" s="188"/>
      <c r="DP135" s="188"/>
      <c r="DQ135" s="188"/>
      <c r="DR135" s="188"/>
      <c r="DS135" s="188"/>
      <c r="DT135" s="188"/>
      <c r="DU135" s="188"/>
      <c r="DV135" s="188"/>
      <c r="DW135" s="188"/>
      <c r="DX135" s="188"/>
      <c r="DY135" s="188"/>
      <c r="DZ135" s="188"/>
      <c r="EA135" s="188"/>
    </row>
    <row r="136" spans="1:131" ht="15.75" x14ac:dyDescent="0.25">
      <c r="A136" s="12">
        <f>Broadsheet!A247</f>
        <v>0</v>
      </c>
      <c r="B136" s="204" t="str">
        <f>IF(Broadsheet!B136="","",Broadsheet!B136)</f>
        <v/>
      </c>
      <c r="C136" s="24" t="str">
        <f>IF(Broadsheet!C136="","",Broadsheet!C136)</f>
        <v xml:space="preserve"> </v>
      </c>
      <c r="G136" s="24" t="str">
        <f t="shared" si="1"/>
        <v/>
      </c>
      <c r="H136" s="188" t="str">
        <f>IF(ISERROR(getgrade(Broadsheet!H247,data!$H$4:$I$9)),"#",getgrade(Broadsheet!H247,data!$H$4:$I$9))</f>
        <v/>
      </c>
      <c r="I136" s="188" t="str">
        <f>IF(ISERROR(getgrade(Broadsheet!I247,data!$H$4:$I$9)),"#",getgrade(Broadsheet!I247,data!$H$4:$I$9))</f>
        <v/>
      </c>
      <c r="J136" s="188" t="str">
        <f>IF(ISERROR(getgrade(Broadsheet!J247,data!$H$4:$I$9)),"#",getgrade(Broadsheet!J247,data!$H$4:$I$9))</f>
        <v/>
      </c>
      <c r="K136" s="188" t="str">
        <f>IF(ISERROR(getgrade(Broadsheet!K247,data!$H$4:$I$9)),"#",getgrade(Broadsheet!K247,data!$H$4:$I$9))</f>
        <v/>
      </c>
      <c r="L136" s="188" t="str">
        <f>IF(ISERROR(getgrade(Broadsheet!L247,data!$H$4:$I$9)),"#",getgrade(Broadsheet!L247,data!$H$4:$I$9))</f>
        <v/>
      </c>
      <c r="M136" s="188" t="str">
        <f>IF(ISERROR(getgrade(Broadsheet!M247,data!$H$4:$I$9)),"#",getgrade(Broadsheet!M247,data!$H$4:$I$9))</f>
        <v/>
      </c>
      <c r="N136" s="188" t="str">
        <f>IF(ISERROR(getgrade(Broadsheet!N247,data!$H$4:$I$9)),"#",getgrade(Broadsheet!N247,data!$H$4:$I$9))</f>
        <v/>
      </c>
      <c r="O136" s="188" t="str">
        <f>IF(ISERROR(getgrade(Broadsheet!O247,data!$H$4:$I$9)),"#",getgrade(Broadsheet!O247,data!$H$4:$I$9))</f>
        <v/>
      </c>
      <c r="P136" s="188" t="str">
        <f>IF(ISERROR(getgrade(Broadsheet!P247,data!$H$4:$I$9)),"#",getgrade(Broadsheet!P247,data!$H$4:$I$9))</f>
        <v/>
      </c>
      <c r="Q136" s="188" t="str">
        <f>IF(ISERROR(getgrade(Broadsheet!Q247,data!$H$4:$I$9)),"#",getgrade(Broadsheet!Q247,data!$H$4:$I$9))</f>
        <v/>
      </c>
      <c r="R136" s="188" t="str">
        <f>IF(ISERROR(getgrade(Broadsheet!R247,data!$H$4:$I$9)),"#",getgrade(Broadsheet!R247,data!$H$4:$I$9))</f>
        <v/>
      </c>
      <c r="S136" s="188" t="str">
        <f>IF(ISERROR(getgrade(Broadsheet!S247,data!$H$4:$I$9)),"#",getgrade(Broadsheet!S247,data!$H$4:$I$9))</f>
        <v/>
      </c>
      <c r="T136" s="188" t="str">
        <f>IF(ISERROR(getgrade(Broadsheet!T247,data!$H$4:$I$9)),"#",getgrade(Broadsheet!T247,data!$H$4:$I$9))</f>
        <v/>
      </c>
      <c r="U136" s="188" t="str">
        <f>IF(ISERROR(getgrade(Broadsheet!U247,data!$H$4:$I$9)),"#",getgrade(Broadsheet!U247,data!$H$4:$I$9))</f>
        <v/>
      </c>
      <c r="V136" s="188" t="str">
        <f>IF(ISERROR(getgrade(Broadsheet!V247,data!$H$4:$I$9)),"#",getgrade(Broadsheet!V247,data!$H$4:$I$9))</f>
        <v/>
      </c>
      <c r="W136" s="188" t="str">
        <f>IF(ISERROR(getgrade(Broadsheet!W247,data!$H$4:$I$9)),"#",getgrade(Broadsheet!W247,data!$H$4:$I$9))</f>
        <v/>
      </c>
      <c r="X136" s="188" t="str">
        <f>IF(ISERROR(getgrade(Broadsheet!X247,data!$H$4:$I$9)),"#",getgrade(Broadsheet!X247,data!$H$4:$I$9))</f>
        <v/>
      </c>
      <c r="Y136" s="188" t="str">
        <f>IF(ISERROR(getgrade(Broadsheet!Y247,data!$H$4:$I$9)),"#",getgrade(Broadsheet!Y247,data!$H$4:$I$9))</f>
        <v/>
      </c>
      <c r="Z136" s="188" t="str">
        <f>IF(ISERROR(getgrade(Broadsheet!Z247,data!$H$4:$I$9)),"#",getgrade(Broadsheet!Z247,data!$H$4:$I$9))</f>
        <v/>
      </c>
      <c r="AA136" s="188" t="str">
        <f>IF(ISERROR(getgrade(Broadsheet!AA247,data!$H$4:$I$9)),"#",getgrade(Broadsheet!AA247,data!$H$4:$I$9))</f>
        <v/>
      </c>
      <c r="AB136" s="188" t="str">
        <f>IF(ISERROR(getgrade(Broadsheet!AB247,data!$H$4:$I$9)),"#",getgrade(Broadsheet!AB247,data!$H$4:$I$9))</f>
        <v/>
      </c>
      <c r="AC136" s="188" t="str">
        <f>IF(ISERROR(getgrade(Broadsheet!AC247,data!$H$4:$I$9)),"#",getgrade(Broadsheet!AC247,data!$H$4:$I$9))</f>
        <v/>
      </c>
      <c r="AD136" s="188" t="str">
        <f>IF(ISERROR(getgrade(Broadsheet!AD247,data!$H$4:$I$9)),"#",getgrade(Broadsheet!AD247,data!$H$4:$I$9))</f>
        <v/>
      </c>
      <c r="AE136" s="188" t="str">
        <f>IF(ISERROR(getgrade(Broadsheet!AE247,data!$H$4:$I$9)),"#",getgrade(Broadsheet!AE247,data!$H$4:$I$9))</f>
        <v/>
      </c>
      <c r="AF136" s="188" t="str">
        <f>IF(ISERROR(getgrade(Broadsheet!AF247,data!$H$4:$I$9)),"#",getgrade(Broadsheet!AF247,data!$H$4:$I$9))</f>
        <v/>
      </c>
      <c r="AG136" s="188" t="str">
        <f>IF(ISERROR(getgrade(Broadsheet!AG247,data!$H$4:$I$9)),"#",getgrade(Broadsheet!AG247,data!$H$4:$I$9))</f>
        <v/>
      </c>
      <c r="AH136" s="188" t="str">
        <f>IF(ISERROR(getgrade(Broadsheet!AH247,data!$H$4:$I$9)),"#",getgrade(Broadsheet!AH247,data!$H$4:$I$9))</f>
        <v/>
      </c>
      <c r="AI136" s="188" t="str">
        <f>IF(ISERROR(getgrade(Broadsheet!AI247,data!$H$4:$I$9)),"#",getgrade(Broadsheet!AI247,data!$H$4:$I$9))</f>
        <v/>
      </c>
      <c r="AJ136" s="188" t="str">
        <f>IF(ISERROR(getgrade(Broadsheet!AJ247,data!$H$4:$I$9)),"#",getgrade(Broadsheet!AJ247,data!$H$4:$I$9))</f>
        <v/>
      </c>
      <c r="AK136" s="188" t="str">
        <f>IF(ISERROR(getgrade(Broadsheet!AK247,data!$H$4:$I$9)),"#",getgrade(Broadsheet!AK247,data!$H$4:$I$9))</f>
        <v/>
      </c>
      <c r="AL136" s="188" t="str">
        <f>IF(ISERROR(getgrade(Broadsheet!AL247,data!$H$4:$I$9)),"#",getgrade(Broadsheet!AL247,data!$H$4:$I$9))</f>
        <v/>
      </c>
      <c r="AM136" s="188" t="str">
        <f>IF(ISERROR(getgrade(Broadsheet!AM247,data!$H$4:$I$9)),"#",getgrade(Broadsheet!AM247,data!$H$4:$I$9))</f>
        <v/>
      </c>
      <c r="AN136" s="188" t="str">
        <f>IF(ISERROR(getgrade(Broadsheet!AN247,data!$H$4:$I$9)),"#",getgrade(Broadsheet!AN247,data!$H$4:$I$9))</f>
        <v/>
      </c>
      <c r="AO136" s="188" t="str">
        <f>IF(ISERROR(getgrade(Broadsheet!AO247,data!$H$4:$I$9)),"#",getgrade(Broadsheet!AO247,data!$H$4:$I$9))</f>
        <v/>
      </c>
      <c r="AP136" s="188" t="str">
        <f>IF(ISERROR(getgrade(Broadsheet!AP247,data!$H$4:$I$9)),"#",getgrade(Broadsheet!AP247,data!$H$4:$I$9))</f>
        <v/>
      </c>
      <c r="AQ136" s="188" t="str">
        <f>IF(ISERROR(getgrade(Broadsheet!AQ247,data!$H$4:$I$9)),"#",getgrade(Broadsheet!AQ247,data!$H$4:$I$9))</f>
        <v/>
      </c>
      <c r="AR136" s="188" t="str">
        <f>IF(ISERROR(getgrade(Broadsheet!AR247,data!$H$4:$I$9)),"#",getgrade(Broadsheet!AR247,data!$H$4:$I$9))</f>
        <v/>
      </c>
      <c r="AS136" s="188" t="str">
        <f>IF(ISERROR(getgrade(Broadsheet!AS247,data!$H$4:$I$9)),"#",getgrade(Broadsheet!AS247,data!$H$4:$I$9))</f>
        <v/>
      </c>
      <c r="AT136" s="188" t="str">
        <f>IF(ISERROR(getgrade(Broadsheet!AT247,data!$H$4:$I$9)),"#",getgrade(Broadsheet!AT247,data!$H$4:$I$9))</f>
        <v/>
      </c>
      <c r="AU136" s="188" t="str">
        <f>IF(ISERROR(getgrade(Broadsheet!AU247,data!$H$4:$I$9)),"#",getgrade(Broadsheet!AU247,data!$H$4:$I$9))</f>
        <v/>
      </c>
      <c r="AV136" s="188" t="str">
        <f>IF(ISERROR(getgrade(Broadsheet!AV247,data!$H$4:$I$9)),"#",getgrade(Broadsheet!AV247,data!$H$4:$I$9))</f>
        <v/>
      </c>
      <c r="AW136" s="188" t="str">
        <f>IF(ISERROR(getgrade(Broadsheet!AW247,data!$H$4:$I$9)),"#",getgrade(Broadsheet!AW247,data!$H$4:$I$9))</f>
        <v/>
      </c>
      <c r="AX136" s="188" t="str">
        <f>IF(ISERROR(getgrade(Broadsheet!AX247,data!$H$4:$I$9)),"#",getgrade(Broadsheet!AX247,data!$H$4:$I$9))</f>
        <v/>
      </c>
      <c r="AY136" s="188" t="str">
        <f>IF(ISERROR(getgrade(Broadsheet!AY247,data!$H$4:$I$9)),"#",getgrade(Broadsheet!AY247,data!$H$4:$I$9))</f>
        <v/>
      </c>
      <c r="AZ136" s="188" t="str">
        <f>IF(ISERROR(getgrade(Broadsheet!AZ247,data!$H$4:$I$9)),"#",getgrade(Broadsheet!AZ247,data!$H$4:$I$9))</f>
        <v/>
      </c>
      <c r="BA136" s="188" t="str">
        <f>IF(ISERROR(getgrade(Broadsheet!BA247,data!$H$4:$I$9)),"#",getgrade(Broadsheet!BA247,data!$H$4:$I$9))</f>
        <v/>
      </c>
      <c r="BB136" s="188" t="str">
        <f>IF(ISERROR(getgrade(Broadsheet!BB247,data!$H$4:$I$9)),"#",getgrade(Broadsheet!BB247,data!$H$4:$I$9))</f>
        <v/>
      </c>
      <c r="BC136" s="188" t="str">
        <f>IF(ISERROR(getgrade(Broadsheet!BC247,data!$H$4:$I$9)),"#",getgrade(Broadsheet!BC247,data!$H$4:$I$9))</f>
        <v/>
      </c>
      <c r="BD136" s="188" t="str">
        <f>IF(ISERROR(getgrade(Broadsheet!BD247,data!$H$4:$I$9)),"#",getgrade(Broadsheet!BD247,data!$H$4:$I$9))</f>
        <v/>
      </c>
      <c r="BE136" s="188" t="str">
        <f>IF(ISERROR(getgrade(Broadsheet!BE247,data!$H$4:$I$9)),"#",getgrade(Broadsheet!BE247,data!$H$4:$I$9))</f>
        <v/>
      </c>
      <c r="BF136" s="188" t="str">
        <f>IF(ISERROR(getgrade(Broadsheet!BF247,data!$H$4:$I$9)),"#",getgrade(Broadsheet!BF247,data!$H$4:$I$9))</f>
        <v/>
      </c>
      <c r="BG136" s="188" t="str">
        <f>IF(ISERROR(getgrade(Broadsheet!BG247,data!$H$4:$I$9)),"#",getgrade(Broadsheet!BG247,data!$H$4:$I$9))</f>
        <v/>
      </c>
      <c r="BH136" s="188" t="str">
        <f>IF(ISERROR(getgrade(Broadsheet!BH247,data!$H$4:$I$9)),"#",getgrade(Broadsheet!BH247,data!$H$4:$I$9))</f>
        <v/>
      </c>
      <c r="BI136" s="188" t="str">
        <f>IF(ISERROR(getgrade(Broadsheet!BI247,data!$H$4:$I$9)),"#",getgrade(Broadsheet!BI247,data!$H$4:$I$9))</f>
        <v/>
      </c>
      <c r="BJ136" s="188" t="str">
        <f>IF(ISERROR(getgrade(Broadsheet!BJ247,data!$H$4:$I$9)),"#",getgrade(Broadsheet!BJ247,data!$H$4:$I$9))</f>
        <v/>
      </c>
      <c r="BK136" s="188"/>
      <c r="BL136" s="188"/>
      <c r="BM136" s="188"/>
      <c r="BN136" s="188"/>
      <c r="BO136" s="188"/>
      <c r="BP136" s="188"/>
      <c r="BQ136" s="188"/>
      <c r="BR136" s="188"/>
      <c r="BS136" s="188"/>
      <c r="BT136" s="188"/>
      <c r="BU136" s="188"/>
      <c r="BV136" s="188"/>
      <c r="BW136" s="188"/>
      <c r="BX136" s="188"/>
      <c r="BY136" s="188"/>
      <c r="BZ136" s="188"/>
      <c r="CA136" s="188"/>
      <c r="CB136" s="188"/>
      <c r="CC136" s="188"/>
      <c r="CD136" s="188"/>
      <c r="CE136" s="188"/>
      <c r="CF136" s="188"/>
      <c r="CG136" s="188"/>
      <c r="CH136" s="188"/>
      <c r="CI136" s="188"/>
      <c r="CJ136" s="188"/>
      <c r="CK136" s="188"/>
      <c r="CL136" s="188"/>
      <c r="CM136" s="188"/>
      <c r="CN136" s="188"/>
      <c r="CO136" s="188"/>
      <c r="CP136" s="188"/>
      <c r="CQ136" s="188"/>
      <c r="CR136" s="188"/>
      <c r="CS136" s="188"/>
      <c r="CT136" s="188"/>
      <c r="CU136" s="188"/>
      <c r="CV136" s="188"/>
      <c r="CW136" s="188"/>
      <c r="CX136" s="188"/>
      <c r="CY136" s="188"/>
      <c r="CZ136" s="188"/>
      <c r="DA136" s="188"/>
      <c r="DB136" s="188"/>
      <c r="DC136" s="188"/>
      <c r="DD136" s="188"/>
      <c r="DE136" s="188"/>
      <c r="DF136" s="188"/>
      <c r="DG136" s="188"/>
      <c r="DH136" s="188"/>
      <c r="DI136" s="188"/>
      <c r="DJ136" s="188"/>
      <c r="DK136" s="188"/>
      <c r="DL136" s="188"/>
      <c r="DM136" s="188"/>
      <c r="DN136" s="188"/>
      <c r="DO136" s="188"/>
      <c r="DP136" s="188"/>
      <c r="DQ136" s="188"/>
      <c r="DR136" s="188"/>
      <c r="DS136" s="188"/>
      <c r="DT136" s="188"/>
      <c r="DU136" s="188"/>
      <c r="DV136" s="188"/>
      <c r="DW136" s="188"/>
      <c r="DX136" s="188"/>
      <c r="DY136" s="188"/>
      <c r="DZ136" s="188"/>
      <c r="EA136" s="188"/>
    </row>
    <row r="137" spans="1:131" ht="15.75" x14ac:dyDescent="0.25">
      <c r="A137" s="12">
        <f>Broadsheet!A248</f>
        <v>0</v>
      </c>
      <c r="B137" s="204" t="str">
        <f>IF(Broadsheet!B137="","",Broadsheet!B137)</f>
        <v/>
      </c>
      <c r="C137" s="24" t="str">
        <f>IF(Broadsheet!C137="","",Broadsheet!C137)</f>
        <v xml:space="preserve"> </v>
      </c>
      <c r="G137" s="24" t="str">
        <f t="shared" si="1"/>
        <v/>
      </c>
      <c r="H137" s="188" t="str">
        <f>IF(ISERROR(getgrade(Broadsheet!H248,data!$H$4:$I$9)),"#",getgrade(Broadsheet!H248,data!$H$4:$I$9))</f>
        <v/>
      </c>
      <c r="I137" s="188" t="str">
        <f>IF(ISERROR(getgrade(Broadsheet!I248,data!$H$4:$I$9)),"#",getgrade(Broadsheet!I248,data!$H$4:$I$9))</f>
        <v/>
      </c>
      <c r="J137" s="188" t="str">
        <f>IF(ISERROR(getgrade(Broadsheet!J248,data!$H$4:$I$9)),"#",getgrade(Broadsheet!J248,data!$H$4:$I$9))</f>
        <v/>
      </c>
      <c r="K137" s="188" t="str">
        <f>IF(ISERROR(getgrade(Broadsheet!K248,data!$H$4:$I$9)),"#",getgrade(Broadsheet!K248,data!$H$4:$I$9))</f>
        <v/>
      </c>
      <c r="L137" s="188" t="str">
        <f>IF(ISERROR(getgrade(Broadsheet!L248,data!$H$4:$I$9)),"#",getgrade(Broadsheet!L248,data!$H$4:$I$9))</f>
        <v/>
      </c>
      <c r="M137" s="188" t="str">
        <f>IF(ISERROR(getgrade(Broadsheet!M248,data!$H$4:$I$9)),"#",getgrade(Broadsheet!M248,data!$H$4:$I$9))</f>
        <v/>
      </c>
      <c r="N137" s="188" t="str">
        <f>IF(ISERROR(getgrade(Broadsheet!N248,data!$H$4:$I$9)),"#",getgrade(Broadsheet!N248,data!$H$4:$I$9))</f>
        <v/>
      </c>
      <c r="O137" s="188" t="str">
        <f>IF(ISERROR(getgrade(Broadsheet!O248,data!$H$4:$I$9)),"#",getgrade(Broadsheet!O248,data!$H$4:$I$9))</f>
        <v/>
      </c>
      <c r="P137" s="188" t="str">
        <f>IF(ISERROR(getgrade(Broadsheet!P248,data!$H$4:$I$9)),"#",getgrade(Broadsheet!P248,data!$H$4:$I$9))</f>
        <v/>
      </c>
      <c r="Q137" s="188" t="str">
        <f>IF(ISERROR(getgrade(Broadsheet!Q248,data!$H$4:$I$9)),"#",getgrade(Broadsheet!Q248,data!$H$4:$I$9))</f>
        <v/>
      </c>
      <c r="R137" s="188" t="str">
        <f>IF(ISERROR(getgrade(Broadsheet!R248,data!$H$4:$I$9)),"#",getgrade(Broadsheet!R248,data!$H$4:$I$9))</f>
        <v/>
      </c>
      <c r="S137" s="188" t="str">
        <f>IF(ISERROR(getgrade(Broadsheet!S248,data!$H$4:$I$9)),"#",getgrade(Broadsheet!S248,data!$H$4:$I$9))</f>
        <v/>
      </c>
      <c r="T137" s="188" t="str">
        <f>IF(ISERROR(getgrade(Broadsheet!T248,data!$H$4:$I$9)),"#",getgrade(Broadsheet!T248,data!$H$4:$I$9))</f>
        <v/>
      </c>
      <c r="U137" s="188" t="str">
        <f>IF(ISERROR(getgrade(Broadsheet!U248,data!$H$4:$I$9)),"#",getgrade(Broadsheet!U248,data!$H$4:$I$9))</f>
        <v/>
      </c>
      <c r="V137" s="188" t="str">
        <f>IF(ISERROR(getgrade(Broadsheet!V248,data!$H$4:$I$9)),"#",getgrade(Broadsheet!V248,data!$H$4:$I$9))</f>
        <v/>
      </c>
      <c r="W137" s="188" t="str">
        <f>IF(ISERROR(getgrade(Broadsheet!W248,data!$H$4:$I$9)),"#",getgrade(Broadsheet!W248,data!$H$4:$I$9))</f>
        <v/>
      </c>
      <c r="X137" s="188" t="str">
        <f>IF(ISERROR(getgrade(Broadsheet!X248,data!$H$4:$I$9)),"#",getgrade(Broadsheet!X248,data!$H$4:$I$9))</f>
        <v/>
      </c>
      <c r="Y137" s="188" t="str">
        <f>IF(ISERROR(getgrade(Broadsheet!Y248,data!$H$4:$I$9)),"#",getgrade(Broadsheet!Y248,data!$H$4:$I$9))</f>
        <v/>
      </c>
      <c r="Z137" s="188" t="str">
        <f>IF(ISERROR(getgrade(Broadsheet!Z248,data!$H$4:$I$9)),"#",getgrade(Broadsheet!Z248,data!$H$4:$I$9))</f>
        <v/>
      </c>
      <c r="AA137" s="188" t="str">
        <f>IF(ISERROR(getgrade(Broadsheet!AA248,data!$H$4:$I$9)),"#",getgrade(Broadsheet!AA248,data!$H$4:$I$9))</f>
        <v/>
      </c>
      <c r="AB137" s="188" t="str">
        <f>IF(ISERROR(getgrade(Broadsheet!AB248,data!$H$4:$I$9)),"#",getgrade(Broadsheet!AB248,data!$H$4:$I$9))</f>
        <v/>
      </c>
      <c r="AC137" s="188" t="str">
        <f>IF(ISERROR(getgrade(Broadsheet!AC248,data!$H$4:$I$9)),"#",getgrade(Broadsheet!AC248,data!$H$4:$I$9))</f>
        <v/>
      </c>
      <c r="AD137" s="188" t="str">
        <f>IF(ISERROR(getgrade(Broadsheet!AD248,data!$H$4:$I$9)),"#",getgrade(Broadsheet!AD248,data!$H$4:$I$9))</f>
        <v/>
      </c>
      <c r="AE137" s="188" t="str">
        <f>IF(ISERROR(getgrade(Broadsheet!AE248,data!$H$4:$I$9)),"#",getgrade(Broadsheet!AE248,data!$H$4:$I$9))</f>
        <v/>
      </c>
      <c r="AF137" s="188" t="str">
        <f>IF(ISERROR(getgrade(Broadsheet!AF248,data!$H$4:$I$9)),"#",getgrade(Broadsheet!AF248,data!$H$4:$I$9))</f>
        <v/>
      </c>
      <c r="AG137" s="188" t="str">
        <f>IF(ISERROR(getgrade(Broadsheet!AG248,data!$H$4:$I$9)),"#",getgrade(Broadsheet!AG248,data!$H$4:$I$9))</f>
        <v/>
      </c>
      <c r="AH137" s="188" t="str">
        <f>IF(ISERROR(getgrade(Broadsheet!AH248,data!$H$4:$I$9)),"#",getgrade(Broadsheet!AH248,data!$H$4:$I$9))</f>
        <v/>
      </c>
      <c r="AI137" s="188" t="str">
        <f>IF(ISERROR(getgrade(Broadsheet!AI248,data!$H$4:$I$9)),"#",getgrade(Broadsheet!AI248,data!$H$4:$I$9))</f>
        <v/>
      </c>
      <c r="AJ137" s="188" t="str">
        <f>IF(ISERROR(getgrade(Broadsheet!AJ248,data!$H$4:$I$9)),"#",getgrade(Broadsheet!AJ248,data!$H$4:$I$9))</f>
        <v/>
      </c>
      <c r="AK137" s="188" t="str">
        <f>IF(ISERROR(getgrade(Broadsheet!AK248,data!$H$4:$I$9)),"#",getgrade(Broadsheet!AK248,data!$H$4:$I$9))</f>
        <v/>
      </c>
      <c r="AL137" s="188" t="str">
        <f>IF(ISERROR(getgrade(Broadsheet!AL248,data!$H$4:$I$9)),"#",getgrade(Broadsheet!AL248,data!$H$4:$I$9))</f>
        <v/>
      </c>
      <c r="AM137" s="188" t="str">
        <f>IF(ISERROR(getgrade(Broadsheet!AM248,data!$H$4:$I$9)),"#",getgrade(Broadsheet!AM248,data!$H$4:$I$9))</f>
        <v/>
      </c>
      <c r="AN137" s="188" t="str">
        <f>IF(ISERROR(getgrade(Broadsheet!AN248,data!$H$4:$I$9)),"#",getgrade(Broadsheet!AN248,data!$H$4:$I$9))</f>
        <v/>
      </c>
      <c r="AO137" s="188" t="str">
        <f>IF(ISERROR(getgrade(Broadsheet!AO248,data!$H$4:$I$9)),"#",getgrade(Broadsheet!AO248,data!$H$4:$I$9))</f>
        <v/>
      </c>
      <c r="AP137" s="188" t="str">
        <f>IF(ISERROR(getgrade(Broadsheet!AP248,data!$H$4:$I$9)),"#",getgrade(Broadsheet!AP248,data!$H$4:$I$9))</f>
        <v/>
      </c>
      <c r="AQ137" s="188" t="str">
        <f>IF(ISERROR(getgrade(Broadsheet!AQ248,data!$H$4:$I$9)),"#",getgrade(Broadsheet!AQ248,data!$H$4:$I$9))</f>
        <v/>
      </c>
      <c r="AR137" s="188" t="str">
        <f>IF(ISERROR(getgrade(Broadsheet!AR248,data!$H$4:$I$9)),"#",getgrade(Broadsheet!AR248,data!$H$4:$I$9))</f>
        <v/>
      </c>
      <c r="AS137" s="188" t="str">
        <f>IF(ISERROR(getgrade(Broadsheet!AS248,data!$H$4:$I$9)),"#",getgrade(Broadsheet!AS248,data!$H$4:$I$9))</f>
        <v/>
      </c>
      <c r="AT137" s="188" t="str">
        <f>IF(ISERROR(getgrade(Broadsheet!AT248,data!$H$4:$I$9)),"#",getgrade(Broadsheet!AT248,data!$H$4:$I$9))</f>
        <v/>
      </c>
      <c r="AU137" s="188" t="str">
        <f>IF(ISERROR(getgrade(Broadsheet!AU248,data!$H$4:$I$9)),"#",getgrade(Broadsheet!AU248,data!$H$4:$I$9))</f>
        <v/>
      </c>
      <c r="AV137" s="188" t="str">
        <f>IF(ISERROR(getgrade(Broadsheet!AV248,data!$H$4:$I$9)),"#",getgrade(Broadsheet!AV248,data!$H$4:$I$9))</f>
        <v/>
      </c>
      <c r="AW137" s="188" t="str">
        <f>IF(ISERROR(getgrade(Broadsheet!AW248,data!$H$4:$I$9)),"#",getgrade(Broadsheet!AW248,data!$H$4:$I$9))</f>
        <v/>
      </c>
      <c r="AX137" s="188" t="str">
        <f>IF(ISERROR(getgrade(Broadsheet!AX248,data!$H$4:$I$9)),"#",getgrade(Broadsheet!AX248,data!$H$4:$I$9))</f>
        <v/>
      </c>
      <c r="AY137" s="188" t="str">
        <f>IF(ISERROR(getgrade(Broadsheet!AY248,data!$H$4:$I$9)),"#",getgrade(Broadsheet!AY248,data!$H$4:$I$9))</f>
        <v/>
      </c>
      <c r="AZ137" s="188" t="str">
        <f>IF(ISERROR(getgrade(Broadsheet!AZ248,data!$H$4:$I$9)),"#",getgrade(Broadsheet!AZ248,data!$H$4:$I$9))</f>
        <v/>
      </c>
      <c r="BA137" s="188" t="str">
        <f>IF(ISERROR(getgrade(Broadsheet!BA248,data!$H$4:$I$9)),"#",getgrade(Broadsheet!BA248,data!$H$4:$I$9))</f>
        <v/>
      </c>
      <c r="BB137" s="188" t="str">
        <f>IF(ISERROR(getgrade(Broadsheet!BB248,data!$H$4:$I$9)),"#",getgrade(Broadsheet!BB248,data!$H$4:$I$9))</f>
        <v/>
      </c>
      <c r="BC137" s="188" t="str">
        <f>IF(ISERROR(getgrade(Broadsheet!BC248,data!$H$4:$I$9)),"#",getgrade(Broadsheet!BC248,data!$H$4:$I$9))</f>
        <v/>
      </c>
      <c r="BD137" s="188" t="str">
        <f>IF(ISERROR(getgrade(Broadsheet!BD248,data!$H$4:$I$9)),"#",getgrade(Broadsheet!BD248,data!$H$4:$I$9))</f>
        <v/>
      </c>
      <c r="BE137" s="188" t="str">
        <f>IF(ISERROR(getgrade(Broadsheet!BE248,data!$H$4:$I$9)),"#",getgrade(Broadsheet!BE248,data!$H$4:$I$9))</f>
        <v/>
      </c>
      <c r="BF137" s="188" t="str">
        <f>IF(ISERROR(getgrade(Broadsheet!BF248,data!$H$4:$I$9)),"#",getgrade(Broadsheet!BF248,data!$H$4:$I$9))</f>
        <v/>
      </c>
      <c r="BG137" s="188" t="str">
        <f>IF(ISERROR(getgrade(Broadsheet!BG248,data!$H$4:$I$9)),"#",getgrade(Broadsheet!BG248,data!$H$4:$I$9))</f>
        <v/>
      </c>
      <c r="BH137" s="188" t="str">
        <f>IF(ISERROR(getgrade(Broadsheet!BH248,data!$H$4:$I$9)),"#",getgrade(Broadsheet!BH248,data!$H$4:$I$9))</f>
        <v/>
      </c>
      <c r="BI137" s="188" t="str">
        <f>IF(ISERROR(getgrade(Broadsheet!BI248,data!$H$4:$I$9)),"#",getgrade(Broadsheet!BI248,data!$H$4:$I$9))</f>
        <v/>
      </c>
      <c r="BJ137" s="188" t="str">
        <f>IF(ISERROR(getgrade(Broadsheet!BJ248,data!$H$4:$I$9)),"#",getgrade(Broadsheet!BJ248,data!$H$4:$I$9))</f>
        <v/>
      </c>
      <c r="BK137" s="188"/>
      <c r="BL137" s="188"/>
      <c r="BM137" s="188"/>
      <c r="BN137" s="188"/>
      <c r="BO137" s="188"/>
      <c r="BP137" s="188"/>
      <c r="BQ137" s="188"/>
      <c r="BR137" s="188"/>
      <c r="BS137" s="188"/>
      <c r="BT137" s="188"/>
      <c r="BU137" s="188"/>
      <c r="BV137" s="188"/>
      <c r="BW137" s="188"/>
      <c r="BX137" s="188"/>
      <c r="BY137" s="188"/>
      <c r="BZ137" s="188"/>
      <c r="CA137" s="188"/>
      <c r="CB137" s="188"/>
      <c r="CC137" s="188"/>
      <c r="CD137" s="188"/>
      <c r="CE137" s="188"/>
      <c r="CF137" s="188"/>
      <c r="CG137" s="188"/>
      <c r="CH137" s="188"/>
      <c r="CI137" s="188"/>
      <c r="CJ137" s="188"/>
      <c r="CK137" s="188"/>
      <c r="CL137" s="188"/>
      <c r="CM137" s="188"/>
      <c r="CN137" s="188"/>
      <c r="CO137" s="188"/>
      <c r="CP137" s="188"/>
      <c r="CQ137" s="188"/>
      <c r="CR137" s="188"/>
      <c r="CS137" s="188"/>
      <c r="CT137" s="188"/>
      <c r="CU137" s="188"/>
      <c r="CV137" s="188"/>
      <c r="CW137" s="188"/>
      <c r="CX137" s="188"/>
      <c r="CY137" s="188"/>
      <c r="CZ137" s="188"/>
      <c r="DA137" s="188"/>
      <c r="DB137" s="188"/>
      <c r="DC137" s="188"/>
      <c r="DD137" s="188"/>
      <c r="DE137" s="188"/>
      <c r="DF137" s="188"/>
      <c r="DG137" s="188"/>
      <c r="DH137" s="188"/>
      <c r="DI137" s="188"/>
      <c r="DJ137" s="188"/>
      <c r="DK137" s="188"/>
      <c r="DL137" s="188"/>
      <c r="DM137" s="188"/>
      <c r="DN137" s="188"/>
      <c r="DO137" s="188"/>
      <c r="DP137" s="188"/>
      <c r="DQ137" s="188"/>
      <c r="DR137" s="188"/>
      <c r="DS137" s="188"/>
      <c r="DT137" s="188"/>
      <c r="DU137" s="188"/>
      <c r="DV137" s="188"/>
      <c r="DW137" s="188"/>
      <c r="DX137" s="188"/>
      <c r="DY137" s="188"/>
      <c r="DZ137" s="188"/>
      <c r="EA137" s="188"/>
    </row>
    <row r="138" spans="1:131" ht="15.75" x14ac:dyDescent="0.25">
      <c r="A138" s="12">
        <f>Broadsheet!A249</f>
        <v>0</v>
      </c>
      <c r="B138" s="204" t="str">
        <f>IF(Broadsheet!B138="","",Broadsheet!B138)</f>
        <v/>
      </c>
      <c r="C138" s="24" t="str">
        <f>IF(Broadsheet!C138="","",Broadsheet!C138)</f>
        <v xml:space="preserve"> </v>
      </c>
      <c r="G138" s="24" t="str">
        <f t="shared" si="1"/>
        <v/>
      </c>
      <c r="H138" s="188" t="str">
        <f>IF(ISERROR(getgrade(Broadsheet!H249,data!$H$4:$I$9)),"#",getgrade(Broadsheet!H249,data!$H$4:$I$9))</f>
        <v/>
      </c>
      <c r="I138" s="188" t="str">
        <f>IF(ISERROR(getgrade(Broadsheet!I249,data!$H$4:$I$9)),"#",getgrade(Broadsheet!I249,data!$H$4:$I$9))</f>
        <v/>
      </c>
      <c r="J138" s="188" t="str">
        <f>IF(ISERROR(getgrade(Broadsheet!J249,data!$H$4:$I$9)),"#",getgrade(Broadsheet!J249,data!$H$4:$I$9))</f>
        <v/>
      </c>
      <c r="K138" s="188" t="str">
        <f>IF(ISERROR(getgrade(Broadsheet!K249,data!$H$4:$I$9)),"#",getgrade(Broadsheet!K249,data!$H$4:$I$9))</f>
        <v/>
      </c>
      <c r="L138" s="188" t="str">
        <f>IF(ISERROR(getgrade(Broadsheet!L249,data!$H$4:$I$9)),"#",getgrade(Broadsheet!L249,data!$H$4:$I$9))</f>
        <v/>
      </c>
      <c r="M138" s="188" t="str">
        <f>IF(ISERROR(getgrade(Broadsheet!M249,data!$H$4:$I$9)),"#",getgrade(Broadsheet!M249,data!$H$4:$I$9))</f>
        <v/>
      </c>
      <c r="N138" s="188" t="str">
        <f>IF(ISERROR(getgrade(Broadsheet!N249,data!$H$4:$I$9)),"#",getgrade(Broadsheet!N249,data!$H$4:$I$9))</f>
        <v/>
      </c>
      <c r="O138" s="188" t="str">
        <f>IF(ISERROR(getgrade(Broadsheet!O249,data!$H$4:$I$9)),"#",getgrade(Broadsheet!O249,data!$H$4:$I$9))</f>
        <v/>
      </c>
      <c r="P138" s="188" t="str">
        <f>IF(ISERROR(getgrade(Broadsheet!P249,data!$H$4:$I$9)),"#",getgrade(Broadsheet!P249,data!$H$4:$I$9))</f>
        <v/>
      </c>
      <c r="Q138" s="188" t="str">
        <f>IF(ISERROR(getgrade(Broadsheet!Q249,data!$H$4:$I$9)),"#",getgrade(Broadsheet!Q249,data!$H$4:$I$9))</f>
        <v/>
      </c>
      <c r="R138" s="188" t="str">
        <f>IF(ISERROR(getgrade(Broadsheet!R249,data!$H$4:$I$9)),"#",getgrade(Broadsheet!R249,data!$H$4:$I$9))</f>
        <v/>
      </c>
      <c r="S138" s="188" t="str">
        <f>IF(ISERROR(getgrade(Broadsheet!S249,data!$H$4:$I$9)),"#",getgrade(Broadsheet!S249,data!$H$4:$I$9))</f>
        <v/>
      </c>
      <c r="T138" s="188" t="str">
        <f>IF(ISERROR(getgrade(Broadsheet!T249,data!$H$4:$I$9)),"#",getgrade(Broadsheet!T249,data!$H$4:$I$9))</f>
        <v/>
      </c>
      <c r="U138" s="188" t="str">
        <f>IF(ISERROR(getgrade(Broadsheet!U249,data!$H$4:$I$9)),"#",getgrade(Broadsheet!U249,data!$H$4:$I$9))</f>
        <v/>
      </c>
      <c r="V138" s="188" t="str">
        <f>IF(ISERROR(getgrade(Broadsheet!V249,data!$H$4:$I$9)),"#",getgrade(Broadsheet!V249,data!$H$4:$I$9))</f>
        <v/>
      </c>
      <c r="W138" s="188" t="str">
        <f>IF(ISERROR(getgrade(Broadsheet!W249,data!$H$4:$I$9)),"#",getgrade(Broadsheet!W249,data!$H$4:$I$9))</f>
        <v/>
      </c>
      <c r="X138" s="188" t="str">
        <f>IF(ISERROR(getgrade(Broadsheet!X249,data!$H$4:$I$9)),"#",getgrade(Broadsheet!X249,data!$H$4:$I$9))</f>
        <v/>
      </c>
      <c r="Y138" s="188" t="str">
        <f>IF(ISERROR(getgrade(Broadsheet!Y249,data!$H$4:$I$9)),"#",getgrade(Broadsheet!Y249,data!$H$4:$I$9))</f>
        <v/>
      </c>
      <c r="Z138" s="188" t="str">
        <f>IF(ISERROR(getgrade(Broadsheet!Z249,data!$H$4:$I$9)),"#",getgrade(Broadsheet!Z249,data!$H$4:$I$9))</f>
        <v/>
      </c>
      <c r="AA138" s="188" t="str">
        <f>IF(ISERROR(getgrade(Broadsheet!AA249,data!$H$4:$I$9)),"#",getgrade(Broadsheet!AA249,data!$H$4:$I$9))</f>
        <v/>
      </c>
      <c r="AB138" s="188" t="str">
        <f>IF(ISERROR(getgrade(Broadsheet!AB249,data!$H$4:$I$9)),"#",getgrade(Broadsheet!AB249,data!$H$4:$I$9))</f>
        <v/>
      </c>
      <c r="AC138" s="188" t="str">
        <f>IF(ISERROR(getgrade(Broadsheet!AC249,data!$H$4:$I$9)),"#",getgrade(Broadsheet!AC249,data!$H$4:$I$9))</f>
        <v/>
      </c>
      <c r="AD138" s="188" t="str">
        <f>IF(ISERROR(getgrade(Broadsheet!AD249,data!$H$4:$I$9)),"#",getgrade(Broadsheet!AD249,data!$H$4:$I$9))</f>
        <v/>
      </c>
      <c r="AE138" s="188" t="str">
        <f>IF(ISERROR(getgrade(Broadsheet!AE249,data!$H$4:$I$9)),"#",getgrade(Broadsheet!AE249,data!$H$4:$I$9))</f>
        <v/>
      </c>
      <c r="AF138" s="188" t="str">
        <f>IF(ISERROR(getgrade(Broadsheet!AF249,data!$H$4:$I$9)),"#",getgrade(Broadsheet!AF249,data!$H$4:$I$9))</f>
        <v/>
      </c>
      <c r="AG138" s="188" t="str">
        <f>IF(ISERROR(getgrade(Broadsheet!AG249,data!$H$4:$I$9)),"#",getgrade(Broadsheet!AG249,data!$H$4:$I$9))</f>
        <v/>
      </c>
      <c r="AH138" s="188" t="str">
        <f>IF(ISERROR(getgrade(Broadsheet!AH249,data!$H$4:$I$9)),"#",getgrade(Broadsheet!AH249,data!$H$4:$I$9))</f>
        <v/>
      </c>
      <c r="AI138" s="188" t="str">
        <f>IF(ISERROR(getgrade(Broadsheet!AI249,data!$H$4:$I$9)),"#",getgrade(Broadsheet!AI249,data!$H$4:$I$9))</f>
        <v/>
      </c>
      <c r="AJ138" s="188" t="str">
        <f>IF(ISERROR(getgrade(Broadsheet!AJ249,data!$H$4:$I$9)),"#",getgrade(Broadsheet!AJ249,data!$H$4:$I$9))</f>
        <v/>
      </c>
      <c r="AK138" s="188" t="str">
        <f>IF(ISERROR(getgrade(Broadsheet!AK249,data!$H$4:$I$9)),"#",getgrade(Broadsheet!AK249,data!$H$4:$I$9))</f>
        <v/>
      </c>
      <c r="AL138" s="188" t="str">
        <f>IF(ISERROR(getgrade(Broadsheet!AL249,data!$H$4:$I$9)),"#",getgrade(Broadsheet!AL249,data!$H$4:$I$9))</f>
        <v/>
      </c>
      <c r="AM138" s="188" t="str">
        <f>IF(ISERROR(getgrade(Broadsheet!AM249,data!$H$4:$I$9)),"#",getgrade(Broadsheet!AM249,data!$H$4:$I$9))</f>
        <v/>
      </c>
      <c r="AN138" s="188" t="str">
        <f>IF(ISERROR(getgrade(Broadsheet!AN249,data!$H$4:$I$9)),"#",getgrade(Broadsheet!AN249,data!$H$4:$I$9))</f>
        <v/>
      </c>
      <c r="AO138" s="188" t="str">
        <f>IF(ISERROR(getgrade(Broadsheet!AO249,data!$H$4:$I$9)),"#",getgrade(Broadsheet!AO249,data!$H$4:$I$9))</f>
        <v/>
      </c>
      <c r="AP138" s="188" t="str">
        <f>IF(ISERROR(getgrade(Broadsheet!AP249,data!$H$4:$I$9)),"#",getgrade(Broadsheet!AP249,data!$H$4:$I$9))</f>
        <v/>
      </c>
      <c r="AQ138" s="188" t="str">
        <f>IF(ISERROR(getgrade(Broadsheet!AQ249,data!$H$4:$I$9)),"#",getgrade(Broadsheet!AQ249,data!$H$4:$I$9))</f>
        <v/>
      </c>
      <c r="AR138" s="188" t="str">
        <f>IF(ISERROR(getgrade(Broadsheet!AR249,data!$H$4:$I$9)),"#",getgrade(Broadsheet!AR249,data!$H$4:$I$9))</f>
        <v/>
      </c>
      <c r="AS138" s="188" t="str">
        <f>IF(ISERROR(getgrade(Broadsheet!AS249,data!$H$4:$I$9)),"#",getgrade(Broadsheet!AS249,data!$H$4:$I$9))</f>
        <v/>
      </c>
      <c r="AT138" s="188" t="str">
        <f>IF(ISERROR(getgrade(Broadsheet!AT249,data!$H$4:$I$9)),"#",getgrade(Broadsheet!AT249,data!$H$4:$I$9))</f>
        <v/>
      </c>
      <c r="AU138" s="188" t="str">
        <f>IF(ISERROR(getgrade(Broadsheet!AU249,data!$H$4:$I$9)),"#",getgrade(Broadsheet!AU249,data!$H$4:$I$9))</f>
        <v/>
      </c>
      <c r="AV138" s="188" t="str">
        <f>IF(ISERROR(getgrade(Broadsheet!AV249,data!$H$4:$I$9)),"#",getgrade(Broadsheet!AV249,data!$H$4:$I$9))</f>
        <v/>
      </c>
      <c r="AW138" s="188" t="str">
        <f>IF(ISERROR(getgrade(Broadsheet!AW249,data!$H$4:$I$9)),"#",getgrade(Broadsheet!AW249,data!$H$4:$I$9))</f>
        <v/>
      </c>
      <c r="AX138" s="188" t="str">
        <f>IF(ISERROR(getgrade(Broadsheet!AX249,data!$H$4:$I$9)),"#",getgrade(Broadsheet!AX249,data!$H$4:$I$9))</f>
        <v/>
      </c>
      <c r="AY138" s="188" t="str">
        <f>IF(ISERROR(getgrade(Broadsheet!AY249,data!$H$4:$I$9)),"#",getgrade(Broadsheet!AY249,data!$H$4:$I$9))</f>
        <v/>
      </c>
      <c r="AZ138" s="188" t="str">
        <f>IF(ISERROR(getgrade(Broadsheet!AZ249,data!$H$4:$I$9)),"#",getgrade(Broadsheet!AZ249,data!$H$4:$I$9))</f>
        <v/>
      </c>
      <c r="BA138" s="188" t="str">
        <f>IF(ISERROR(getgrade(Broadsheet!BA249,data!$H$4:$I$9)),"#",getgrade(Broadsheet!BA249,data!$H$4:$I$9))</f>
        <v/>
      </c>
      <c r="BB138" s="188" t="str">
        <f>IF(ISERROR(getgrade(Broadsheet!BB249,data!$H$4:$I$9)),"#",getgrade(Broadsheet!BB249,data!$H$4:$I$9))</f>
        <v/>
      </c>
      <c r="BC138" s="188" t="str">
        <f>IF(ISERROR(getgrade(Broadsheet!BC249,data!$H$4:$I$9)),"#",getgrade(Broadsheet!BC249,data!$H$4:$I$9))</f>
        <v/>
      </c>
      <c r="BD138" s="188" t="str">
        <f>IF(ISERROR(getgrade(Broadsheet!BD249,data!$H$4:$I$9)),"#",getgrade(Broadsheet!BD249,data!$H$4:$I$9))</f>
        <v/>
      </c>
      <c r="BE138" s="188" t="str">
        <f>IF(ISERROR(getgrade(Broadsheet!BE249,data!$H$4:$I$9)),"#",getgrade(Broadsheet!BE249,data!$H$4:$I$9))</f>
        <v/>
      </c>
      <c r="BF138" s="188" t="str">
        <f>IF(ISERROR(getgrade(Broadsheet!BF249,data!$H$4:$I$9)),"#",getgrade(Broadsheet!BF249,data!$H$4:$I$9))</f>
        <v/>
      </c>
      <c r="BG138" s="188" t="str">
        <f>IF(ISERROR(getgrade(Broadsheet!BG249,data!$H$4:$I$9)),"#",getgrade(Broadsheet!BG249,data!$H$4:$I$9))</f>
        <v/>
      </c>
      <c r="BH138" s="188" t="str">
        <f>IF(ISERROR(getgrade(Broadsheet!BH249,data!$H$4:$I$9)),"#",getgrade(Broadsheet!BH249,data!$H$4:$I$9))</f>
        <v/>
      </c>
      <c r="BI138" s="188" t="str">
        <f>IF(ISERROR(getgrade(Broadsheet!BI249,data!$H$4:$I$9)),"#",getgrade(Broadsheet!BI249,data!$H$4:$I$9))</f>
        <v/>
      </c>
      <c r="BJ138" s="188" t="str">
        <f>IF(ISERROR(getgrade(Broadsheet!BJ249,data!$H$4:$I$9)),"#",getgrade(Broadsheet!BJ249,data!$H$4:$I$9))</f>
        <v/>
      </c>
      <c r="BK138" s="188"/>
      <c r="BL138" s="188"/>
      <c r="BM138" s="188"/>
      <c r="BN138" s="188"/>
      <c r="BO138" s="188"/>
      <c r="BP138" s="188"/>
      <c r="BQ138" s="188"/>
      <c r="BR138" s="188"/>
      <c r="BS138" s="188"/>
      <c r="BT138" s="188"/>
      <c r="BU138" s="188"/>
      <c r="BV138" s="188"/>
      <c r="BW138" s="188"/>
      <c r="BX138" s="188"/>
      <c r="BY138" s="188"/>
      <c r="BZ138" s="188"/>
      <c r="CA138" s="188"/>
      <c r="CB138" s="188"/>
      <c r="CC138" s="188"/>
      <c r="CD138" s="188"/>
      <c r="CE138" s="188"/>
      <c r="CF138" s="188"/>
      <c r="CG138" s="188"/>
      <c r="CH138" s="188"/>
      <c r="CI138" s="188"/>
      <c r="CJ138" s="188"/>
      <c r="CK138" s="188"/>
      <c r="CL138" s="188"/>
      <c r="CM138" s="188"/>
      <c r="CN138" s="188"/>
      <c r="CO138" s="188"/>
      <c r="CP138" s="188"/>
      <c r="CQ138" s="188"/>
      <c r="CR138" s="188"/>
      <c r="CS138" s="188"/>
      <c r="CT138" s="188"/>
      <c r="CU138" s="188"/>
      <c r="CV138" s="188"/>
      <c r="CW138" s="188"/>
      <c r="CX138" s="188"/>
      <c r="CY138" s="188"/>
      <c r="CZ138" s="188"/>
      <c r="DA138" s="188"/>
      <c r="DB138" s="188"/>
      <c r="DC138" s="188"/>
      <c r="DD138" s="188"/>
      <c r="DE138" s="188"/>
      <c r="DF138" s="188"/>
      <c r="DG138" s="188"/>
      <c r="DH138" s="188"/>
      <c r="DI138" s="188"/>
      <c r="DJ138" s="188"/>
      <c r="DK138" s="188"/>
      <c r="DL138" s="188"/>
      <c r="DM138" s="188"/>
      <c r="DN138" s="188"/>
      <c r="DO138" s="188"/>
      <c r="DP138" s="188"/>
      <c r="DQ138" s="188"/>
      <c r="DR138" s="188"/>
      <c r="DS138" s="188"/>
      <c r="DT138" s="188"/>
      <c r="DU138" s="188"/>
      <c r="DV138" s="188"/>
      <c r="DW138" s="188"/>
      <c r="DX138" s="188"/>
      <c r="DY138" s="188"/>
      <c r="DZ138" s="188"/>
      <c r="EA138" s="188"/>
    </row>
    <row r="139" spans="1:131" ht="15.75" x14ac:dyDescent="0.25">
      <c r="A139" s="12">
        <f>Broadsheet!A250</f>
        <v>0</v>
      </c>
      <c r="B139" s="204" t="str">
        <f>IF(Broadsheet!B139="","",Broadsheet!B139)</f>
        <v/>
      </c>
      <c r="C139" s="24" t="str">
        <f>IF(Broadsheet!C139="","",Broadsheet!C139)</f>
        <v xml:space="preserve"> </v>
      </c>
      <c r="G139" s="24" t="str">
        <f t="shared" si="1"/>
        <v/>
      </c>
      <c r="H139" s="188" t="str">
        <f>IF(ISERROR(getgrade(Broadsheet!H250,data!$H$4:$I$9)),"#",getgrade(Broadsheet!H250,data!$H$4:$I$9))</f>
        <v/>
      </c>
      <c r="I139" s="188" t="str">
        <f>IF(ISERROR(getgrade(Broadsheet!I250,data!$H$4:$I$9)),"#",getgrade(Broadsheet!I250,data!$H$4:$I$9))</f>
        <v/>
      </c>
      <c r="J139" s="188" t="str">
        <f>IF(ISERROR(getgrade(Broadsheet!J250,data!$H$4:$I$9)),"#",getgrade(Broadsheet!J250,data!$H$4:$I$9))</f>
        <v/>
      </c>
      <c r="K139" s="188" t="str">
        <f>IF(ISERROR(getgrade(Broadsheet!K250,data!$H$4:$I$9)),"#",getgrade(Broadsheet!K250,data!$H$4:$I$9))</f>
        <v/>
      </c>
      <c r="L139" s="188" t="str">
        <f>IF(ISERROR(getgrade(Broadsheet!L250,data!$H$4:$I$9)),"#",getgrade(Broadsheet!L250,data!$H$4:$I$9))</f>
        <v/>
      </c>
      <c r="M139" s="188" t="str">
        <f>IF(ISERROR(getgrade(Broadsheet!M250,data!$H$4:$I$9)),"#",getgrade(Broadsheet!M250,data!$H$4:$I$9))</f>
        <v/>
      </c>
      <c r="N139" s="188" t="str">
        <f>IF(ISERROR(getgrade(Broadsheet!N250,data!$H$4:$I$9)),"#",getgrade(Broadsheet!N250,data!$H$4:$I$9))</f>
        <v/>
      </c>
      <c r="O139" s="188" t="str">
        <f>IF(ISERROR(getgrade(Broadsheet!O250,data!$H$4:$I$9)),"#",getgrade(Broadsheet!O250,data!$H$4:$I$9))</f>
        <v/>
      </c>
      <c r="P139" s="188" t="str">
        <f>IF(ISERROR(getgrade(Broadsheet!P250,data!$H$4:$I$9)),"#",getgrade(Broadsheet!P250,data!$H$4:$I$9))</f>
        <v/>
      </c>
      <c r="Q139" s="188" t="str">
        <f>IF(ISERROR(getgrade(Broadsheet!Q250,data!$H$4:$I$9)),"#",getgrade(Broadsheet!Q250,data!$H$4:$I$9))</f>
        <v/>
      </c>
      <c r="R139" s="188" t="str">
        <f>IF(ISERROR(getgrade(Broadsheet!R250,data!$H$4:$I$9)),"#",getgrade(Broadsheet!R250,data!$H$4:$I$9))</f>
        <v/>
      </c>
      <c r="S139" s="188" t="str">
        <f>IF(ISERROR(getgrade(Broadsheet!S250,data!$H$4:$I$9)),"#",getgrade(Broadsheet!S250,data!$H$4:$I$9))</f>
        <v/>
      </c>
      <c r="T139" s="188" t="str">
        <f>IF(ISERROR(getgrade(Broadsheet!T250,data!$H$4:$I$9)),"#",getgrade(Broadsheet!T250,data!$H$4:$I$9))</f>
        <v/>
      </c>
      <c r="U139" s="188" t="str">
        <f>IF(ISERROR(getgrade(Broadsheet!U250,data!$H$4:$I$9)),"#",getgrade(Broadsheet!U250,data!$H$4:$I$9))</f>
        <v/>
      </c>
      <c r="V139" s="188" t="str">
        <f>IF(ISERROR(getgrade(Broadsheet!V250,data!$H$4:$I$9)),"#",getgrade(Broadsheet!V250,data!$H$4:$I$9))</f>
        <v/>
      </c>
      <c r="W139" s="188" t="str">
        <f>IF(ISERROR(getgrade(Broadsheet!W250,data!$H$4:$I$9)),"#",getgrade(Broadsheet!W250,data!$H$4:$I$9))</f>
        <v/>
      </c>
      <c r="X139" s="188" t="str">
        <f>IF(ISERROR(getgrade(Broadsheet!X250,data!$H$4:$I$9)),"#",getgrade(Broadsheet!X250,data!$H$4:$I$9))</f>
        <v/>
      </c>
      <c r="Y139" s="188" t="str">
        <f>IF(ISERROR(getgrade(Broadsheet!Y250,data!$H$4:$I$9)),"#",getgrade(Broadsheet!Y250,data!$H$4:$I$9))</f>
        <v/>
      </c>
      <c r="Z139" s="188" t="str">
        <f>IF(ISERROR(getgrade(Broadsheet!Z250,data!$H$4:$I$9)),"#",getgrade(Broadsheet!Z250,data!$H$4:$I$9))</f>
        <v/>
      </c>
      <c r="AA139" s="188" t="str">
        <f>IF(ISERROR(getgrade(Broadsheet!AA250,data!$H$4:$I$9)),"#",getgrade(Broadsheet!AA250,data!$H$4:$I$9))</f>
        <v/>
      </c>
      <c r="AB139" s="188" t="str">
        <f>IF(ISERROR(getgrade(Broadsheet!AB250,data!$H$4:$I$9)),"#",getgrade(Broadsheet!AB250,data!$H$4:$I$9))</f>
        <v/>
      </c>
      <c r="AC139" s="188" t="str">
        <f>IF(ISERROR(getgrade(Broadsheet!AC250,data!$H$4:$I$9)),"#",getgrade(Broadsheet!AC250,data!$H$4:$I$9))</f>
        <v/>
      </c>
      <c r="AD139" s="188" t="str">
        <f>IF(ISERROR(getgrade(Broadsheet!AD250,data!$H$4:$I$9)),"#",getgrade(Broadsheet!AD250,data!$H$4:$I$9))</f>
        <v/>
      </c>
      <c r="AE139" s="188" t="str">
        <f>IF(ISERROR(getgrade(Broadsheet!AE250,data!$H$4:$I$9)),"#",getgrade(Broadsheet!AE250,data!$H$4:$I$9))</f>
        <v/>
      </c>
      <c r="AF139" s="188" t="str">
        <f>IF(ISERROR(getgrade(Broadsheet!AF250,data!$H$4:$I$9)),"#",getgrade(Broadsheet!AF250,data!$H$4:$I$9))</f>
        <v/>
      </c>
      <c r="AG139" s="188" t="str">
        <f>IF(ISERROR(getgrade(Broadsheet!AG250,data!$H$4:$I$9)),"#",getgrade(Broadsheet!AG250,data!$H$4:$I$9))</f>
        <v/>
      </c>
      <c r="AH139" s="188" t="str">
        <f>IF(ISERROR(getgrade(Broadsheet!AH250,data!$H$4:$I$9)),"#",getgrade(Broadsheet!AH250,data!$H$4:$I$9))</f>
        <v/>
      </c>
      <c r="AI139" s="188" t="str">
        <f>IF(ISERROR(getgrade(Broadsheet!AI250,data!$H$4:$I$9)),"#",getgrade(Broadsheet!AI250,data!$H$4:$I$9))</f>
        <v/>
      </c>
      <c r="AJ139" s="188" t="str">
        <f>IF(ISERROR(getgrade(Broadsheet!AJ250,data!$H$4:$I$9)),"#",getgrade(Broadsheet!AJ250,data!$H$4:$I$9))</f>
        <v/>
      </c>
      <c r="AK139" s="188" t="str">
        <f>IF(ISERROR(getgrade(Broadsheet!AK250,data!$H$4:$I$9)),"#",getgrade(Broadsheet!AK250,data!$H$4:$I$9))</f>
        <v/>
      </c>
      <c r="AL139" s="188" t="str">
        <f>IF(ISERROR(getgrade(Broadsheet!AL250,data!$H$4:$I$9)),"#",getgrade(Broadsheet!AL250,data!$H$4:$I$9))</f>
        <v/>
      </c>
      <c r="AM139" s="188" t="str">
        <f>IF(ISERROR(getgrade(Broadsheet!AM250,data!$H$4:$I$9)),"#",getgrade(Broadsheet!AM250,data!$H$4:$I$9))</f>
        <v/>
      </c>
      <c r="AN139" s="188" t="str">
        <f>IF(ISERROR(getgrade(Broadsheet!AN250,data!$H$4:$I$9)),"#",getgrade(Broadsheet!AN250,data!$H$4:$I$9))</f>
        <v/>
      </c>
      <c r="AO139" s="188" t="str">
        <f>IF(ISERROR(getgrade(Broadsheet!AO250,data!$H$4:$I$9)),"#",getgrade(Broadsheet!AO250,data!$H$4:$I$9))</f>
        <v/>
      </c>
      <c r="AP139" s="188" t="str">
        <f>IF(ISERROR(getgrade(Broadsheet!AP250,data!$H$4:$I$9)),"#",getgrade(Broadsheet!AP250,data!$H$4:$I$9))</f>
        <v/>
      </c>
      <c r="AQ139" s="188" t="str">
        <f>IF(ISERROR(getgrade(Broadsheet!AQ250,data!$H$4:$I$9)),"#",getgrade(Broadsheet!AQ250,data!$H$4:$I$9))</f>
        <v/>
      </c>
      <c r="AR139" s="188" t="str">
        <f>IF(ISERROR(getgrade(Broadsheet!AR250,data!$H$4:$I$9)),"#",getgrade(Broadsheet!AR250,data!$H$4:$I$9))</f>
        <v/>
      </c>
      <c r="AS139" s="188" t="str">
        <f>IF(ISERROR(getgrade(Broadsheet!AS250,data!$H$4:$I$9)),"#",getgrade(Broadsheet!AS250,data!$H$4:$I$9))</f>
        <v/>
      </c>
      <c r="AT139" s="188" t="str">
        <f>IF(ISERROR(getgrade(Broadsheet!AT250,data!$H$4:$I$9)),"#",getgrade(Broadsheet!AT250,data!$H$4:$I$9))</f>
        <v/>
      </c>
      <c r="AU139" s="188" t="str">
        <f>IF(ISERROR(getgrade(Broadsheet!AU250,data!$H$4:$I$9)),"#",getgrade(Broadsheet!AU250,data!$H$4:$I$9))</f>
        <v/>
      </c>
      <c r="AV139" s="188" t="str">
        <f>IF(ISERROR(getgrade(Broadsheet!AV250,data!$H$4:$I$9)),"#",getgrade(Broadsheet!AV250,data!$H$4:$I$9))</f>
        <v/>
      </c>
      <c r="AW139" s="188" t="str">
        <f>IF(ISERROR(getgrade(Broadsheet!AW250,data!$H$4:$I$9)),"#",getgrade(Broadsheet!AW250,data!$H$4:$I$9))</f>
        <v/>
      </c>
      <c r="AX139" s="188" t="str">
        <f>IF(ISERROR(getgrade(Broadsheet!AX250,data!$H$4:$I$9)),"#",getgrade(Broadsheet!AX250,data!$H$4:$I$9))</f>
        <v/>
      </c>
      <c r="AY139" s="188" t="str">
        <f>IF(ISERROR(getgrade(Broadsheet!AY250,data!$H$4:$I$9)),"#",getgrade(Broadsheet!AY250,data!$H$4:$I$9))</f>
        <v/>
      </c>
      <c r="AZ139" s="188" t="str">
        <f>IF(ISERROR(getgrade(Broadsheet!AZ250,data!$H$4:$I$9)),"#",getgrade(Broadsheet!AZ250,data!$H$4:$I$9))</f>
        <v/>
      </c>
      <c r="BA139" s="188" t="str">
        <f>IF(ISERROR(getgrade(Broadsheet!BA250,data!$H$4:$I$9)),"#",getgrade(Broadsheet!BA250,data!$H$4:$I$9))</f>
        <v/>
      </c>
      <c r="BB139" s="188" t="str">
        <f>IF(ISERROR(getgrade(Broadsheet!BB250,data!$H$4:$I$9)),"#",getgrade(Broadsheet!BB250,data!$H$4:$I$9))</f>
        <v/>
      </c>
      <c r="BC139" s="188" t="str">
        <f>IF(ISERROR(getgrade(Broadsheet!BC250,data!$H$4:$I$9)),"#",getgrade(Broadsheet!BC250,data!$H$4:$I$9))</f>
        <v/>
      </c>
      <c r="BD139" s="188" t="str">
        <f>IF(ISERROR(getgrade(Broadsheet!BD250,data!$H$4:$I$9)),"#",getgrade(Broadsheet!BD250,data!$H$4:$I$9))</f>
        <v/>
      </c>
      <c r="BE139" s="188" t="str">
        <f>IF(ISERROR(getgrade(Broadsheet!BE250,data!$H$4:$I$9)),"#",getgrade(Broadsheet!BE250,data!$H$4:$I$9))</f>
        <v/>
      </c>
      <c r="BF139" s="188" t="str">
        <f>IF(ISERROR(getgrade(Broadsheet!BF250,data!$H$4:$I$9)),"#",getgrade(Broadsheet!BF250,data!$H$4:$I$9))</f>
        <v/>
      </c>
      <c r="BG139" s="188" t="str">
        <f>IF(ISERROR(getgrade(Broadsheet!BG250,data!$H$4:$I$9)),"#",getgrade(Broadsheet!BG250,data!$H$4:$I$9))</f>
        <v/>
      </c>
      <c r="BH139" s="188" t="str">
        <f>IF(ISERROR(getgrade(Broadsheet!BH250,data!$H$4:$I$9)),"#",getgrade(Broadsheet!BH250,data!$H$4:$I$9))</f>
        <v/>
      </c>
      <c r="BI139" s="188" t="str">
        <f>IF(ISERROR(getgrade(Broadsheet!BI250,data!$H$4:$I$9)),"#",getgrade(Broadsheet!BI250,data!$H$4:$I$9))</f>
        <v/>
      </c>
      <c r="BJ139" s="188" t="str">
        <f>IF(ISERROR(getgrade(Broadsheet!BJ250,data!$H$4:$I$9)),"#",getgrade(Broadsheet!BJ250,data!$H$4:$I$9))</f>
        <v/>
      </c>
      <c r="BK139" s="188"/>
      <c r="BL139" s="188"/>
      <c r="BM139" s="188"/>
      <c r="BN139" s="188"/>
      <c r="BO139" s="188"/>
      <c r="BP139" s="188"/>
      <c r="BQ139" s="188"/>
      <c r="BR139" s="188"/>
      <c r="BS139" s="188"/>
      <c r="BT139" s="188"/>
      <c r="BU139" s="188"/>
      <c r="BV139" s="188"/>
      <c r="BW139" s="188"/>
      <c r="BX139" s="188"/>
      <c r="BY139" s="188"/>
      <c r="BZ139" s="188"/>
      <c r="CA139" s="188"/>
      <c r="CB139" s="188"/>
      <c r="CC139" s="188"/>
      <c r="CD139" s="188"/>
      <c r="CE139" s="188"/>
      <c r="CF139" s="188"/>
      <c r="CG139" s="188"/>
      <c r="CH139" s="188"/>
      <c r="CI139" s="188"/>
      <c r="CJ139" s="188"/>
      <c r="CK139" s="188"/>
      <c r="CL139" s="188"/>
      <c r="CM139" s="188"/>
      <c r="CN139" s="188"/>
      <c r="CO139" s="188"/>
      <c r="CP139" s="188"/>
      <c r="CQ139" s="188"/>
      <c r="CR139" s="188"/>
      <c r="CS139" s="188"/>
      <c r="CT139" s="188"/>
      <c r="CU139" s="188"/>
      <c r="CV139" s="188"/>
      <c r="CW139" s="188"/>
      <c r="CX139" s="188"/>
      <c r="CY139" s="188"/>
      <c r="CZ139" s="188"/>
      <c r="DA139" s="188"/>
      <c r="DB139" s="188"/>
      <c r="DC139" s="188"/>
      <c r="DD139" s="188"/>
      <c r="DE139" s="188"/>
      <c r="DF139" s="188"/>
      <c r="DG139" s="188"/>
      <c r="DH139" s="188"/>
      <c r="DI139" s="188"/>
      <c r="DJ139" s="188"/>
      <c r="DK139" s="188"/>
      <c r="DL139" s="188"/>
      <c r="DM139" s="188"/>
      <c r="DN139" s="188"/>
      <c r="DO139" s="188"/>
      <c r="DP139" s="188"/>
      <c r="DQ139" s="188"/>
      <c r="DR139" s="188"/>
      <c r="DS139" s="188"/>
      <c r="DT139" s="188"/>
      <c r="DU139" s="188"/>
      <c r="DV139" s="188"/>
      <c r="DW139" s="188"/>
      <c r="DX139" s="188"/>
      <c r="DY139" s="188"/>
      <c r="DZ139" s="188"/>
      <c r="EA139" s="188"/>
    </row>
    <row r="140" spans="1:131" ht="15.75" x14ac:dyDescent="0.25">
      <c r="A140" s="12">
        <f>Broadsheet!A251</f>
        <v>0</v>
      </c>
      <c r="B140" s="204" t="str">
        <f>IF(Broadsheet!B140="","",Broadsheet!B140)</f>
        <v/>
      </c>
      <c r="C140" s="24" t="str">
        <f>IF(Broadsheet!C140="","",Broadsheet!C140)</f>
        <v xml:space="preserve"> </v>
      </c>
      <c r="G140" s="24" t="str">
        <f t="shared" ref="G140:G156" si="2">IF(H140&lt;&gt;"", $H$7 &amp; "/" &amp; $H$9 &amp; "/" &amp; H140 &amp; ", ","") &amp; IF(I140&lt;&gt;"", $I$7 &amp; "/" &amp; $I$9 &amp; "/" &amp; I140 &amp; ", ","") &amp; IF(J140&lt;&gt;"", $J$7 &amp; "/" &amp; $J$9 &amp; "/" &amp; J140 &amp; ", ","") &amp; IF(K140&lt;&gt;"", $K$7 &amp; "/" &amp; $K$9 &amp; "/" &amp; K140 &amp; ", ","") &amp; IF(L140&lt;&gt;"", $L$7 &amp; "/" &amp; $L$9 &amp; "/" &amp; L140 &amp; ", ","") &amp; IF(M140&lt;&gt;"", $M$7 &amp; "/" &amp; $M$9 &amp; "/" &amp; M140 &amp; ", ","") &amp; IF(N140&lt;&gt;"", $N$7 &amp; "/" &amp; $N$9 &amp; "/" &amp; N140 &amp; ", ","") &amp; IF(O140&lt;&gt;"", $O$7 &amp; "/" &amp; $O$9 &amp; "/" &amp; O140 &amp; ", ","") &amp; IF(P140&lt;&gt;"", $P$7 &amp; "/" &amp; $P$9 &amp; "/" &amp; P140 &amp; ", ","") &amp; IF(Q140&lt;&gt;"", $Q$7 &amp; "/" &amp; $Q$9 &amp; "/" &amp; Q140 &amp; ", ","") &amp; IF(R140&lt;&gt;"", $R$7 &amp; "/" &amp; $R$9 &amp; "/" &amp; R140 &amp; ", ","") &amp; IF(S140&lt;&gt;"", $S$7 &amp; "/" &amp; $S$9 &amp; "/" &amp; S140 &amp; ", ","") &amp; IF(T140&lt;&gt;"", $T$7 &amp; "/" &amp; $T$9 &amp; "/" &amp; T140 &amp; ", ","") &amp; IF(AY140&lt;&gt;"", $AY$7 &amp; "/" &amp; $AY$9 &amp; "/" &amp; AY140 &amp; ", ","") &amp; IF(AZ140&lt;&gt;"", $AZ$7 &amp; "/" &amp; $AZ$9 &amp; "/" &amp; AZ140 &amp; ", ","") &amp; IF(BA140&lt;&gt;"", $BA$7 &amp; "/" &amp; $BA$9 &amp; "/" &amp; BA140 &amp; ", ","") &amp; IF(BB140&lt;&gt;"", $BB$7 &amp; "/" &amp; $BB$9 &amp; "/" &amp; BB140 &amp; ", ","") &amp; IF(BC140&lt;&gt;"", $BC$7 &amp; "/" &amp; $BC$9 &amp; "/" &amp; BC140 &amp; ", ","") &amp; IF(BD140&lt;&gt;"", $BD$7 &amp; "/" &amp; $BD$9 &amp; "/" &amp; BD140 &amp; ", ","") &amp; IF(BE140&lt;&gt;"", $BE$7 &amp; "/" &amp; $BE$9 &amp; "/" &amp; BE140 &amp; ", ","") &amp; IF(BF140&lt;&gt;"", $BF$7 &amp; "/" &amp; $BF$9 &amp; "/" &amp; BF140 &amp; ", ","") &amp; IF(BG140&lt;&gt;"", $BG$7 &amp; "/" &amp; $BG$9 &amp; "/" &amp; BG140 &amp; ", ","") &amp; IF(BH140&lt;&gt;"", $BH$7 &amp; "/" &amp; $BH$9 &amp; "/" &amp; BH140 &amp; ", ","") &amp; IF(BI140&lt;&gt;"", $BI$7 &amp; "/" &amp; $BI$9 &amp; "/" &amp; BI140 &amp; ", ","") &amp; IF(BJ140&lt;&gt;"", $BJ$7 &amp; "/" &amp; $BJ$9 &amp; "/" &amp; BJ140 &amp; ", ","")</f>
        <v/>
      </c>
      <c r="H140" s="188" t="str">
        <f>IF(ISERROR(getgrade(Broadsheet!H251,data!$H$4:$I$9)),"#",getgrade(Broadsheet!H251,data!$H$4:$I$9))</f>
        <v/>
      </c>
      <c r="I140" s="188" t="str">
        <f>IF(ISERROR(getgrade(Broadsheet!I251,data!$H$4:$I$9)),"#",getgrade(Broadsheet!I251,data!$H$4:$I$9))</f>
        <v/>
      </c>
      <c r="J140" s="188" t="str">
        <f>IF(ISERROR(getgrade(Broadsheet!J251,data!$H$4:$I$9)),"#",getgrade(Broadsheet!J251,data!$H$4:$I$9))</f>
        <v/>
      </c>
      <c r="K140" s="188" t="str">
        <f>IF(ISERROR(getgrade(Broadsheet!K251,data!$H$4:$I$9)),"#",getgrade(Broadsheet!K251,data!$H$4:$I$9))</f>
        <v/>
      </c>
      <c r="L140" s="188" t="str">
        <f>IF(ISERROR(getgrade(Broadsheet!L251,data!$H$4:$I$9)),"#",getgrade(Broadsheet!L251,data!$H$4:$I$9))</f>
        <v/>
      </c>
      <c r="M140" s="188" t="str">
        <f>IF(ISERROR(getgrade(Broadsheet!M251,data!$H$4:$I$9)),"#",getgrade(Broadsheet!M251,data!$H$4:$I$9))</f>
        <v/>
      </c>
      <c r="N140" s="188" t="str">
        <f>IF(ISERROR(getgrade(Broadsheet!N251,data!$H$4:$I$9)),"#",getgrade(Broadsheet!N251,data!$H$4:$I$9))</f>
        <v/>
      </c>
      <c r="O140" s="188" t="str">
        <f>IF(ISERROR(getgrade(Broadsheet!O251,data!$H$4:$I$9)),"#",getgrade(Broadsheet!O251,data!$H$4:$I$9))</f>
        <v/>
      </c>
      <c r="P140" s="188" t="str">
        <f>IF(ISERROR(getgrade(Broadsheet!P251,data!$H$4:$I$9)),"#",getgrade(Broadsheet!P251,data!$H$4:$I$9))</f>
        <v/>
      </c>
      <c r="Q140" s="188" t="str">
        <f>IF(ISERROR(getgrade(Broadsheet!Q251,data!$H$4:$I$9)),"#",getgrade(Broadsheet!Q251,data!$H$4:$I$9))</f>
        <v/>
      </c>
      <c r="R140" s="188" t="str">
        <f>IF(ISERROR(getgrade(Broadsheet!R251,data!$H$4:$I$9)),"#",getgrade(Broadsheet!R251,data!$H$4:$I$9))</f>
        <v/>
      </c>
      <c r="S140" s="188" t="str">
        <f>IF(ISERROR(getgrade(Broadsheet!S251,data!$H$4:$I$9)),"#",getgrade(Broadsheet!S251,data!$H$4:$I$9))</f>
        <v/>
      </c>
      <c r="T140" s="188" t="str">
        <f>IF(ISERROR(getgrade(Broadsheet!T251,data!$H$4:$I$9)),"#",getgrade(Broadsheet!T251,data!$H$4:$I$9))</f>
        <v/>
      </c>
      <c r="U140" s="188" t="str">
        <f>IF(ISERROR(getgrade(Broadsheet!U251,data!$H$4:$I$9)),"#",getgrade(Broadsheet!U251,data!$H$4:$I$9))</f>
        <v/>
      </c>
      <c r="V140" s="188" t="str">
        <f>IF(ISERROR(getgrade(Broadsheet!V251,data!$H$4:$I$9)),"#",getgrade(Broadsheet!V251,data!$H$4:$I$9))</f>
        <v/>
      </c>
      <c r="W140" s="188" t="str">
        <f>IF(ISERROR(getgrade(Broadsheet!W251,data!$H$4:$I$9)),"#",getgrade(Broadsheet!W251,data!$H$4:$I$9))</f>
        <v/>
      </c>
      <c r="X140" s="188" t="str">
        <f>IF(ISERROR(getgrade(Broadsheet!X251,data!$H$4:$I$9)),"#",getgrade(Broadsheet!X251,data!$H$4:$I$9))</f>
        <v/>
      </c>
      <c r="Y140" s="188" t="str">
        <f>IF(ISERROR(getgrade(Broadsheet!Y251,data!$H$4:$I$9)),"#",getgrade(Broadsheet!Y251,data!$H$4:$I$9))</f>
        <v/>
      </c>
      <c r="Z140" s="188" t="str">
        <f>IF(ISERROR(getgrade(Broadsheet!Z251,data!$H$4:$I$9)),"#",getgrade(Broadsheet!Z251,data!$H$4:$I$9))</f>
        <v/>
      </c>
      <c r="AA140" s="188" t="str">
        <f>IF(ISERROR(getgrade(Broadsheet!AA251,data!$H$4:$I$9)),"#",getgrade(Broadsheet!AA251,data!$H$4:$I$9))</f>
        <v/>
      </c>
      <c r="AB140" s="188" t="str">
        <f>IF(ISERROR(getgrade(Broadsheet!AB251,data!$H$4:$I$9)),"#",getgrade(Broadsheet!AB251,data!$H$4:$I$9))</f>
        <v/>
      </c>
      <c r="AC140" s="188" t="str">
        <f>IF(ISERROR(getgrade(Broadsheet!AC251,data!$H$4:$I$9)),"#",getgrade(Broadsheet!AC251,data!$H$4:$I$9))</f>
        <v/>
      </c>
      <c r="AD140" s="188" t="str">
        <f>IF(ISERROR(getgrade(Broadsheet!AD251,data!$H$4:$I$9)),"#",getgrade(Broadsheet!AD251,data!$H$4:$I$9))</f>
        <v/>
      </c>
      <c r="AE140" s="188" t="str">
        <f>IF(ISERROR(getgrade(Broadsheet!AE251,data!$H$4:$I$9)),"#",getgrade(Broadsheet!AE251,data!$H$4:$I$9))</f>
        <v/>
      </c>
      <c r="AF140" s="188" t="str">
        <f>IF(ISERROR(getgrade(Broadsheet!AF251,data!$H$4:$I$9)),"#",getgrade(Broadsheet!AF251,data!$H$4:$I$9))</f>
        <v/>
      </c>
      <c r="AG140" s="188" t="str">
        <f>IF(ISERROR(getgrade(Broadsheet!AG251,data!$H$4:$I$9)),"#",getgrade(Broadsheet!AG251,data!$H$4:$I$9))</f>
        <v/>
      </c>
      <c r="AH140" s="188" t="str">
        <f>IF(ISERROR(getgrade(Broadsheet!AH251,data!$H$4:$I$9)),"#",getgrade(Broadsheet!AH251,data!$H$4:$I$9))</f>
        <v/>
      </c>
      <c r="AI140" s="188" t="str">
        <f>IF(ISERROR(getgrade(Broadsheet!AI251,data!$H$4:$I$9)),"#",getgrade(Broadsheet!AI251,data!$H$4:$I$9))</f>
        <v/>
      </c>
      <c r="AJ140" s="188" t="str">
        <f>IF(ISERROR(getgrade(Broadsheet!AJ251,data!$H$4:$I$9)),"#",getgrade(Broadsheet!AJ251,data!$H$4:$I$9))</f>
        <v/>
      </c>
      <c r="AK140" s="188" t="str">
        <f>IF(ISERROR(getgrade(Broadsheet!AK251,data!$H$4:$I$9)),"#",getgrade(Broadsheet!AK251,data!$H$4:$I$9))</f>
        <v/>
      </c>
      <c r="AL140" s="188" t="str">
        <f>IF(ISERROR(getgrade(Broadsheet!AL251,data!$H$4:$I$9)),"#",getgrade(Broadsheet!AL251,data!$H$4:$I$9))</f>
        <v/>
      </c>
      <c r="AM140" s="188" t="str">
        <f>IF(ISERROR(getgrade(Broadsheet!AM251,data!$H$4:$I$9)),"#",getgrade(Broadsheet!AM251,data!$H$4:$I$9))</f>
        <v/>
      </c>
      <c r="AN140" s="188" t="str">
        <f>IF(ISERROR(getgrade(Broadsheet!AN251,data!$H$4:$I$9)),"#",getgrade(Broadsheet!AN251,data!$H$4:$I$9))</f>
        <v/>
      </c>
      <c r="AO140" s="188" t="str">
        <f>IF(ISERROR(getgrade(Broadsheet!AO251,data!$H$4:$I$9)),"#",getgrade(Broadsheet!AO251,data!$H$4:$I$9))</f>
        <v/>
      </c>
      <c r="AP140" s="188" t="str">
        <f>IF(ISERROR(getgrade(Broadsheet!AP251,data!$H$4:$I$9)),"#",getgrade(Broadsheet!AP251,data!$H$4:$I$9))</f>
        <v/>
      </c>
      <c r="AQ140" s="188" t="str">
        <f>IF(ISERROR(getgrade(Broadsheet!AQ251,data!$H$4:$I$9)),"#",getgrade(Broadsheet!AQ251,data!$H$4:$I$9))</f>
        <v/>
      </c>
      <c r="AR140" s="188" t="str">
        <f>IF(ISERROR(getgrade(Broadsheet!AR251,data!$H$4:$I$9)),"#",getgrade(Broadsheet!AR251,data!$H$4:$I$9))</f>
        <v/>
      </c>
      <c r="AS140" s="188" t="str">
        <f>IF(ISERROR(getgrade(Broadsheet!AS251,data!$H$4:$I$9)),"#",getgrade(Broadsheet!AS251,data!$H$4:$I$9))</f>
        <v/>
      </c>
      <c r="AT140" s="188" t="str">
        <f>IF(ISERROR(getgrade(Broadsheet!AT251,data!$H$4:$I$9)),"#",getgrade(Broadsheet!AT251,data!$H$4:$I$9))</f>
        <v/>
      </c>
      <c r="AU140" s="188" t="str">
        <f>IF(ISERROR(getgrade(Broadsheet!AU251,data!$H$4:$I$9)),"#",getgrade(Broadsheet!AU251,data!$H$4:$I$9))</f>
        <v/>
      </c>
      <c r="AV140" s="188" t="str">
        <f>IF(ISERROR(getgrade(Broadsheet!AV251,data!$H$4:$I$9)),"#",getgrade(Broadsheet!AV251,data!$H$4:$I$9))</f>
        <v/>
      </c>
      <c r="AW140" s="188" t="str">
        <f>IF(ISERROR(getgrade(Broadsheet!AW251,data!$H$4:$I$9)),"#",getgrade(Broadsheet!AW251,data!$H$4:$I$9))</f>
        <v/>
      </c>
      <c r="AX140" s="188" t="str">
        <f>IF(ISERROR(getgrade(Broadsheet!AX251,data!$H$4:$I$9)),"#",getgrade(Broadsheet!AX251,data!$H$4:$I$9))</f>
        <v/>
      </c>
      <c r="AY140" s="188" t="str">
        <f>IF(ISERROR(getgrade(Broadsheet!AY251,data!$H$4:$I$9)),"#",getgrade(Broadsheet!AY251,data!$H$4:$I$9))</f>
        <v/>
      </c>
      <c r="AZ140" s="188" t="str">
        <f>IF(ISERROR(getgrade(Broadsheet!AZ251,data!$H$4:$I$9)),"#",getgrade(Broadsheet!AZ251,data!$H$4:$I$9))</f>
        <v/>
      </c>
      <c r="BA140" s="188" t="str">
        <f>IF(ISERROR(getgrade(Broadsheet!BA251,data!$H$4:$I$9)),"#",getgrade(Broadsheet!BA251,data!$H$4:$I$9))</f>
        <v/>
      </c>
      <c r="BB140" s="188" t="str">
        <f>IF(ISERROR(getgrade(Broadsheet!BB251,data!$H$4:$I$9)),"#",getgrade(Broadsheet!BB251,data!$H$4:$I$9))</f>
        <v/>
      </c>
      <c r="BC140" s="188" t="str">
        <f>IF(ISERROR(getgrade(Broadsheet!BC251,data!$H$4:$I$9)),"#",getgrade(Broadsheet!BC251,data!$H$4:$I$9))</f>
        <v/>
      </c>
      <c r="BD140" s="188" t="str">
        <f>IF(ISERROR(getgrade(Broadsheet!BD251,data!$H$4:$I$9)),"#",getgrade(Broadsheet!BD251,data!$H$4:$I$9))</f>
        <v/>
      </c>
      <c r="BE140" s="188" t="str">
        <f>IF(ISERROR(getgrade(Broadsheet!BE251,data!$H$4:$I$9)),"#",getgrade(Broadsheet!BE251,data!$H$4:$I$9))</f>
        <v/>
      </c>
      <c r="BF140" s="188" t="str">
        <f>IF(ISERROR(getgrade(Broadsheet!BF251,data!$H$4:$I$9)),"#",getgrade(Broadsheet!BF251,data!$H$4:$I$9))</f>
        <v/>
      </c>
      <c r="BG140" s="188" t="str">
        <f>IF(ISERROR(getgrade(Broadsheet!BG251,data!$H$4:$I$9)),"#",getgrade(Broadsheet!BG251,data!$H$4:$I$9))</f>
        <v/>
      </c>
      <c r="BH140" s="188" t="str">
        <f>IF(ISERROR(getgrade(Broadsheet!BH251,data!$H$4:$I$9)),"#",getgrade(Broadsheet!BH251,data!$H$4:$I$9))</f>
        <v/>
      </c>
      <c r="BI140" s="188" t="str">
        <f>IF(ISERROR(getgrade(Broadsheet!BI251,data!$H$4:$I$9)),"#",getgrade(Broadsheet!BI251,data!$H$4:$I$9))</f>
        <v/>
      </c>
      <c r="BJ140" s="188" t="str">
        <f>IF(ISERROR(getgrade(Broadsheet!BJ251,data!$H$4:$I$9)),"#",getgrade(Broadsheet!BJ251,data!$H$4:$I$9))</f>
        <v/>
      </c>
      <c r="BK140" s="188"/>
      <c r="BL140" s="188"/>
      <c r="BM140" s="188"/>
      <c r="BN140" s="188"/>
      <c r="BO140" s="188"/>
      <c r="BP140" s="188"/>
      <c r="BQ140" s="188"/>
      <c r="BR140" s="188"/>
      <c r="BS140" s="188"/>
      <c r="BT140" s="188"/>
      <c r="BU140" s="188"/>
      <c r="BV140" s="188"/>
      <c r="BW140" s="188"/>
      <c r="BX140" s="188"/>
      <c r="BY140" s="188"/>
      <c r="BZ140" s="188"/>
      <c r="CA140" s="188"/>
      <c r="CB140" s="188"/>
      <c r="CC140" s="188"/>
      <c r="CD140" s="188"/>
      <c r="CE140" s="188"/>
      <c r="CF140" s="188"/>
      <c r="CG140" s="188"/>
      <c r="CH140" s="188"/>
      <c r="CI140" s="188"/>
      <c r="CJ140" s="188"/>
      <c r="CK140" s="188"/>
      <c r="CL140" s="188"/>
      <c r="CM140" s="188"/>
      <c r="CN140" s="188"/>
      <c r="CO140" s="188"/>
      <c r="CP140" s="188"/>
      <c r="CQ140" s="188"/>
      <c r="CR140" s="188"/>
      <c r="CS140" s="188"/>
      <c r="CT140" s="188"/>
      <c r="CU140" s="188"/>
      <c r="CV140" s="188"/>
      <c r="CW140" s="188"/>
      <c r="CX140" s="188"/>
      <c r="CY140" s="188"/>
      <c r="CZ140" s="188"/>
      <c r="DA140" s="188"/>
      <c r="DB140" s="188"/>
      <c r="DC140" s="188"/>
      <c r="DD140" s="188"/>
      <c r="DE140" s="188"/>
      <c r="DF140" s="188"/>
      <c r="DG140" s="188"/>
      <c r="DH140" s="188"/>
      <c r="DI140" s="188"/>
      <c r="DJ140" s="188"/>
      <c r="DK140" s="188"/>
      <c r="DL140" s="188"/>
      <c r="DM140" s="188"/>
      <c r="DN140" s="188"/>
      <c r="DO140" s="188"/>
      <c r="DP140" s="188"/>
      <c r="DQ140" s="188"/>
      <c r="DR140" s="188"/>
      <c r="DS140" s="188"/>
      <c r="DT140" s="188"/>
      <c r="DU140" s="188"/>
      <c r="DV140" s="188"/>
      <c r="DW140" s="188"/>
      <c r="DX140" s="188"/>
      <c r="DY140" s="188"/>
      <c r="DZ140" s="188"/>
      <c r="EA140" s="188"/>
    </row>
    <row r="141" spans="1:131" ht="15.75" x14ac:dyDescent="0.25">
      <c r="A141" s="12">
        <f>Broadsheet!A252</f>
        <v>0</v>
      </c>
      <c r="B141" s="204" t="str">
        <f>IF(Broadsheet!B141="","",Broadsheet!B141)</f>
        <v/>
      </c>
      <c r="C141" s="24" t="str">
        <f>IF(Broadsheet!C141="","",Broadsheet!C141)</f>
        <v xml:space="preserve"> </v>
      </c>
      <c r="G141" s="24" t="str">
        <f t="shared" si="2"/>
        <v/>
      </c>
      <c r="H141" s="188" t="str">
        <f>IF(ISERROR(getgrade(Broadsheet!H252,data!$H$4:$I$9)),"#",getgrade(Broadsheet!H252,data!$H$4:$I$9))</f>
        <v/>
      </c>
      <c r="I141" s="188" t="str">
        <f>IF(ISERROR(getgrade(Broadsheet!I252,data!$H$4:$I$9)),"#",getgrade(Broadsheet!I252,data!$H$4:$I$9))</f>
        <v/>
      </c>
      <c r="J141" s="188" t="str">
        <f>IF(ISERROR(getgrade(Broadsheet!J252,data!$H$4:$I$9)),"#",getgrade(Broadsheet!J252,data!$H$4:$I$9))</f>
        <v/>
      </c>
      <c r="K141" s="188" t="str">
        <f>IF(ISERROR(getgrade(Broadsheet!K252,data!$H$4:$I$9)),"#",getgrade(Broadsheet!K252,data!$H$4:$I$9))</f>
        <v/>
      </c>
      <c r="L141" s="188" t="str">
        <f>IF(ISERROR(getgrade(Broadsheet!L252,data!$H$4:$I$9)),"#",getgrade(Broadsheet!L252,data!$H$4:$I$9))</f>
        <v/>
      </c>
      <c r="M141" s="188" t="str">
        <f>IF(ISERROR(getgrade(Broadsheet!M252,data!$H$4:$I$9)),"#",getgrade(Broadsheet!M252,data!$H$4:$I$9))</f>
        <v/>
      </c>
      <c r="N141" s="188" t="str">
        <f>IF(ISERROR(getgrade(Broadsheet!N252,data!$H$4:$I$9)),"#",getgrade(Broadsheet!N252,data!$H$4:$I$9))</f>
        <v/>
      </c>
      <c r="O141" s="188" t="str">
        <f>IF(ISERROR(getgrade(Broadsheet!O252,data!$H$4:$I$9)),"#",getgrade(Broadsheet!O252,data!$H$4:$I$9))</f>
        <v/>
      </c>
      <c r="P141" s="188" t="str">
        <f>IF(ISERROR(getgrade(Broadsheet!P252,data!$H$4:$I$9)),"#",getgrade(Broadsheet!P252,data!$H$4:$I$9))</f>
        <v/>
      </c>
      <c r="Q141" s="188" t="str">
        <f>IF(ISERROR(getgrade(Broadsheet!Q252,data!$H$4:$I$9)),"#",getgrade(Broadsheet!Q252,data!$H$4:$I$9))</f>
        <v/>
      </c>
      <c r="R141" s="188" t="str">
        <f>IF(ISERROR(getgrade(Broadsheet!R252,data!$H$4:$I$9)),"#",getgrade(Broadsheet!R252,data!$H$4:$I$9))</f>
        <v/>
      </c>
      <c r="S141" s="188" t="str">
        <f>IF(ISERROR(getgrade(Broadsheet!S252,data!$H$4:$I$9)),"#",getgrade(Broadsheet!S252,data!$H$4:$I$9))</f>
        <v/>
      </c>
      <c r="T141" s="188" t="str">
        <f>IF(ISERROR(getgrade(Broadsheet!T252,data!$H$4:$I$9)),"#",getgrade(Broadsheet!T252,data!$H$4:$I$9))</f>
        <v/>
      </c>
      <c r="U141" s="188" t="str">
        <f>IF(ISERROR(getgrade(Broadsheet!U252,data!$H$4:$I$9)),"#",getgrade(Broadsheet!U252,data!$H$4:$I$9))</f>
        <v/>
      </c>
      <c r="V141" s="188" t="str">
        <f>IF(ISERROR(getgrade(Broadsheet!V252,data!$H$4:$I$9)),"#",getgrade(Broadsheet!V252,data!$H$4:$I$9))</f>
        <v/>
      </c>
      <c r="W141" s="188" t="str">
        <f>IF(ISERROR(getgrade(Broadsheet!W252,data!$H$4:$I$9)),"#",getgrade(Broadsheet!W252,data!$H$4:$I$9))</f>
        <v/>
      </c>
      <c r="X141" s="188" t="str">
        <f>IF(ISERROR(getgrade(Broadsheet!X252,data!$H$4:$I$9)),"#",getgrade(Broadsheet!X252,data!$H$4:$I$9))</f>
        <v/>
      </c>
      <c r="Y141" s="188" t="str">
        <f>IF(ISERROR(getgrade(Broadsheet!Y252,data!$H$4:$I$9)),"#",getgrade(Broadsheet!Y252,data!$H$4:$I$9))</f>
        <v/>
      </c>
      <c r="Z141" s="188" t="str">
        <f>IF(ISERROR(getgrade(Broadsheet!Z252,data!$H$4:$I$9)),"#",getgrade(Broadsheet!Z252,data!$H$4:$I$9))</f>
        <v/>
      </c>
      <c r="AA141" s="188" t="str">
        <f>IF(ISERROR(getgrade(Broadsheet!AA252,data!$H$4:$I$9)),"#",getgrade(Broadsheet!AA252,data!$H$4:$I$9))</f>
        <v/>
      </c>
      <c r="AB141" s="188" t="str">
        <f>IF(ISERROR(getgrade(Broadsheet!AB252,data!$H$4:$I$9)),"#",getgrade(Broadsheet!AB252,data!$H$4:$I$9))</f>
        <v/>
      </c>
      <c r="AC141" s="188" t="str">
        <f>IF(ISERROR(getgrade(Broadsheet!AC252,data!$H$4:$I$9)),"#",getgrade(Broadsheet!AC252,data!$H$4:$I$9))</f>
        <v/>
      </c>
      <c r="AD141" s="188" t="str">
        <f>IF(ISERROR(getgrade(Broadsheet!AD252,data!$H$4:$I$9)),"#",getgrade(Broadsheet!AD252,data!$H$4:$I$9))</f>
        <v/>
      </c>
      <c r="AE141" s="188" t="str">
        <f>IF(ISERROR(getgrade(Broadsheet!AE252,data!$H$4:$I$9)),"#",getgrade(Broadsheet!AE252,data!$H$4:$I$9))</f>
        <v/>
      </c>
      <c r="AF141" s="188" t="str">
        <f>IF(ISERROR(getgrade(Broadsheet!AF252,data!$H$4:$I$9)),"#",getgrade(Broadsheet!AF252,data!$H$4:$I$9))</f>
        <v/>
      </c>
      <c r="AG141" s="188" t="str">
        <f>IF(ISERROR(getgrade(Broadsheet!AG252,data!$H$4:$I$9)),"#",getgrade(Broadsheet!AG252,data!$H$4:$I$9))</f>
        <v/>
      </c>
      <c r="AH141" s="188" t="str">
        <f>IF(ISERROR(getgrade(Broadsheet!AH252,data!$H$4:$I$9)),"#",getgrade(Broadsheet!AH252,data!$H$4:$I$9))</f>
        <v/>
      </c>
      <c r="AI141" s="188" t="str">
        <f>IF(ISERROR(getgrade(Broadsheet!AI252,data!$H$4:$I$9)),"#",getgrade(Broadsheet!AI252,data!$H$4:$I$9))</f>
        <v/>
      </c>
      <c r="AJ141" s="188" t="str">
        <f>IF(ISERROR(getgrade(Broadsheet!AJ252,data!$H$4:$I$9)),"#",getgrade(Broadsheet!AJ252,data!$H$4:$I$9))</f>
        <v/>
      </c>
      <c r="AK141" s="188" t="str">
        <f>IF(ISERROR(getgrade(Broadsheet!AK252,data!$H$4:$I$9)),"#",getgrade(Broadsheet!AK252,data!$H$4:$I$9))</f>
        <v/>
      </c>
      <c r="AL141" s="188" t="str">
        <f>IF(ISERROR(getgrade(Broadsheet!AL252,data!$H$4:$I$9)),"#",getgrade(Broadsheet!AL252,data!$H$4:$I$9))</f>
        <v/>
      </c>
      <c r="AM141" s="188" t="str">
        <f>IF(ISERROR(getgrade(Broadsheet!AM252,data!$H$4:$I$9)),"#",getgrade(Broadsheet!AM252,data!$H$4:$I$9))</f>
        <v/>
      </c>
      <c r="AN141" s="188" t="str">
        <f>IF(ISERROR(getgrade(Broadsheet!AN252,data!$H$4:$I$9)),"#",getgrade(Broadsheet!AN252,data!$H$4:$I$9))</f>
        <v/>
      </c>
      <c r="AO141" s="188" t="str">
        <f>IF(ISERROR(getgrade(Broadsheet!AO252,data!$H$4:$I$9)),"#",getgrade(Broadsheet!AO252,data!$H$4:$I$9))</f>
        <v/>
      </c>
      <c r="AP141" s="188" t="str">
        <f>IF(ISERROR(getgrade(Broadsheet!AP252,data!$H$4:$I$9)),"#",getgrade(Broadsheet!AP252,data!$H$4:$I$9))</f>
        <v/>
      </c>
      <c r="AQ141" s="188" t="str">
        <f>IF(ISERROR(getgrade(Broadsheet!AQ252,data!$H$4:$I$9)),"#",getgrade(Broadsheet!AQ252,data!$H$4:$I$9))</f>
        <v/>
      </c>
      <c r="AR141" s="188" t="str">
        <f>IF(ISERROR(getgrade(Broadsheet!AR252,data!$H$4:$I$9)),"#",getgrade(Broadsheet!AR252,data!$H$4:$I$9))</f>
        <v/>
      </c>
      <c r="AS141" s="188" t="str">
        <f>IF(ISERROR(getgrade(Broadsheet!AS252,data!$H$4:$I$9)),"#",getgrade(Broadsheet!AS252,data!$H$4:$I$9))</f>
        <v/>
      </c>
      <c r="AT141" s="188" t="str">
        <f>IF(ISERROR(getgrade(Broadsheet!AT252,data!$H$4:$I$9)),"#",getgrade(Broadsheet!AT252,data!$H$4:$I$9))</f>
        <v/>
      </c>
      <c r="AU141" s="188" t="str">
        <f>IF(ISERROR(getgrade(Broadsheet!AU252,data!$H$4:$I$9)),"#",getgrade(Broadsheet!AU252,data!$H$4:$I$9))</f>
        <v/>
      </c>
      <c r="AV141" s="188" t="str">
        <f>IF(ISERROR(getgrade(Broadsheet!AV252,data!$H$4:$I$9)),"#",getgrade(Broadsheet!AV252,data!$H$4:$I$9))</f>
        <v/>
      </c>
      <c r="AW141" s="188" t="str">
        <f>IF(ISERROR(getgrade(Broadsheet!AW252,data!$H$4:$I$9)),"#",getgrade(Broadsheet!AW252,data!$H$4:$I$9))</f>
        <v/>
      </c>
      <c r="AX141" s="188" t="str">
        <f>IF(ISERROR(getgrade(Broadsheet!AX252,data!$H$4:$I$9)),"#",getgrade(Broadsheet!AX252,data!$H$4:$I$9))</f>
        <v/>
      </c>
      <c r="AY141" s="188" t="str">
        <f>IF(ISERROR(getgrade(Broadsheet!AY252,data!$H$4:$I$9)),"#",getgrade(Broadsheet!AY252,data!$H$4:$I$9))</f>
        <v/>
      </c>
      <c r="AZ141" s="188" t="str">
        <f>IF(ISERROR(getgrade(Broadsheet!AZ252,data!$H$4:$I$9)),"#",getgrade(Broadsheet!AZ252,data!$H$4:$I$9))</f>
        <v/>
      </c>
      <c r="BA141" s="188" t="str">
        <f>IF(ISERROR(getgrade(Broadsheet!BA252,data!$H$4:$I$9)),"#",getgrade(Broadsheet!BA252,data!$H$4:$I$9))</f>
        <v/>
      </c>
      <c r="BB141" s="188" t="str">
        <f>IF(ISERROR(getgrade(Broadsheet!BB252,data!$H$4:$I$9)),"#",getgrade(Broadsheet!BB252,data!$H$4:$I$9))</f>
        <v/>
      </c>
      <c r="BC141" s="188" t="str">
        <f>IF(ISERROR(getgrade(Broadsheet!BC252,data!$H$4:$I$9)),"#",getgrade(Broadsheet!BC252,data!$H$4:$I$9))</f>
        <v/>
      </c>
      <c r="BD141" s="188" t="str">
        <f>IF(ISERROR(getgrade(Broadsheet!BD252,data!$H$4:$I$9)),"#",getgrade(Broadsheet!BD252,data!$H$4:$I$9))</f>
        <v/>
      </c>
      <c r="BE141" s="188" t="str">
        <f>IF(ISERROR(getgrade(Broadsheet!BE252,data!$H$4:$I$9)),"#",getgrade(Broadsheet!BE252,data!$H$4:$I$9))</f>
        <v/>
      </c>
      <c r="BF141" s="188" t="str">
        <f>IF(ISERROR(getgrade(Broadsheet!BF252,data!$H$4:$I$9)),"#",getgrade(Broadsheet!BF252,data!$H$4:$I$9))</f>
        <v/>
      </c>
      <c r="BG141" s="188" t="str">
        <f>IF(ISERROR(getgrade(Broadsheet!BG252,data!$H$4:$I$9)),"#",getgrade(Broadsheet!BG252,data!$H$4:$I$9))</f>
        <v/>
      </c>
      <c r="BH141" s="188" t="str">
        <f>IF(ISERROR(getgrade(Broadsheet!BH252,data!$H$4:$I$9)),"#",getgrade(Broadsheet!BH252,data!$H$4:$I$9))</f>
        <v/>
      </c>
      <c r="BI141" s="188" t="str">
        <f>IF(ISERROR(getgrade(Broadsheet!BI252,data!$H$4:$I$9)),"#",getgrade(Broadsheet!BI252,data!$H$4:$I$9))</f>
        <v/>
      </c>
      <c r="BJ141" s="188" t="str">
        <f>IF(ISERROR(getgrade(Broadsheet!BJ252,data!$H$4:$I$9)),"#",getgrade(Broadsheet!BJ252,data!$H$4:$I$9))</f>
        <v/>
      </c>
      <c r="BK141" s="188"/>
      <c r="BL141" s="188"/>
      <c r="BM141" s="188"/>
      <c r="BN141" s="188"/>
      <c r="BO141" s="188"/>
      <c r="BP141" s="188"/>
      <c r="BQ141" s="188"/>
      <c r="BR141" s="188"/>
      <c r="BS141" s="188"/>
      <c r="BT141" s="188"/>
      <c r="BU141" s="188"/>
      <c r="BV141" s="188"/>
      <c r="BW141" s="188"/>
      <c r="BX141" s="188"/>
      <c r="BY141" s="188"/>
      <c r="BZ141" s="188"/>
      <c r="CA141" s="188"/>
      <c r="CB141" s="188"/>
      <c r="CC141" s="188"/>
      <c r="CD141" s="188"/>
      <c r="CE141" s="188"/>
      <c r="CF141" s="188"/>
      <c r="CG141" s="188"/>
      <c r="CH141" s="188"/>
      <c r="CI141" s="188"/>
      <c r="CJ141" s="188"/>
      <c r="CK141" s="188"/>
      <c r="CL141" s="188"/>
      <c r="CM141" s="188"/>
      <c r="CN141" s="188"/>
      <c r="CO141" s="188"/>
      <c r="CP141" s="188"/>
      <c r="CQ141" s="188"/>
      <c r="CR141" s="188"/>
      <c r="CS141" s="188"/>
      <c r="CT141" s="188"/>
      <c r="CU141" s="188"/>
      <c r="CV141" s="188"/>
      <c r="CW141" s="188"/>
      <c r="CX141" s="188"/>
      <c r="CY141" s="188"/>
      <c r="CZ141" s="188"/>
      <c r="DA141" s="188"/>
      <c r="DB141" s="188"/>
      <c r="DC141" s="188"/>
      <c r="DD141" s="188"/>
      <c r="DE141" s="188"/>
      <c r="DF141" s="188"/>
      <c r="DG141" s="188"/>
      <c r="DH141" s="188"/>
      <c r="DI141" s="188"/>
      <c r="DJ141" s="188"/>
      <c r="DK141" s="188"/>
      <c r="DL141" s="188"/>
      <c r="DM141" s="188"/>
      <c r="DN141" s="188"/>
      <c r="DO141" s="188"/>
      <c r="DP141" s="188"/>
      <c r="DQ141" s="188"/>
      <c r="DR141" s="188"/>
      <c r="DS141" s="188"/>
      <c r="DT141" s="188"/>
      <c r="DU141" s="188"/>
      <c r="DV141" s="188"/>
      <c r="DW141" s="188"/>
      <c r="DX141" s="188"/>
      <c r="DY141" s="188"/>
      <c r="DZ141" s="188"/>
      <c r="EA141" s="188"/>
    </row>
    <row r="142" spans="1:131" ht="15.75" x14ac:dyDescent="0.25">
      <c r="A142" s="12">
        <f>Broadsheet!A253</f>
        <v>0</v>
      </c>
      <c r="B142" s="204" t="str">
        <f>IF(Broadsheet!B142="","",Broadsheet!B142)</f>
        <v/>
      </c>
      <c r="C142" s="24" t="str">
        <f>IF(Broadsheet!C142="","",Broadsheet!C142)</f>
        <v xml:space="preserve"> </v>
      </c>
      <c r="G142" s="24" t="str">
        <f t="shared" si="2"/>
        <v/>
      </c>
      <c r="H142" s="188" t="str">
        <f>IF(ISERROR(getgrade(Broadsheet!H253,data!$H$4:$I$9)),"#",getgrade(Broadsheet!H253,data!$H$4:$I$9))</f>
        <v/>
      </c>
      <c r="I142" s="188" t="str">
        <f>IF(ISERROR(getgrade(Broadsheet!I253,data!$H$4:$I$9)),"#",getgrade(Broadsheet!I253,data!$H$4:$I$9))</f>
        <v/>
      </c>
      <c r="J142" s="188" t="str">
        <f>IF(ISERROR(getgrade(Broadsheet!J253,data!$H$4:$I$9)),"#",getgrade(Broadsheet!J253,data!$H$4:$I$9))</f>
        <v/>
      </c>
      <c r="K142" s="188" t="str">
        <f>IF(ISERROR(getgrade(Broadsheet!K253,data!$H$4:$I$9)),"#",getgrade(Broadsheet!K253,data!$H$4:$I$9))</f>
        <v/>
      </c>
      <c r="L142" s="188" t="str">
        <f>IF(ISERROR(getgrade(Broadsheet!L253,data!$H$4:$I$9)),"#",getgrade(Broadsheet!L253,data!$H$4:$I$9))</f>
        <v/>
      </c>
      <c r="M142" s="188" t="str">
        <f>IF(ISERROR(getgrade(Broadsheet!M253,data!$H$4:$I$9)),"#",getgrade(Broadsheet!M253,data!$H$4:$I$9))</f>
        <v/>
      </c>
      <c r="N142" s="188" t="str">
        <f>IF(ISERROR(getgrade(Broadsheet!N253,data!$H$4:$I$9)),"#",getgrade(Broadsheet!N253,data!$H$4:$I$9))</f>
        <v/>
      </c>
      <c r="O142" s="188" t="str">
        <f>IF(ISERROR(getgrade(Broadsheet!O253,data!$H$4:$I$9)),"#",getgrade(Broadsheet!O253,data!$H$4:$I$9))</f>
        <v/>
      </c>
      <c r="P142" s="188" t="str">
        <f>IF(ISERROR(getgrade(Broadsheet!P253,data!$H$4:$I$9)),"#",getgrade(Broadsheet!P253,data!$H$4:$I$9))</f>
        <v/>
      </c>
      <c r="Q142" s="188" t="str">
        <f>IF(ISERROR(getgrade(Broadsheet!Q253,data!$H$4:$I$9)),"#",getgrade(Broadsheet!Q253,data!$H$4:$I$9))</f>
        <v/>
      </c>
      <c r="R142" s="188" t="str">
        <f>IF(ISERROR(getgrade(Broadsheet!R253,data!$H$4:$I$9)),"#",getgrade(Broadsheet!R253,data!$H$4:$I$9))</f>
        <v/>
      </c>
      <c r="S142" s="188" t="str">
        <f>IF(ISERROR(getgrade(Broadsheet!S253,data!$H$4:$I$9)),"#",getgrade(Broadsheet!S253,data!$H$4:$I$9))</f>
        <v/>
      </c>
      <c r="T142" s="188" t="str">
        <f>IF(ISERROR(getgrade(Broadsheet!T253,data!$H$4:$I$9)),"#",getgrade(Broadsheet!T253,data!$H$4:$I$9))</f>
        <v/>
      </c>
      <c r="U142" s="188" t="str">
        <f>IF(ISERROR(getgrade(Broadsheet!U253,data!$H$4:$I$9)),"#",getgrade(Broadsheet!U253,data!$H$4:$I$9))</f>
        <v/>
      </c>
      <c r="V142" s="188" t="str">
        <f>IF(ISERROR(getgrade(Broadsheet!V253,data!$H$4:$I$9)),"#",getgrade(Broadsheet!V253,data!$H$4:$I$9))</f>
        <v/>
      </c>
      <c r="W142" s="188" t="str">
        <f>IF(ISERROR(getgrade(Broadsheet!W253,data!$H$4:$I$9)),"#",getgrade(Broadsheet!W253,data!$H$4:$I$9))</f>
        <v/>
      </c>
      <c r="X142" s="188" t="str">
        <f>IF(ISERROR(getgrade(Broadsheet!X253,data!$H$4:$I$9)),"#",getgrade(Broadsheet!X253,data!$H$4:$I$9))</f>
        <v/>
      </c>
      <c r="Y142" s="188" t="str">
        <f>IF(ISERROR(getgrade(Broadsheet!Y253,data!$H$4:$I$9)),"#",getgrade(Broadsheet!Y253,data!$H$4:$I$9))</f>
        <v/>
      </c>
      <c r="Z142" s="188" t="str">
        <f>IF(ISERROR(getgrade(Broadsheet!Z253,data!$H$4:$I$9)),"#",getgrade(Broadsheet!Z253,data!$H$4:$I$9))</f>
        <v/>
      </c>
      <c r="AA142" s="188" t="str">
        <f>IF(ISERROR(getgrade(Broadsheet!AA253,data!$H$4:$I$9)),"#",getgrade(Broadsheet!AA253,data!$H$4:$I$9))</f>
        <v/>
      </c>
      <c r="AB142" s="188" t="str">
        <f>IF(ISERROR(getgrade(Broadsheet!AB253,data!$H$4:$I$9)),"#",getgrade(Broadsheet!AB253,data!$H$4:$I$9))</f>
        <v/>
      </c>
      <c r="AC142" s="188" t="str">
        <f>IF(ISERROR(getgrade(Broadsheet!AC253,data!$H$4:$I$9)),"#",getgrade(Broadsheet!AC253,data!$H$4:$I$9))</f>
        <v/>
      </c>
      <c r="AD142" s="188" t="str">
        <f>IF(ISERROR(getgrade(Broadsheet!AD253,data!$H$4:$I$9)),"#",getgrade(Broadsheet!AD253,data!$H$4:$I$9))</f>
        <v/>
      </c>
      <c r="AE142" s="188" t="str">
        <f>IF(ISERROR(getgrade(Broadsheet!AE253,data!$H$4:$I$9)),"#",getgrade(Broadsheet!AE253,data!$H$4:$I$9))</f>
        <v/>
      </c>
      <c r="AF142" s="188" t="str">
        <f>IF(ISERROR(getgrade(Broadsheet!AF253,data!$H$4:$I$9)),"#",getgrade(Broadsheet!AF253,data!$H$4:$I$9))</f>
        <v/>
      </c>
      <c r="AG142" s="188" t="str">
        <f>IF(ISERROR(getgrade(Broadsheet!AG253,data!$H$4:$I$9)),"#",getgrade(Broadsheet!AG253,data!$H$4:$I$9))</f>
        <v/>
      </c>
      <c r="AH142" s="188" t="str">
        <f>IF(ISERROR(getgrade(Broadsheet!AH253,data!$H$4:$I$9)),"#",getgrade(Broadsheet!AH253,data!$H$4:$I$9))</f>
        <v/>
      </c>
      <c r="AI142" s="188" t="str">
        <f>IF(ISERROR(getgrade(Broadsheet!AI253,data!$H$4:$I$9)),"#",getgrade(Broadsheet!AI253,data!$H$4:$I$9))</f>
        <v/>
      </c>
      <c r="AJ142" s="188" t="str">
        <f>IF(ISERROR(getgrade(Broadsheet!AJ253,data!$H$4:$I$9)),"#",getgrade(Broadsheet!AJ253,data!$H$4:$I$9))</f>
        <v/>
      </c>
      <c r="AK142" s="188" t="str">
        <f>IF(ISERROR(getgrade(Broadsheet!AK253,data!$H$4:$I$9)),"#",getgrade(Broadsheet!AK253,data!$H$4:$I$9))</f>
        <v/>
      </c>
      <c r="AL142" s="188" t="str">
        <f>IF(ISERROR(getgrade(Broadsheet!AL253,data!$H$4:$I$9)),"#",getgrade(Broadsheet!AL253,data!$H$4:$I$9))</f>
        <v/>
      </c>
      <c r="AM142" s="188" t="str">
        <f>IF(ISERROR(getgrade(Broadsheet!AM253,data!$H$4:$I$9)),"#",getgrade(Broadsheet!AM253,data!$H$4:$I$9))</f>
        <v/>
      </c>
      <c r="AN142" s="188" t="str">
        <f>IF(ISERROR(getgrade(Broadsheet!AN253,data!$H$4:$I$9)),"#",getgrade(Broadsheet!AN253,data!$H$4:$I$9))</f>
        <v/>
      </c>
      <c r="AO142" s="188" t="str">
        <f>IF(ISERROR(getgrade(Broadsheet!AO253,data!$H$4:$I$9)),"#",getgrade(Broadsheet!AO253,data!$H$4:$I$9))</f>
        <v/>
      </c>
      <c r="AP142" s="188" t="str">
        <f>IF(ISERROR(getgrade(Broadsheet!AP253,data!$H$4:$I$9)),"#",getgrade(Broadsheet!AP253,data!$H$4:$I$9))</f>
        <v/>
      </c>
      <c r="AQ142" s="188" t="str">
        <f>IF(ISERROR(getgrade(Broadsheet!AQ253,data!$H$4:$I$9)),"#",getgrade(Broadsheet!AQ253,data!$H$4:$I$9))</f>
        <v/>
      </c>
      <c r="AR142" s="188" t="str">
        <f>IF(ISERROR(getgrade(Broadsheet!AR253,data!$H$4:$I$9)),"#",getgrade(Broadsheet!AR253,data!$H$4:$I$9))</f>
        <v/>
      </c>
      <c r="AS142" s="188" t="str">
        <f>IF(ISERROR(getgrade(Broadsheet!AS253,data!$H$4:$I$9)),"#",getgrade(Broadsheet!AS253,data!$H$4:$I$9))</f>
        <v/>
      </c>
      <c r="AT142" s="188" t="str">
        <f>IF(ISERROR(getgrade(Broadsheet!AT253,data!$H$4:$I$9)),"#",getgrade(Broadsheet!AT253,data!$H$4:$I$9))</f>
        <v/>
      </c>
      <c r="AU142" s="188" t="str">
        <f>IF(ISERROR(getgrade(Broadsheet!AU253,data!$H$4:$I$9)),"#",getgrade(Broadsheet!AU253,data!$H$4:$I$9))</f>
        <v/>
      </c>
      <c r="AV142" s="188" t="str">
        <f>IF(ISERROR(getgrade(Broadsheet!AV253,data!$H$4:$I$9)),"#",getgrade(Broadsheet!AV253,data!$H$4:$I$9))</f>
        <v/>
      </c>
      <c r="AW142" s="188" t="str">
        <f>IF(ISERROR(getgrade(Broadsheet!AW253,data!$H$4:$I$9)),"#",getgrade(Broadsheet!AW253,data!$H$4:$I$9))</f>
        <v/>
      </c>
      <c r="AX142" s="188" t="str">
        <f>IF(ISERROR(getgrade(Broadsheet!AX253,data!$H$4:$I$9)),"#",getgrade(Broadsheet!AX253,data!$H$4:$I$9))</f>
        <v/>
      </c>
      <c r="AY142" s="188" t="str">
        <f>IF(ISERROR(getgrade(Broadsheet!AY253,data!$H$4:$I$9)),"#",getgrade(Broadsheet!AY253,data!$H$4:$I$9))</f>
        <v/>
      </c>
      <c r="AZ142" s="188" t="str">
        <f>IF(ISERROR(getgrade(Broadsheet!AZ253,data!$H$4:$I$9)),"#",getgrade(Broadsheet!AZ253,data!$H$4:$I$9))</f>
        <v/>
      </c>
      <c r="BA142" s="188" t="str">
        <f>IF(ISERROR(getgrade(Broadsheet!BA253,data!$H$4:$I$9)),"#",getgrade(Broadsheet!BA253,data!$H$4:$I$9))</f>
        <v/>
      </c>
      <c r="BB142" s="188" t="str">
        <f>IF(ISERROR(getgrade(Broadsheet!BB253,data!$H$4:$I$9)),"#",getgrade(Broadsheet!BB253,data!$H$4:$I$9))</f>
        <v/>
      </c>
      <c r="BC142" s="188" t="str">
        <f>IF(ISERROR(getgrade(Broadsheet!BC253,data!$H$4:$I$9)),"#",getgrade(Broadsheet!BC253,data!$H$4:$I$9))</f>
        <v/>
      </c>
      <c r="BD142" s="188" t="str">
        <f>IF(ISERROR(getgrade(Broadsheet!BD253,data!$H$4:$I$9)),"#",getgrade(Broadsheet!BD253,data!$H$4:$I$9))</f>
        <v/>
      </c>
      <c r="BE142" s="188" t="str">
        <f>IF(ISERROR(getgrade(Broadsheet!BE253,data!$H$4:$I$9)),"#",getgrade(Broadsheet!BE253,data!$H$4:$I$9))</f>
        <v/>
      </c>
      <c r="BF142" s="188" t="str">
        <f>IF(ISERROR(getgrade(Broadsheet!BF253,data!$H$4:$I$9)),"#",getgrade(Broadsheet!BF253,data!$H$4:$I$9))</f>
        <v/>
      </c>
      <c r="BG142" s="188" t="str">
        <f>IF(ISERROR(getgrade(Broadsheet!BG253,data!$H$4:$I$9)),"#",getgrade(Broadsheet!BG253,data!$H$4:$I$9))</f>
        <v/>
      </c>
      <c r="BH142" s="188" t="str">
        <f>IF(ISERROR(getgrade(Broadsheet!BH253,data!$H$4:$I$9)),"#",getgrade(Broadsheet!BH253,data!$H$4:$I$9))</f>
        <v/>
      </c>
      <c r="BI142" s="188" t="str">
        <f>IF(ISERROR(getgrade(Broadsheet!BI253,data!$H$4:$I$9)),"#",getgrade(Broadsheet!BI253,data!$H$4:$I$9))</f>
        <v/>
      </c>
      <c r="BJ142" s="188" t="str">
        <f>IF(ISERROR(getgrade(Broadsheet!BJ253,data!$H$4:$I$9)),"#",getgrade(Broadsheet!BJ253,data!$H$4:$I$9))</f>
        <v/>
      </c>
      <c r="BK142" s="188"/>
      <c r="BL142" s="188"/>
      <c r="BM142" s="188"/>
      <c r="BN142" s="188"/>
      <c r="BO142" s="188"/>
      <c r="BP142" s="188"/>
      <c r="BQ142" s="188"/>
      <c r="BR142" s="188"/>
      <c r="BS142" s="188"/>
      <c r="BT142" s="188"/>
      <c r="BU142" s="188"/>
      <c r="BV142" s="188"/>
      <c r="BW142" s="188"/>
      <c r="BX142" s="188"/>
      <c r="BY142" s="188"/>
      <c r="BZ142" s="188"/>
      <c r="CA142" s="188"/>
      <c r="CB142" s="188"/>
      <c r="CC142" s="188"/>
      <c r="CD142" s="188"/>
      <c r="CE142" s="188"/>
      <c r="CF142" s="188"/>
      <c r="CG142" s="188"/>
      <c r="CH142" s="188"/>
      <c r="CI142" s="188"/>
      <c r="CJ142" s="188"/>
      <c r="CK142" s="188"/>
      <c r="CL142" s="188"/>
      <c r="CM142" s="188"/>
      <c r="CN142" s="188"/>
      <c r="CO142" s="188"/>
      <c r="CP142" s="188"/>
      <c r="CQ142" s="188"/>
      <c r="CR142" s="188"/>
      <c r="CS142" s="188"/>
      <c r="CT142" s="188"/>
      <c r="CU142" s="188"/>
      <c r="CV142" s="188"/>
      <c r="CW142" s="188"/>
      <c r="CX142" s="188"/>
      <c r="CY142" s="188"/>
      <c r="CZ142" s="188"/>
      <c r="DA142" s="188"/>
      <c r="DB142" s="188"/>
      <c r="DC142" s="188"/>
      <c r="DD142" s="188"/>
      <c r="DE142" s="188"/>
      <c r="DF142" s="188"/>
      <c r="DG142" s="188"/>
      <c r="DH142" s="188"/>
      <c r="DI142" s="188"/>
      <c r="DJ142" s="188"/>
      <c r="DK142" s="188"/>
      <c r="DL142" s="188"/>
      <c r="DM142" s="188"/>
      <c r="DN142" s="188"/>
      <c r="DO142" s="188"/>
      <c r="DP142" s="188"/>
      <c r="DQ142" s="188"/>
      <c r="DR142" s="188"/>
      <c r="DS142" s="188"/>
      <c r="DT142" s="188"/>
      <c r="DU142" s="188"/>
      <c r="DV142" s="188"/>
      <c r="DW142" s="188"/>
      <c r="DX142" s="188"/>
      <c r="DY142" s="188"/>
      <c r="DZ142" s="188"/>
      <c r="EA142" s="188"/>
    </row>
    <row r="143" spans="1:131" ht="15.75" x14ac:dyDescent="0.25">
      <c r="A143" s="12">
        <f>Broadsheet!A254</f>
        <v>0</v>
      </c>
      <c r="B143" s="204" t="str">
        <f>IF(Broadsheet!B143="","",Broadsheet!B143)</f>
        <v/>
      </c>
      <c r="C143" s="24" t="str">
        <f>IF(Broadsheet!C143="","",Broadsheet!C143)</f>
        <v xml:space="preserve"> </v>
      </c>
      <c r="G143" s="24" t="str">
        <f t="shared" si="2"/>
        <v/>
      </c>
      <c r="H143" s="188" t="str">
        <f>IF(ISERROR(getgrade(Broadsheet!H254,data!$H$4:$I$9)),"#",getgrade(Broadsheet!H254,data!$H$4:$I$9))</f>
        <v/>
      </c>
      <c r="I143" s="188" t="str">
        <f>IF(ISERROR(getgrade(Broadsheet!I254,data!$H$4:$I$9)),"#",getgrade(Broadsheet!I254,data!$H$4:$I$9))</f>
        <v/>
      </c>
      <c r="J143" s="188" t="str">
        <f>IF(ISERROR(getgrade(Broadsheet!J254,data!$H$4:$I$9)),"#",getgrade(Broadsheet!J254,data!$H$4:$I$9))</f>
        <v/>
      </c>
      <c r="K143" s="188" t="str">
        <f>IF(ISERROR(getgrade(Broadsheet!K254,data!$H$4:$I$9)),"#",getgrade(Broadsheet!K254,data!$H$4:$I$9))</f>
        <v/>
      </c>
      <c r="L143" s="188" t="str">
        <f>IF(ISERROR(getgrade(Broadsheet!L254,data!$H$4:$I$9)),"#",getgrade(Broadsheet!L254,data!$H$4:$I$9))</f>
        <v/>
      </c>
      <c r="M143" s="188" t="str">
        <f>IF(ISERROR(getgrade(Broadsheet!M254,data!$H$4:$I$9)),"#",getgrade(Broadsheet!M254,data!$H$4:$I$9))</f>
        <v/>
      </c>
      <c r="N143" s="188" t="str">
        <f>IF(ISERROR(getgrade(Broadsheet!N254,data!$H$4:$I$9)),"#",getgrade(Broadsheet!N254,data!$H$4:$I$9))</f>
        <v/>
      </c>
      <c r="O143" s="188" t="str">
        <f>IF(ISERROR(getgrade(Broadsheet!O254,data!$H$4:$I$9)),"#",getgrade(Broadsheet!O254,data!$H$4:$I$9))</f>
        <v/>
      </c>
      <c r="P143" s="188" t="str">
        <f>IF(ISERROR(getgrade(Broadsheet!P254,data!$H$4:$I$9)),"#",getgrade(Broadsheet!P254,data!$H$4:$I$9))</f>
        <v/>
      </c>
      <c r="Q143" s="188" t="str">
        <f>IF(ISERROR(getgrade(Broadsheet!Q254,data!$H$4:$I$9)),"#",getgrade(Broadsheet!Q254,data!$H$4:$I$9))</f>
        <v/>
      </c>
      <c r="R143" s="188" t="str">
        <f>IF(ISERROR(getgrade(Broadsheet!R254,data!$H$4:$I$9)),"#",getgrade(Broadsheet!R254,data!$H$4:$I$9))</f>
        <v/>
      </c>
      <c r="S143" s="188" t="str">
        <f>IF(ISERROR(getgrade(Broadsheet!S254,data!$H$4:$I$9)),"#",getgrade(Broadsheet!S254,data!$H$4:$I$9))</f>
        <v/>
      </c>
      <c r="T143" s="188" t="str">
        <f>IF(ISERROR(getgrade(Broadsheet!T254,data!$H$4:$I$9)),"#",getgrade(Broadsheet!T254,data!$H$4:$I$9))</f>
        <v/>
      </c>
      <c r="U143" s="188" t="str">
        <f>IF(ISERROR(getgrade(Broadsheet!U254,data!$H$4:$I$9)),"#",getgrade(Broadsheet!U254,data!$H$4:$I$9))</f>
        <v/>
      </c>
      <c r="V143" s="188" t="str">
        <f>IF(ISERROR(getgrade(Broadsheet!V254,data!$H$4:$I$9)),"#",getgrade(Broadsheet!V254,data!$H$4:$I$9))</f>
        <v/>
      </c>
      <c r="W143" s="188" t="str">
        <f>IF(ISERROR(getgrade(Broadsheet!W254,data!$H$4:$I$9)),"#",getgrade(Broadsheet!W254,data!$H$4:$I$9))</f>
        <v/>
      </c>
      <c r="X143" s="188" t="str">
        <f>IF(ISERROR(getgrade(Broadsheet!X254,data!$H$4:$I$9)),"#",getgrade(Broadsheet!X254,data!$H$4:$I$9))</f>
        <v/>
      </c>
      <c r="Y143" s="188" t="str">
        <f>IF(ISERROR(getgrade(Broadsheet!Y254,data!$H$4:$I$9)),"#",getgrade(Broadsheet!Y254,data!$H$4:$I$9))</f>
        <v/>
      </c>
      <c r="Z143" s="188" t="str">
        <f>IF(ISERROR(getgrade(Broadsheet!Z254,data!$H$4:$I$9)),"#",getgrade(Broadsheet!Z254,data!$H$4:$I$9))</f>
        <v/>
      </c>
      <c r="AA143" s="188" t="str">
        <f>IF(ISERROR(getgrade(Broadsheet!AA254,data!$H$4:$I$9)),"#",getgrade(Broadsheet!AA254,data!$H$4:$I$9))</f>
        <v/>
      </c>
      <c r="AB143" s="188" t="str">
        <f>IF(ISERROR(getgrade(Broadsheet!AB254,data!$H$4:$I$9)),"#",getgrade(Broadsheet!AB254,data!$H$4:$I$9))</f>
        <v/>
      </c>
      <c r="AC143" s="188" t="str">
        <f>IF(ISERROR(getgrade(Broadsheet!AC254,data!$H$4:$I$9)),"#",getgrade(Broadsheet!AC254,data!$H$4:$I$9))</f>
        <v/>
      </c>
      <c r="AD143" s="188" t="str">
        <f>IF(ISERROR(getgrade(Broadsheet!AD254,data!$H$4:$I$9)),"#",getgrade(Broadsheet!AD254,data!$H$4:$I$9))</f>
        <v/>
      </c>
      <c r="AE143" s="188" t="str">
        <f>IF(ISERROR(getgrade(Broadsheet!AE254,data!$H$4:$I$9)),"#",getgrade(Broadsheet!AE254,data!$H$4:$I$9))</f>
        <v/>
      </c>
      <c r="AF143" s="188" t="str">
        <f>IF(ISERROR(getgrade(Broadsheet!AF254,data!$H$4:$I$9)),"#",getgrade(Broadsheet!AF254,data!$H$4:$I$9))</f>
        <v/>
      </c>
      <c r="AG143" s="188" t="str">
        <f>IF(ISERROR(getgrade(Broadsheet!AG254,data!$H$4:$I$9)),"#",getgrade(Broadsheet!AG254,data!$H$4:$I$9))</f>
        <v/>
      </c>
      <c r="AH143" s="188" t="str">
        <f>IF(ISERROR(getgrade(Broadsheet!AH254,data!$H$4:$I$9)),"#",getgrade(Broadsheet!AH254,data!$H$4:$I$9))</f>
        <v/>
      </c>
      <c r="AI143" s="188" t="str">
        <f>IF(ISERROR(getgrade(Broadsheet!AI254,data!$H$4:$I$9)),"#",getgrade(Broadsheet!AI254,data!$H$4:$I$9))</f>
        <v/>
      </c>
      <c r="AJ143" s="188" t="str">
        <f>IF(ISERROR(getgrade(Broadsheet!AJ254,data!$H$4:$I$9)),"#",getgrade(Broadsheet!AJ254,data!$H$4:$I$9))</f>
        <v/>
      </c>
      <c r="AK143" s="188" t="str">
        <f>IF(ISERROR(getgrade(Broadsheet!AK254,data!$H$4:$I$9)),"#",getgrade(Broadsheet!AK254,data!$H$4:$I$9))</f>
        <v/>
      </c>
      <c r="AL143" s="188" t="str">
        <f>IF(ISERROR(getgrade(Broadsheet!AL254,data!$H$4:$I$9)),"#",getgrade(Broadsheet!AL254,data!$H$4:$I$9))</f>
        <v/>
      </c>
      <c r="AM143" s="188" t="str">
        <f>IF(ISERROR(getgrade(Broadsheet!AM254,data!$H$4:$I$9)),"#",getgrade(Broadsheet!AM254,data!$H$4:$I$9))</f>
        <v/>
      </c>
      <c r="AN143" s="188" t="str">
        <f>IF(ISERROR(getgrade(Broadsheet!AN254,data!$H$4:$I$9)),"#",getgrade(Broadsheet!AN254,data!$H$4:$I$9))</f>
        <v/>
      </c>
      <c r="AO143" s="188" t="str">
        <f>IF(ISERROR(getgrade(Broadsheet!AO254,data!$H$4:$I$9)),"#",getgrade(Broadsheet!AO254,data!$H$4:$I$9))</f>
        <v/>
      </c>
      <c r="AP143" s="188" t="str">
        <f>IF(ISERROR(getgrade(Broadsheet!AP254,data!$H$4:$I$9)),"#",getgrade(Broadsheet!AP254,data!$H$4:$I$9))</f>
        <v/>
      </c>
      <c r="AQ143" s="188" t="str">
        <f>IF(ISERROR(getgrade(Broadsheet!AQ254,data!$H$4:$I$9)),"#",getgrade(Broadsheet!AQ254,data!$H$4:$I$9))</f>
        <v/>
      </c>
      <c r="AR143" s="188" t="str">
        <f>IF(ISERROR(getgrade(Broadsheet!AR254,data!$H$4:$I$9)),"#",getgrade(Broadsheet!AR254,data!$H$4:$I$9))</f>
        <v/>
      </c>
      <c r="AS143" s="188" t="str">
        <f>IF(ISERROR(getgrade(Broadsheet!AS254,data!$H$4:$I$9)),"#",getgrade(Broadsheet!AS254,data!$H$4:$I$9))</f>
        <v/>
      </c>
      <c r="AT143" s="188" t="str">
        <f>IF(ISERROR(getgrade(Broadsheet!AT254,data!$H$4:$I$9)),"#",getgrade(Broadsheet!AT254,data!$H$4:$I$9))</f>
        <v/>
      </c>
      <c r="AU143" s="188" t="str">
        <f>IF(ISERROR(getgrade(Broadsheet!AU254,data!$H$4:$I$9)),"#",getgrade(Broadsheet!AU254,data!$H$4:$I$9))</f>
        <v/>
      </c>
      <c r="AV143" s="188" t="str">
        <f>IF(ISERROR(getgrade(Broadsheet!AV254,data!$H$4:$I$9)),"#",getgrade(Broadsheet!AV254,data!$H$4:$I$9))</f>
        <v/>
      </c>
      <c r="AW143" s="188" t="str">
        <f>IF(ISERROR(getgrade(Broadsheet!AW254,data!$H$4:$I$9)),"#",getgrade(Broadsheet!AW254,data!$H$4:$I$9))</f>
        <v/>
      </c>
      <c r="AX143" s="188" t="str">
        <f>IF(ISERROR(getgrade(Broadsheet!AX254,data!$H$4:$I$9)),"#",getgrade(Broadsheet!AX254,data!$H$4:$I$9))</f>
        <v/>
      </c>
      <c r="AY143" s="188" t="str">
        <f>IF(ISERROR(getgrade(Broadsheet!AY254,data!$H$4:$I$9)),"#",getgrade(Broadsheet!AY254,data!$H$4:$I$9))</f>
        <v/>
      </c>
      <c r="AZ143" s="188" t="str">
        <f>IF(ISERROR(getgrade(Broadsheet!AZ254,data!$H$4:$I$9)),"#",getgrade(Broadsheet!AZ254,data!$H$4:$I$9))</f>
        <v/>
      </c>
      <c r="BA143" s="188" t="str">
        <f>IF(ISERROR(getgrade(Broadsheet!BA254,data!$H$4:$I$9)),"#",getgrade(Broadsheet!BA254,data!$H$4:$I$9))</f>
        <v/>
      </c>
      <c r="BB143" s="188" t="str">
        <f>IF(ISERROR(getgrade(Broadsheet!BB254,data!$H$4:$I$9)),"#",getgrade(Broadsheet!BB254,data!$H$4:$I$9))</f>
        <v/>
      </c>
      <c r="BC143" s="188" t="str">
        <f>IF(ISERROR(getgrade(Broadsheet!BC254,data!$H$4:$I$9)),"#",getgrade(Broadsheet!BC254,data!$H$4:$I$9))</f>
        <v/>
      </c>
      <c r="BD143" s="188" t="str">
        <f>IF(ISERROR(getgrade(Broadsheet!BD254,data!$H$4:$I$9)),"#",getgrade(Broadsheet!BD254,data!$H$4:$I$9))</f>
        <v/>
      </c>
      <c r="BE143" s="188" t="str">
        <f>IF(ISERROR(getgrade(Broadsheet!BE254,data!$H$4:$I$9)),"#",getgrade(Broadsheet!BE254,data!$H$4:$I$9))</f>
        <v/>
      </c>
      <c r="BF143" s="188" t="str">
        <f>IF(ISERROR(getgrade(Broadsheet!BF254,data!$H$4:$I$9)),"#",getgrade(Broadsheet!BF254,data!$H$4:$I$9))</f>
        <v/>
      </c>
      <c r="BG143" s="188" t="str">
        <f>IF(ISERROR(getgrade(Broadsheet!BG254,data!$H$4:$I$9)),"#",getgrade(Broadsheet!BG254,data!$H$4:$I$9))</f>
        <v/>
      </c>
      <c r="BH143" s="188" t="str">
        <f>IF(ISERROR(getgrade(Broadsheet!BH254,data!$H$4:$I$9)),"#",getgrade(Broadsheet!BH254,data!$H$4:$I$9))</f>
        <v/>
      </c>
      <c r="BI143" s="188" t="str">
        <f>IF(ISERROR(getgrade(Broadsheet!BI254,data!$H$4:$I$9)),"#",getgrade(Broadsheet!BI254,data!$H$4:$I$9))</f>
        <v/>
      </c>
      <c r="BJ143" s="188" t="str">
        <f>IF(ISERROR(getgrade(Broadsheet!BJ254,data!$H$4:$I$9)),"#",getgrade(Broadsheet!BJ254,data!$H$4:$I$9))</f>
        <v/>
      </c>
      <c r="BK143" s="188"/>
      <c r="BL143" s="188"/>
      <c r="BM143" s="188"/>
      <c r="BN143" s="188"/>
      <c r="BO143" s="188"/>
      <c r="BP143" s="188"/>
      <c r="BQ143" s="188"/>
      <c r="BR143" s="188"/>
      <c r="BS143" s="188"/>
      <c r="BT143" s="188"/>
      <c r="BU143" s="188"/>
      <c r="BV143" s="188"/>
      <c r="BW143" s="188"/>
      <c r="BX143" s="188"/>
      <c r="BY143" s="188"/>
      <c r="BZ143" s="188"/>
      <c r="CA143" s="188"/>
      <c r="CB143" s="188"/>
      <c r="CC143" s="188"/>
      <c r="CD143" s="188"/>
      <c r="CE143" s="188"/>
      <c r="CF143" s="188"/>
      <c r="CG143" s="188"/>
      <c r="CH143" s="188"/>
      <c r="CI143" s="188"/>
      <c r="CJ143" s="188"/>
      <c r="CK143" s="188"/>
      <c r="CL143" s="188"/>
      <c r="CM143" s="188"/>
      <c r="CN143" s="188"/>
      <c r="CO143" s="188"/>
      <c r="CP143" s="188"/>
      <c r="CQ143" s="188"/>
      <c r="CR143" s="188"/>
      <c r="CS143" s="188"/>
      <c r="CT143" s="188"/>
      <c r="CU143" s="188"/>
      <c r="CV143" s="188"/>
      <c r="CW143" s="188"/>
      <c r="CX143" s="188"/>
      <c r="CY143" s="188"/>
      <c r="CZ143" s="188"/>
      <c r="DA143" s="188"/>
      <c r="DB143" s="188"/>
      <c r="DC143" s="188"/>
      <c r="DD143" s="188"/>
      <c r="DE143" s="188"/>
      <c r="DF143" s="188"/>
      <c r="DG143" s="188"/>
      <c r="DH143" s="188"/>
      <c r="DI143" s="188"/>
      <c r="DJ143" s="188"/>
      <c r="DK143" s="188"/>
      <c r="DL143" s="188"/>
      <c r="DM143" s="188"/>
      <c r="DN143" s="188"/>
      <c r="DO143" s="188"/>
      <c r="DP143" s="188"/>
      <c r="DQ143" s="188"/>
      <c r="DR143" s="188"/>
      <c r="DS143" s="188"/>
      <c r="DT143" s="188"/>
      <c r="DU143" s="188"/>
      <c r="DV143" s="188"/>
      <c r="DW143" s="188"/>
      <c r="DX143" s="188"/>
      <c r="DY143" s="188"/>
      <c r="DZ143" s="188"/>
      <c r="EA143" s="188"/>
    </row>
    <row r="144" spans="1:131" ht="15.75" x14ac:dyDescent="0.25">
      <c r="A144" s="12">
        <f>Broadsheet!A255</f>
        <v>0</v>
      </c>
      <c r="B144" s="204" t="str">
        <f>IF(Broadsheet!B144="","",Broadsheet!B144)</f>
        <v/>
      </c>
      <c r="C144" s="24" t="str">
        <f>IF(Broadsheet!C144="","",Broadsheet!C144)</f>
        <v xml:space="preserve"> </v>
      </c>
      <c r="G144" s="24" t="str">
        <f t="shared" si="2"/>
        <v/>
      </c>
      <c r="H144" s="188" t="str">
        <f>IF(ISERROR(getgrade(Broadsheet!H255,data!$H$4:$I$9)),"#",getgrade(Broadsheet!H255,data!$H$4:$I$9))</f>
        <v/>
      </c>
      <c r="I144" s="188" t="str">
        <f>IF(ISERROR(getgrade(Broadsheet!I255,data!$H$4:$I$9)),"#",getgrade(Broadsheet!I255,data!$H$4:$I$9))</f>
        <v/>
      </c>
      <c r="J144" s="188" t="str">
        <f>IF(ISERROR(getgrade(Broadsheet!J255,data!$H$4:$I$9)),"#",getgrade(Broadsheet!J255,data!$H$4:$I$9))</f>
        <v/>
      </c>
      <c r="K144" s="188" t="str">
        <f>IF(ISERROR(getgrade(Broadsheet!K255,data!$H$4:$I$9)),"#",getgrade(Broadsheet!K255,data!$H$4:$I$9))</f>
        <v/>
      </c>
      <c r="L144" s="188" t="str">
        <f>IF(ISERROR(getgrade(Broadsheet!L255,data!$H$4:$I$9)),"#",getgrade(Broadsheet!L255,data!$H$4:$I$9))</f>
        <v/>
      </c>
      <c r="M144" s="188" t="str">
        <f>IF(ISERROR(getgrade(Broadsheet!M255,data!$H$4:$I$9)),"#",getgrade(Broadsheet!M255,data!$H$4:$I$9))</f>
        <v/>
      </c>
      <c r="N144" s="188" t="str">
        <f>IF(ISERROR(getgrade(Broadsheet!N255,data!$H$4:$I$9)),"#",getgrade(Broadsheet!N255,data!$H$4:$I$9))</f>
        <v/>
      </c>
      <c r="O144" s="188" t="str">
        <f>IF(ISERROR(getgrade(Broadsheet!O255,data!$H$4:$I$9)),"#",getgrade(Broadsheet!O255,data!$H$4:$I$9))</f>
        <v/>
      </c>
      <c r="P144" s="188" t="str">
        <f>IF(ISERROR(getgrade(Broadsheet!P255,data!$H$4:$I$9)),"#",getgrade(Broadsheet!P255,data!$H$4:$I$9))</f>
        <v/>
      </c>
      <c r="Q144" s="188" t="str">
        <f>IF(ISERROR(getgrade(Broadsheet!Q255,data!$H$4:$I$9)),"#",getgrade(Broadsheet!Q255,data!$H$4:$I$9))</f>
        <v/>
      </c>
      <c r="R144" s="188" t="str">
        <f>IF(ISERROR(getgrade(Broadsheet!R255,data!$H$4:$I$9)),"#",getgrade(Broadsheet!R255,data!$H$4:$I$9))</f>
        <v/>
      </c>
      <c r="S144" s="188" t="str">
        <f>IF(ISERROR(getgrade(Broadsheet!S255,data!$H$4:$I$9)),"#",getgrade(Broadsheet!S255,data!$H$4:$I$9))</f>
        <v/>
      </c>
      <c r="T144" s="188" t="str">
        <f>IF(ISERROR(getgrade(Broadsheet!T255,data!$H$4:$I$9)),"#",getgrade(Broadsheet!T255,data!$H$4:$I$9))</f>
        <v/>
      </c>
      <c r="U144" s="188" t="str">
        <f>IF(ISERROR(getgrade(Broadsheet!U255,data!$H$4:$I$9)),"#",getgrade(Broadsheet!U255,data!$H$4:$I$9))</f>
        <v/>
      </c>
      <c r="V144" s="188" t="str">
        <f>IF(ISERROR(getgrade(Broadsheet!V255,data!$H$4:$I$9)),"#",getgrade(Broadsheet!V255,data!$H$4:$I$9))</f>
        <v/>
      </c>
      <c r="W144" s="188" t="str">
        <f>IF(ISERROR(getgrade(Broadsheet!W255,data!$H$4:$I$9)),"#",getgrade(Broadsheet!W255,data!$H$4:$I$9))</f>
        <v/>
      </c>
      <c r="X144" s="188" t="str">
        <f>IF(ISERROR(getgrade(Broadsheet!X255,data!$H$4:$I$9)),"#",getgrade(Broadsheet!X255,data!$H$4:$I$9))</f>
        <v/>
      </c>
      <c r="Y144" s="188" t="str">
        <f>IF(ISERROR(getgrade(Broadsheet!Y255,data!$H$4:$I$9)),"#",getgrade(Broadsheet!Y255,data!$H$4:$I$9))</f>
        <v/>
      </c>
      <c r="Z144" s="188" t="str">
        <f>IF(ISERROR(getgrade(Broadsheet!Z255,data!$H$4:$I$9)),"#",getgrade(Broadsheet!Z255,data!$H$4:$I$9))</f>
        <v/>
      </c>
      <c r="AA144" s="188" t="str">
        <f>IF(ISERROR(getgrade(Broadsheet!AA255,data!$H$4:$I$9)),"#",getgrade(Broadsheet!AA255,data!$H$4:$I$9))</f>
        <v/>
      </c>
      <c r="AB144" s="188" t="str">
        <f>IF(ISERROR(getgrade(Broadsheet!AB255,data!$H$4:$I$9)),"#",getgrade(Broadsheet!AB255,data!$H$4:$I$9))</f>
        <v/>
      </c>
      <c r="AC144" s="188" t="str">
        <f>IF(ISERROR(getgrade(Broadsheet!AC255,data!$H$4:$I$9)),"#",getgrade(Broadsheet!AC255,data!$H$4:$I$9))</f>
        <v/>
      </c>
      <c r="AD144" s="188" t="str">
        <f>IF(ISERROR(getgrade(Broadsheet!AD255,data!$H$4:$I$9)),"#",getgrade(Broadsheet!AD255,data!$H$4:$I$9))</f>
        <v/>
      </c>
      <c r="AE144" s="188" t="str">
        <f>IF(ISERROR(getgrade(Broadsheet!AE255,data!$H$4:$I$9)),"#",getgrade(Broadsheet!AE255,data!$H$4:$I$9))</f>
        <v/>
      </c>
      <c r="AF144" s="188" t="str">
        <f>IF(ISERROR(getgrade(Broadsheet!AF255,data!$H$4:$I$9)),"#",getgrade(Broadsheet!AF255,data!$H$4:$I$9))</f>
        <v/>
      </c>
      <c r="AG144" s="188" t="str">
        <f>IF(ISERROR(getgrade(Broadsheet!AG255,data!$H$4:$I$9)),"#",getgrade(Broadsheet!AG255,data!$H$4:$I$9))</f>
        <v/>
      </c>
      <c r="AH144" s="188" t="str">
        <f>IF(ISERROR(getgrade(Broadsheet!AH255,data!$H$4:$I$9)),"#",getgrade(Broadsheet!AH255,data!$H$4:$I$9))</f>
        <v/>
      </c>
      <c r="AI144" s="188" t="str">
        <f>IF(ISERROR(getgrade(Broadsheet!AI255,data!$H$4:$I$9)),"#",getgrade(Broadsheet!AI255,data!$H$4:$I$9))</f>
        <v/>
      </c>
      <c r="AJ144" s="188" t="str">
        <f>IF(ISERROR(getgrade(Broadsheet!AJ255,data!$H$4:$I$9)),"#",getgrade(Broadsheet!AJ255,data!$H$4:$I$9))</f>
        <v/>
      </c>
      <c r="AK144" s="188" t="str">
        <f>IF(ISERROR(getgrade(Broadsheet!AK255,data!$H$4:$I$9)),"#",getgrade(Broadsheet!AK255,data!$H$4:$I$9))</f>
        <v/>
      </c>
      <c r="AL144" s="188" t="str">
        <f>IF(ISERROR(getgrade(Broadsheet!AL255,data!$H$4:$I$9)),"#",getgrade(Broadsheet!AL255,data!$H$4:$I$9))</f>
        <v/>
      </c>
      <c r="AM144" s="188" t="str">
        <f>IF(ISERROR(getgrade(Broadsheet!AM255,data!$H$4:$I$9)),"#",getgrade(Broadsheet!AM255,data!$H$4:$I$9))</f>
        <v/>
      </c>
      <c r="AN144" s="188" t="str">
        <f>IF(ISERROR(getgrade(Broadsheet!AN255,data!$H$4:$I$9)),"#",getgrade(Broadsheet!AN255,data!$H$4:$I$9))</f>
        <v/>
      </c>
      <c r="AO144" s="188" t="str">
        <f>IF(ISERROR(getgrade(Broadsheet!AO255,data!$H$4:$I$9)),"#",getgrade(Broadsheet!AO255,data!$H$4:$I$9))</f>
        <v/>
      </c>
      <c r="AP144" s="188" t="str">
        <f>IF(ISERROR(getgrade(Broadsheet!AP255,data!$H$4:$I$9)),"#",getgrade(Broadsheet!AP255,data!$H$4:$I$9))</f>
        <v/>
      </c>
      <c r="AQ144" s="188" t="str">
        <f>IF(ISERROR(getgrade(Broadsheet!AQ255,data!$H$4:$I$9)),"#",getgrade(Broadsheet!AQ255,data!$H$4:$I$9))</f>
        <v/>
      </c>
      <c r="AR144" s="188" t="str">
        <f>IF(ISERROR(getgrade(Broadsheet!AR255,data!$H$4:$I$9)),"#",getgrade(Broadsheet!AR255,data!$H$4:$I$9))</f>
        <v/>
      </c>
      <c r="AS144" s="188" t="str">
        <f>IF(ISERROR(getgrade(Broadsheet!AS255,data!$H$4:$I$9)),"#",getgrade(Broadsheet!AS255,data!$H$4:$I$9))</f>
        <v/>
      </c>
      <c r="AT144" s="188" t="str">
        <f>IF(ISERROR(getgrade(Broadsheet!AT255,data!$H$4:$I$9)),"#",getgrade(Broadsheet!AT255,data!$H$4:$I$9))</f>
        <v/>
      </c>
      <c r="AU144" s="188" t="str">
        <f>IF(ISERROR(getgrade(Broadsheet!AU255,data!$H$4:$I$9)),"#",getgrade(Broadsheet!AU255,data!$H$4:$I$9))</f>
        <v/>
      </c>
      <c r="AV144" s="188" t="str">
        <f>IF(ISERROR(getgrade(Broadsheet!AV255,data!$H$4:$I$9)),"#",getgrade(Broadsheet!AV255,data!$H$4:$I$9))</f>
        <v/>
      </c>
      <c r="AW144" s="188" t="str">
        <f>IF(ISERROR(getgrade(Broadsheet!AW255,data!$H$4:$I$9)),"#",getgrade(Broadsheet!AW255,data!$H$4:$I$9))</f>
        <v/>
      </c>
      <c r="AX144" s="188" t="str">
        <f>IF(ISERROR(getgrade(Broadsheet!AX255,data!$H$4:$I$9)),"#",getgrade(Broadsheet!AX255,data!$H$4:$I$9))</f>
        <v/>
      </c>
      <c r="AY144" s="188" t="str">
        <f>IF(ISERROR(getgrade(Broadsheet!AY255,data!$H$4:$I$9)),"#",getgrade(Broadsheet!AY255,data!$H$4:$I$9))</f>
        <v/>
      </c>
      <c r="AZ144" s="188" t="str">
        <f>IF(ISERROR(getgrade(Broadsheet!AZ255,data!$H$4:$I$9)),"#",getgrade(Broadsheet!AZ255,data!$H$4:$I$9))</f>
        <v/>
      </c>
      <c r="BA144" s="188" t="str">
        <f>IF(ISERROR(getgrade(Broadsheet!BA255,data!$H$4:$I$9)),"#",getgrade(Broadsheet!BA255,data!$H$4:$I$9))</f>
        <v/>
      </c>
      <c r="BB144" s="188" t="str">
        <f>IF(ISERROR(getgrade(Broadsheet!BB255,data!$H$4:$I$9)),"#",getgrade(Broadsheet!BB255,data!$H$4:$I$9))</f>
        <v/>
      </c>
      <c r="BC144" s="188" t="str">
        <f>IF(ISERROR(getgrade(Broadsheet!BC255,data!$H$4:$I$9)),"#",getgrade(Broadsheet!BC255,data!$H$4:$I$9))</f>
        <v/>
      </c>
      <c r="BD144" s="188" t="str">
        <f>IF(ISERROR(getgrade(Broadsheet!BD255,data!$H$4:$I$9)),"#",getgrade(Broadsheet!BD255,data!$H$4:$I$9))</f>
        <v/>
      </c>
      <c r="BE144" s="188" t="str">
        <f>IF(ISERROR(getgrade(Broadsheet!BE255,data!$H$4:$I$9)),"#",getgrade(Broadsheet!BE255,data!$H$4:$I$9))</f>
        <v/>
      </c>
      <c r="BF144" s="188" t="str">
        <f>IF(ISERROR(getgrade(Broadsheet!BF255,data!$H$4:$I$9)),"#",getgrade(Broadsheet!BF255,data!$H$4:$I$9))</f>
        <v/>
      </c>
      <c r="BG144" s="188" t="str">
        <f>IF(ISERROR(getgrade(Broadsheet!BG255,data!$H$4:$I$9)),"#",getgrade(Broadsheet!BG255,data!$H$4:$I$9))</f>
        <v/>
      </c>
      <c r="BH144" s="188" t="str">
        <f>IF(ISERROR(getgrade(Broadsheet!BH255,data!$H$4:$I$9)),"#",getgrade(Broadsheet!BH255,data!$H$4:$I$9))</f>
        <v/>
      </c>
      <c r="BI144" s="188" t="str">
        <f>IF(ISERROR(getgrade(Broadsheet!BI255,data!$H$4:$I$9)),"#",getgrade(Broadsheet!BI255,data!$H$4:$I$9))</f>
        <v/>
      </c>
      <c r="BJ144" s="188" t="str">
        <f>IF(ISERROR(getgrade(Broadsheet!BJ255,data!$H$4:$I$9)),"#",getgrade(Broadsheet!BJ255,data!$H$4:$I$9))</f>
        <v/>
      </c>
      <c r="BK144" s="188"/>
      <c r="BL144" s="188"/>
      <c r="BM144" s="188"/>
      <c r="BN144" s="188"/>
      <c r="BO144" s="188"/>
      <c r="BP144" s="188"/>
      <c r="BQ144" s="188"/>
      <c r="BR144" s="188"/>
      <c r="BS144" s="188"/>
      <c r="BT144" s="188"/>
      <c r="BU144" s="188"/>
      <c r="BV144" s="188"/>
      <c r="BW144" s="188"/>
      <c r="BX144" s="188"/>
      <c r="BY144" s="188"/>
      <c r="BZ144" s="188"/>
      <c r="CA144" s="188"/>
      <c r="CB144" s="188"/>
      <c r="CC144" s="188"/>
      <c r="CD144" s="188"/>
      <c r="CE144" s="188"/>
      <c r="CF144" s="188"/>
      <c r="CG144" s="188"/>
      <c r="CH144" s="188"/>
      <c r="CI144" s="188"/>
      <c r="CJ144" s="188"/>
      <c r="CK144" s="188"/>
      <c r="CL144" s="188"/>
      <c r="CM144" s="188"/>
      <c r="CN144" s="188"/>
      <c r="CO144" s="188"/>
      <c r="CP144" s="188"/>
      <c r="CQ144" s="188"/>
      <c r="CR144" s="188"/>
      <c r="CS144" s="188"/>
      <c r="CT144" s="188"/>
      <c r="CU144" s="188"/>
      <c r="CV144" s="188"/>
      <c r="CW144" s="188"/>
      <c r="CX144" s="188"/>
      <c r="CY144" s="188"/>
      <c r="CZ144" s="188"/>
      <c r="DA144" s="188"/>
      <c r="DB144" s="188"/>
      <c r="DC144" s="188"/>
      <c r="DD144" s="188"/>
      <c r="DE144" s="188"/>
      <c r="DF144" s="188"/>
      <c r="DG144" s="188"/>
      <c r="DH144" s="188"/>
      <c r="DI144" s="188"/>
      <c r="DJ144" s="188"/>
      <c r="DK144" s="188"/>
      <c r="DL144" s="188"/>
      <c r="DM144" s="188"/>
      <c r="DN144" s="188"/>
      <c r="DO144" s="188"/>
      <c r="DP144" s="188"/>
      <c r="DQ144" s="188"/>
      <c r="DR144" s="188"/>
      <c r="DS144" s="188"/>
      <c r="DT144" s="188"/>
      <c r="DU144" s="188"/>
      <c r="DV144" s="188"/>
      <c r="DW144" s="188"/>
      <c r="DX144" s="188"/>
      <c r="DY144" s="188"/>
      <c r="DZ144" s="188"/>
      <c r="EA144" s="188"/>
    </row>
    <row r="145" spans="1:131" ht="15.75" x14ac:dyDescent="0.25">
      <c r="A145" s="12">
        <f>Broadsheet!A256</f>
        <v>0</v>
      </c>
      <c r="B145" s="204" t="str">
        <f>IF(Broadsheet!B145="","",Broadsheet!B145)</f>
        <v/>
      </c>
      <c r="C145" s="24" t="str">
        <f>IF(Broadsheet!C145="","",Broadsheet!C145)</f>
        <v xml:space="preserve"> </v>
      </c>
      <c r="G145" s="24" t="str">
        <f t="shared" si="2"/>
        <v/>
      </c>
      <c r="H145" s="188" t="str">
        <f>IF(ISERROR(getgrade(Broadsheet!H256,data!$H$4:$I$9)),"#",getgrade(Broadsheet!H256,data!$H$4:$I$9))</f>
        <v/>
      </c>
      <c r="I145" s="188" t="str">
        <f>IF(ISERROR(getgrade(Broadsheet!I256,data!$H$4:$I$9)),"#",getgrade(Broadsheet!I256,data!$H$4:$I$9))</f>
        <v/>
      </c>
      <c r="J145" s="188" t="str">
        <f>IF(ISERROR(getgrade(Broadsheet!J256,data!$H$4:$I$9)),"#",getgrade(Broadsheet!J256,data!$H$4:$I$9))</f>
        <v/>
      </c>
      <c r="K145" s="188" t="str">
        <f>IF(ISERROR(getgrade(Broadsheet!K256,data!$H$4:$I$9)),"#",getgrade(Broadsheet!K256,data!$H$4:$I$9))</f>
        <v/>
      </c>
      <c r="L145" s="188" t="str">
        <f>IF(ISERROR(getgrade(Broadsheet!L256,data!$H$4:$I$9)),"#",getgrade(Broadsheet!L256,data!$H$4:$I$9))</f>
        <v/>
      </c>
      <c r="M145" s="188" t="str">
        <f>IF(ISERROR(getgrade(Broadsheet!M256,data!$H$4:$I$9)),"#",getgrade(Broadsheet!M256,data!$H$4:$I$9))</f>
        <v/>
      </c>
      <c r="N145" s="188" t="str">
        <f>IF(ISERROR(getgrade(Broadsheet!N256,data!$H$4:$I$9)),"#",getgrade(Broadsheet!N256,data!$H$4:$I$9))</f>
        <v/>
      </c>
      <c r="O145" s="188" t="str">
        <f>IF(ISERROR(getgrade(Broadsheet!O256,data!$H$4:$I$9)),"#",getgrade(Broadsheet!O256,data!$H$4:$I$9))</f>
        <v/>
      </c>
      <c r="P145" s="188" t="str">
        <f>IF(ISERROR(getgrade(Broadsheet!P256,data!$H$4:$I$9)),"#",getgrade(Broadsheet!P256,data!$H$4:$I$9))</f>
        <v/>
      </c>
      <c r="Q145" s="188" t="str">
        <f>IF(ISERROR(getgrade(Broadsheet!Q256,data!$H$4:$I$9)),"#",getgrade(Broadsheet!Q256,data!$H$4:$I$9))</f>
        <v/>
      </c>
      <c r="R145" s="188" t="str">
        <f>IF(ISERROR(getgrade(Broadsheet!R256,data!$H$4:$I$9)),"#",getgrade(Broadsheet!R256,data!$H$4:$I$9))</f>
        <v/>
      </c>
      <c r="S145" s="188" t="str">
        <f>IF(ISERROR(getgrade(Broadsheet!S256,data!$H$4:$I$9)),"#",getgrade(Broadsheet!S256,data!$H$4:$I$9))</f>
        <v/>
      </c>
      <c r="T145" s="188" t="str">
        <f>IF(ISERROR(getgrade(Broadsheet!T256,data!$H$4:$I$9)),"#",getgrade(Broadsheet!T256,data!$H$4:$I$9))</f>
        <v/>
      </c>
      <c r="U145" s="188" t="str">
        <f>IF(ISERROR(getgrade(Broadsheet!U256,data!$H$4:$I$9)),"#",getgrade(Broadsheet!U256,data!$H$4:$I$9))</f>
        <v/>
      </c>
      <c r="V145" s="188" t="str">
        <f>IF(ISERROR(getgrade(Broadsheet!V256,data!$H$4:$I$9)),"#",getgrade(Broadsheet!V256,data!$H$4:$I$9))</f>
        <v/>
      </c>
      <c r="W145" s="188" t="str">
        <f>IF(ISERROR(getgrade(Broadsheet!W256,data!$H$4:$I$9)),"#",getgrade(Broadsheet!W256,data!$H$4:$I$9))</f>
        <v/>
      </c>
      <c r="X145" s="188" t="str">
        <f>IF(ISERROR(getgrade(Broadsheet!X256,data!$H$4:$I$9)),"#",getgrade(Broadsheet!X256,data!$H$4:$I$9))</f>
        <v/>
      </c>
      <c r="Y145" s="188" t="str">
        <f>IF(ISERROR(getgrade(Broadsheet!Y256,data!$H$4:$I$9)),"#",getgrade(Broadsheet!Y256,data!$H$4:$I$9))</f>
        <v/>
      </c>
      <c r="Z145" s="188" t="str">
        <f>IF(ISERROR(getgrade(Broadsheet!Z256,data!$H$4:$I$9)),"#",getgrade(Broadsheet!Z256,data!$H$4:$I$9))</f>
        <v/>
      </c>
      <c r="AA145" s="188" t="str">
        <f>IF(ISERROR(getgrade(Broadsheet!AA256,data!$H$4:$I$9)),"#",getgrade(Broadsheet!AA256,data!$H$4:$I$9))</f>
        <v/>
      </c>
      <c r="AB145" s="188" t="str">
        <f>IF(ISERROR(getgrade(Broadsheet!AB256,data!$H$4:$I$9)),"#",getgrade(Broadsheet!AB256,data!$H$4:$I$9))</f>
        <v/>
      </c>
      <c r="AC145" s="188" t="str">
        <f>IF(ISERROR(getgrade(Broadsheet!AC256,data!$H$4:$I$9)),"#",getgrade(Broadsheet!AC256,data!$H$4:$I$9))</f>
        <v/>
      </c>
      <c r="AD145" s="188" t="str">
        <f>IF(ISERROR(getgrade(Broadsheet!AD256,data!$H$4:$I$9)),"#",getgrade(Broadsheet!AD256,data!$H$4:$I$9))</f>
        <v/>
      </c>
      <c r="AE145" s="188" t="str">
        <f>IF(ISERROR(getgrade(Broadsheet!AE256,data!$H$4:$I$9)),"#",getgrade(Broadsheet!AE256,data!$H$4:$I$9))</f>
        <v/>
      </c>
      <c r="AF145" s="188" t="str">
        <f>IF(ISERROR(getgrade(Broadsheet!AF256,data!$H$4:$I$9)),"#",getgrade(Broadsheet!AF256,data!$H$4:$I$9))</f>
        <v/>
      </c>
      <c r="AG145" s="188" t="str">
        <f>IF(ISERROR(getgrade(Broadsheet!AG256,data!$H$4:$I$9)),"#",getgrade(Broadsheet!AG256,data!$H$4:$I$9))</f>
        <v/>
      </c>
      <c r="AH145" s="188" t="str">
        <f>IF(ISERROR(getgrade(Broadsheet!AH256,data!$H$4:$I$9)),"#",getgrade(Broadsheet!AH256,data!$H$4:$I$9))</f>
        <v/>
      </c>
      <c r="AI145" s="188" t="str">
        <f>IF(ISERROR(getgrade(Broadsheet!AI256,data!$H$4:$I$9)),"#",getgrade(Broadsheet!AI256,data!$H$4:$I$9))</f>
        <v/>
      </c>
      <c r="AJ145" s="188" t="str">
        <f>IF(ISERROR(getgrade(Broadsheet!AJ256,data!$H$4:$I$9)),"#",getgrade(Broadsheet!AJ256,data!$H$4:$I$9))</f>
        <v/>
      </c>
      <c r="AK145" s="188" t="str">
        <f>IF(ISERROR(getgrade(Broadsheet!AK256,data!$H$4:$I$9)),"#",getgrade(Broadsheet!AK256,data!$H$4:$I$9))</f>
        <v/>
      </c>
      <c r="AL145" s="188" t="str">
        <f>IF(ISERROR(getgrade(Broadsheet!AL256,data!$H$4:$I$9)),"#",getgrade(Broadsheet!AL256,data!$H$4:$I$9))</f>
        <v/>
      </c>
      <c r="AM145" s="188" t="str">
        <f>IF(ISERROR(getgrade(Broadsheet!AM256,data!$H$4:$I$9)),"#",getgrade(Broadsheet!AM256,data!$H$4:$I$9))</f>
        <v/>
      </c>
      <c r="AN145" s="188" t="str">
        <f>IF(ISERROR(getgrade(Broadsheet!AN256,data!$H$4:$I$9)),"#",getgrade(Broadsheet!AN256,data!$H$4:$I$9))</f>
        <v/>
      </c>
      <c r="AO145" s="188" t="str">
        <f>IF(ISERROR(getgrade(Broadsheet!AO256,data!$H$4:$I$9)),"#",getgrade(Broadsheet!AO256,data!$H$4:$I$9))</f>
        <v/>
      </c>
      <c r="AP145" s="188" t="str">
        <f>IF(ISERROR(getgrade(Broadsheet!AP256,data!$H$4:$I$9)),"#",getgrade(Broadsheet!AP256,data!$H$4:$I$9))</f>
        <v/>
      </c>
      <c r="AQ145" s="188" t="str">
        <f>IF(ISERROR(getgrade(Broadsheet!AQ256,data!$H$4:$I$9)),"#",getgrade(Broadsheet!AQ256,data!$H$4:$I$9))</f>
        <v/>
      </c>
      <c r="AR145" s="188" t="str">
        <f>IF(ISERROR(getgrade(Broadsheet!AR256,data!$H$4:$I$9)),"#",getgrade(Broadsheet!AR256,data!$H$4:$I$9))</f>
        <v/>
      </c>
      <c r="AS145" s="188" t="str">
        <f>IF(ISERROR(getgrade(Broadsheet!AS256,data!$H$4:$I$9)),"#",getgrade(Broadsheet!AS256,data!$H$4:$I$9))</f>
        <v/>
      </c>
      <c r="AT145" s="188" t="str">
        <f>IF(ISERROR(getgrade(Broadsheet!AT256,data!$H$4:$I$9)),"#",getgrade(Broadsheet!AT256,data!$H$4:$I$9))</f>
        <v/>
      </c>
      <c r="AU145" s="188" t="str">
        <f>IF(ISERROR(getgrade(Broadsheet!AU256,data!$H$4:$I$9)),"#",getgrade(Broadsheet!AU256,data!$H$4:$I$9))</f>
        <v/>
      </c>
      <c r="AV145" s="188" t="str">
        <f>IF(ISERROR(getgrade(Broadsheet!AV256,data!$H$4:$I$9)),"#",getgrade(Broadsheet!AV256,data!$H$4:$I$9))</f>
        <v/>
      </c>
      <c r="AW145" s="188" t="str">
        <f>IF(ISERROR(getgrade(Broadsheet!AW256,data!$H$4:$I$9)),"#",getgrade(Broadsheet!AW256,data!$H$4:$I$9))</f>
        <v/>
      </c>
      <c r="AX145" s="188" t="str">
        <f>IF(ISERROR(getgrade(Broadsheet!AX256,data!$H$4:$I$9)),"#",getgrade(Broadsheet!AX256,data!$H$4:$I$9))</f>
        <v/>
      </c>
      <c r="AY145" s="188" t="str">
        <f>IF(ISERROR(getgrade(Broadsheet!AY256,data!$H$4:$I$9)),"#",getgrade(Broadsheet!AY256,data!$H$4:$I$9))</f>
        <v/>
      </c>
      <c r="AZ145" s="188" t="str">
        <f>IF(ISERROR(getgrade(Broadsheet!AZ256,data!$H$4:$I$9)),"#",getgrade(Broadsheet!AZ256,data!$H$4:$I$9))</f>
        <v/>
      </c>
      <c r="BA145" s="188" t="str">
        <f>IF(ISERROR(getgrade(Broadsheet!BA256,data!$H$4:$I$9)),"#",getgrade(Broadsheet!BA256,data!$H$4:$I$9))</f>
        <v/>
      </c>
      <c r="BB145" s="188" t="str">
        <f>IF(ISERROR(getgrade(Broadsheet!BB256,data!$H$4:$I$9)),"#",getgrade(Broadsheet!BB256,data!$H$4:$I$9))</f>
        <v/>
      </c>
      <c r="BC145" s="188" t="str">
        <f>IF(ISERROR(getgrade(Broadsheet!BC256,data!$H$4:$I$9)),"#",getgrade(Broadsheet!BC256,data!$H$4:$I$9))</f>
        <v/>
      </c>
      <c r="BD145" s="188" t="str">
        <f>IF(ISERROR(getgrade(Broadsheet!BD256,data!$H$4:$I$9)),"#",getgrade(Broadsheet!BD256,data!$H$4:$I$9))</f>
        <v/>
      </c>
      <c r="BE145" s="188" t="str">
        <f>IF(ISERROR(getgrade(Broadsheet!BE256,data!$H$4:$I$9)),"#",getgrade(Broadsheet!BE256,data!$H$4:$I$9))</f>
        <v/>
      </c>
      <c r="BF145" s="188" t="str">
        <f>IF(ISERROR(getgrade(Broadsheet!BF256,data!$H$4:$I$9)),"#",getgrade(Broadsheet!BF256,data!$H$4:$I$9))</f>
        <v/>
      </c>
      <c r="BG145" s="188" t="str">
        <f>IF(ISERROR(getgrade(Broadsheet!BG256,data!$H$4:$I$9)),"#",getgrade(Broadsheet!BG256,data!$H$4:$I$9))</f>
        <v/>
      </c>
      <c r="BH145" s="188" t="str">
        <f>IF(ISERROR(getgrade(Broadsheet!BH256,data!$H$4:$I$9)),"#",getgrade(Broadsheet!BH256,data!$H$4:$I$9))</f>
        <v/>
      </c>
      <c r="BI145" s="188" t="str">
        <f>IF(ISERROR(getgrade(Broadsheet!BI256,data!$H$4:$I$9)),"#",getgrade(Broadsheet!BI256,data!$H$4:$I$9))</f>
        <v/>
      </c>
      <c r="BJ145" s="188" t="str">
        <f>IF(ISERROR(getgrade(Broadsheet!BJ256,data!$H$4:$I$9)),"#",getgrade(Broadsheet!BJ256,data!$H$4:$I$9))</f>
        <v/>
      </c>
      <c r="BK145" s="188"/>
      <c r="BL145" s="188"/>
      <c r="BM145" s="188"/>
      <c r="BN145" s="188"/>
      <c r="BO145" s="188"/>
      <c r="BP145" s="188"/>
      <c r="BQ145" s="188"/>
      <c r="BR145" s="188"/>
      <c r="BS145" s="188"/>
      <c r="BT145" s="188"/>
      <c r="BU145" s="188"/>
      <c r="BV145" s="188"/>
      <c r="BW145" s="188"/>
      <c r="BX145" s="188"/>
      <c r="BY145" s="188"/>
      <c r="BZ145" s="188"/>
      <c r="CA145" s="188"/>
      <c r="CB145" s="188"/>
      <c r="CC145" s="188"/>
      <c r="CD145" s="188"/>
      <c r="CE145" s="188"/>
      <c r="CF145" s="188"/>
      <c r="CG145" s="188"/>
      <c r="CH145" s="188"/>
      <c r="CI145" s="188"/>
      <c r="CJ145" s="188"/>
      <c r="CK145" s="188"/>
      <c r="CL145" s="188"/>
      <c r="CM145" s="188"/>
      <c r="CN145" s="188"/>
      <c r="CO145" s="188"/>
      <c r="CP145" s="188"/>
      <c r="CQ145" s="188"/>
      <c r="CR145" s="188"/>
      <c r="CS145" s="188"/>
      <c r="CT145" s="188"/>
      <c r="CU145" s="188"/>
      <c r="CV145" s="188"/>
      <c r="CW145" s="188"/>
      <c r="CX145" s="188"/>
      <c r="CY145" s="188"/>
      <c r="CZ145" s="188"/>
      <c r="DA145" s="188"/>
      <c r="DB145" s="188"/>
      <c r="DC145" s="188"/>
      <c r="DD145" s="188"/>
      <c r="DE145" s="188"/>
      <c r="DF145" s="188"/>
      <c r="DG145" s="188"/>
      <c r="DH145" s="188"/>
      <c r="DI145" s="188"/>
      <c r="DJ145" s="188"/>
      <c r="DK145" s="188"/>
      <c r="DL145" s="188"/>
      <c r="DM145" s="188"/>
      <c r="DN145" s="188"/>
      <c r="DO145" s="188"/>
      <c r="DP145" s="188"/>
      <c r="DQ145" s="188"/>
      <c r="DR145" s="188"/>
      <c r="DS145" s="188"/>
      <c r="DT145" s="188"/>
      <c r="DU145" s="188"/>
      <c r="DV145" s="188"/>
      <c r="DW145" s="188"/>
      <c r="DX145" s="188"/>
      <c r="DY145" s="188"/>
      <c r="DZ145" s="188"/>
      <c r="EA145" s="188"/>
    </row>
    <row r="146" spans="1:131" ht="15.75" x14ac:dyDescent="0.25">
      <c r="A146" s="12">
        <f>Broadsheet!A257</f>
        <v>0</v>
      </c>
      <c r="B146" s="204" t="str">
        <f>IF(Broadsheet!B146="","",Broadsheet!B146)</f>
        <v/>
      </c>
      <c r="C146" s="24" t="str">
        <f>IF(Broadsheet!C146="","",Broadsheet!C146)</f>
        <v xml:space="preserve"> </v>
      </c>
      <c r="G146" s="24" t="str">
        <f t="shared" si="2"/>
        <v/>
      </c>
      <c r="H146" s="188" t="str">
        <f>IF(ISERROR(getgrade(Broadsheet!H257,data!$H$4:$I$9)),"#",getgrade(Broadsheet!H257,data!$H$4:$I$9))</f>
        <v/>
      </c>
      <c r="I146" s="188" t="str">
        <f>IF(ISERROR(getgrade(Broadsheet!I257,data!$H$4:$I$9)),"#",getgrade(Broadsheet!I257,data!$H$4:$I$9))</f>
        <v/>
      </c>
      <c r="J146" s="188" t="str">
        <f>IF(ISERROR(getgrade(Broadsheet!J257,data!$H$4:$I$9)),"#",getgrade(Broadsheet!J257,data!$H$4:$I$9))</f>
        <v/>
      </c>
      <c r="K146" s="188" t="str">
        <f>IF(ISERROR(getgrade(Broadsheet!K257,data!$H$4:$I$9)),"#",getgrade(Broadsheet!K257,data!$H$4:$I$9))</f>
        <v/>
      </c>
      <c r="L146" s="188" t="str">
        <f>IF(ISERROR(getgrade(Broadsheet!L257,data!$H$4:$I$9)),"#",getgrade(Broadsheet!L257,data!$H$4:$I$9))</f>
        <v/>
      </c>
      <c r="M146" s="188" t="str">
        <f>IF(ISERROR(getgrade(Broadsheet!M257,data!$H$4:$I$9)),"#",getgrade(Broadsheet!M257,data!$H$4:$I$9))</f>
        <v/>
      </c>
      <c r="N146" s="188" t="str">
        <f>IF(ISERROR(getgrade(Broadsheet!N257,data!$H$4:$I$9)),"#",getgrade(Broadsheet!N257,data!$H$4:$I$9))</f>
        <v/>
      </c>
      <c r="O146" s="188" t="str">
        <f>IF(ISERROR(getgrade(Broadsheet!O257,data!$H$4:$I$9)),"#",getgrade(Broadsheet!O257,data!$H$4:$I$9))</f>
        <v/>
      </c>
      <c r="P146" s="188" t="str">
        <f>IF(ISERROR(getgrade(Broadsheet!P257,data!$H$4:$I$9)),"#",getgrade(Broadsheet!P257,data!$H$4:$I$9))</f>
        <v/>
      </c>
      <c r="Q146" s="188" t="str">
        <f>IF(ISERROR(getgrade(Broadsheet!Q257,data!$H$4:$I$9)),"#",getgrade(Broadsheet!Q257,data!$H$4:$I$9))</f>
        <v/>
      </c>
      <c r="R146" s="188" t="str">
        <f>IF(ISERROR(getgrade(Broadsheet!R257,data!$H$4:$I$9)),"#",getgrade(Broadsheet!R257,data!$H$4:$I$9))</f>
        <v/>
      </c>
      <c r="S146" s="188" t="str">
        <f>IF(ISERROR(getgrade(Broadsheet!S257,data!$H$4:$I$9)),"#",getgrade(Broadsheet!S257,data!$H$4:$I$9))</f>
        <v/>
      </c>
      <c r="T146" s="188" t="str">
        <f>IF(ISERROR(getgrade(Broadsheet!T257,data!$H$4:$I$9)),"#",getgrade(Broadsheet!T257,data!$H$4:$I$9))</f>
        <v/>
      </c>
      <c r="U146" s="188" t="str">
        <f>IF(ISERROR(getgrade(Broadsheet!U257,data!$H$4:$I$9)),"#",getgrade(Broadsheet!U257,data!$H$4:$I$9))</f>
        <v/>
      </c>
      <c r="V146" s="188" t="str">
        <f>IF(ISERROR(getgrade(Broadsheet!V257,data!$H$4:$I$9)),"#",getgrade(Broadsheet!V257,data!$H$4:$I$9))</f>
        <v/>
      </c>
      <c r="W146" s="188" t="str">
        <f>IF(ISERROR(getgrade(Broadsheet!W257,data!$H$4:$I$9)),"#",getgrade(Broadsheet!W257,data!$H$4:$I$9))</f>
        <v/>
      </c>
      <c r="X146" s="188" t="str">
        <f>IF(ISERROR(getgrade(Broadsheet!X257,data!$H$4:$I$9)),"#",getgrade(Broadsheet!X257,data!$H$4:$I$9))</f>
        <v/>
      </c>
      <c r="Y146" s="188" t="str">
        <f>IF(ISERROR(getgrade(Broadsheet!Y257,data!$H$4:$I$9)),"#",getgrade(Broadsheet!Y257,data!$H$4:$I$9))</f>
        <v/>
      </c>
      <c r="Z146" s="188" t="str">
        <f>IF(ISERROR(getgrade(Broadsheet!Z257,data!$H$4:$I$9)),"#",getgrade(Broadsheet!Z257,data!$H$4:$I$9))</f>
        <v/>
      </c>
      <c r="AA146" s="188" t="str">
        <f>IF(ISERROR(getgrade(Broadsheet!AA257,data!$H$4:$I$9)),"#",getgrade(Broadsheet!AA257,data!$H$4:$I$9))</f>
        <v/>
      </c>
      <c r="AB146" s="188" t="str">
        <f>IF(ISERROR(getgrade(Broadsheet!AB257,data!$H$4:$I$9)),"#",getgrade(Broadsheet!AB257,data!$H$4:$I$9))</f>
        <v/>
      </c>
      <c r="AC146" s="188" t="str">
        <f>IF(ISERROR(getgrade(Broadsheet!AC257,data!$H$4:$I$9)),"#",getgrade(Broadsheet!AC257,data!$H$4:$I$9))</f>
        <v/>
      </c>
      <c r="AD146" s="188" t="str">
        <f>IF(ISERROR(getgrade(Broadsheet!AD257,data!$H$4:$I$9)),"#",getgrade(Broadsheet!AD257,data!$H$4:$I$9))</f>
        <v/>
      </c>
      <c r="AE146" s="188" t="str">
        <f>IF(ISERROR(getgrade(Broadsheet!AE257,data!$H$4:$I$9)),"#",getgrade(Broadsheet!AE257,data!$H$4:$I$9))</f>
        <v/>
      </c>
      <c r="AF146" s="188" t="str">
        <f>IF(ISERROR(getgrade(Broadsheet!AF257,data!$H$4:$I$9)),"#",getgrade(Broadsheet!AF257,data!$H$4:$I$9))</f>
        <v/>
      </c>
      <c r="AG146" s="188" t="str">
        <f>IF(ISERROR(getgrade(Broadsheet!AG257,data!$H$4:$I$9)),"#",getgrade(Broadsheet!AG257,data!$H$4:$I$9))</f>
        <v/>
      </c>
      <c r="AH146" s="188" t="str">
        <f>IF(ISERROR(getgrade(Broadsheet!AH257,data!$H$4:$I$9)),"#",getgrade(Broadsheet!AH257,data!$H$4:$I$9))</f>
        <v/>
      </c>
      <c r="AI146" s="188" t="str">
        <f>IF(ISERROR(getgrade(Broadsheet!AI257,data!$H$4:$I$9)),"#",getgrade(Broadsheet!AI257,data!$H$4:$I$9))</f>
        <v/>
      </c>
      <c r="AJ146" s="188" t="str">
        <f>IF(ISERROR(getgrade(Broadsheet!AJ257,data!$H$4:$I$9)),"#",getgrade(Broadsheet!AJ257,data!$H$4:$I$9))</f>
        <v/>
      </c>
      <c r="AK146" s="188" t="str">
        <f>IF(ISERROR(getgrade(Broadsheet!AK257,data!$H$4:$I$9)),"#",getgrade(Broadsheet!AK257,data!$H$4:$I$9))</f>
        <v/>
      </c>
      <c r="AL146" s="188" t="str">
        <f>IF(ISERROR(getgrade(Broadsheet!AL257,data!$H$4:$I$9)),"#",getgrade(Broadsheet!AL257,data!$H$4:$I$9))</f>
        <v/>
      </c>
      <c r="AM146" s="188" t="str">
        <f>IF(ISERROR(getgrade(Broadsheet!AM257,data!$H$4:$I$9)),"#",getgrade(Broadsheet!AM257,data!$H$4:$I$9))</f>
        <v/>
      </c>
      <c r="AN146" s="188" t="str">
        <f>IF(ISERROR(getgrade(Broadsheet!AN257,data!$H$4:$I$9)),"#",getgrade(Broadsheet!AN257,data!$H$4:$I$9))</f>
        <v/>
      </c>
      <c r="AO146" s="188" t="str">
        <f>IF(ISERROR(getgrade(Broadsheet!AO257,data!$H$4:$I$9)),"#",getgrade(Broadsheet!AO257,data!$H$4:$I$9))</f>
        <v/>
      </c>
      <c r="AP146" s="188" t="str">
        <f>IF(ISERROR(getgrade(Broadsheet!AP257,data!$H$4:$I$9)),"#",getgrade(Broadsheet!AP257,data!$H$4:$I$9))</f>
        <v/>
      </c>
      <c r="AQ146" s="188" t="str">
        <f>IF(ISERROR(getgrade(Broadsheet!AQ257,data!$H$4:$I$9)),"#",getgrade(Broadsheet!AQ257,data!$H$4:$I$9))</f>
        <v/>
      </c>
      <c r="AR146" s="188" t="str">
        <f>IF(ISERROR(getgrade(Broadsheet!AR257,data!$H$4:$I$9)),"#",getgrade(Broadsheet!AR257,data!$H$4:$I$9))</f>
        <v/>
      </c>
      <c r="AS146" s="188" t="str">
        <f>IF(ISERROR(getgrade(Broadsheet!AS257,data!$H$4:$I$9)),"#",getgrade(Broadsheet!AS257,data!$H$4:$I$9))</f>
        <v/>
      </c>
      <c r="AT146" s="188" t="str">
        <f>IF(ISERROR(getgrade(Broadsheet!AT257,data!$H$4:$I$9)),"#",getgrade(Broadsheet!AT257,data!$H$4:$I$9))</f>
        <v/>
      </c>
      <c r="AU146" s="188" t="str">
        <f>IF(ISERROR(getgrade(Broadsheet!AU257,data!$H$4:$I$9)),"#",getgrade(Broadsheet!AU257,data!$H$4:$I$9))</f>
        <v/>
      </c>
      <c r="AV146" s="188" t="str">
        <f>IF(ISERROR(getgrade(Broadsheet!AV257,data!$H$4:$I$9)),"#",getgrade(Broadsheet!AV257,data!$H$4:$I$9))</f>
        <v/>
      </c>
      <c r="AW146" s="188" t="str">
        <f>IF(ISERROR(getgrade(Broadsheet!AW257,data!$H$4:$I$9)),"#",getgrade(Broadsheet!AW257,data!$H$4:$I$9))</f>
        <v/>
      </c>
      <c r="AX146" s="188" t="str">
        <f>IF(ISERROR(getgrade(Broadsheet!AX257,data!$H$4:$I$9)),"#",getgrade(Broadsheet!AX257,data!$H$4:$I$9))</f>
        <v/>
      </c>
      <c r="AY146" s="188" t="str">
        <f>IF(ISERROR(getgrade(Broadsheet!AY257,data!$H$4:$I$9)),"#",getgrade(Broadsheet!AY257,data!$H$4:$I$9))</f>
        <v/>
      </c>
      <c r="AZ146" s="188" t="str">
        <f>IF(ISERROR(getgrade(Broadsheet!AZ257,data!$H$4:$I$9)),"#",getgrade(Broadsheet!AZ257,data!$H$4:$I$9))</f>
        <v/>
      </c>
      <c r="BA146" s="188" t="str">
        <f>IF(ISERROR(getgrade(Broadsheet!BA257,data!$H$4:$I$9)),"#",getgrade(Broadsheet!BA257,data!$H$4:$I$9))</f>
        <v/>
      </c>
      <c r="BB146" s="188" t="str">
        <f>IF(ISERROR(getgrade(Broadsheet!BB257,data!$H$4:$I$9)),"#",getgrade(Broadsheet!BB257,data!$H$4:$I$9))</f>
        <v/>
      </c>
      <c r="BC146" s="188" t="str">
        <f>IF(ISERROR(getgrade(Broadsheet!BC257,data!$H$4:$I$9)),"#",getgrade(Broadsheet!BC257,data!$H$4:$I$9))</f>
        <v/>
      </c>
      <c r="BD146" s="188" t="str">
        <f>IF(ISERROR(getgrade(Broadsheet!BD257,data!$H$4:$I$9)),"#",getgrade(Broadsheet!BD257,data!$H$4:$I$9))</f>
        <v/>
      </c>
      <c r="BE146" s="188" t="str">
        <f>IF(ISERROR(getgrade(Broadsheet!BE257,data!$H$4:$I$9)),"#",getgrade(Broadsheet!BE257,data!$H$4:$I$9))</f>
        <v/>
      </c>
      <c r="BF146" s="188" t="str">
        <f>IF(ISERROR(getgrade(Broadsheet!BF257,data!$H$4:$I$9)),"#",getgrade(Broadsheet!BF257,data!$H$4:$I$9))</f>
        <v/>
      </c>
      <c r="BG146" s="188" t="str">
        <f>IF(ISERROR(getgrade(Broadsheet!BG257,data!$H$4:$I$9)),"#",getgrade(Broadsheet!BG257,data!$H$4:$I$9))</f>
        <v/>
      </c>
      <c r="BH146" s="188" t="str">
        <f>IF(ISERROR(getgrade(Broadsheet!BH257,data!$H$4:$I$9)),"#",getgrade(Broadsheet!BH257,data!$H$4:$I$9))</f>
        <v/>
      </c>
      <c r="BI146" s="188" t="str">
        <f>IF(ISERROR(getgrade(Broadsheet!BI257,data!$H$4:$I$9)),"#",getgrade(Broadsheet!BI257,data!$H$4:$I$9))</f>
        <v/>
      </c>
      <c r="BJ146" s="188" t="str">
        <f>IF(ISERROR(getgrade(Broadsheet!BJ257,data!$H$4:$I$9)),"#",getgrade(Broadsheet!BJ257,data!$H$4:$I$9))</f>
        <v/>
      </c>
      <c r="BK146" s="188"/>
      <c r="BL146" s="188"/>
      <c r="BM146" s="188"/>
      <c r="BN146" s="188"/>
      <c r="BO146" s="188"/>
      <c r="BP146" s="188"/>
      <c r="BQ146" s="188"/>
      <c r="BR146" s="188"/>
      <c r="BS146" s="188"/>
      <c r="BT146" s="188"/>
      <c r="BU146" s="188"/>
      <c r="BV146" s="188"/>
      <c r="BW146" s="188"/>
      <c r="BX146" s="188"/>
      <c r="BY146" s="188"/>
      <c r="BZ146" s="188"/>
      <c r="CA146" s="188"/>
      <c r="CB146" s="188"/>
      <c r="CC146" s="188"/>
      <c r="CD146" s="188"/>
      <c r="CE146" s="188"/>
      <c r="CF146" s="188"/>
      <c r="CG146" s="188"/>
      <c r="CH146" s="188"/>
      <c r="CI146" s="188"/>
      <c r="CJ146" s="188"/>
      <c r="CK146" s="188"/>
      <c r="CL146" s="188"/>
      <c r="CM146" s="188"/>
      <c r="CN146" s="188"/>
      <c r="CO146" s="188"/>
      <c r="CP146" s="188"/>
      <c r="CQ146" s="188"/>
      <c r="CR146" s="188"/>
      <c r="CS146" s="188"/>
      <c r="CT146" s="188"/>
      <c r="CU146" s="188"/>
      <c r="CV146" s="188"/>
      <c r="CW146" s="188"/>
      <c r="CX146" s="188"/>
      <c r="CY146" s="188"/>
      <c r="CZ146" s="188"/>
      <c r="DA146" s="188"/>
      <c r="DB146" s="188"/>
      <c r="DC146" s="188"/>
      <c r="DD146" s="188"/>
      <c r="DE146" s="188"/>
      <c r="DF146" s="188"/>
      <c r="DG146" s="188"/>
      <c r="DH146" s="188"/>
      <c r="DI146" s="188"/>
      <c r="DJ146" s="188"/>
      <c r="DK146" s="188"/>
      <c r="DL146" s="188"/>
      <c r="DM146" s="188"/>
      <c r="DN146" s="188"/>
      <c r="DO146" s="188"/>
      <c r="DP146" s="188"/>
      <c r="DQ146" s="188"/>
      <c r="DR146" s="188"/>
      <c r="DS146" s="188"/>
      <c r="DT146" s="188"/>
      <c r="DU146" s="188"/>
      <c r="DV146" s="188"/>
      <c r="DW146" s="188"/>
      <c r="DX146" s="188"/>
      <c r="DY146" s="188"/>
      <c r="DZ146" s="188"/>
      <c r="EA146" s="188"/>
    </row>
    <row r="147" spans="1:131" ht="15.75" x14ac:dyDescent="0.25">
      <c r="A147" s="12">
        <f>Broadsheet!A258</f>
        <v>0</v>
      </c>
      <c r="B147" s="204" t="str">
        <f>IF(Broadsheet!B147="","",Broadsheet!B147)</f>
        <v/>
      </c>
      <c r="C147" s="24" t="str">
        <f>IF(Broadsheet!C147="","",Broadsheet!C147)</f>
        <v xml:space="preserve"> </v>
      </c>
      <c r="G147" s="24" t="str">
        <f t="shared" si="2"/>
        <v/>
      </c>
      <c r="H147" s="188" t="str">
        <f>IF(ISERROR(getgrade(Broadsheet!H258,data!$H$4:$I$9)),"#",getgrade(Broadsheet!H258,data!$H$4:$I$9))</f>
        <v/>
      </c>
      <c r="I147" s="188" t="str">
        <f>IF(ISERROR(getgrade(Broadsheet!I258,data!$H$4:$I$9)),"#",getgrade(Broadsheet!I258,data!$H$4:$I$9))</f>
        <v/>
      </c>
      <c r="J147" s="188" t="str">
        <f>IF(ISERROR(getgrade(Broadsheet!J258,data!$H$4:$I$9)),"#",getgrade(Broadsheet!J258,data!$H$4:$I$9))</f>
        <v/>
      </c>
      <c r="K147" s="188" t="str">
        <f>IF(ISERROR(getgrade(Broadsheet!K258,data!$H$4:$I$9)),"#",getgrade(Broadsheet!K258,data!$H$4:$I$9))</f>
        <v/>
      </c>
      <c r="L147" s="188" t="str">
        <f>IF(ISERROR(getgrade(Broadsheet!L258,data!$H$4:$I$9)),"#",getgrade(Broadsheet!L258,data!$H$4:$I$9))</f>
        <v/>
      </c>
      <c r="M147" s="188" t="str">
        <f>IF(ISERROR(getgrade(Broadsheet!M258,data!$H$4:$I$9)),"#",getgrade(Broadsheet!M258,data!$H$4:$I$9))</f>
        <v/>
      </c>
      <c r="N147" s="188" t="str">
        <f>IF(ISERROR(getgrade(Broadsheet!N258,data!$H$4:$I$9)),"#",getgrade(Broadsheet!N258,data!$H$4:$I$9))</f>
        <v/>
      </c>
      <c r="O147" s="188" t="str">
        <f>IF(ISERROR(getgrade(Broadsheet!O258,data!$H$4:$I$9)),"#",getgrade(Broadsheet!O258,data!$H$4:$I$9))</f>
        <v/>
      </c>
      <c r="P147" s="188" t="str">
        <f>IF(ISERROR(getgrade(Broadsheet!P258,data!$H$4:$I$9)),"#",getgrade(Broadsheet!P258,data!$H$4:$I$9))</f>
        <v/>
      </c>
      <c r="Q147" s="188" t="str">
        <f>IF(ISERROR(getgrade(Broadsheet!Q258,data!$H$4:$I$9)),"#",getgrade(Broadsheet!Q258,data!$H$4:$I$9))</f>
        <v/>
      </c>
      <c r="R147" s="188" t="str">
        <f>IF(ISERROR(getgrade(Broadsheet!R258,data!$H$4:$I$9)),"#",getgrade(Broadsheet!R258,data!$H$4:$I$9))</f>
        <v/>
      </c>
      <c r="S147" s="188" t="str">
        <f>IF(ISERROR(getgrade(Broadsheet!S258,data!$H$4:$I$9)),"#",getgrade(Broadsheet!S258,data!$H$4:$I$9))</f>
        <v/>
      </c>
      <c r="T147" s="188" t="str">
        <f>IF(ISERROR(getgrade(Broadsheet!T258,data!$H$4:$I$9)),"#",getgrade(Broadsheet!T258,data!$H$4:$I$9))</f>
        <v/>
      </c>
      <c r="U147" s="188" t="str">
        <f>IF(ISERROR(getgrade(Broadsheet!U258,data!$H$4:$I$9)),"#",getgrade(Broadsheet!U258,data!$H$4:$I$9))</f>
        <v/>
      </c>
      <c r="V147" s="188" t="str">
        <f>IF(ISERROR(getgrade(Broadsheet!V258,data!$H$4:$I$9)),"#",getgrade(Broadsheet!V258,data!$H$4:$I$9))</f>
        <v/>
      </c>
      <c r="W147" s="188" t="str">
        <f>IF(ISERROR(getgrade(Broadsheet!W258,data!$H$4:$I$9)),"#",getgrade(Broadsheet!W258,data!$H$4:$I$9))</f>
        <v/>
      </c>
      <c r="X147" s="188" t="str">
        <f>IF(ISERROR(getgrade(Broadsheet!X258,data!$H$4:$I$9)),"#",getgrade(Broadsheet!X258,data!$H$4:$I$9))</f>
        <v/>
      </c>
      <c r="Y147" s="188" t="str">
        <f>IF(ISERROR(getgrade(Broadsheet!Y258,data!$H$4:$I$9)),"#",getgrade(Broadsheet!Y258,data!$H$4:$I$9))</f>
        <v/>
      </c>
      <c r="Z147" s="188" t="str">
        <f>IF(ISERROR(getgrade(Broadsheet!Z258,data!$H$4:$I$9)),"#",getgrade(Broadsheet!Z258,data!$H$4:$I$9))</f>
        <v/>
      </c>
      <c r="AA147" s="188" t="str">
        <f>IF(ISERROR(getgrade(Broadsheet!AA258,data!$H$4:$I$9)),"#",getgrade(Broadsheet!AA258,data!$H$4:$I$9))</f>
        <v/>
      </c>
      <c r="AB147" s="188" t="str">
        <f>IF(ISERROR(getgrade(Broadsheet!AB258,data!$H$4:$I$9)),"#",getgrade(Broadsheet!AB258,data!$H$4:$I$9))</f>
        <v/>
      </c>
      <c r="AC147" s="188" t="str">
        <f>IF(ISERROR(getgrade(Broadsheet!AC258,data!$H$4:$I$9)),"#",getgrade(Broadsheet!AC258,data!$H$4:$I$9))</f>
        <v/>
      </c>
      <c r="AD147" s="188" t="str">
        <f>IF(ISERROR(getgrade(Broadsheet!AD258,data!$H$4:$I$9)),"#",getgrade(Broadsheet!AD258,data!$H$4:$I$9))</f>
        <v/>
      </c>
      <c r="AE147" s="188" t="str">
        <f>IF(ISERROR(getgrade(Broadsheet!AE258,data!$H$4:$I$9)),"#",getgrade(Broadsheet!AE258,data!$H$4:$I$9))</f>
        <v/>
      </c>
      <c r="AF147" s="188" t="str">
        <f>IF(ISERROR(getgrade(Broadsheet!AF258,data!$H$4:$I$9)),"#",getgrade(Broadsheet!AF258,data!$H$4:$I$9))</f>
        <v/>
      </c>
      <c r="AG147" s="188" t="str">
        <f>IF(ISERROR(getgrade(Broadsheet!AG258,data!$H$4:$I$9)),"#",getgrade(Broadsheet!AG258,data!$H$4:$I$9))</f>
        <v/>
      </c>
      <c r="AH147" s="188" t="str">
        <f>IF(ISERROR(getgrade(Broadsheet!AH258,data!$H$4:$I$9)),"#",getgrade(Broadsheet!AH258,data!$H$4:$I$9))</f>
        <v/>
      </c>
      <c r="AI147" s="188" t="str">
        <f>IF(ISERROR(getgrade(Broadsheet!AI258,data!$H$4:$I$9)),"#",getgrade(Broadsheet!AI258,data!$H$4:$I$9))</f>
        <v/>
      </c>
      <c r="AJ147" s="188" t="str">
        <f>IF(ISERROR(getgrade(Broadsheet!AJ258,data!$H$4:$I$9)),"#",getgrade(Broadsheet!AJ258,data!$H$4:$I$9))</f>
        <v/>
      </c>
      <c r="AK147" s="188" t="str">
        <f>IF(ISERROR(getgrade(Broadsheet!AK258,data!$H$4:$I$9)),"#",getgrade(Broadsheet!AK258,data!$H$4:$I$9))</f>
        <v/>
      </c>
      <c r="AL147" s="188" t="str">
        <f>IF(ISERROR(getgrade(Broadsheet!AL258,data!$H$4:$I$9)),"#",getgrade(Broadsheet!AL258,data!$H$4:$I$9))</f>
        <v/>
      </c>
      <c r="AM147" s="188" t="str">
        <f>IF(ISERROR(getgrade(Broadsheet!AM258,data!$H$4:$I$9)),"#",getgrade(Broadsheet!AM258,data!$H$4:$I$9))</f>
        <v/>
      </c>
      <c r="AN147" s="188" t="str">
        <f>IF(ISERROR(getgrade(Broadsheet!AN258,data!$H$4:$I$9)),"#",getgrade(Broadsheet!AN258,data!$H$4:$I$9))</f>
        <v/>
      </c>
      <c r="AO147" s="188" t="str">
        <f>IF(ISERROR(getgrade(Broadsheet!AO258,data!$H$4:$I$9)),"#",getgrade(Broadsheet!AO258,data!$H$4:$I$9))</f>
        <v/>
      </c>
      <c r="AP147" s="188" t="str">
        <f>IF(ISERROR(getgrade(Broadsheet!AP258,data!$H$4:$I$9)),"#",getgrade(Broadsheet!AP258,data!$H$4:$I$9))</f>
        <v/>
      </c>
      <c r="AQ147" s="188" t="str">
        <f>IF(ISERROR(getgrade(Broadsheet!AQ258,data!$H$4:$I$9)),"#",getgrade(Broadsheet!AQ258,data!$H$4:$I$9))</f>
        <v/>
      </c>
      <c r="AR147" s="188" t="str">
        <f>IF(ISERROR(getgrade(Broadsheet!AR258,data!$H$4:$I$9)),"#",getgrade(Broadsheet!AR258,data!$H$4:$I$9))</f>
        <v/>
      </c>
      <c r="AS147" s="188" t="str">
        <f>IF(ISERROR(getgrade(Broadsheet!AS258,data!$H$4:$I$9)),"#",getgrade(Broadsheet!AS258,data!$H$4:$I$9))</f>
        <v/>
      </c>
      <c r="AT147" s="188" t="str">
        <f>IF(ISERROR(getgrade(Broadsheet!AT258,data!$H$4:$I$9)),"#",getgrade(Broadsheet!AT258,data!$H$4:$I$9))</f>
        <v/>
      </c>
      <c r="AU147" s="188" t="str">
        <f>IF(ISERROR(getgrade(Broadsheet!AU258,data!$H$4:$I$9)),"#",getgrade(Broadsheet!AU258,data!$H$4:$I$9))</f>
        <v/>
      </c>
      <c r="AV147" s="188" t="str">
        <f>IF(ISERROR(getgrade(Broadsheet!AV258,data!$H$4:$I$9)),"#",getgrade(Broadsheet!AV258,data!$H$4:$I$9))</f>
        <v/>
      </c>
      <c r="AW147" s="188" t="str">
        <f>IF(ISERROR(getgrade(Broadsheet!AW258,data!$H$4:$I$9)),"#",getgrade(Broadsheet!AW258,data!$H$4:$I$9))</f>
        <v/>
      </c>
      <c r="AX147" s="188" t="str">
        <f>IF(ISERROR(getgrade(Broadsheet!AX258,data!$H$4:$I$9)),"#",getgrade(Broadsheet!AX258,data!$H$4:$I$9))</f>
        <v/>
      </c>
      <c r="AY147" s="188" t="str">
        <f>IF(ISERROR(getgrade(Broadsheet!AY258,data!$H$4:$I$9)),"#",getgrade(Broadsheet!AY258,data!$H$4:$I$9))</f>
        <v/>
      </c>
      <c r="AZ147" s="188" t="str">
        <f>IF(ISERROR(getgrade(Broadsheet!AZ258,data!$H$4:$I$9)),"#",getgrade(Broadsheet!AZ258,data!$H$4:$I$9))</f>
        <v/>
      </c>
      <c r="BA147" s="188" t="str">
        <f>IF(ISERROR(getgrade(Broadsheet!BA258,data!$H$4:$I$9)),"#",getgrade(Broadsheet!BA258,data!$H$4:$I$9))</f>
        <v/>
      </c>
      <c r="BB147" s="188" t="str">
        <f>IF(ISERROR(getgrade(Broadsheet!BB258,data!$H$4:$I$9)),"#",getgrade(Broadsheet!BB258,data!$H$4:$I$9))</f>
        <v/>
      </c>
      <c r="BC147" s="188" t="str">
        <f>IF(ISERROR(getgrade(Broadsheet!BC258,data!$H$4:$I$9)),"#",getgrade(Broadsheet!BC258,data!$H$4:$I$9))</f>
        <v/>
      </c>
      <c r="BD147" s="188" t="str">
        <f>IF(ISERROR(getgrade(Broadsheet!BD258,data!$H$4:$I$9)),"#",getgrade(Broadsheet!BD258,data!$H$4:$I$9))</f>
        <v/>
      </c>
      <c r="BE147" s="188" t="str">
        <f>IF(ISERROR(getgrade(Broadsheet!BE258,data!$H$4:$I$9)),"#",getgrade(Broadsheet!BE258,data!$H$4:$I$9))</f>
        <v/>
      </c>
      <c r="BF147" s="188" t="str">
        <f>IF(ISERROR(getgrade(Broadsheet!BF258,data!$H$4:$I$9)),"#",getgrade(Broadsheet!BF258,data!$H$4:$I$9))</f>
        <v/>
      </c>
      <c r="BG147" s="188" t="str">
        <f>IF(ISERROR(getgrade(Broadsheet!BG258,data!$H$4:$I$9)),"#",getgrade(Broadsheet!BG258,data!$H$4:$I$9))</f>
        <v/>
      </c>
      <c r="BH147" s="188" t="str">
        <f>IF(ISERROR(getgrade(Broadsheet!BH258,data!$H$4:$I$9)),"#",getgrade(Broadsheet!BH258,data!$H$4:$I$9))</f>
        <v/>
      </c>
      <c r="BI147" s="188" t="str">
        <f>IF(ISERROR(getgrade(Broadsheet!BI258,data!$H$4:$I$9)),"#",getgrade(Broadsheet!BI258,data!$H$4:$I$9))</f>
        <v/>
      </c>
      <c r="BJ147" s="188" t="str">
        <f>IF(ISERROR(getgrade(Broadsheet!BJ258,data!$H$4:$I$9)),"#",getgrade(Broadsheet!BJ258,data!$H$4:$I$9))</f>
        <v/>
      </c>
      <c r="BK147" s="188"/>
      <c r="BL147" s="188"/>
      <c r="BM147" s="188"/>
      <c r="BN147" s="188"/>
      <c r="BO147" s="188"/>
      <c r="BP147" s="188"/>
      <c r="BQ147" s="188"/>
      <c r="BR147" s="188"/>
      <c r="BS147" s="188"/>
      <c r="BT147" s="188"/>
      <c r="BU147" s="188"/>
      <c r="BV147" s="188"/>
      <c r="BW147" s="188"/>
      <c r="BX147" s="188"/>
      <c r="BY147" s="188"/>
      <c r="BZ147" s="188"/>
      <c r="CA147" s="188"/>
      <c r="CB147" s="188"/>
      <c r="CC147" s="188"/>
      <c r="CD147" s="188"/>
      <c r="CE147" s="188"/>
      <c r="CF147" s="188"/>
      <c r="CG147" s="188"/>
      <c r="CH147" s="188"/>
      <c r="CI147" s="188"/>
      <c r="CJ147" s="188"/>
      <c r="CK147" s="188"/>
      <c r="CL147" s="188"/>
      <c r="CM147" s="188"/>
      <c r="CN147" s="188"/>
      <c r="CO147" s="188"/>
      <c r="CP147" s="188"/>
      <c r="CQ147" s="188"/>
      <c r="CR147" s="188"/>
      <c r="CS147" s="188"/>
      <c r="CT147" s="188"/>
      <c r="CU147" s="188"/>
      <c r="CV147" s="188"/>
      <c r="CW147" s="188"/>
      <c r="CX147" s="188"/>
      <c r="CY147" s="188"/>
      <c r="CZ147" s="188"/>
      <c r="DA147" s="188"/>
      <c r="DB147" s="188"/>
      <c r="DC147" s="188"/>
      <c r="DD147" s="188"/>
      <c r="DE147" s="188"/>
      <c r="DF147" s="188"/>
      <c r="DG147" s="188"/>
      <c r="DH147" s="188"/>
      <c r="DI147" s="188"/>
      <c r="DJ147" s="188"/>
      <c r="DK147" s="188"/>
      <c r="DL147" s="188"/>
      <c r="DM147" s="188"/>
      <c r="DN147" s="188"/>
      <c r="DO147" s="188"/>
      <c r="DP147" s="188"/>
      <c r="DQ147" s="188"/>
      <c r="DR147" s="188"/>
      <c r="DS147" s="188"/>
      <c r="DT147" s="188"/>
      <c r="DU147" s="188"/>
      <c r="DV147" s="188"/>
      <c r="DW147" s="188"/>
      <c r="DX147" s="188"/>
      <c r="DY147" s="188"/>
      <c r="DZ147" s="188"/>
      <c r="EA147" s="188"/>
    </row>
    <row r="148" spans="1:131" ht="15.75" x14ac:dyDescent="0.25">
      <c r="A148" s="12">
        <f>Broadsheet!A259</f>
        <v>0</v>
      </c>
      <c r="B148" s="204" t="str">
        <f>IF(Broadsheet!B148="","",Broadsheet!B148)</f>
        <v/>
      </c>
      <c r="C148" s="24" t="str">
        <f>IF(Broadsheet!C148="","",Broadsheet!C148)</f>
        <v xml:space="preserve"> </v>
      </c>
      <c r="G148" s="24" t="str">
        <f t="shared" si="2"/>
        <v/>
      </c>
      <c r="H148" s="188" t="str">
        <f>IF(ISERROR(getgrade(Broadsheet!H259,data!$H$4:$I$9)),"#",getgrade(Broadsheet!H259,data!$H$4:$I$9))</f>
        <v/>
      </c>
      <c r="I148" s="188" t="str">
        <f>IF(ISERROR(getgrade(Broadsheet!I259,data!$H$4:$I$9)),"#",getgrade(Broadsheet!I259,data!$H$4:$I$9))</f>
        <v/>
      </c>
      <c r="J148" s="188" t="str">
        <f>IF(ISERROR(getgrade(Broadsheet!J259,data!$H$4:$I$9)),"#",getgrade(Broadsheet!J259,data!$H$4:$I$9))</f>
        <v/>
      </c>
      <c r="K148" s="188" t="str">
        <f>IF(ISERROR(getgrade(Broadsheet!K259,data!$H$4:$I$9)),"#",getgrade(Broadsheet!K259,data!$H$4:$I$9))</f>
        <v/>
      </c>
      <c r="L148" s="188" t="str">
        <f>IF(ISERROR(getgrade(Broadsheet!L259,data!$H$4:$I$9)),"#",getgrade(Broadsheet!L259,data!$H$4:$I$9))</f>
        <v/>
      </c>
      <c r="M148" s="188" t="str">
        <f>IF(ISERROR(getgrade(Broadsheet!M259,data!$H$4:$I$9)),"#",getgrade(Broadsheet!M259,data!$H$4:$I$9))</f>
        <v/>
      </c>
      <c r="N148" s="188" t="str">
        <f>IF(ISERROR(getgrade(Broadsheet!N259,data!$H$4:$I$9)),"#",getgrade(Broadsheet!N259,data!$H$4:$I$9))</f>
        <v/>
      </c>
      <c r="O148" s="188" t="str">
        <f>IF(ISERROR(getgrade(Broadsheet!O259,data!$H$4:$I$9)),"#",getgrade(Broadsheet!O259,data!$H$4:$I$9))</f>
        <v/>
      </c>
      <c r="P148" s="188" t="str">
        <f>IF(ISERROR(getgrade(Broadsheet!P259,data!$H$4:$I$9)),"#",getgrade(Broadsheet!P259,data!$H$4:$I$9))</f>
        <v/>
      </c>
      <c r="Q148" s="188" t="str">
        <f>IF(ISERROR(getgrade(Broadsheet!Q259,data!$H$4:$I$9)),"#",getgrade(Broadsheet!Q259,data!$H$4:$I$9))</f>
        <v/>
      </c>
      <c r="R148" s="188" t="str">
        <f>IF(ISERROR(getgrade(Broadsheet!R259,data!$H$4:$I$9)),"#",getgrade(Broadsheet!R259,data!$H$4:$I$9))</f>
        <v/>
      </c>
      <c r="S148" s="188" t="str">
        <f>IF(ISERROR(getgrade(Broadsheet!S259,data!$H$4:$I$9)),"#",getgrade(Broadsheet!S259,data!$H$4:$I$9))</f>
        <v/>
      </c>
      <c r="T148" s="188" t="str">
        <f>IF(ISERROR(getgrade(Broadsheet!T259,data!$H$4:$I$9)),"#",getgrade(Broadsheet!T259,data!$H$4:$I$9))</f>
        <v/>
      </c>
      <c r="U148" s="188" t="str">
        <f>IF(ISERROR(getgrade(Broadsheet!U259,data!$H$4:$I$9)),"#",getgrade(Broadsheet!U259,data!$H$4:$I$9))</f>
        <v/>
      </c>
      <c r="V148" s="188" t="str">
        <f>IF(ISERROR(getgrade(Broadsheet!V259,data!$H$4:$I$9)),"#",getgrade(Broadsheet!V259,data!$H$4:$I$9))</f>
        <v/>
      </c>
      <c r="W148" s="188" t="str">
        <f>IF(ISERROR(getgrade(Broadsheet!W259,data!$H$4:$I$9)),"#",getgrade(Broadsheet!W259,data!$H$4:$I$9))</f>
        <v/>
      </c>
      <c r="X148" s="188" t="str">
        <f>IF(ISERROR(getgrade(Broadsheet!X259,data!$H$4:$I$9)),"#",getgrade(Broadsheet!X259,data!$H$4:$I$9))</f>
        <v/>
      </c>
      <c r="Y148" s="188" t="str">
        <f>IF(ISERROR(getgrade(Broadsheet!Y259,data!$H$4:$I$9)),"#",getgrade(Broadsheet!Y259,data!$H$4:$I$9))</f>
        <v/>
      </c>
      <c r="Z148" s="188" t="str">
        <f>IF(ISERROR(getgrade(Broadsheet!Z259,data!$H$4:$I$9)),"#",getgrade(Broadsheet!Z259,data!$H$4:$I$9))</f>
        <v/>
      </c>
      <c r="AA148" s="188" t="str">
        <f>IF(ISERROR(getgrade(Broadsheet!AA259,data!$H$4:$I$9)),"#",getgrade(Broadsheet!AA259,data!$H$4:$I$9))</f>
        <v/>
      </c>
      <c r="AB148" s="188" t="str">
        <f>IF(ISERROR(getgrade(Broadsheet!AB259,data!$H$4:$I$9)),"#",getgrade(Broadsheet!AB259,data!$H$4:$I$9))</f>
        <v/>
      </c>
      <c r="AC148" s="188" t="str">
        <f>IF(ISERROR(getgrade(Broadsheet!AC259,data!$H$4:$I$9)),"#",getgrade(Broadsheet!AC259,data!$H$4:$I$9))</f>
        <v/>
      </c>
      <c r="AD148" s="188" t="str">
        <f>IF(ISERROR(getgrade(Broadsheet!AD259,data!$H$4:$I$9)),"#",getgrade(Broadsheet!AD259,data!$H$4:$I$9))</f>
        <v/>
      </c>
      <c r="AE148" s="188" t="str">
        <f>IF(ISERROR(getgrade(Broadsheet!AE259,data!$H$4:$I$9)),"#",getgrade(Broadsheet!AE259,data!$H$4:$I$9))</f>
        <v/>
      </c>
      <c r="AF148" s="188" t="str">
        <f>IF(ISERROR(getgrade(Broadsheet!AF259,data!$H$4:$I$9)),"#",getgrade(Broadsheet!AF259,data!$H$4:$I$9))</f>
        <v/>
      </c>
      <c r="AG148" s="188" t="str">
        <f>IF(ISERROR(getgrade(Broadsheet!AG259,data!$H$4:$I$9)),"#",getgrade(Broadsheet!AG259,data!$H$4:$I$9))</f>
        <v/>
      </c>
      <c r="AH148" s="188" t="str">
        <f>IF(ISERROR(getgrade(Broadsheet!AH259,data!$H$4:$I$9)),"#",getgrade(Broadsheet!AH259,data!$H$4:$I$9))</f>
        <v/>
      </c>
      <c r="AI148" s="188" t="str">
        <f>IF(ISERROR(getgrade(Broadsheet!AI259,data!$H$4:$I$9)),"#",getgrade(Broadsheet!AI259,data!$H$4:$I$9))</f>
        <v/>
      </c>
      <c r="AJ148" s="188" t="str">
        <f>IF(ISERROR(getgrade(Broadsheet!AJ259,data!$H$4:$I$9)),"#",getgrade(Broadsheet!AJ259,data!$H$4:$I$9))</f>
        <v/>
      </c>
      <c r="AK148" s="188" t="str">
        <f>IF(ISERROR(getgrade(Broadsheet!AK259,data!$H$4:$I$9)),"#",getgrade(Broadsheet!AK259,data!$H$4:$I$9))</f>
        <v/>
      </c>
      <c r="AL148" s="188" t="str">
        <f>IF(ISERROR(getgrade(Broadsheet!AL259,data!$H$4:$I$9)),"#",getgrade(Broadsheet!AL259,data!$H$4:$I$9))</f>
        <v/>
      </c>
      <c r="AM148" s="188" t="str">
        <f>IF(ISERROR(getgrade(Broadsheet!AM259,data!$H$4:$I$9)),"#",getgrade(Broadsheet!AM259,data!$H$4:$I$9))</f>
        <v/>
      </c>
      <c r="AN148" s="188" t="str">
        <f>IF(ISERROR(getgrade(Broadsheet!AN259,data!$H$4:$I$9)),"#",getgrade(Broadsheet!AN259,data!$H$4:$I$9))</f>
        <v/>
      </c>
      <c r="AO148" s="188" t="str">
        <f>IF(ISERROR(getgrade(Broadsheet!AO259,data!$H$4:$I$9)),"#",getgrade(Broadsheet!AO259,data!$H$4:$I$9))</f>
        <v/>
      </c>
      <c r="AP148" s="188" t="str">
        <f>IF(ISERROR(getgrade(Broadsheet!AP259,data!$H$4:$I$9)),"#",getgrade(Broadsheet!AP259,data!$H$4:$I$9))</f>
        <v/>
      </c>
      <c r="AQ148" s="188" t="str">
        <f>IF(ISERROR(getgrade(Broadsheet!AQ259,data!$H$4:$I$9)),"#",getgrade(Broadsheet!AQ259,data!$H$4:$I$9))</f>
        <v/>
      </c>
      <c r="AR148" s="188" t="str">
        <f>IF(ISERROR(getgrade(Broadsheet!AR259,data!$H$4:$I$9)),"#",getgrade(Broadsheet!AR259,data!$H$4:$I$9))</f>
        <v/>
      </c>
      <c r="AS148" s="188" t="str">
        <f>IF(ISERROR(getgrade(Broadsheet!AS259,data!$H$4:$I$9)),"#",getgrade(Broadsheet!AS259,data!$H$4:$I$9))</f>
        <v/>
      </c>
      <c r="AT148" s="188" t="str">
        <f>IF(ISERROR(getgrade(Broadsheet!AT259,data!$H$4:$I$9)),"#",getgrade(Broadsheet!AT259,data!$H$4:$I$9))</f>
        <v/>
      </c>
      <c r="AU148" s="188" t="str">
        <f>IF(ISERROR(getgrade(Broadsheet!AU259,data!$H$4:$I$9)),"#",getgrade(Broadsheet!AU259,data!$H$4:$I$9))</f>
        <v/>
      </c>
      <c r="AV148" s="188" t="str">
        <f>IF(ISERROR(getgrade(Broadsheet!AV259,data!$H$4:$I$9)),"#",getgrade(Broadsheet!AV259,data!$H$4:$I$9))</f>
        <v/>
      </c>
      <c r="AW148" s="188" t="str">
        <f>IF(ISERROR(getgrade(Broadsheet!AW259,data!$H$4:$I$9)),"#",getgrade(Broadsheet!AW259,data!$H$4:$I$9))</f>
        <v/>
      </c>
      <c r="AX148" s="188" t="str">
        <f>IF(ISERROR(getgrade(Broadsheet!AX259,data!$H$4:$I$9)),"#",getgrade(Broadsheet!AX259,data!$H$4:$I$9))</f>
        <v/>
      </c>
      <c r="AY148" s="188" t="str">
        <f>IF(ISERROR(getgrade(Broadsheet!AY259,data!$H$4:$I$9)),"#",getgrade(Broadsheet!AY259,data!$H$4:$I$9))</f>
        <v/>
      </c>
      <c r="AZ148" s="188" t="str">
        <f>IF(ISERROR(getgrade(Broadsheet!AZ259,data!$H$4:$I$9)),"#",getgrade(Broadsheet!AZ259,data!$H$4:$I$9))</f>
        <v/>
      </c>
      <c r="BA148" s="188" t="str">
        <f>IF(ISERROR(getgrade(Broadsheet!BA259,data!$H$4:$I$9)),"#",getgrade(Broadsheet!BA259,data!$H$4:$I$9))</f>
        <v/>
      </c>
      <c r="BB148" s="188" t="str">
        <f>IF(ISERROR(getgrade(Broadsheet!BB259,data!$H$4:$I$9)),"#",getgrade(Broadsheet!BB259,data!$H$4:$I$9))</f>
        <v/>
      </c>
      <c r="BC148" s="188" t="str">
        <f>IF(ISERROR(getgrade(Broadsheet!BC259,data!$H$4:$I$9)),"#",getgrade(Broadsheet!BC259,data!$H$4:$I$9))</f>
        <v/>
      </c>
      <c r="BD148" s="188" t="str">
        <f>IF(ISERROR(getgrade(Broadsheet!BD259,data!$H$4:$I$9)),"#",getgrade(Broadsheet!BD259,data!$H$4:$I$9))</f>
        <v/>
      </c>
      <c r="BE148" s="188" t="str">
        <f>IF(ISERROR(getgrade(Broadsheet!BE259,data!$H$4:$I$9)),"#",getgrade(Broadsheet!BE259,data!$H$4:$I$9))</f>
        <v/>
      </c>
      <c r="BF148" s="188" t="str">
        <f>IF(ISERROR(getgrade(Broadsheet!BF259,data!$H$4:$I$9)),"#",getgrade(Broadsheet!BF259,data!$H$4:$I$9))</f>
        <v/>
      </c>
      <c r="BG148" s="188" t="str">
        <f>IF(ISERROR(getgrade(Broadsheet!BG259,data!$H$4:$I$9)),"#",getgrade(Broadsheet!BG259,data!$H$4:$I$9))</f>
        <v/>
      </c>
      <c r="BH148" s="188" t="str">
        <f>IF(ISERROR(getgrade(Broadsheet!BH259,data!$H$4:$I$9)),"#",getgrade(Broadsheet!BH259,data!$H$4:$I$9))</f>
        <v/>
      </c>
      <c r="BI148" s="188" t="str">
        <f>IF(ISERROR(getgrade(Broadsheet!BI259,data!$H$4:$I$9)),"#",getgrade(Broadsheet!BI259,data!$H$4:$I$9))</f>
        <v/>
      </c>
      <c r="BJ148" s="188" t="str">
        <f>IF(ISERROR(getgrade(Broadsheet!BJ259,data!$H$4:$I$9)),"#",getgrade(Broadsheet!BJ259,data!$H$4:$I$9))</f>
        <v/>
      </c>
      <c r="BK148" s="188"/>
      <c r="BL148" s="188"/>
      <c r="BM148" s="188"/>
      <c r="BN148" s="188"/>
      <c r="BO148" s="188"/>
      <c r="BP148" s="188"/>
      <c r="BQ148" s="188"/>
      <c r="BR148" s="188"/>
      <c r="BS148" s="188"/>
      <c r="BT148" s="188"/>
      <c r="BU148" s="188"/>
      <c r="BV148" s="188"/>
      <c r="BW148" s="188"/>
      <c r="BX148" s="188"/>
      <c r="BY148" s="188"/>
      <c r="BZ148" s="188"/>
      <c r="CA148" s="188"/>
      <c r="CB148" s="188"/>
      <c r="CC148" s="188"/>
      <c r="CD148" s="188"/>
      <c r="CE148" s="188"/>
      <c r="CF148" s="188"/>
      <c r="CG148" s="188"/>
      <c r="CH148" s="188"/>
      <c r="CI148" s="188"/>
      <c r="CJ148" s="188"/>
      <c r="CK148" s="188"/>
      <c r="CL148" s="188"/>
      <c r="CM148" s="188"/>
      <c r="CN148" s="188"/>
      <c r="CO148" s="188"/>
      <c r="CP148" s="188"/>
      <c r="CQ148" s="188"/>
      <c r="CR148" s="188"/>
      <c r="CS148" s="188"/>
      <c r="CT148" s="188"/>
      <c r="CU148" s="188"/>
      <c r="CV148" s="188"/>
      <c r="CW148" s="188"/>
      <c r="CX148" s="188"/>
      <c r="CY148" s="188"/>
      <c r="CZ148" s="188"/>
      <c r="DA148" s="188"/>
      <c r="DB148" s="188"/>
      <c r="DC148" s="188"/>
      <c r="DD148" s="188"/>
      <c r="DE148" s="188"/>
      <c r="DF148" s="188"/>
      <c r="DG148" s="188"/>
      <c r="DH148" s="188"/>
      <c r="DI148" s="188"/>
      <c r="DJ148" s="188"/>
      <c r="DK148" s="188"/>
      <c r="DL148" s="188"/>
      <c r="DM148" s="188"/>
      <c r="DN148" s="188"/>
      <c r="DO148" s="188"/>
      <c r="DP148" s="188"/>
      <c r="DQ148" s="188"/>
      <c r="DR148" s="188"/>
      <c r="DS148" s="188"/>
      <c r="DT148" s="188"/>
      <c r="DU148" s="188"/>
      <c r="DV148" s="188"/>
      <c r="DW148" s="188"/>
      <c r="DX148" s="188"/>
      <c r="DY148" s="188"/>
      <c r="DZ148" s="188"/>
      <c r="EA148" s="188"/>
    </row>
    <row r="149" spans="1:131" ht="15.75" x14ac:dyDescent="0.25">
      <c r="A149" s="12">
        <f>Broadsheet!A260</f>
        <v>0</v>
      </c>
      <c r="B149" s="204" t="str">
        <f>IF(Broadsheet!B149="","",Broadsheet!B149)</f>
        <v/>
      </c>
      <c r="C149" s="24" t="str">
        <f>IF(Broadsheet!C149="","",Broadsheet!C149)</f>
        <v xml:space="preserve"> </v>
      </c>
      <c r="G149" s="24" t="str">
        <f t="shared" si="2"/>
        <v/>
      </c>
      <c r="H149" s="188" t="str">
        <f>IF(ISERROR(getgrade(Broadsheet!H260,data!$H$4:$I$9)),"#",getgrade(Broadsheet!H260,data!$H$4:$I$9))</f>
        <v/>
      </c>
      <c r="I149" s="188" t="str">
        <f>IF(ISERROR(getgrade(Broadsheet!I260,data!$H$4:$I$9)),"#",getgrade(Broadsheet!I260,data!$H$4:$I$9))</f>
        <v/>
      </c>
      <c r="J149" s="188" t="str">
        <f>IF(ISERROR(getgrade(Broadsheet!J260,data!$H$4:$I$9)),"#",getgrade(Broadsheet!J260,data!$H$4:$I$9))</f>
        <v/>
      </c>
      <c r="K149" s="188" t="str">
        <f>IF(ISERROR(getgrade(Broadsheet!K260,data!$H$4:$I$9)),"#",getgrade(Broadsheet!K260,data!$H$4:$I$9))</f>
        <v/>
      </c>
      <c r="L149" s="188" t="str">
        <f>IF(ISERROR(getgrade(Broadsheet!L260,data!$H$4:$I$9)),"#",getgrade(Broadsheet!L260,data!$H$4:$I$9))</f>
        <v/>
      </c>
      <c r="M149" s="188" t="str">
        <f>IF(ISERROR(getgrade(Broadsheet!M260,data!$H$4:$I$9)),"#",getgrade(Broadsheet!M260,data!$H$4:$I$9))</f>
        <v/>
      </c>
      <c r="N149" s="188" t="str">
        <f>IF(ISERROR(getgrade(Broadsheet!N260,data!$H$4:$I$9)),"#",getgrade(Broadsheet!N260,data!$H$4:$I$9))</f>
        <v/>
      </c>
      <c r="O149" s="188" t="str">
        <f>IF(ISERROR(getgrade(Broadsheet!O260,data!$H$4:$I$9)),"#",getgrade(Broadsheet!O260,data!$H$4:$I$9))</f>
        <v/>
      </c>
      <c r="P149" s="188" t="str">
        <f>IF(ISERROR(getgrade(Broadsheet!P260,data!$H$4:$I$9)),"#",getgrade(Broadsheet!P260,data!$H$4:$I$9))</f>
        <v/>
      </c>
      <c r="Q149" s="188" t="str">
        <f>IF(ISERROR(getgrade(Broadsheet!Q260,data!$H$4:$I$9)),"#",getgrade(Broadsheet!Q260,data!$H$4:$I$9))</f>
        <v/>
      </c>
      <c r="R149" s="188" t="str">
        <f>IF(ISERROR(getgrade(Broadsheet!R260,data!$H$4:$I$9)),"#",getgrade(Broadsheet!R260,data!$H$4:$I$9))</f>
        <v/>
      </c>
      <c r="S149" s="188" t="str">
        <f>IF(ISERROR(getgrade(Broadsheet!S260,data!$H$4:$I$9)),"#",getgrade(Broadsheet!S260,data!$H$4:$I$9))</f>
        <v/>
      </c>
      <c r="T149" s="188" t="str">
        <f>IF(ISERROR(getgrade(Broadsheet!T260,data!$H$4:$I$9)),"#",getgrade(Broadsheet!T260,data!$H$4:$I$9))</f>
        <v/>
      </c>
      <c r="U149" s="188" t="str">
        <f>IF(ISERROR(getgrade(Broadsheet!U260,data!$H$4:$I$9)),"#",getgrade(Broadsheet!U260,data!$H$4:$I$9))</f>
        <v/>
      </c>
      <c r="V149" s="188" t="str">
        <f>IF(ISERROR(getgrade(Broadsheet!V260,data!$H$4:$I$9)),"#",getgrade(Broadsheet!V260,data!$H$4:$I$9))</f>
        <v/>
      </c>
      <c r="W149" s="188" t="str">
        <f>IF(ISERROR(getgrade(Broadsheet!W260,data!$H$4:$I$9)),"#",getgrade(Broadsheet!W260,data!$H$4:$I$9))</f>
        <v/>
      </c>
      <c r="X149" s="188" t="str">
        <f>IF(ISERROR(getgrade(Broadsheet!X260,data!$H$4:$I$9)),"#",getgrade(Broadsheet!X260,data!$H$4:$I$9))</f>
        <v/>
      </c>
      <c r="Y149" s="188" t="str">
        <f>IF(ISERROR(getgrade(Broadsheet!Y260,data!$H$4:$I$9)),"#",getgrade(Broadsheet!Y260,data!$H$4:$I$9))</f>
        <v/>
      </c>
      <c r="Z149" s="188" t="str">
        <f>IF(ISERROR(getgrade(Broadsheet!Z260,data!$H$4:$I$9)),"#",getgrade(Broadsheet!Z260,data!$H$4:$I$9))</f>
        <v/>
      </c>
      <c r="AA149" s="188" t="str">
        <f>IF(ISERROR(getgrade(Broadsheet!AA260,data!$H$4:$I$9)),"#",getgrade(Broadsheet!AA260,data!$H$4:$I$9))</f>
        <v/>
      </c>
      <c r="AB149" s="188" t="str">
        <f>IF(ISERROR(getgrade(Broadsheet!AB260,data!$H$4:$I$9)),"#",getgrade(Broadsheet!AB260,data!$H$4:$I$9))</f>
        <v/>
      </c>
      <c r="AC149" s="188" t="str">
        <f>IF(ISERROR(getgrade(Broadsheet!AC260,data!$H$4:$I$9)),"#",getgrade(Broadsheet!AC260,data!$H$4:$I$9))</f>
        <v/>
      </c>
      <c r="AD149" s="188" t="str">
        <f>IF(ISERROR(getgrade(Broadsheet!AD260,data!$H$4:$I$9)),"#",getgrade(Broadsheet!AD260,data!$H$4:$I$9))</f>
        <v/>
      </c>
      <c r="AE149" s="188" t="str">
        <f>IF(ISERROR(getgrade(Broadsheet!AE260,data!$H$4:$I$9)),"#",getgrade(Broadsheet!AE260,data!$H$4:$I$9))</f>
        <v/>
      </c>
      <c r="AF149" s="188" t="str">
        <f>IF(ISERROR(getgrade(Broadsheet!AF260,data!$H$4:$I$9)),"#",getgrade(Broadsheet!AF260,data!$H$4:$I$9))</f>
        <v/>
      </c>
      <c r="AG149" s="188" t="str">
        <f>IF(ISERROR(getgrade(Broadsheet!AG260,data!$H$4:$I$9)),"#",getgrade(Broadsheet!AG260,data!$H$4:$I$9))</f>
        <v/>
      </c>
      <c r="AH149" s="188" t="str">
        <f>IF(ISERROR(getgrade(Broadsheet!AH260,data!$H$4:$I$9)),"#",getgrade(Broadsheet!AH260,data!$H$4:$I$9))</f>
        <v/>
      </c>
      <c r="AI149" s="188" t="str">
        <f>IF(ISERROR(getgrade(Broadsheet!AI260,data!$H$4:$I$9)),"#",getgrade(Broadsheet!AI260,data!$H$4:$I$9))</f>
        <v/>
      </c>
      <c r="AJ149" s="188" t="str">
        <f>IF(ISERROR(getgrade(Broadsheet!AJ260,data!$H$4:$I$9)),"#",getgrade(Broadsheet!AJ260,data!$H$4:$I$9))</f>
        <v/>
      </c>
      <c r="AK149" s="188" t="str">
        <f>IF(ISERROR(getgrade(Broadsheet!AK260,data!$H$4:$I$9)),"#",getgrade(Broadsheet!AK260,data!$H$4:$I$9))</f>
        <v/>
      </c>
      <c r="AL149" s="188" t="str">
        <f>IF(ISERROR(getgrade(Broadsheet!AL260,data!$H$4:$I$9)),"#",getgrade(Broadsheet!AL260,data!$H$4:$I$9))</f>
        <v/>
      </c>
      <c r="AM149" s="188" t="str">
        <f>IF(ISERROR(getgrade(Broadsheet!AM260,data!$H$4:$I$9)),"#",getgrade(Broadsheet!AM260,data!$H$4:$I$9))</f>
        <v/>
      </c>
      <c r="AN149" s="188" t="str">
        <f>IF(ISERROR(getgrade(Broadsheet!AN260,data!$H$4:$I$9)),"#",getgrade(Broadsheet!AN260,data!$H$4:$I$9))</f>
        <v/>
      </c>
      <c r="AO149" s="188" t="str">
        <f>IF(ISERROR(getgrade(Broadsheet!AO260,data!$H$4:$I$9)),"#",getgrade(Broadsheet!AO260,data!$H$4:$I$9))</f>
        <v/>
      </c>
      <c r="AP149" s="188" t="str">
        <f>IF(ISERROR(getgrade(Broadsheet!AP260,data!$H$4:$I$9)),"#",getgrade(Broadsheet!AP260,data!$H$4:$I$9))</f>
        <v/>
      </c>
      <c r="AQ149" s="188" t="str">
        <f>IF(ISERROR(getgrade(Broadsheet!AQ260,data!$H$4:$I$9)),"#",getgrade(Broadsheet!AQ260,data!$H$4:$I$9))</f>
        <v/>
      </c>
      <c r="AR149" s="188" t="str">
        <f>IF(ISERROR(getgrade(Broadsheet!AR260,data!$H$4:$I$9)),"#",getgrade(Broadsheet!AR260,data!$H$4:$I$9))</f>
        <v/>
      </c>
      <c r="AS149" s="188" t="str">
        <f>IF(ISERROR(getgrade(Broadsheet!AS260,data!$H$4:$I$9)),"#",getgrade(Broadsheet!AS260,data!$H$4:$I$9))</f>
        <v/>
      </c>
      <c r="AT149" s="188" t="str">
        <f>IF(ISERROR(getgrade(Broadsheet!AT260,data!$H$4:$I$9)),"#",getgrade(Broadsheet!AT260,data!$H$4:$I$9))</f>
        <v/>
      </c>
      <c r="AU149" s="188" t="str">
        <f>IF(ISERROR(getgrade(Broadsheet!AU260,data!$H$4:$I$9)),"#",getgrade(Broadsheet!AU260,data!$H$4:$I$9))</f>
        <v/>
      </c>
      <c r="AV149" s="188" t="str">
        <f>IF(ISERROR(getgrade(Broadsheet!AV260,data!$H$4:$I$9)),"#",getgrade(Broadsheet!AV260,data!$H$4:$I$9))</f>
        <v/>
      </c>
      <c r="AW149" s="188" t="str">
        <f>IF(ISERROR(getgrade(Broadsheet!AW260,data!$H$4:$I$9)),"#",getgrade(Broadsheet!AW260,data!$H$4:$I$9))</f>
        <v/>
      </c>
      <c r="AX149" s="188" t="str">
        <f>IF(ISERROR(getgrade(Broadsheet!AX260,data!$H$4:$I$9)),"#",getgrade(Broadsheet!AX260,data!$H$4:$I$9))</f>
        <v/>
      </c>
      <c r="AY149" s="188" t="str">
        <f>IF(ISERROR(getgrade(Broadsheet!AY260,data!$H$4:$I$9)),"#",getgrade(Broadsheet!AY260,data!$H$4:$I$9))</f>
        <v/>
      </c>
      <c r="AZ149" s="188" t="str">
        <f>IF(ISERROR(getgrade(Broadsheet!AZ260,data!$H$4:$I$9)),"#",getgrade(Broadsheet!AZ260,data!$H$4:$I$9))</f>
        <v/>
      </c>
      <c r="BA149" s="188" t="str">
        <f>IF(ISERROR(getgrade(Broadsheet!BA260,data!$H$4:$I$9)),"#",getgrade(Broadsheet!BA260,data!$H$4:$I$9))</f>
        <v/>
      </c>
      <c r="BB149" s="188" t="str">
        <f>IF(ISERROR(getgrade(Broadsheet!BB260,data!$H$4:$I$9)),"#",getgrade(Broadsheet!BB260,data!$H$4:$I$9))</f>
        <v/>
      </c>
      <c r="BC149" s="188" t="str">
        <f>IF(ISERROR(getgrade(Broadsheet!BC260,data!$H$4:$I$9)),"#",getgrade(Broadsheet!BC260,data!$H$4:$I$9))</f>
        <v/>
      </c>
      <c r="BD149" s="188" t="str">
        <f>IF(ISERROR(getgrade(Broadsheet!BD260,data!$H$4:$I$9)),"#",getgrade(Broadsheet!BD260,data!$H$4:$I$9))</f>
        <v/>
      </c>
      <c r="BE149" s="188" t="str">
        <f>IF(ISERROR(getgrade(Broadsheet!BE260,data!$H$4:$I$9)),"#",getgrade(Broadsheet!BE260,data!$H$4:$I$9))</f>
        <v/>
      </c>
      <c r="BF149" s="188" t="str">
        <f>IF(ISERROR(getgrade(Broadsheet!BF260,data!$H$4:$I$9)),"#",getgrade(Broadsheet!BF260,data!$H$4:$I$9))</f>
        <v/>
      </c>
      <c r="BG149" s="188" t="str">
        <f>IF(ISERROR(getgrade(Broadsheet!BG260,data!$H$4:$I$9)),"#",getgrade(Broadsheet!BG260,data!$H$4:$I$9))</f>
        <v/>
      </c>
      <c r="BH149" s="188" t="str">
        <f>IF(ISERROR(getgrade(Broadsheet!BH260,data!$H$4:$I$9)),"#",getgrade(Broadsheet!BH260,data!$H$4:$I$9))</f>
        <v/>
      </c>
      <c r="BI149" s="188" t="str">
        <f>IF(ISERROR(getgrade(Broadsheet!BI260,data!$H$4:$I$9)),"#",getgrade(Broadsheet!BI260,data!$H$4:$I$9))</f>
        <v/>
      </c>
      <c r="BJ149" s="188" t="str">
        <f>IF(ISERROR(getgrade(Broadsheet!BJ260,data!$H$4:$I$9)),"#",getgrade(Broadsheet!BJ260,data!$H$4:$I$9))</f>
        <v/>
      </c>
      <c r="BK149" s="188"/>
      <c r="BL149" s="188"/>
      <c r="BM149" s="188"/>
      <c r="BN149" s="188"/>
      <c r="BO149" s="188"/>
      <c r="BP149" s="188"/>
      <c r="BQ149" s="188"/>
      <c r="BR149" s="188"/>
      <c r="BS149" s="188"/>
      <c r="BT149" s="188"/>
      <c r="BU149" s="188"/>
      <c r="BV149" s="188"/>
      <c r="BW149" s="188"/>
      <c r="BX149" s="188"/>
      <c r="BY149" s="188"/>
      <c r="BZ149" s="188"/>
      <c r="CA149" s="188"/>
      <c r="CB149" s="188"/>
      <c r="CC149" s="188"/>
      <c r="CD149" s="188"/>
      <c r="CE149" s="188"/>
      <c r="CF149" s="188"/>
      <c r="CG149" s="188"/>
      <c r="CH149" s="188"/>
      <c r="CI149" s="188"/>
      <c r="CJ149" s="188"/>
      <c r="CK149" s="188"/>
      <c r="CL149" s="188"/>
      <c r="CM149" s="188"/>
      <c r="CN149" s="188"/>
      <c r="CO149" s="188"/>
      <c r="CP149" s="188"/>
      <c r="CQ149" s="188"/>
      <c r="CR149" s="188"/>
      <c r="CS149" s="188"/>
      <c r="CT149" s="188"/>
      <c r="CU149" s="188"/>
      <c r="CV149" s="188"/>
      <c r="CW149" s="188"/>
      <c r="CX149" s="188"/>
      <c r="CY149" s="188"/>
      <c r="CZ149" s="188"/>
      <c r="DA149" s="188"/>
      <c r="DB149" s="188"/>
      <c r="DC149" s="188"/>
      <c r="DD149" s="188"/>
      <c r="DE149" s="188"/>
      <c r="DF149" s="188"/>
      <c r="DG149" s="188"/>
      <c r="DH149" s="188"/>
      <c r="DI149" s="188"/>
      <c r="DJ149" s="188"/>
      <c r="DK149" s="188"/>
      <c r="DL149" s="188"/>
      <c r="DM149" s="188"/>
      <c r="DN149" s="188"/>
      <c r="DO149" s="188"/>
      <c r="DP149" s="188"/>
      <c r="DQ149" s="188"/>
      <c r="DR149" s="188"/>
      <c r="DS149" s="188"/>
      <c r="DT149" s="188"/>
      <c r="DU149" s="188"/>
      <c r="DV149" s="188"/>
      <c r="DW149" s="188"/>
      <c r="DX149" s="188"/>
      <c r="DY149" s="188"/>
      <c r="DZ149" s="188"/>
      <c r="EA149" s="188"/>
    </row>
    <row r="150" spans="1:131" ht="15.75" x14ac:dyDescent="0.25">
      <c r="A150" s="12">
        <f>Broadsheet!A261</f>
        <v>0</v>
      </c>
      <c r="B150" s="204" t="str">
        <f>IF(Broadsheet!B150="","",Broadsheet!B150)</f>
        <v/>
      </c>
      <c r="C150" s="24" t="str">
        <f>IF(Broadsheet!C150="","",Broadsheet!C150)</f>
        <v xml:space="preserve"> </v>
      </c>
      <c r="G150" s="24" t="str">
        <f t="shared" si="2"/>
        <v/>
      </c>
      <c r="H150" s="188" t="str">
        <f>IF(ISERROR(getgrade(Broadsheet!H261,data!$H$4:$I$9)),"#",getgrade(Broadsheet!H261,data!$H$4:$I$9))</f>
        <v/>
      </c>
      <c r="I150" s="188" t="str">
        <f>IF(ISERROR(getgrade(Broadsheet!I261,data!$H$4:$I$9)),"#",getgrade(Broadsheet!I261,data!$H$4:$I$9))</f>
        <v/>
      </c>
      <c r="J150" s="188" t="str">
        <f>IF(ISERROR(getgrade(Broadsheet!J261,data!$H$4:$I$9)),"#",getgrade(Broadsheet!J261,data!$H$4:$I$9))</f>
        <v/>
      </c>
      <c r="K150" s="188" t="str">
        <f>IF(ISERROR(getgrade(Broadsheet!K261,data!$H$4:$I$9)),"#",getgrade(Broadsheet!K261,data!$H$4:$I$9))</f>
        <v/>
      </c>
      <c r="L150" s="188" t="str">
        <f>IF(ISERROR(getgrade(Broadsheet!L261,data!$H$4:$I$9)),"#",getgrade(Broadsheet!L261,data!$H$4:$I$9))</f>
        <v/>
      </c>
      <c r="M150" s="188" t="str">
        <f>IF(ISERROR(getgrade(Broadsheet!M261,data!$H$4:$I$9)),"#",getgrade(Broadsheet!M261,data!$H$4:$I$9))</f>
        <v/>
      </c>
      <c r="N150" s="188" t="str">
        <f>IF(ISERROR(getgrade(Broadsheet!N261,data!$H$4:$I$9)),"#",getgrade(Broadsheet!N261,data!$H$4:$I$9))</f>
        <v/>
      </c>
      <c r="O150" s="188" t="str">
        <f>IF(ISERROR(getgrade(Broadsheet!O261,data!$H$4:$I$9)),"#",getgrade(Broadsheet!O261,data!$H$4:$I$9))</f>
        <v/>
      </c>
      <c r="P150" s="188" t="str">
        <f>IF(ISERROR(getgrade(Broadsheet!P261,data!$H$4:$I$9)),"#",getgrade(Broadsheet!P261,data!$H$4:$I$9))</f>
        <v/>
      </c>
      <c r="Q150" s="188" t="str">
        <f>IF(ISERROR(getgrade(Broadsheet!Q261,data!$H$4:$I$9)),"#",getgrade(Broadsheet!Q261,data!$H$4:$I$9))</f>
        <v/>
      </c>
      <c r="R150" s="188" t="str">
        <f>IF(ISERROR(getgrade(Broadsheet!R261,data!$H$4:$I$9)),"#",getgrade(Broadsheet!R261,data!$H$4:$I$9))</f>
        <v/>
      </c>
      <c r="S150" s="188" t="str">
        <f>IF(ISERROR(getgrade(Broadsheet!S261,data!$H$4:$I$9)),"#",getgrade(Broadsheet!S261,data!$H$4:$I$9))</f>
        <v/>
      </c>
      <c r="T150" s="188" t="str">
        <f>IF(ISERROR(getgrade(Broadsheet!T261,data!$H$4:$I$9)),"#",getgrade(Broadsheet!T261,data!$H$4:$I$9))</f>
        <v/>
      </c>
      <c r="U150" s="188" t="str">
        <f>IF(ISERROR(getgrade(Broadsheet!U261,data!$H$4:$I$9)),"#",getgrade(Broadsheet!U261,data!$H$4:$I$9))</f>
        <v/>
      </c>
      <c r="V150" s="188" t="str">
        <f>IF(ISERROR(getgrade(Broadsheet!V261,data!$H$4:$I$9)),"#",getgrade(Broadsheet!V261,data!$H$4:$I$9))</f>
        <v/>
      </c>
      <c r="W150" s="188" t="str">
        <f>IF(ISERROR(getgrade(Broadsheet!W261,data!$H$4:$I$9)),"#",getgrade(Broadsheet!W261,data!$H$4:$I$9))</f>
        <v/>
      </c>
      <c r="X150" s="188" t="str">
        <f>IF(ISERROR(getgrade(Broadsheet!X261,data!$H$4:$I$9)),"#",getgrade(Broadsheet!X261,data!$H$4:$I$9))</f>
        <v/>
      </c>
      <c r="Y150" s="188" t="str">
        <f>IF(ISERROR(getgrade(Broadsheet!Y261,data!$H$4:$I$9)),"#",getgrade(Broadsheet!Y261,data!$H$4:$I$9))</f>
        <v/>
      </c>
      <c r="Z150" s="188" t="str">
        <f>IF(ISERROR(getgrade(Broadsheet!Z261,data!$H$4:$I$9)),"#",getgrade(Broadsheet!Z261,data!$H$4:$I$9))</f>
        <v/>
      </c>
      <c r="AA150" s="188" t="str">
        <f>IF(ISERROR(getgrade(Broadsheet!AA261,data!$H$4:$I$9)),"#",getgrade(Broadsheet!AA261,data!$H$4:$I$9))</f>
        <v/>
      </c>
      <c r="AB150" s="188" t="str">
        <f>IF(ISERROR(getgrade(Broadsheet!AB261,data!$H$4:$I$9)),"#",getgrade(Broadsheet!AB261,data!$H$4:$I$9))</f>
        <v/>
      </c>
      <c r="AC150" s="188" t="str">
        <f>IF(ISERROR(getgrade(Broadsheet!AC261,data!$H$4:$I$9)),"#",getgrade(Broadsheet!AC261,data!$H$4:$I$9))</f>
        <v/>
      </c>
      <c r="AD150" s="188" t="str">
        <f>IF(ISERROR(getgrade(Broadsheet!AD261,data!$H$4:$I$9)),"#",getgrade(Broadsheet!AD261,data!$H$4:$I$9))</f>
        <v/>
      </c>
      <c r="AE150" s="188" t="str">
        <f>IF(ISERROR(getgrade(Broadsheet!AE261,data!$H$4:$I$9)),"#",getgrade(Broadsheet!AE261,data!$H$4:$I$9))</f>
        <v/>
      </c>
      <c r="AF150" s="188" t="str">
        <f>IF(ISERROR(getgrade(Broadsheet!AF261,data!$H$4:$I$9)),"#",getgrade(Broadsheet!AF261,data!$H$4:$I$9))</f>
        <v/>
      </c>
      <c r="AG150" s="188" t="str">
        <f>IF(ISERROR(getgrade(Broadsheet!AG261,data!$H$4:$I$9)),"#",getgrade(Broadsheet!AG261,data!$H$4:$I$9))</f>
        <v/>
      </c>
      <c r="AH150" s="188" t="str">
        <f>IF(ISERROR(getgrade(Broadsheet!AH261,data!$H$4:$I$9)),"#",getgrade(Broadsheet!AH261,data!$H$4:$I$9))</f>
        <v/>
      </c>
      <c r="AI150" s="188" t="str">
        <f>IF(ISERROR(getgrade(Broadsheet!AI261,data!$H$4:$I$9)),"#",getgrade(Broadsheet!AI261,data!$H$4:$I$9))</f>
        <v/>
      </c>
      <c r="AJ150" s="188" t="str">
        <f>IF(ISERROR(getgrade(Broadsheet!AJ261,data!$H$4:$I$9)),"#",getgrade(Broadsheet!AJ261,data!$H$4:$I$9))</f>
        <v/>
      </c>
      <c r="AK150" s="188" t="str">
        <f>IF(ISERROR(getgrade(Broadsheet!AK261,data!$H$4:$I$9)),"#",getgrade(Broadsheet!AK261,data!$H$4:$I$9))</f>
        <v/>
      </c>
      <c r="AL150" s="188" t="str">
        <f>IF(ISERROR(getgrade(Broadsheet!AL261,data!$H$4:$I$9)),"#",getgrade(Broadsheet!AL261,data!$H$4:$I$9))</f>
        <v/>
      </c>
      <c r="AM150" s="188" t="str">
        <f>IF(ISERROR(getgrade(Broadsheet!AM261,data!$H$4:$I$9)),"#",getgrade(Broadsheet!AM261,data!$H$4:$I$9))</f>
        <v/>
      </c>
      <c r="AN150" s="188" t="str">
        <f>IF(ISERROR(getgrade(Broadsheet!AN261,data!$H$4:$I$9)),"#",getgrade(Broadsheet!AN261,data!$H$4:$I$9))</f>
        <v/>
      </c>
      <c r="AO150" s="188" t="str">
        <f>IF(ISERROR(getgrade(Broadsheet!AO261,data!$H$4:$I$9)),"#",getgrade(Broadsheet!AO261,data!$H$4:$I$9))</f>
        <v/>
      </c>
      <c r="AP150" s="188" t="str">
        <f>IF(ISERROR(getgrade(Broadsheet!AP261,data!$H$4:$I$9)),"#",getgrade(Broadsheet!AP261,data!$H$4:$I$9))</f>
        <v/>
      </c>
      <c r="AQ150" s="188" t="str">
        <f>IF(ISERROR(getgrade(Broadsheet!AQ261,data!$H$4:$I$9)),"#",getgrade(Broadsheet!AQ261,data!$H$4:$I$9))</f>
        <v/>
      </c>
      <c r="AR150" s="188" t="str">
        <f>IF(ISERROR(getgrade(Broadsheet!AR261,data!$H$4:$I$9)),"#",getgrade(Broadsheet!AR261,data!$H$4:$I$9))</f>
        <v/>
      </c>
      <c r="AS150" s="188" t="str">
        <f>IF(ISERROR(getgrade(Broadsheet!AS261,data!$H$4:$I$9)),"#",getgrade(Broadsheet!AS261,data!$H$4:$I$9))</f>
        <v/>
      </c>
      <c r="AT150" s="188" t="str">
        <f>IF(ISERROR(getgrade(Broadsheet!AT261,data!$H$4:$I$9)),"#",getgrade(Broadsheet!AT261,data!$H$4:$I$9))</f>
        <v/>
      </c>
      <c r="AU150" s="188" t="str">
        <f>IF(ISERROR(getgrade(Broadsheet!AU261,data!$H$4:$I$9)),"#",getgrade(Broadsheet!AU261,data!$H$4:$I$9))</f>
        <v/>
      </c>
      <c r="AV150" s="188" t="str">
        <f>IF(ISERROR(getgrade(Broadsheet!AV261,data!$H$4:$I$9)),"#",getgrade(Broadsheet!AV261,data!$H$4:$I$9))</f>
        <v/>
      </c>
      <c r="AW150" s="188" t="str">
        <f>IF(ISERROR(getgrade(Broadsheet!AW261,data!$H$4:$I$9)),"#",getgrade(Broadsheet!AW261,data!$H$4:$I$9))</f>
        <v/>
      </c>
      <c r="AX150" s="188" t="str">
        <f>IF(ISERROR(getgrade(Broadsheet!AX261,data!$H$4:$I$9)),"#",getgrade(Broadsheet!AX261,data!$H$4:$I$9))</f>
        <v/>
      </c>
      <c r="AY150" s="188" t="str">
        <f>IF(ISERROR(getgrade(Broadsheet!AY261,data!$H$4:$I$9)),"#",getgrade(Broadsheet!AY261,data!$H$4:$I$9))</f>
        <v/>
      </c>
      <c r="AZ150" s="188" t="str">
        <f>IF(ISERROR(getgrade(Broadsheet!AZ261,data!$H$4:$I$9)),"#",getgrade(Broadsheet!AZ261,data!$H$4:$I$9))</f>
        <v/>
      </c>
      <c r="BA150" s="188" t="str">
        <f>IF(ISERROR(getgrade(Broadsheet!BA261,data!$H$4:$I$9)),"#",getgrade(Broadsheet!BA261,data!$H$4:$I$9))</f>
        <v/>
      </c>
      <c r="BB150" s="188" t="str">
        <f>IF(ISERROR(getgrade(Broadsheet!BB261,data!$H$4:$I$9)),"#",getgrade(Broadsheet!BB261,data!$H$4:$I$9))</f>
        <v/>
      </c>
      <c r="BC150" s="188" t="str">
        <f>IF(ISERROR(getgrade(Broadsheet!BC261,data!$H$4:$I$9)),"#",getgrade(Broadsheet!BC261,data!$H$4:$I$9))</f>
        <v/>
      </c>
      <c r="BD150" s="188" t="str">
        <f>IF(ISERROR(getgrade(Broadsheet!BD261,data!$H$4:$I$9)),"#",getgrade(Broadsheet!BD261,data!$H$4:$I$9))</f>
        <v/>
      </c>
      <c r="BE150" s="188" t="str">
        <f>IF(ISERROR(getgrade(Broadsheet!BE261,data!$H$4:$I$9)),"#",getgrade(Broadsheet!BE261,data!$H$4:$I$9))</f>
        <v/>
      </c>
      <c r="BF150" s="188" t="str">
        <f>IF(ISERROR(getgrade(Broadsheet!BF261,data!$H$4:$I$9)),"#",getgrade(Broadsheet!BF261,data!$H$4:$I$9))</f>
        <v/>
      </c>
      <c r="BG150" s="188" t="str">
        <f>IF(ISERROR(getgrade(Broadsheet!BG261,data!$H$4:$I$9)),"#",getgrade(Broadsheet!BG261,data!$H$4:$I$9))</f>
        <v/>
      </c>
      <c r="BH150" s="188" t="str">
        <f>IF(ISERROR(getgrade(Broadsheet!BH261,data!$H$4:$I$9)),"#",getgrade(Broadsheet!BH261,data!$H$4:$I$9))</f>
        <v/>
      </c>
      <c r="BI150" s="188" t="str">
        <f>IF(ISERROR(getgrade(Broadsheet!BI261,data!$H$4:$I$9)),"#",getgrade(Broadsheet!BI261,data!$H$4:$I$9))</f>
        <v/>
      </c>
      <c r="BJ150" s="188" t="str">
        <f>IF(ISERROR(getgrade(Broadsheet!BJ261,data!$H$4:$I$9)),"#",getgrade(Broadsheet!BJ261,data!$H$4:$I$9))</f>
        <v/>
      </c>
      <c r="BK150" s="188"/>
      <c r="BL150" s="188"/>
      <c r="BM150" s="188"/>
      <c r="BN150" s="188"/>
      <c r="BO150" s="188"/>
      <c r="BP150" s="188"/>
      <c r="BQ150" s="188"/>
      <c r="BR150" s="188"/>
      <c r="BS150" s="188"/>
      <c r="BT150" s="188"/>
      <c r="BU150" s="188"/>
      <c r="BV150" s="188"/>
      <c r="BW150" s="188"/>
      <c r="BX150" s="188"/>
      <c r="BY150" s="188"/>
      <c r="BZ150" s="188"/>
      <c r="CA150" s="188"/>
      <c r="CB150" s="188"/>
      <c r="CC150" s="188"/>
      <c r="CD150" s="188"/>
      <c r="CE150" s="188"/>
      <c r="CF150" s="188"/>
      <c r="CG150" s="188"/>
      <c r="CH150" s="188"/>
      <c r="CI150" s="188"/>
      <c r="CJ150" s="188"/>
      <c r="CK150" s="188"/>
      <c r="CL150" s="188"/>
      <c r="CM150" s="188"/>
      <c r="CN150" s="188"/>
      <c r="CO150" s="188"/>
      <c r="CP150" s="188"/>
      <c r="CQ150" s="188"/>
      <c r="CR150" s="188"/>
      <c r="CS150" s="188"/>
      <c r="CT150" s="188"/>
      <c r="CU150" s="188"/>
      <c r="CV150" s="188"/>
      <c r="CW150" s="188"/>
      <c r="CX150" s="188"/>
      <c r="CY150" s="188"/>
      <c r="CZ150" s="188"/>
      <c r="DA150" s="188"/>
      <c r="DB150" s="188"/>
      <c r="DC150" s="188"/>
      <c r="DD150" s="188"/>
      <c r="DE150" s="188"/>
      <c r="DF150" s="188"/>
      <c r="DG150" s="188"/>
      <c r="DH150" s="188"/>
      <c r="DI150" s="188"/>
      <c r="DJ150" s="188"/>
      <c r="DK150" s="188"/>
      <c r="DL150" s="188"/>
      <c r="DM150" s="188"/>
      <c r="DN150" s="188"/>
      <c r="DO150" s="188"/>
      <c r="DP150" s="188"/>
      <c r="DQ150" s="188"/>
      <c r="DR150" s="188"/>
      <c r="DS150" s="188"/>
      <c r="DT150" s="188"/>
      <c r="DU150" s="188"/>
      <c r="DV150" s="188"/>
      <c r="DW150" s="188"/>
      <c r="DX150" s="188"/>
      <c r="DY150" s="188"/>
      <c r="DZ150" s="188"/>
      <c r="EA150" s="188"/>
    </row>
    <row r="151" spans="1:131" ht="15.75" x14ac:dyDescent="0.25">
      <c r="A151" s="12">
        <f>Broadsheet!A262</f>
        <v>0</v>
      </c>
      <c r="B151" s="204" t="str">
        <f>IF(Broadsheet!B151="","",Broadsheet!B151)</f>
        <v/>
      </c>
      <c r="C151" s="24" t="str">
        <f>IF(Broadsheet!C151="","",Broadsheet!C151)</f>
        <v xml:space="preserve"> </v>
      </c>
      <c r="G151" s="24" t="str">
        <f t="shared" si="2"/>
        <v/>
      </c>
      <c r="H151" s="188" t="str">
        <f>IF(ISERROR(getgrade(Broadsheet!H262,data!$H$4:$I$9)),"#",getgrade(Broadsheet!H262,data!$H$4:$I$9))</f>
        <v/>
      </c>
      <c r="I151" s="188" t="str">
        <f>IF(ISERROR(getgrade(Broadsheet!I262,data!$H$4:$I$9)),"#",getgrade(Broadsheet!I262,data!$H$4:$I$9))</f>
        <v/>
      </c>
      <c r="J151" s="188" t="str">
        <f>IF(ISERROR(getgrade(Broadsheet!J262,data!$H$4:$I$9)),"#",getgrade(Broadsheet!J262,data!$H$4:$I$9))</f>
        <v/>
      </c>
      <c r="K151" s="188" t="str">
        <f>IF(ISERROR(getgrade(Broadsheet!K262,data!$H$4:$I$9)),"#",getgrade(Broadsheet!K262,data!$H$4:$I$9))</f>
        <v/>
      </c>
      <c r="L151" s="188" t="str">
        <f>IF(ISERROR(getgrade(Broadsheet!L262,data!$H$4:$I$9)),"#",getgrade(Broadsheet!L262,data!$H$4:$I$9))</f>
        <v/>
      </c>
      <c r="M151" s="188" t="str">
        <f>IF(ISERROR(getgrade(Broadsheet!M262,data!$H$4:$I$9)),"#",getgrade(Broadsheet!M262,data!$H$4:$I$9))</f>
        <v/>
      </c>
      <c r="N151" s="188" t="str">
        <f>IF(ISERROR(getgrade(Broadsheet!N262,data!$H$4:$I$9)),"#",getgrade(Broadsheet!N262,data!$H$4:$I$9))</f>
        <v/>
      </c>
      <c r="O151" s="188" t="str">
        <f>IF(ISERROR(getgrade(Broadsheet!O262,data!$H$4:$I$9)),"#",getgrade(Broadsheet!O262,data!$H$4:$I$9))</f>
        <v/>
      </c>
      <c r="P151" s="188" t="str">
        <f>IF(ISERROR(getgrade(Broadsheet!P262,data!$H$4:$I$9)),"#",getgrade(Broadsheet!P262,data!$H$4:$I$9))</f>
        <v/>
      </c>
      <c r="Q151" s="188" t="str">
        <f>IF(ISERROR(getgrade(Broadsheet!Q262,data!$H$4:$I$9)),"#",getgrade(Broadsheet!Q262,data!$H$4:$I$9))</f>
        <v/>
      </c>
      <c r="R151" s="188" t="str">
        <f>IF(ISERROR(getgrade(Broadsheet!R262,data!$H$4:$I$9)),"#",getgrade(Broadsheet!R262,data!$H$4:$I$9))</f>
        <v/>
      </c>
      <c r="S151" s="188" t="str">
        <f>IF(ISERROR(getgrade(Broadsheet!S262,data!$H$4:$I$9)),"#",getgrade(Broadsheet!S262,data!$H$4:$I$9))</f>
        <v/>
      </c>
      <c r="T151" s="188" t="str">
        <f>IF(ISERROR(getgrade(Broadsheet!T262,data!$H$4:$I$9)),"#",getgrade(Broadsheet!T262,data!$H$4:$I$9))</f>
        <v/>
      </c>
      <c r="U151" s="188" t="str">
        <f>IF(ISERROR(getgrade(Broadsheet!U262,data!$H$4:$I$9)),"#",getgrade(Broadsheet!U262,data!$H$4:$I$9))</f>
        <v/>
      </c>
      <c r="V151" s="188" t="str">
        <f>IF(ISERROR(getgrade(Broadsheet!V262,data!$H$4:$I$9)),"#",getgrade(Broadsheet!V262,data!$H$4:$I$9))</f>
        <v/>
      </c>
      <c r="W151" s="188" t="str">
        <f>IF(ISERROR(getgrade(Broadsheet!W262,data!$H$4:$I$9)),"#",getgrade(Broadsheet!W262,data!$H$4:$I$9))</f>
        <v/>
      </c>
      <c r="X151" s="188" t="str">
        <f>IF(ISERROR(getgrade(Broadsheet!X262,data!$H$4:$I$9)),"#",getgrade(Broadsheet!X262,data!$H$4:$I$9))</f>
        <v/>
      </c>
      <c r="Y151" s="188" t="str">
        <f>IF(ISERROR(getgrade(Broadsheet!Y262,data!$H$4:$I$9)),"#",getgrade(Broadsheet!Y262,data!$H$4:$I$9))</f>
        <v/>
      </c>
      <c r="Z151" s="188" t="str">
        <f>IF(ISERROR(getgrade(Broadsheet!Z262,data!$H$4:$I$9)),"#",getgrade(Broadsheet!Z262,data!$H$4:$I$9))</f>
        <v/>
      </c>
      <c r="AA151" s="188" t="str">
        <f>IF(ISERROR(getgrade(Broadsheet!AA262,data!$H$4:$I$9)),"#",getgrade(Broadsheet!AA262,data!$H$4:$I$9))</f>
        <v/>
      </c>
      <c r="AB151" s="188" t="str">
        <f>IF(ISERROR(getgrade(Broadsheet!AB262,data!$H$4:$I$9)),"#",getgrade(Broadsheet!AB262,data!$H$4:$I$9))</f>
        <v/>
      </c>
      <c r="AC151" s="188" t="str">
        <f>IF(ISERROR(getgrade(Broadsheet!AC262,data!$H$4:$I$9)),"#",getgrade(Broadsheet!AC262,data!$H$4:$I$9))</f>
        <v/>
      </c>
      <c r="AD151" s="188" t="str">
        <f>IF(ISERROR(getgrade(Broadsheet!AD262,data!$H$4:$I$9)),"#",getgrade(Broadsheet!AD262,data!$H$4:$I$9))</f>
        <v/>
      </c>
      <c r="AE151" s="188" t="str">
        <f>IF(ISERROR(getgrade(Broadsheet!AE262,data!$H$4:$I$9)),"#",getgrade(Broadsheet!AE262,data!$H$4:$I$9))</f>
        <v/>
      </c>
      <c r="AF151" s="188" t="str">
        <f>IF(ISERROR(getgrade(Broadsheet!AF262,data!$H$4:$I$9)),"#",getgrade(Broadsheet!AF262,data!$H$4:$I$9))</f>
        <v/>
      </c>
      <c r="AG151" s="188" t="str">
        <f>IF(ISERROR(getgrade(Broadsheet!AG262,data!$H$4:$I$9)),"#",getgrade(Broadsheet!AG262,data!$H$4:$I$9))</f>
        <v/>
      </c>
      <c r="AH151" s="188" t="str">
        <f>IF(ISERROR(getgrade(Broadsheet!AH262,data!$H$4:$I$9)),"#",getgrade(Broadsheet!AH262,data!$H$4:$I$9))</f>
        <v/>
      </c>
      <c r="AI151" s="188" t="str">
        <f>IF(ISERROR(getgrade(Broadsheet!AI262,data!$H$4:$I$9)),"#",getgrade(Broadsheet!AI262,data!$H$4:$I$9))</f>
        <v/>
      </c>
      <c r="AJ151" s="188" t="str">
        <f>IF(ISERROR(getgrade(Broadsheet!AJ262,data!$H$4:$I$9)),"#",getgrade(Broadsheet!AJ262,data!$H$4:$I$9))</f>
        <v/>
      </c>
      <c r="AK151" s="188" t="str">
        <f>IF(ISERROR(getgrade(Broadsheet!AK262,data!$H$4:$I$9)),"#",getgrade(Broadsheet!AK262,data!$H$4:$I$9))</f>
        <v/>
      </c>
      <c r="AL151" s="188" t="str">
        <f>IF(ISERROR(getgrade(Broadsheet!AL262,data!$H$4:$I$9)),"#",getgrade(Broadsheet!AL262,data!$H$4:$I$9))</f>
        <v/>
      </c>
      <c r="AM151" s="188" t="str">
        <f>IF(ISERROR(getgrade(Broadsheet!AM262,data!$H$4:$I$9)),"#",getgrade(Broadsheet!AM262,data!$H$4:$I$9))</f>
        <v/>
      </c>
      <c r="AN151" s="188" t="str">
        <f>IF(ISERROR(getgrade(Broadsheet!AN262,data!$H$4:$I$9)),"#",getgrade(Broadsheet!AN262,data!$H$4:$I$9))</f>
        <v/>
      </c>
      <c r="AO151" s="188" t="str">
        <f>IF(ISERROR(getgrade(Broadsheet!AO262,data!$H$4:$I$9)),"#",getgrade(Broadsheet!AO262,data!$H$4:$I$9))</f>
        <v/>
      </c>
      <c r="AP151" s="188" t="str">
        <f>IF(ISERROR(getgrade(Broadsheet!AP262,data!$H$4:$I$9)),"#",getgrade(Broadsheet!AP262,data!$H$4:$I$9))</f>
        <v/>
      </c>
      <c r="AQ151" s="188" t="str">
        <f>IF(ISERROR(getgrade(Broadsheet!AQ262,data!$H$4:$I$9)),"#",getgrade(Broadsheet!AQ262,data!$H$4:$I$9))</f>
        <v/>
      </c>
      <c r="AR151" s="188" t="str">
        <f>IF(ISERROR(getgrade(Broadsheet!AR262,data!$H$4:$I$9)),"#",getgrade(Broadsheet!AR262,data!$H$4:$I$9))</f>
        <v/>
      </c>
      <c r="AS151" s="188" t="str">
        <f>IF(ISERROR(getgrade(Broadsheet!AS262,data!$H$4:$I$9)),"#",getgrade(Broadsheet!AS262,data!$H$4:$I$9))</f>
        <v/>
      </c>
      <c r="AT151" s="188" t="str">
        <f>IF(ISERROR(getgrade(Broadsheet!AT262,data!$H$4:$I$9)),"#",getgrade(Broadsheet!AT262,data!$H$4:$I$9))</f>
        <v/>
      </c>
      <c r="AU151" s="188" t="str">
        <f>IF(ISERROR(getgrade(Broadsheet!AU262,data!$H$4:$I$9)),"#",getgrade(Broadsheet!AU262,data!$H$4:$I$9))</f>
        <v/>
      </c>
      <c r="AV151" s="188" t="str">
        <f>IF(ISERROR(getgrade(Broadsheet!AV262,data!$H$4:$I$9)),"#",getgrade(Broadsheet!AV262,data!$H$4:$I$9))</f>
        <v/>
      </c>
      <c r="AW151" s="188" t="str">
        <f>IF(ISERROR(getgrade(Broadsheet!AW262,data!$H$4:$I$9)),"#",getgrade(Broadsheet!AW262,data!$H$4:$I$9))</f>
        <v/>
      </c>
      <c r="AX151" s="188" t="str">
        <f>IF(ISERROR(getgrade(Broadsheet!AX262,data!$H$4:$I$9)),"#",getgrade(Broadsheet!AX262,data!$H$4:$I$9))</f>
        <v/>
      </c>
      <c r="AY151" s="188" t="str">
        <f>IF(ISERROR(getgrade(Broadsheet!AY262,data!$H$4:$I$9)),"#",getgrade(Broadsheet!AY262,data!$H$4:$I$9))</f>
        <v/>
      </c>
      <c r="AZ151" s="188" t="str">
        <f>IF(ISERROR(getgrade(Broadsheet!AZ262,data!$H$4:$I$9)),"#",getgrade(Broadsheet!AZ262,data!$H$4:$I$9))</f>
        <v/>
      </c>
      <c r="BA151" s="188" t="str">
        <f>IF(ISERROR(getgrade(Broadsheet!BA262,data!$H$4:$I$9)),"#",getgrade(Broadsheet!BA262,data!$H$4:$I$9))</f>
        <v/>
      </c>
      <c r="BB151" s="188" t="str">
        <f>IF(ISERROR(getgrade(Broadsheet!BB262,data!$H$4:$I$9)),"#",getgrade(Broadsheet!BB262,data!$H$4:$I$9))</f>
        <v/>
      </c>
      <c r="BC151" s="188" t="str">
        <f>IF(ISERROR(getgrade(Broadsheet!BC262,data!$H$4:$I$9)),"#",getgrade(Broadsheet!BC262,data!$H$4:$I$9))</f>
        <v/>
      </c>
      <c r="BD151" s="188" t="str">
        <f>IF(ISERROR(getgrade(Broadsheet!BD262,data!$H$4:$I$9)),"#",getgrade(Broadsheet!BD262,data!$H$4:$I$9))</f>
        <v/>
      </c>
      <c r="BE151" s="188" t="str">
        <f>IF(ISERROR(getgrade(Broadsheet!BE262,data!$H$4:$I$9)),"#",getgrade(Broadsheet!BE262,data!$H$4:$I$9))</f>
        <v/>
      </c>
      <c r="BF151" s="188" t="str">
        <f>IF(ISERROR(getgrade(Broadsheet!BF262,data!$H$4:$I$9)),"#",getgrade(Broadsheet!BF262,data!$H$4:$I$9))</f>
        <v/>
      </c>
      <c r="BG151" s="188" t="str">
        <f>IF(ISERROR(getgrade(Broadsheet!BG262,data!$H$4:$I$9)),"#",getgrade(Broadsheet!BG262,data!$H$4:$I$9))</f>
        <v/>
      </c>
      <c r="BH151" s="188" t="str">
        <f>IF(ISERROR(getgrade(Broadsheet!BH262,data!$H$4:$I$9)),"#",getgrade(Broadsheet!BH262,data!$H$4:$I$9))</f>
        <v/>
      </c>
      <c r="BI151" s="188" t="str">
        <f>IF(ISERROR(getgrade(Broadsheet!BI262,data!$H$4:$I$9)),"#",getgrade(Broadsheet!BI262,data!$H$4:$I$9))</f>
        <v/>
      </c>
      <c r="BJ151" s="188" t="str">
        <f>IF(ISERROR(getgrade(Broadsheet!BJ262,data!$H$4:$I$9)),"#",getgrade(Broadsheet!BJ262,data!$H$4:$I$9))</f>
        <v/>
      </c>
      <c r="BK151" s="188"/>
      <c r="BL151" s="188"/>
      <c r="BM151" s="188"/>
      <c r="BN151" s="188"/>
      <c r="BO151" s="188"/>
      <c r="BP151" s="188"/>
      <c r="BQ151" s="188"/>
      <c r="BR151" s="188"/>
      <c r="BS151" s="188"/>
      <c r="BT151" s="188"/>
      <c r="BU151" s="188"/>
      <c r="BV151" s="188"/>
      <c r="BW151" s="188"/>
      <c r="BX151" s="188"/>
      <c r="BY151" s="188"/>
      <c r="BZ151" s="188"/>
      <c r="CA151" s="188"/>
      <c r="CB151" s="188"/>
      <c r="CC151" s="188"/>
      <c r="CD151" s="188"/>
      <c r="CE151" s="188"/>
      <c r="CF151" s="188"/>
      <c r="CG151" s="188"/>
      <c r="CH151" s="188"/>
      <c r="CI151" s="188"/>
      <c r="CJ151" s="188"/>
      <c r="CK151" s="188"/>
      <c r="CL151" s="188"/>
      <c r="CM151" s="188"/>
      <c r="CN151" s="188"/>
      <c r="CO151" s="188"/>
      <c r="CP151" s="188"/>
      <c r="CQ151" s="188"/>
      <c r="CR151" s="188"/>
      <c r="CS151" s="188"/>
      <c r="CT151" s="188"/>
      <c r="CU151" s="188"/>
      <c r="CV151" s="188"/>
      <c r="CW151" s="188"/>
      <c r="CX151" s="188"/>
      <c r="CY151" s="188"/>
      <c r="CZ151" s="188"/>
      <c r="DA151" s="188"/>
      <c r="DB151" s="188"/>
      <c r="DC151" s="188"/>
      <c r="DD151" s="188"/>
      <c r="DE151" s="188"/>
      <c r="DF151" s="188"/>
      <c r="DG151" s="188"/>
      <c r="DH151" s="188"/>
      <c r="DI151" s="188"/>
      <c r="DJ151" s="188"/>
      <c r="DK151" s="188"/>
      <c r="DL151" s="188"/>
      <c r="DM151" s="188"/>
      <c r="DN151" s="188"/>
      <c r="DO151" s="188"/>
      <c r="DP151" s="188"/>
      <c r="DQ151" s="188"/>
      <c r="DR151" s="188"/>
      <c r="DS151" s="188"/>
      <c r="DT151" s="188"/>
      <c r="DU151" s="188"/>
      <c r="DV151" s="188"/>
      <c r="DW151" s="188"/>
      <c r="DX151" s="188"/>
      <c r="DY151" s="188"/>
      <c r="DZ151" s="188"/>
      <c r="EA151" s="188"/>
    </row>
    <row r="152" spans="1:131" ht="15.75" x14ac:dyDescent="0.25">
      <c r="A152" s="12">
        <f>Broadsheet!A263</f>
        <v>0</v>
      </c>
      <c r="B152" s="204" t="str">
        <f>IF(Broadsheet!B152="","",Broadsheet!B152)</f>
        <v/>
      </c>
      <c r="C152" s="24" t="str">
        <f>IF(Broadsheet!C152="","",Broadsheet!C152)</f>
        <v xml:space="preserve"> </v>
      </c>
      <c r="G152" s="24" t="str">
        <f t="shared" si="2"/>
        <v/>
      </c>
      <c r="H152" s="188" t="str">
        <f>IF(ISERROR(getgrade(Broadsheet!H263,data!$H$4:$I$9)),"#",getgrade(Broadsheet!H263,data!$H$4:$I$9))</f>
        <v/>
      </c>
      <c r="I152" s="188" t="str">
        <f>IF(ISERROR(getgrade(Broadsheet!I263,data!$H$4:$I$9)),"#",getgrade(Broadsheet!I263,data!$H$4:$I$9))</f>
        <v/>
      </c>
      <c r="J152" s="188" t="str">
        <f>IF(ISERROR(getgrade(Broadsheet!J263,data!$H$4:$I$9)),"#",getgrade(Broadsheet!J263,data!$H$4:$I$9))</f>
        <v/>
      </c>
      <c r="K152" s="188" t="str">
        <f>IF(ISERROR(getgrade(Broadsheet!K263,data!$H$4:$I$9)),"#",getgrade(Broadsheet!K263,data!$H$4:$I$9))</f>
        <v/>
      </c>
      <c r="L152" s="188" t="str">
        <f>IF(ISERROR(getgrade(Broadsheet!L263,data!$H$4:$I$9)),"#",getgrade(Broadsheet!L263,data!$H$4:$I$9))</f>
        <v/>
      </c>
      <c r="M152" s="188" t="str">
        <f>IF(ISERROR(getgrade(Broadsheet!M263,data!$H$4:$I$9)),"#",getgrade(Broadsheet!M263,data!$H$4:$I$9))</f>
        <v/>
      </c>
      <c r="N152" s="188" t="str">
        <f>IF(ISERROR(getgrade(Broadsheet!N263,data!$H$4:$I$9)),"#",getgrade(Broadsheet!N263,data!$H$4:$I$9))</f>
        <v/>
      </c>
      <c r="O152" s="188" t="str">
        <f>IF(ISERROR(getgrade(Broadsheet!O263,data!$H$4:$I$9)),"#",getgrade(Broadsheet!O263,data!$H$4:$I$9))</f>
        <v/>
      </c>
      <c r="P152" s="188" t="str">
        <f>IF(ISERROR(getgrade(Broadsheet!P263,data!$H$4:$I$9)),"#",getgrade(Broadsheet!P263,data!$H$4:$I$9))</f>
        <v/>
      </c>
      <c r="Q152" s="188" t="str">
        <f>IF(ISERROR(getgrade(Broadsheet!Q263,data!$H$4:$I$9)),"#",getgrade(Broadsheet!Q263,data!$H$4:$I$9))</f>
        <v/>
      </c>
      <c r="R152" s="188" t="str">
        <f>IF(ISERROR(getgrade(Broadsheet!R263,data!$H$4:$I$9)),"#",getgrade(Broadsheet!R263,data!$H$4:$I$9))</f>
        <v/>
      </c>
      <c r="S152" s="188" t="str">
        <f>IF(ISERROR(getgrade(Broadsheet!S263,data!$H$4:$I$9)),"#",getgrade(Broadsheet!S263,data!$H$4:$I$9))</f>
        <v/>
      </c>
      <c r="T152" s="188" t="str">
        <f>IF(ISERROR(getgrade(Broadsheet!T263,data!$H$4:$I$9)),"#",getgrade(Broadsheet!T263,data!$H$4:$I$9))</f>
        <v/>
      </c>
      <c r="U152" s="188" t="str">
        <f>IF(ISERROR(getgrade(Broadsheet!U263,data!$H$4:$I$9)),"#",getgrade(Broadsheet!U263,data!$H$4:$I$9))</f>
        <v/>
      </c>
      <c r="V152" s="188" t="str">
        <f>IF(ISERROR(getgrade(Broadsheet!V263,data!$H$4:$I$9)),"#",getgrade(Broadsheet!V263,data!$H$4:$I$9))</f>
        <v/>
      </c>
      <c r="W152" s="188" t="str">
        <f>IF(ISERROR(getgrade(Broadsheet!W263,data!$H$4:$I$9)),"#",getgrade(Broadsheet!W263,data!$H$4:$I$9))</f>
        <v/>
      </c>
      <c r="X152" s="188" t="str">
        <f>IF(ISERROR(getgrade(Broadsheet!X263,data!$H$4:$I$9)),"#",getgrade(Broadsheet!X263,data!$H$4:$I$9))</f>
        <v/>
      </c>
      <c r="Y152" s="188" t="str">
        <f>IF(ISERROR(getgrade(Broadsheet!Y263,data!$H$4:$I$9)),"#",getgrade(Broadsheet!Y263,data!$H$4:$I$9))</f>
        <v/>
      </c>
      <c r="Z152" s="188" t="str">
        <f>IF(ISERROR(getgrade(Broadsheet!Z263,data!$H$4:$I$9)),"#",getgrade(Broadsheet!Z263,data!$H$4:$I$9))</f>
        <v/>
      </c>
      <c r="AA152" s="188" t="str">
        <f>IF(ISERROR(getgrade(Broadsheet!AA263,data!$H$4:$I$9)),"#",getgrade(Broadsheet!AA263,data!$H$4:$I$9))</f>
        <v/>
      </c>
      <c r="AB152" s="188" t="str">
        <f>IF(ISERROR(getgrade(Broadsheet!AB263,data!$H$4:$I$9)),"#",getgrade(Broadsheet!AB263,data!$H$4:$I$9))</f>
        <v/>
      </c>
      <c r="AC152" s="188" t="str">
        <f>IF(ISERROR(getgrade(Broadsheet!AC263,data!$H$4:$I$9)),"#",getgrade(Broadsheet!AC263,data!$H$4:$I$9))</f>
        <v/>
      </c>
      <c r="AD152" s="188" t="str">
        <f>IF(ISERROR(getgrade(Broadsheet!AD263,data!$H$4:$I$9)),"#",getgrade(Broadsheet!AD263,data!$H$4:$I$9))</f>
        <v/>
      </c>
      <c r="AE152" s="188" t="str">
        <f>IF(ISERROR(getgrade(Broadsheet!AE263,data!$H$4:$I$9)),"#",getgrade(Broadsheet!AE263,data!$H$4:$I$9))</f>
        <v/>
      </c>
      <c r="AF152" s="188" t="str">
        <f>IF(ISERROR(getgrade(Broadsheet!AF263,data!$H$4:$I$9)),"#",getgrade(Broadsheet!AF263,data!$H$4:$I$9))</f>
        <v/>
      </c>
      <c r="AG152" s="188" t="str">
        <f>IF(ISERROR(getgrade(Broadsheet!AG263,data!$H$4:$I$9)),"#",getgrade(Broadsheet!AG263,data!$H$4:$I$9))</f>
        <v/>
      </c>
      <c r="AH152" s="188" t="str">
        <f>IF(ISERROR(getgrade(Broadsheet!AH263,data!$H$4:$I$9)),"#",getgrade(Broadsheet!AH263,data!$H$4:$I$9))</f>
        <v/>
      </c>
      <c r="AI152" s="188" t="str">
        <f>IF(ISERROR(getgrade(Broadsheet!AI263,data!$H$4:$I$9)),"#",getgrade(Broadsheet!AI263,data!$H$4:$I$9))</f>
        <v/>
      </c>
      <c r="AJ152" s="188" t="str">
        <f>IF(ISERROR(getgrade(Broadsheet!AJ263,data!$H$4:$I$9)),"#",getgrade(Broadsheet!AJ263,data!$H$4:$I$9))</f>
        <v/>
      </c>
      <c r="AK152" s="188" t="str">
        <f>IF(ISERROR(getgrade(Broadsheet!AK263,data!$H$4:$I$9)),"#",getgrade(Broadsheet!AK263,data!$H$4:$I$9))</f>
        <v/>
      </c>
      <c r="AL152" s="188" t="str">
        <f>IF(ISERROR(getgrade(Broadsheet!AL263,data!$H$4:$I$9)),"#",getgrade(Broadsheet!AL263,data!$H$4:$I$9))</f>
        <v/>
      </c>
      <c r="AM152" s="188" t="str">
        <f>IF(ISERROR(getgrade(Broadsheet!AM263,data!$H$4:$I$9)),"#",getgrade(Broadsheet!AM263,data!$H$4:$I$9))</f>
        <v/>
      </c>
      <c r="AN152" s="188" t="str">
        <f>IF(ISERROR(getgrade(Broadsheet!AN263,data!$H$4:$I$9)),"#",getgrade(Broadsheet!AN263,data!$H$4:$I$9))</f>
        <v/>
      </c>
      <c r="AO152" s="188" t="str">
        <f>IF(ISERROR(getgrade(Broadsheet!AO263,data!$H$4:$I$9)),"#",getgrade(Broadsheet!AO263,data!$H$4:$I$9))</f>
        <v/>
      </c>
      <c r="AP152" s="188" t="str">
        <f>IF(ISERROR(getgrade(Broadsheet!AP263,data!$H$4:$I$9)),"#",getgrade(Broadsheet!AP263,data!$H$4:$I$9))</f>
        <v/>
      </c>
      <c r="AQ152" s="188" t="str">
        <f>IF(ISERROR(getgrade(Broadsheet!AQ263,data!$H$4:$I$9)),"#",getgrade(Broadsheet!AQ263,data!$H$4:$I$9))</f>
        <v/>
      </c>
      <c r="AR152" s="188" t="str">
        <f>IF(ISERROR(getgrade(Broadsheet!AR263,data!$H$4:$I$9)),"#",getgrade(Broadsheet!AR263,data!$H$4:$I$9))</f>
        <v/>
      </c>
      <c r="AS152" s="188" t="str">
        <f>IF(ISERROR(getgrade(Broadsheet!AS263,data!$H$4:$I$9)),"#",getgrade(Broadsheet!AS263,data!$H$4:$I$9))</f>
        <v/>
      </c>
      <c r="AT152" s="188" t="str">
        <f>IF(ISERROR(getgrade(Broadsheet!AT263,data!$H$4:$I$9)),"#",getgrade(Broadsheet!AT263,data!$H$4:$I$9))</f>
        <v/>
      </c>
      <c r="AU152" s="188" t="str">
        <f>IF(ISERROR(getgrade(Broadsheet!AU263,data!$H$4:$I$9)),"#",getgrade(Broadsheet!AU263,data!$H$4:$I$9))</f>
        <v/>
      </c>
      <c r="AV152" s="188" t="str">
        <f>IF(ISERROR(getgrade(Broadsheet!AV263,data!$H$4:$I$9)),"#",getgrade(Broadsheet!AV263,data!$H$4:$I$9))</f>
        <v/>
      </c>
      <c r="AW152" s="188" t="str">
        <f>IF(ISERROR(getgrade(Broadsheet!AW263,data!$H$4:$I$9)),"#",getgrade(Broadsheet!AW263,data!$H$4:$I$9))</f>
        <v/>
      </c>
      <c r="AX152" s="188" t="str">
        <f>IF(ISERROR(getgrade(Broadsheet!AX263,data!$H$4:$I$9)),"#",getgrade(Broadsheet!AX263,data!$H$4:$I$9))</f>
        <v/>
      </c>
      <c r="AY152" s="188" t="str">
        <f>IF(ISERROR(getgrade(Broadsheet!AY263,data!$H$4:$I$9)),"#",getgrade(Broadsheet!AY263,data!$H$4:$I$9))</f>
        <v/>
      </c>
      <c r="AZ152" s="188" t="str">
        <f>IF(ISERROR(getgrade(Broadsheet!AZ263,data!$H$4:$I$9)),"#",getgrade(Broadsheet!AZ263,data!$H$4:$I$9))</f>
        <v/>
      </c>
      <c r="BA152" s="188" t="str">
        <f>IF(ISERROR(getgrade(Broadsheet!BA263,data!$H$4:$I$9)),"#",getgrade(Broadsheet!BA263,data!$H$4:$I$9))</f>
        <v/>
      </c>
      <c r="BB152" s="188" t="str">
        <f>IF(ISERROR(getgrade(Broadsheet!BB263,data!$H$4:$I$9)),"#",getgrade(Broadsheet!BB263,data!$H$4:$I$9))</f>
        <v/>
      </c>
      <c r="BC152" s="188" t="str">
        <f>IF(ISERROR(getgrade(Broadsheet!BC263,data!$H$4:$I$9)),"#",getgrade(Broadsheet!BC263,data!$H$4:$I$9))</f>
        <v/>
      </c>
      <c r="BD152" s="188" t="str">
        <f>IF(ISERROR(getgrade(Broadsheet!BD263,data!$H$4:$I$9)),"#",getgrade(Broadsheet!BD263,data!$H$4:$I$9))</f>
        <v/>
      </c>
      <c r="BE152" s="188" t="str">
        <f>IF(ISERROR(getgrade(Broadsheet!BE263,data!$H$4:$I$9)),"#",getgrade(Broadsheet!BE263,data!$H$4:$I$9))</f>
        <v/>
      </c>
      <c r="BF152" s="188" t="str">
        <f>IF(ISERROR(getgrade(Broadsheet!BF263,data!$H$4:$I$9)),"#",getgrade(Broadsheet!BF263,data!$H$4:$I$9))</f>
        <v/>
      </c>
      <c r="BG152" s="188" t="str">
        <f>IF(ISERROR(getgrade(Broadsheet!BG263,data!$H$4:$I$9)),"#",getgrade(Broadsheet!BG263,data!$H$4:$I$9))</f>
        <v/>
      </c>
      <c r="BH152" s="188" t="str">
        <f>IF(ISERROR(getgrade(Broadsheet!BH263,data!$H$4:$I$9)),"#",getgrade(Broadsheet!BH263,data!$H$4:$I$9))</f>
        <v/>
      </c>
      <c r="BI152" s="188" t="str">
        <f>IF(ISERROR(getgrade(Broadsheet!BI263,data!$H$4:$I$9)),"#",getgrade(Broadsheet!BI263,data!$H$4:$I$9))</f>
        <v/>
      </c>
      <c r="BJ152" s="188" t="str">
        <f>IF(ISERROR(getgrade(Broadsheet!BJ263,data!$H$4:$I$9)),"#",getgrade(Broadsheet!BJ263,data!$H$4:$I$9))</f>
        <v/>
      </c>
      <c r="BK152" s="188"/>
      <c r="BL152" s="188"/>
      <c r="BM152" s="188"/>
      <c r="BN152" s="188"/>
      <c r="BO152" s="188"/>
      <c r="BP152" s="188"/>
      <c r="BQ152" s="188"/>
      <c r="BR152" s="188"/>
      <c r="BS152" s="188"/>
      <c r="BT152" s="188"/>
      <c r="BU152" s="188"/>
      <c r="BV152" s="188"/>
      <c r="BW152" s="188"/>
      <c r="BX152" s="188"/>
      <c r="BY152" s="188"/>
      <c r="BZ152" s="188"/>
      <c r="CA152" s="188"/>
      <c r="CB152" s="188"/>
      <c r="CC152" s="188"/>
      <c r="CD152" s="188"/>
      <c r="CE152" s="188"/>
      <c r="CF152" s="188"/>
      <c r="CG152" s="188"/>
      <c r="CH152" s="188"/>
      <c r="CI152" s="188"/>
      <c r="CJ152" s="188"/>
      <c r="CK152" s="188"/>
      <c r="CL152" s="188"/>
      <c r="CM152" s="188"/>
      <c r="CN152" s="188"/>
      <c r="CO152" s="188"/>
      <c r="CP152" s="188"/>
      <c r="CQ152" s="188"/>
      <c r="CR152" s="188"/>
      <c r="CS152" s="188"/>
      <c r="CT152" s="188"/>
      <c r="CU152" s="188"/>
      <c r="CV152" s="188"/>
      <c r="CW152" s="188"/>
      <c r="CX152" s="188"/>
      <c r="CY152" s="188"/>
      <c r="CZ152" s="188"/>
      <c r="DA152" s="188"/>
      <c r="DB152" s="188"/>
      <c r="DC152" s="188"/>
      <c r="DD152" s="188"/>
      <c r="DE152" s="188"/>
      <c r="DF152" s="188"/>
      <c r="DG152" s="188"/>
      <c r="DH152" s="188"/>
      <c r="DI152" s="188"/>
      <c r="DJ152" s="188"/>
      <c r="DK152" s="188"/>
      <c r="DL152" s="188"/>
      <c r="DM152" s="188"/>
      <c r="DN152" s="188"/>
      <c r="DO152" s="188"/>
      <c r="DP152" s="188"/>
      <c r="DQ152" s="188"/>
      <c r="DR152" s="188"/>
      <c r="DS152" s="188"/>
      <c r="DT152" s="188"/>
      <c r="DU152" s="188"/>
      <c r="DV152" s="188"/>
      <c r="DW152" s="188"/>
      <c r="DX152" s="188"/>
      <c r="DY152" s="188"/>
      <c r="DZ152" s="188"/>
      <c r="EA152" s="188"/>
    </row>
    <row r="153" spans="1:131" ht="15.75" x14ac:dyDescent="0.25">
      <c r="A153" s="12">
        <f>Broadsheet!A264</f>
        <v>0</v>
      </c>
      <c r="B153" s="204" t="str">
        <f>IF(Broadsheet!B153="","",Broadsheet!B153)</f>
        <v/>
      </c>
      <c r="C153" s="24" t="str">
        <f>IF(Broadsheet!C153="","",Broadsheet!C153)</f>
        <v xml:space="preserve"> </v>
      </c>
      <c r="G153" s="24" t="str">
        <f t="shared" si="2"/>
        <v/>
      </c>
      <c r="H153" s="188" t="str">
        <f>IF(ISERROR(getgrade(Broadsheet!H264,data!$H$4:$I$9)),"#",getgrade(Broadsheet!H264,data!$H$4:$I$9))</f>
        <v/>
      </c>
      <c r="I153" s="188" t="str">
        <f>IF(ISERROR(getgrade(Broadsheet!I264,data!$H$4:$I$9)),"#",getgrade(Broadsheet!I264,data!$H$4:$I$9))</f>
        <v/>
      </c>
      <c r="J153" s="188" t="str">
        <f>IF(ISERROR(getgrade(Broadsheet!J264,data!$H$4:$I$9)),"#",getgrade(Broadsheet!J264,data!$H$4:$I$9))</f>
        <v/>
      </c>
      <c r="K153" s="188" t="str">
        <f>IF(ISERROR(getgrade(Broadsheet!K264,data!$H$4:$I$9)),"#",getgrade(Broadsheet!K264,data!$H$4:$I$9))</f>
        <v/>
      </c>
      <c r="L153" s="188" t="str">
        <f>IF(ISERROR(getgrade(Broadsheet!L264,data!$H$4:$I$9)),"#",getgrade(Broadsheet!L264,data!$H$4:$I$9))</f>
        <v/>
      </c>
      <c r="M153" s="188" t="str">
        <f>IF(ISERROR(getgrade(Broadsheet!M264,data!$H$4:$I$9)),"#",getgrade(Broadsheet!M264,data!$H$4:$I$9))</f>
        <v/>
      </c>
      <c r="N153" s="188" t="str">
        <f>IF(ISERROR(getgrade(Broadsheet!N264,data!$H$4:$I$9)),"#",getgrade(Broadsheet!N264,data!$H$4:$I$9))</f>
        <v/>
      </c>
      <c r="O153" s="188" t="str">
        <f>IF(ISERROR(getgrade(Broadsheet!O264,data!$H$4:$I$9)),"#",getgrade(Broadsheet!O264,data!$H$4:$I$9))</f>
        <v/>
      </c>
      <c r="P153" s="188" t="str">
        <f>IF(ISERROR(getgrade(Broadsheet!P264,data!$H$4:$I$9)),"#",getgrade(Broadsheet!P264,data!$H$4:$I$9))</f>
        <v/>
      </c>
      <c r="Q153" s="188" t="str">
        <f>IF(ISERROR(getgrade(Broadsheet!Q264,data!$H$4:$I$9)),"#",getgrade(Broadsheet!Q264,data!$H$4:$I$9))</f>
        <v/>
      </c>
      <c r="R153" s="188" t="str">
        <f>IF(ISERROR(getgrade(Broadsheet!R264,data!$H$4:$I$9)),"#",getgrade(Broadsheet!R264,data!$H$4:$I$9))</f>
        <v/>
      </c>
      <c r="S153" s="188" t="str">
        <f>IF(ISERROR(getgrade(Broadsheet!S264,data!$H$4:$I$9)),"#",getgrade(Broadsheet!S264,data!$H$4:$I$9))</f>
        <v/>
      </c>
      <c r="T153" s="188" t="str">
        <f>IF(ISERROR(getgrade(Broadsheet!T264,data!$H$4:$I$9)),"#",getgrade(Broadsheet!T264,data!$H$4:$I$9))</f>
        <v/>
      </c>
      <c r="U153" s="188" t="str">
        <f>IF(ISERROR(getgrade(Broadsheet!U264,data!$H$4:$I$9)),"#",getgrade(Broadsheet!U264,data!$H$4:$I$9))</f>
        <v/>
      </c>
      <c r="V153" s="188" t="str">
        <f>IF(ISERROR(getgrade(Broadsheet!V264,data!$H$4:$I$9)),"#",getgrade(Broadsheet!V264,data!$H$4:$I$9))</f>
        <v/>
      </c>
      <c r="W153" s="188" t="str">
        <f>IF(ISERROR(getgrade(Broadsheet!W264,data!$H$4:$I$9)),"#",getgrade(Broadsheet!W264,data!$H$4:$I$9))</f>
        <v/>
      </c>
      <c r="X153" s="188" t="str">
        <f>IF(ISERROR(getgrade(Broadsheet!X264,data!$H$4:$I$9)),"#",getgrade(Broadsheet!X264,data!$H$4:$I$9))</f>
        <v/>
      </c>
      <c r="Y153" s="188" t="str">
        <f>IF(ISERROR(getgrade(Broadsheet!Y264,data!$H$4:$I$9)),"#",getgrade(Broadsheet!Y264,data!$H$4:$I$9))</f>
        <v/>
      </c>
      <c r="Z153" s="188" t="str">
        <f>IF(ISERROR(getgrade(Broadsheet!Z264,data!$H$4:$I$9)),"#",getgrade(Broadsheet!Z264,data!$H$4:$I$9))</f>
        <v/>
      </c>
      <c r="AA153" s="188" t="str">
        <f>IF(ISERROR(getgrade(Broadsheet!AA264,data!$H$4:$I$9)),"#",getgrade(Broadsheet!AA264,data!$H$4:$I$9))</f>
        <v/>
      </c>
      <c r="AB153" s="188" t="str">
        <f>IF(ISERROR(getgrade(Broadsheet!AB264,data!$H$4:$I$9)),"#",getgrade(Broadsheet!AB264,data!$H$4:$I$9))</f>
        <v/>
      </c>
      <c r="AC153" s="188" t="str">
        <f>IF(ISERROR(getgrade(Broadsheet!AC264,data!$H$4:$I$9)),"#",getgrade(Broadsheet!AC264,data!$H$4:$I$9))</f>
        <v/>
      </c>
      <c r="AD153" s="188" t="str">
        <f>IF(ISERROR(getgrade(Broadsheet!AD264,data!$H$4:$I$9)),"#",getgrade(Broadsheet!AD264,data!$H$4:$I$9))</f>
        <v/>
      </c>
      <c r="AE153" s="188" t="str">
        <f>IF(ISERROR(getgrade(Broadsheet!AE264,data!$H$4:$I$9)),"#",getgrade(Broadsheet!AE264,data!$H$4:$I$9))</f>
        <v/>
      </c>
      <c r="AF153" s="188" t="str">
        <f>IF(ISERROR(getgrade(Broadsheet!AF264,data!$H$4:$I$9)),"#",getgrade(Broadsheet!AF264,data!$H$4:$I$9))</f>
        <v/>
      </c>
      <c r="AG153" s="188" t="str">
        <f>IF(ISERROR(getgrade(Broadsheet!AG264,data!$H$4:$I$9)),"#",getgrade(Broadsheet!AG264,data!$H$4:$I$9))</f>
        <v/>
      </c>
      <c r="AH153" s="188" t="str">
        <f>IF(ISERROR(getgrade(Broadsheet!AH264,data!$H$4:$I$9)),"#",getgrade(Broadsheet!AH264,data!$H$4:$I$9))</f>
        <v/>
      </c>
      <c r="AI153" s="188" t="str">
        <f>IF(ISERROR(getgrade(Broadsheet!AI264,data!$H$4:$I$9)),"#",getgrade(Broadsheet!AI264,data!$H$4:$I$9))</f>
        <v/>
      </c>
      <c r="AJ153" s="188" t="str">
        <f>IF(ISERROR(getgrade(Broadsheet!AJ264,data!$H$4:$I$9)),"#",getgrade(Broadsheet!AJ264,data!$H$4:$I$9))</f>
        <v/>
      </c>
      <c r="AK153" s="188" t="str">
        <f>IF(ISERROR(getgrade(Broadsheet!AK264,data!$H$4:$I$9)),"#",getgrade(Broadsheet!AK264,data!$H$4:$I$9))</f>
        <v/>
      </c>
      <c r="AL153" s="188" t="str">
        <f>IF(ISERROR(getgrade(Broadsheet!AL264,data!$H$4:$I$9)),"#",getgrade(Broadsheet!AL264,data!$H$4:$I$9))</f>
        <v/>
      </c>
      <c r="AM153" s="188" t="str">
        <f>IF(ISERROR(getgrade(Broadsheet!AM264,data!$H$4:$I$9)),"#",getgrade(Broadsheet!AM264,data!$H$4:$I$9))</f>
        <v/>
      </c>
      <c r="AN153" s="188" t="str">
        <f>IF(ISERROR(getgrade(Broadsheet!AN264,data!$H$4:$I$9)),"#",getgrade(Broadsheet!AN264,data!$H$4:$I$9))</f>
        <v/>
      </c>
      <c r="AO153" s="188" t="str">
        <f>IF(ISERROR(getgrade(Broadsheet!AO264,data!$H$4:$I$9)),"#",getgrade(Broadsheet!AO264,data!$H$4:$I$9))</f>
        <v/>
      </c>
      <c r="AP153" s="188" t="str">
        <f>IF(ISERROR(getgrade(Broadsheet!AP264,data!$H$4:$I$9)),"#",getgrade(Broadsheet!AP264,data!$H$4:$I$9))</f>
        <v/>
      </c>
      <c r="AQ153" s="188" t="str">
        <f>IF(ISERROR(getgrade(Broadsheet!AQ264,data!$H$4:$I$9)),"#",getgrade(Broadsheet!AQ264,data!$H$4:$I$9))</f>
        <v/>
      </c>
      <c r="AR153" s="188" t="str">
        <f>IF(ISERROR(getgrade(Broadsheet!AR264,data!$H$4:$I$9)),"#",getgrade(Broadsheet!AR264,data!$H$4:$I$9))</f>
        <v/>
      </c>
      <c r="AS153" s="188" t="str">
        <f>IF(ISERROR(getgrade(Broadsheet!AS264,data!$H$4:$I$9)),"#",getgrade(Broadsheet!AS264,data!$H$4:$I$9))</f>
        <v/>
      </c>
      <c r="AT153" s="188" t="str">
        <f>IF(ISERROR(getgrade(Broadsheet!AT264,data!$H$4:$I$9)),"#",getgrade(Broadsheet!AT264,data!$H$4:$I$9))</f>
        <v/>
      </c>
      <c r="AU153" s="188" t="str">
        <f>IF(ISERROR(getgrade(Broadsheet!AU264,data!$H$4:$I$9)),"#",getgrade(Broadsheet!AU264,data!$H$4:$I$9))</f>
        <v/>
      </c>
      <c r="AV153" s="188" t="str">
        <f>IF(ISERROR(getgrade(Broadsheet!AV264,data!$H$4:$I$9)),"#",getgrade(Broadsheet!AV264,data!$H$4:$I$9))</f>
        <v/>
      </c>
      <c r="AW153" s="188" t="str">
        <f>IF(ISERROR(getgrade(Broadsheet!AW264,data!$H$4:$I$9)),"#",getgrade(Broadsheet!AW264,data!$H$4:$I$9))</f>
        <v/>
      </c>
      <c r="AX153" s="188" t="str">
        <f>IF(ISERROR(getgrade(Broadsheet!AX264,data!$H$4:$I$9)),"#",getgrade(Broadsheet!AX264,data!$H$4:$I$9))</f>
        <v/>
      </c>
      <c r="AY153" s="188" t="str">
        <f>IF(ISERROR(getgrade(Broadsheet!AY264,data!$H$4:$I$9)),"#",getgrade(Broadsheet!AY264,data!$H$4:$I$9))</f>
        <v/>
      </c>
      <c r="AZ153" s="188" t="str">
        <f>IF(ISERROR(getgrade(Broadsheet!AZ264,data!$H$4:$I$9)),"#",getgrade(Broadsheet!AZ264,data!$H$4:$I$9))</f>
        <v/>
      </c>
      <c r="BA153" s="188" t="str">
        <f>IF(ISERROR(getgrade(Broadsheet!BA264,data!$H$4:$I$9)),"#",getgrade(Broadsheet!BA264,data!$H$4:$I$9))</f>
        <v/>
      </c>
      <c r="BB153" s="188" t="str">
        <f>IF(ISERROR(getgrade(Broadsheet!BB264,data!$H$4:$I$9)),"#",getgrade(Broadsheet!BB264,data!$H$4:$I$9))</f>
        <v/>
      </c>
      <c r="BC153" s="188" t="str">
        <f>IF(ISERROR(getgrade(Broadsheet!BC264,data!$H$4:$I$9)),"#",getgrade(Broadsheet!BC264,data!$H$4:$I$9))</f>
        <v/>
      </c>
      <c r="BD153" s="188" t="str">
        <f>IF(ISERROR(getgrade(Broadsheet!BD264,data!$H$4:$I$9)),"#",getgrade(Broadsheet!BD264,data!$H$4:$I$9))</f>
        <v/>
      </c>
      <c r="BE153" s="188" t="str">
        <f>IF(ISERROR(getgrade(Broadsheet!BE264,data!$H$4:$I$9)),"#",getgrade(Broadsheet!BE264,data!$H$4:$I$9))</f>
        <v/>
      </c>
      <c r="BF153" s="188" t="str">
        <f>IF(ISERROR(getgrade(Broadsheet!BF264,data!$H$4:$I$9)),"#",getgrade(Broadsheet!BF264,data!$H$4:$I$9))</f>
        <v/>
      </c>
      <c r="BG153" s="188" t="str">
        <f>IF(ISERROR(getgrade(Broadsheet!BG264,data!$H$4:$I$9)),"#",getgrade(Broadsheet!BG264,data!$H$4:$I$9))</f>
        <v/>
      </c>
      <c r="BH153" s="188" t="str">
        <f>IF(ISERROR(getgrade(Broadsheet!BH264,data!$H$4:$I$9)),"#",getgrade(Broadsheet!BH264,data!$H$4:$I$9))</f>
        <v/>
      </c>
      <c r="BI153" s="188" t="str">
        <f>IF(ISERROR(getgrade(Broadsheet!BI264,data!$H$4:$I$9)),"#",getgrade(Broadsheet!BI264,data!$H$4:$I$9))</f>
        <v/>
      </c>
      <c r="BJ153" s="188" t="str">
        <f>IF(ISERROR(getgrade(Broadsheet!BJ264,data!$H$4:$I$9)),"#",getgrade(Broadsheet!BJ264,data!$H$4:$I$9))</f>
        <v/>
      </c>
      <c r="BK153" s="188"/>
      <c r="BL153" s="188"/>
      <c r="BM153" s="188"/>
      <c r="BN153" s="188"/>
      <c r="BO153" s="188"/>
      <c r="BP153" s="188"/>
      <c r="BQ153" s="188"/>
      <c r="BR153" s="188"/>
      <c r="BS153" s="188"/>
      <c r="BT153" s="188"/>
      <c r="BU153" s="188"/>
      <c r="BV153" s="188"/>
      <c r="BW153" s="188"/>
      <c r="BX153" s="188"/>
      <c r="BY153" s="188"/>
      <c r="BZ153" s="188"/>
      <c r="CA153" s="188"/>
      <c r="CB153" s="188"/>
      <c r="CC153" s="188"/>
      <c r="CD153" s="188"/>
      <c r="CE153" s="188"/>
      <c r="CF153" s="188"/>
      <c r="CG153" s="188"/>
      <c r="CH153" s="188"/>
      <c r="CI153" s="188"/>
      <c r="CJ153" s="188"/>
      <c r="CK153" s="188"/>
      <c r="CL153" s="188"/>
      <c r="CM153" s="188"/>
      <c r="CN153" s="188"/>
      <c r="CO153" s="188"/>
      <c r="CP153" s="188"/>
      <c r="CQ153" s="188"/>
      <c r="CR153" s="188"/>
      <c r="CS153" s="188"/>
      <c r="CT153" s="188"/>
      <c r="CU153" s="188"/>
      <c r="CV153" s="188"/>
      <c r="CW153" s="188"/>
      <c r="CX153" s="188"/>
      <c r="CY153" s="188"/>
      <c r="CZ153" s="188"/>
      <c r="DA153" s="188"/>
      <c r="DB153" s="188"/>
      <c r="DC153" s="188"/>
      <c r="DD153" s="188"/>
      <c r="DE153" s="188"/>
      <c r="DF153" s="188"/>
      <c r="DG153" s="188"/>
      <c r="DH153" s="188"/>
      <c r="DI153" s="188"/>
      <c r="DJ153" s="188"/>
      <c r="DK153" s="188"/>
      <c r="DL153" s="188"/>
      <c r="DM153" s="188"/>
      <c r="DN153" s="188"/>
      <c r="DO153" s="188"/>
      <c r="DP153" s="188"/>
      <c r="DQ153" s="188"/>
      <c r="DR153" s="188"/>
      <c r="DS153" s="188"/>
      <c r="DT153" s="188"/>
      <c r="DU153" s="188"/>
      <c r="DV153" s="188"/>
      <c r="DW153" s="188"/>
      <c r="DX153" s="188"/>
      <c r="DY153" s="188"/>
      <c r="DZ153" s="188"/>
      <c r="EA153" s="188"/>
    </row>
    <row r="154" spans="1:131" ht="15.75" x14ac:dyDescent="0.25">
      <c r="A154" s="12">
        <f>Broadsheet!A265</f>
        <v>0</v>
      </c>
      <c r="B154" s="204" t="str">
        <f>IF(Broadsheet!B154="","",Broadsheet!B154)</f>
        <v/>
      </c>
      <c r="C154" s="24" t="str">
        <f>IF(Broadsheet!C154="","",Broadsheet!C154)</f>
        <v xml:space="preserve"> </v>
      </c>
      <c r="G154" s="24" t="str">
        <f t="shared" si="2"/>
        <v/>
      </c>
      <c r="H154" s="188" t="str">
        <f>IF(ISERROR(getgrade(Broadsheet!H265,data!$H$4:$I$9)),"#",getgrade(Broadsheet!H265,data!$H$4:$I$9))</f>
        <v/>
      </c>
      <c r="I154" s="188" t="str">
        <f>IF(ISERROR(getgrade(Broadsheet!I265,data!$H$4:$I$9)),"#",getgrade(Broadsheet!I265,data!$H$4:$I$9))</f>
        <v/>
      </c>
      <c r="J154" s="188" t="str">
        <f>IF(ISERROR(getgrade(Broadsheet!J265,data!$H$4:$I$9)),"#",getgrade(Broadsheet!J265,data!$H$4:$I$9))</f>
        <v/>
      </c>
      <c r="K154" s="188" t="str">
        <f>IF(ISERROR(getgrade(Broadsheet!K265,data!$H$4:$I$9)),"#",getgrade(Broadsheet!K265,data!$H$4:$I$9))</f>
        <v/>
      </c>
      <c r="L154" s="188" t="str">
        <f>IF(ISERROR(getgrade(Broadsheet!L265,data!$H$4:$I$9)),"#",getgrade(Broadsheet!L265,data!$H$4:$I$9))</f>
        <v/>
      </c>
      <c r="M154" s="188" t="str">
        <f>IF(ISERROR(getgrade(Broadsheet!M265,data!$H$4:$I$9)),"#",getgrade(Broadsheet!M265,data!$H$4:$I$9))</f>
        <v/>
      </c>
      <c r="N154" s="188" t="str">
        <f>IF(ISERROR(getgrade(Broadsheet!N265,data!$H$4:$I$9)),"#",getgrade(Broadsheet!N265,data!$H$4:$I$9))</f>
        <v/>
      </c>
      <c r="O154" s="188" t="str">
        <f>IF(ISERROR(getgrade(Broadsheet!O265,data!$H$4:$I$9)),"#",getgrade(Broadsheet!O265,data!$H$4:$I$9))</f>
        <v/>
      </c>
      <c r="P154" s="188" t="str">
        <f>IF(ISERROR(getgrade(Broadsheet!P265,data!$H$4:$I$9)),"#",getgrade(Broadsheet!P265,data!$H$4:$I$9))</f>
        <v/>
      </c>
      <c r="Q154" s="188" t="str">
        <f>IF(ISERROR(getgrade(Broadsheet!Q265,data!$H$4:$I$9)),"#",getgrade(Broadsheet!Q265,data!$H$4:$I$9))</f>
        <v/>
      </c>
      <c r="R154" s="188" t="str">
        <f>IF(ISERROR(getgrade(Broadsheet!R265,data!$H$4:$I$9)),"#",getgrade(Broadsheet!R265,data!$H$4:$I$9))</f>
        <v/>
      </c>
      <c r="S154" s="188" t="str">
        <f>IF(ISERROR(getgrade(Broadsheet!S265,data!$H$4:$I$9)),"#",getgrade(Broadsheet!S265,data!$H$4:$I$9))</f>
        <v/>
      </c>
      <c r="T154" s="188" t="str">
        <f>IF(ISERROR(getgrade(Broadsheet!T265,data!$H$4:$I$9)),"#",getgrade(Broadsheet!T265,data!$H$4:$I$9))</f>
        <v/>
      </c>
      <c r="U154" s="188" t="str">
        <f>IF(ISERROR(getgrade(Broadsheet!U265,data!$H$4:$I$9)),"#",getgrade(Broadsheet!U265,data!$H$4:$I$9))</f>
        <v/>
      </c>
      <c r="V154" s="188" t="str">
        <f>IF(ISERROR(getgrade(Broadsheet!V265,data!$H$4:$I$9)),"#",getgrade(Broadsheet!V265,data!$H$4:$I$9))</f>
        <v/>
      </c>
      <c r="W154" s="188" t="str">
        <f>IF(ISERROR(getgrade(Broadsheet!W265,data!$H$4:$I$9)),"#",getgrade(Broadsheet!W265,data!$H$4:$I$9))</f>
        <v/>
      </c>
      <c r="X154" s="188" t="str">
        <f>IF(ISERROR(getgrade(Broadsheet!X265,data!$H$4:$I$9)),"#",getgrade(Broadsheet!X265,data!$H$4:$I$9))</f>
        <v/>
      </c>
      <c r="Y154" s="188" t="str">
        <f>IF(ISERROR(getgrade(Broadsheet!Y265,data!$H$4:$I$9)),"#",getgrade(Broadsheet!Y265,data!$H$4:$I$9))</f>
        <v/>
      </c>
      <c r="Z154" s="188" t="str">
        <f>IF(ISERROR(getgrade(Broadsheet!Z265,data!$H$4:$I$9)),"#",getgrade(Broadsheet!Z265,data!$H$4:$I$9))</f>
        <v/>
      </c>
      <c r="AA154" s="188" t="str">
        <f>IF(ISERROR(getgrade(Broadsheet!AA265,data!$H$4:$I$9)),"#",getgrade(Broadsheet!AA265,data!$H$4:$I$9))</f>
        <v/>
      </c>
      <c r="AB154" s="188" t="str">
        <f>IF(ISERROR(getgrade(Broadsheet!AB265,data!$H$4:$I$9)),"#",getgrade(Broadsheet!AB265,data!$H$4:$I$9))</f>
        <v/>
      </c>
      <c r="AC154" s="188" t="str">
        <f>IF(ISERROR(getgrade(Broadsheet!AC265,data!$H$4:$I$9)),"#",getgrade(Broadsheet!AC265,data!$H$4:$I$9))</f>
        <v/>
      </c>
      <c r="AD154" s="188" t="str">
        <f>IF(ISERROR(getgrade(Broadsheet!AD265,data!$H$4:$I$9)),"#",getgrade(Broadsheet!AD265,data!$H$4:$I$9))</f>
        <v/>
      </c>
      <c r="AE154" s="188" t="str">
        <f>IF(ISERROR(getgrade(Broadsheet!AE265,data!$H$4:$I$9)),"#",getgrade(Broadsheet!AE265,data!$H$4:$I$9))</f>
        <v/>
      </c>
      <c r="AF154" s="188" t="str">
        <f>IF(ISERROR(getgrade(Broadsheet!AF265,data!$H$4:$I$9)),"#",getgrade(Broadsheet!AF265,data!$H$4:$I$9))</f>
        <v/>
      </c>
      <c r="AG154" s="188" t="str">
        <f>IF(ISERROR(getgrade(Broadsheet!AG265,data!$H$4:$I$9)),"#",getgrade(Broadsheet!AG265,data!$H$4:$I$9))</f>
        <v/>
      </c>
      <c r="AH154" s="188" t="str">
        <f>IF(ISERROR(getgrade(Broadsheet!AH265,data!$H$4:$I$9)),"#",getgrade(Broadsheet!AH265,data!$H$4:$I$9))</f>
        <v/>
      </c>
      <c r="AI154" s="188" t="str">
        <f>IF(ISERROR(getgrade(Broadsheet!AI265,data!$H$4:$I$9)),"#",getgrade(Broadsheet!AI265,data!$H$4:$I$9))</f>
        <v/>
      </c>
      <c r="AJ154" s="188" t="str">
        <f>IF(ISERROR(getgrade(Broadsheet!AJ265,data!$H$4:$I$9)),"#",getgrade(Broadsheet!AJ265,data!$H$4:$I$9))</f>
        <v/>
      </c>
      <c r="AK154" s="188" t="str">
        <f>IF(ISERROR(getgrade(Broadsheet!AK265,data!$H$4:$I$9)),"#",getgrade(Broadsheet!AK265,data!$H$4:$I$9))</f>
        <v/>
      </c>
      <c r="AL154" s="188" t="str">
        <f>IF(ISERROR(getgrade(Broadsheet!AL265,data!$H$4:$I$9)),"#",getgrade(Broadsheet!AL265,data!$H$4:$I$9))</f>
        <v/>
      </c>
      <c r="AM154" s="188" t="str">
        <f>IF(ISERROR(getgrade(Broadsheet!AM265,data!$H$4:$I$9)),"#",getgrade(Broadsheet!AM265,data!$H$4:$I$9))</f>
        <v/>
      </c>
      <c r="AN154" s="188" t="str">
        <f>IF(ISERROR(getgrade(Broadsheet!AN265,data!$H$4:$I$9)),"#",getgrade(Broadsheet!AN265,data!$H$4:$I$9))</f>
        <v/>
      </c>
      <c r="AO154" s="188" t="str">
        <f>IF(ISERROR(getgrade(Broadsheet!AO265,data!$H$4:$I$9)),"#",getgrade(Broadsheet!AO265,data!$H$4:$I$9))</f>
        <v/>
      </c>
      <c r="AP154" s="188" t="str">
        <f>IF(ISERROR(getgrade(Broadsheet!AP265,data!$H$4:$I$9)),"#",getgrade(Broadsheet!AP265,data!$H$4:$I$9))</f>
        <v/>
      </c>
      <c r="AQ154" s="188" t="str">
        <f>IF(ISERROR(getgrade(Broadsheet!AQ265,data!$H$4:$I$9)),"#",getgrade(Broadsheet!AQ265,data!$H$4:$I$9))</f>
        <v/>
      </c>
      <c r="AR154" s="188" t="str">
        <f>IF(ISERROR(getgrade(Broadsheet!AR265,data!$H$4:$I$9)),"#",getgrade(Broadsheet!AR265,data!$H$4:$I$9))</f>
        <v/>
      </c>
      <c r="AS154" s="188" t="str">
        <f>IF(ISERROR(getgrade(Broadsheet!AS265,data!$H$4:$I$9)),"#",getgrade(Broadsheet!AS265,data!$H$4:$I$9))</f>
        <v/>
      </c>
      <c r="AT154" s="188" t="str">
        <f>IF(ISERROR(getgrade(Broadsheet!AT265,data!$H$4:$I$9)),"#",getgrade(Broadsheet!AT265,data!$H$4:$I$9))</f>
        <v/>
      </c>
      <c r="AU154" s="188" t="str">
        <f>IF(ISERROR(getgrade(Broadsheet!AU265,data!$H$4:$I$9)),"#",getgrade(Broadsheet!AU265,data!$H$4:$I$9))</f>
        <v/>
      </c>
      <c r="AV154" s="188" t="str">
        <f>IF(ISERROR(getgrade(Broadsheet!AV265,data!$H$4:$I$9)),"#",getgrade(Broadsheet!AV265,data!$H$4:$I$9))</f>
        <v/>
      </c>
      <c r="AW154" s="188" t="str">
        <f>IF(ISERROR(getgrade(Broadsheet!AW265,data!$H$4:$I$9)),"#",getgrade(Broadsheet!AW265,data!$H$4:$I$9))</f>
        <v/>
      </c>
      <c r="AX154" s="188" t="str">
        <f>IF(ISERROR(getgrade(Broadsheet!AX265,data!$H$4:$I$9)),"#",getgrade(Broadsheet!AX265,data!$H$4:$I$9))</f>
        <v/>
      </c>
      <c r="AY154" s="188" t="str">
        <f>IF(ISERROR(getgrade(Broadsheet!AY265,data!$H$4:$I$9)),"#",getgrade(Broadsheet!AY265,data!$H$4:$I$9))</f>
        <v/>
      </c>
      <c r="AZ154" s="188" t="str">
        <f>IF(ISERROR(getgrade(Broadsheet!AZ265,data!$H$4:$I$9)),"#",getgrade(Broadsheet!AZ265,data!$H$4:$I$9))</f>
        <v/>
      </c>
      <c r="BA154" s="188" t="str">
        <f>IF(ISERROR(getgrade(Broadsheet!BA265,data!$H$4:$I$9)),"#",getgrade(Broadsheet!BA265,data!$H$4:$I$9))</f>
        <v/>
      </c>
      <c r="BB154" s="188" t="str">
        <f>IF(ISERROR(getgrade(Broadsheet!BB265,data!$H$4:$I$9)),"#",getgrade(Broadsheet!BB265,data!$H$4:$I$9))</f>
        <v/>
      </c>
      <c r="BC154" s="188" t="str">
        <f>IF(ISERROR(getgrade(Broadsheet!BC265,data!$H$4:$I$9)),"#",getgrade(Broadsheet!BC265,data!$H$4:$I$9))</f>
        <v/>
      </c>
      <c r="BD154" s="188" t="str">
        <f>IF(ISERROR(getgrade(Broadsheet!BD265,data!$H$4:$I$9)),"#",getgrade(Broadsheet!BD265,data!$H$4:$I$9))</f>
        <v/>
      </c>
      <c r="BE154" s="188" t="str">
        <f>IF(ISERROR(getgrade(Broadsheet!BE265,data!$H$4:$I$9)),"#",getgrade(Broadsheet!BE265,data!$H$4:$I$9))</f>
        <v/>
      </c>
      <c r="BF154" s="188" t="str">
        <f>IF(ISERROR(getgrade(Broadsheet!BF265,data!$H$4:$I$9)),"#",getgrade(Broadsheet!BF265,data!$H$4:$I$9))</f>
        <v/>
      </c>
      <c r="BG154" s="188" t="str">
        <f>IF(ISERROR(getgrade(Broadsheet!BG265,data!$H$4:$I$9)),"#",getgrade(Broadsheet!BG265,data!$H$4:$I$9))</f>
        <v/>
      </c>
      <c r="BH154" s="188" t="str">
        <f>IF(ISERROR(getgrade(Broadsheet!BH265,data!$H$4:$I$9)),"#",getgrade(Broadsheet!BH265,data!$H$4:$I$9))</f>
        <v/>
      </c>
      <c r="BI154" s="188" t="str">
        <f>IF(ISERROR(getgrade(Broadsheet!BI265,data!$H$4:$I$9)),"#",getgrade(Broadsheet!BI265,data!$H$4:$I$9))</f>
        <v/>
      </c>
      <c r="BJ154" s="188" t="str">
        <f>IF(ISERROR(getgrade(Broadsheet!BJ265,data!$H$4:$I$9)),"#",getgrade(Broadsheet!BJ265,data!$H$4:$I$9))</f>
        <v/>
      </c>
      <c r="BK154" s="188"/>
      <c r="BL154" s="188"/>
      <c r="BM154" s="188"/>
      <c r="BN154" s="188"/>
      <c r="BO154" s="188"/>
      <c r="BP154" s="188"/>
      <c r="BQ154" s="188"/>
      <c r="BR154" s="188"/>
      <c r="BS154" s="188"/>
      <c r="BT154" s="188"/>
      <c r="BU154" s="188"/>
      <c r="BV154" s="188"/>
      <c r="BW154" s="188"/>
      <c r="BX154" s="188"/>
      <c r="BY154" s="188"/>
      <c r="BZ154" s="188"/>
      <c r="CA154" s="188"/>
      <c r="CB154" s="188"/>
      <c r="CC154" s="188"/>
      <c r="CD154" s="188"/>
      <c r="CE154" s="188"/>
      <c r="CF154" s="188"/>
      <c r="CG154" s="188"/>
      <c r="CH154" s="188"/>
      <c r="CI154" s="188"/>
      <c r="CJ154" s="188"/>
      <c r="CK154" s="188"/>
      <c r="CL154" s="188"/>
      <c r="CM154" s="188"/>
      <c r="CN154" s="188"/>
      <c r="CO154" s="188"/>
      <c r="CP154" s="188"/>
      <c r="CQ154" s="188"/>
      <c r="CR154" s="188"/>
      <c r="CS154" s="188"/>
      <c r="CT154" s="188"/>
      <c r="CU154" s="188"/>
      <c r="CV154" s="188"/>
      <c r="CW154" s="188"/>
      <c r="CX154" s="188"/>
      <c r="CY154" s="188"/>
      <c r="CZ154" s="188"/>
      <c r="DA154" s="188"/>
      <c r="DB154" s="188"/>
      <c r="DC154" s="188"/>
      <c r="DD154" s="188"/>
      <c r="DE154" s="188"/>
      <c r="DF154" s="188"/>
      <c r="DG154" s="188"/>
      <c r="DH154" s="188"/>
      <c r="DI154" s="188"/>
      <c r="DJ154" s="188"/>
      <c r="DK154" s="188"/>
      <c r="DL154" s="188"/>
      <c r="DM154" s="188"/>
      <c r="DN154" s="188"/>
      <c r="DO154" s="188"/>
      <c r="DP154" s="188"/>
      <c r="DQ154" s="188"/>
      <c r="DR154" s="188"/>
      <c r="DS154" s="188"/>
      <c r="DT154" s="188"/>
      <c r="DU154" s="188"/>
      <c r="DV154" s="188"/>
      <c r="DW154" s="188"/>
      <c r="DX154" s="188"/>
      <c r="DY154" s="188"/>
      <c r="DZ154" s="188"/>
      <c r="EA154" s="188"/>
    </row>
    <row r="155" spans="1:131" ht="15.75" x14ac:dyDescent="0.25">
      <c r="A155" s="12">
        <f>Broadsheet!A266</f>
        <v>0</v>
      </c>
      <c r="B155" s="204" t="str">
        <f>IF(Broadsheet!B155="","",Broadsheet!B155)</f>
        <v/>
      </c>
      <c r="C155" s="24" t="str">
        <f>IF(Broadsheet!C155="","",Broadsheet!C155)</f>
        <v xml:space="preserve"> </v>
      </c>
      <c r="G155" s="24" t="str">
        <f t="shared" si="2"/>
        <v/>
      </c>
      <c r="H155" s="188" t="str">
        <f>IF(ISERROR(getgrade(Broadsheet!H266,data!$H$4:$I$9)),"#",getgrade(Broadsheet!H266,data!$H$4:$I$9))</f>
        <v/>
      </c>
      <c r="I155" s="188" t="str">
        <f>IF(ISERROR(getgrade(Broadsheet!I266,data!$H$4:$I$9)),"#",getgrade(Broadsheet!I266,data!$H$4:$I$9))</f>
        <v/>
      </c>
      <c r="J155" s="188" t="str">
        <f>IF(ISERROR(getgrade(Broadsheet!J266,data!$H$4:$I$9)),"#",getgrade(Broadsheet!J266,data!$H$4:$I$9))</f>
        <v/>
      </c>
      <c r="K155" s="188" t="str">
        <f>IF(ISERROR(getgrade(Broadsheet!K266,data!$H$4:$I$9)),"#",getgrade(Broadsheet!K266,data!$H$4:$I$9))</f>
        <v/>
      </c>
      <c r="L155" s="188" t="str">
        <f>IF(ISERROR(getgrade(Broadsheet!L266,data!$H$4:$I$9)),"#",getgrade(Broadsheet!L266,data!$H$4:$I$9))</f>
        <v/>
      </c>
      <c r="M155" s="188" t="str">
        <f>IF(ISERROR(getgrade(Broadsheet!M266,data!$H$4:$I$9)),"#",getgrade(Broadsheet!M266,data!$H$4:$I$9))</f>
        <v/>
      </c>
      <c r="N155" s="188" t="str">
        <f>IF(ISERROR(getgrade(Broadsheet!N266,data!$H$4:$I$9)),"#",getgrade(Broadsheet!N266,data!$H$4:$I$9))</f>
        <v/>
      </c>
      <c r="O155" s="188" t="str">
        <f>IF(ISERROR(getgrade(Broadsheet!O266,data!$H$4:$I$9)),"#",getgrade(Broadsheet!O266,data!$H$4:$I$9))</f>
        <v/>
      </c>
      <c r="P155" s="188" t="str">
        <f>IF(ISERROR(getgrade(Broadsheet!P266,data!$H$4:$I$9)),"#",getgrade(Broadsheet!P266,data!$H$4:$I$9))</f>
        <v/>
      </c>
      <c r="Q155" s="188" t="str">
        <f>IF(ISERROR(getgrade(Broadsheet!Q266,data!$H$4:$I$9)),"#",getgrade(Broadsheet!Q266,data!$H$4:$I$9))</f>
        <v/>
      </c>
      <c r="R155" s="188" t="str">
        <f>IF(ISERROR(getgrade(Broadsheet!R266,data!$H$4:$I$9)),"#",getgrade(Broadsheet!R266,data!$H$4:$I$9))</f>
        <v/>
      </c>
      <c r="S155" s="188" t="str">
        <f>IF(ISERROR(getgrade(Broadsheet!S266,data!$H$4:$I$9)),"#",getgrade(Broadsheet!S266,data!$H$4:$I$9))</f>
        <v/>
      </c>
      <c r="T155" s="188" t="str">
        <f>IF(ISERROR(getgrade(Broadsheet!T266,data!$H$4:$I$9)),"#",getgrade(Broadsheet!T266,data!$H$4:$I$9))</f>
        <v/>
      </c>
      <c r="U155" s="188" t="str">
        <f>IF(ISERROR(getgrade(Broadsheet!U266,data!$H$4:$I$9)),"#",getgrade(Broadsheet!U266,data!$H$4:$I$9))</f>
        <v/>
      </c>
      <c r="V155" s="188" t="str">
        <f>IF(ISERROR(getgrade(Broadsheet!V266,data!$H$4:$I$9)),"#",getgrade(Broadsheet!V266,data!$H$4:$I$9))</f>
        <v/>
      </c>
      <c r="W155" s="188" t="str">
        <f>IF(ISERROR(getgrade(Broadsheet!W266,data!$H$4:$I$9)),"#",getgrade(Broadsheet!W266,data!$H$4:$I$9))</f>
        <v/>
      </c>
      <c r="X155" s="188" t="str">
        <f>IF(ISERROR(getgrade(Broadsheet!X266,data!$H$4:$I$9)),"#",getgrade(Broadsheet!X266,data!$H$4:$I$9))</f>
        <v/>
      </c>
      <c r="Y155" s="188" t="str">
        <f>IF(ISERROR(getgrade(Broadsheet!Y266,data!$H$4:$I$9)),"#",getgrade(Broadsheet!Y266,data!$H$4:$I$9))</f>
        <v/>
      </c>
      <c r="Z155" s="188" t="str">
        <f>IF(ISERROR(getgrade(Broadsheet!Z266,data!$H$4:$I$9)),"#",getgrade(Broadsheet!Z266,data!$H$4:$I$9))</f>
        <v/>
      </c>
      <c r="AA155" s="188" t="str">
        <f>IF(ISERROR(getgrade(Broadsheet!AA266,data!$H$4:$I$9)),"#",getgrade(Broadsheet!AA266,data!$H$4:$I$9))</f>
        <v/>
      </c>
      <c r="AB155" s="188" t="str">
        <f>IF(ISERROR(getgrade(Broadsheet!AB266,data!$H$4:$I$9)),"#",getgrade(Broadsheet!AB266,data!$H$4:$I$9))</f>
        <v/>
      </c>
      <c r="AC155" s="188" t="str">
        <f>IF(ISERROR(getgrade(Broadsheet!AC266,data!$H$4:$I$9)),"#",getgrade(Broadsheet!AC266,data!$H$4:$I$9))</f>
        <v/>
      </c>
      <c r="AD155" s="188" t="str">
        <f>IF(ISERROR(getgrade(Broadsheet!AD266,data!$H$4:$I$9)),"#",getgrade(Broadsheet!AD266,data!$H$4:$I$9))</f>
        <v/>
      </c>
      <c r="AE155" s="188" t="str">
        <f>IF(ISERROR(getgrade(Broadsheet!AE266,data!$H$4:$I$9)),"#",getgrade(Broadsheet!AE266,data!$H$4:$I$9))</f>
        <v/>
      </c>
      <c r="AF155" s="188" t="str">
        <f>IF(ISERROR(getgrade(Broadsheet!AF266,data!$H$4:$I$9)),"#",getgrade(Broadsheet!AF266,data!$H$4:$I$9))</f>
        <v/>
      </c>
      <c r="AG155" s="188" t="str">
        <f>IF(ISERROR(getgrade(Broadsheet!AG266,data!$H$4:$I$9)),"#",getgrade(Broadsheet!AG266,data!$H$4:$I$9))</f>
        <v/>
      </c>
      <c r="AH155" s="188" t="str">
        <f>IF(ISERROR(getgrade(Broadsheet!AH266,data!$H$4:$I$9)),"#",getgrade(Broadsheet!AH266,data!$H$4:$I$9))</f>
        <v/>
      </c>
      <c r="AI155" s="188" t="str">
        <f>IF(ISERROR(getgrade(Broadsheet!AI266,data!$H$4:$I$9)),"#",getgrade(Broadsheet!AI266,data!$H$4:$I$9))</f>
        <v/>
      </c>
      <c r="AJ155" s="188" t="str">
        <f>IF(ISERROR(getgrade(Broadsheet!AJ266,data!$H$4:$I$9)),"#",getgrade(Broadsheet!AJ266,data!$H$4:$I$9))</f>
        <v/>
      </c>
      <c r="AK155" s="188" t="str">
        <f>IF(ISERROR(getgrade(Broadsheet!AK266,data!$H$4:$I$9)),"#",getgrade(Broadsheet!AK266,data!$H$4:$I$9))</f>
        <v/>
      </c>
      <c r="AL155" s="188" t="str">
        <f>IF(ISERROR(getgrade(Broadsheet!AL266,data!$H$4:$I$9)),"#",getgrade(Broadsheet!AL266,data!$H$4:$I$9))</f>
        <v/>
      </c>
      <c r="AM155" s="188" t="str">
        <f>IF(ISERROR(getgrade(Broadsheet!AM266,data!$H$4:$I$9)),"#",getgrade(Broadsheet!AM266,data!$H$4:$I$9))</f>
        <v/>
      </c>
      <c r="AN155" s="188" t="str">
        <f>IF(ISERROR(getgrade(Broadsheet!AN266,data!$H$4:$I$9)),"#",getgrade(Broadsheet!AN266,data!$H$4:$I$9))</f>
        <v/>
      </c>
      <c r="AO155" s="188" t="str">
        <f>IF(ISERROR(getgrade(Broadsheet!AO266,data!$H$4:$I$9)),"#",getgrade(Broadsheet!AO266,data!$H$4:$I$9))</f>
        <v/>
      </c>
      <c r="AP155" s="188" t="str">
        <f>IF(ISERROR(getgrade(Broadsheet!AP266,data!$H$4:$I$9)),"#",getgrade(Broadsheet!AP266,data!$H$4:$I$9))</f>
        <v/>
      </c>
      <c r="AQ155" s="188" t="str">
        <f>IF(ISERROR(getgrade(Broadsheet!AQ266,data!$H$4:$I$9)),"#",getgrade(Broadsheet!AQ266,data!$H$4:$I$9))</f>
        <v/>
      </c>
      <c r="AR155" s="188" t="str">
        <f>IF(ISERROR(getgrade(Broadsheet!AR266,data!$H$4:$I$9)),"#",getgrade(Broadsheet!AR266,data!$H$4:$I$9))</f>
        <v/>
      </c>
      <c r="AS155" s="188" t="str">
        <f>IF(ISERROR(getgrade(Broadsheet!AS266,data!$H$4:$I$9)),"#",getgrade(Broadsheet!AS266,data!$H$4:$I$9))</f>
        <v/>
      </c>
      <c r="AT155" s="188" t="str">
        <f>IF(ISERROR(getgrade(Broadsheet!AT266,data!$H$4:$I$9)),"#",getgrade(Broadsheet!AT266,data!$H$4:$I$9))</f>
        <v/>
      </c>
      <c r="AU155" s="188" t="str">
        <f>IF(ISERROR(getgrade(Broadsheet!AU266,data!$H$4:$I$9)),"#",getgrade(Broadsheet!AU266,data!$H$4:$I$9))</f>
        <v/>
      </c>
      <c r="AV155" s="188" t="str">
        <f>IF(ISERROR(getgrade(Broadsheet!AV266,data!$H$4:$I$9)),"#",getgrade(Broadsheet!AV266,data!$H$4:$I$9))</f>
        <v/>
      </c>
      <c r="AW155" s="188" t="str">
        <f>IF(ISERROR(getgrade(Broadsheet!AW266,data!$H$4:$I$9)),"#",getgrade(Broadsheet!AW266,data!$H$4:$I$9))</f>
        <v/>
      </c>
      <c r="AX155" s="188" t="str">
        <f>IF(ISERROR(getgrade(Broadsheet!AX266,data!$H$4:$I$9)),"#",getgrade(Broadsheet!AX266,data!$H$4:$I$9))</f>
        <v/>
      </c>
      <c r="AY155" s="188" t="str">
        <f>IF(ISERROR(getgrade(Broadsheet!AY266,data!$H$4:$I$9)),"#",getgrade(Broadsheet!AY266,data!$H$4:$I$9))</f>
        <v/>
      </c>
      <c r="AZ155" s="188" t="str">
        <f>IF(ISERROR(getgrade(Broadsheet!AZ266,data!$H$4:$I$9)),"#",getgrade(Broadsheet!AZ266,data!$H$4:$I$9))</f>
        <v/>
      </c>
      <c r="BA155" s="188" t="str">
        <f>IF(ISERROR(getgrade(Broadsheet!BA266,data!$H$4:$I$9)),"#",getgrade(Broadsheet!BA266,data!$H$4:$I$9))</f>
        <v/>
      </c>
      <c r="BB155" s="188" t="str">
        <f>IF(ISERROR(getgrade(Broadsheet!BB266,data!$H$4:$I$9)),"#",getgrade(Broadsheet!BB266,data!$H$4:$I$9))</f>
        <v/>
      </c>
      <c r="BC155" s="188" t="str">
        <f>IF(ISERROR(getgrade(Broadsheet!BC266,data!$H$4:$I$9)),"#",getgrade(Broadsheet!BC266,data!$H$4:$I$9))</f>
        <v/>
      </c>
      <c r="BD155" s="188" t="str">
        <f>IF(ISERROR(getgrade(Broadsheet!BD266,data!$H$4:$I$9)),"#",getgrade(Broadsheet!BD266,data!$H$4:$I$9))</f>
        <v/>
      </c>
      <c r="BE155" s="188" t="str">
        <f>IF(ISERROR(getgrade(Broadsheet!BE266,data!$H$4:$I$9)),"#",getgrade(Broadsheet!BE266,data!$H$4:$I$9))</f>
        <v/>
      </c>
      <c r="BF155" s="188" t="str">
        <f>IF(ISERROR(getgrade(Broadsheet!BF266,data!$H$4:$I$9)),"#",getgrade(Broadsheet!BF266,data!$H$4:$I$9))</f>
        <v/>
      </c>
      <c r="BG155" s="188" t="str">
        <f>IF(ISERROR(getgrade(Broadsheet!BG266,data!$H$4:$I$9)),"#",getgrade(Broadsheet!BG266,data!$H$4:$I$9))</f>
        <v/>
      </c>
      <c r="BH155" s="188" t="str">
        <f>IF(ISERROR(getgrade(Broadsheet!BH266,data!$H$4:$I$9)),"#",getgrade(Broadsheet!BH266,data!$H$4:$I$9))</f>
        <v/>
      </c>
      <c r="BI155" s="188" t="str">
        <f>IF(ISERROR(getgrade(Broadsheet!BI266,data!$H$4:$I$9)),"#",getgrade(Broadsheet!BI266,data!$H$4:$I$9))</f>
        <v/>
      </c>
      <c r="BJ155" s="188" t="str">
        <f>IF(ISERROR(getgrade(Broadsheet!BJ266,data!$H$4:$I$9)),"#",getgrade(Broadsheet!BJ266,data!$H$4:$I$9))</f>
        <v/>
      </c>
      <c r="BK155" s="188"/>
      <c r="BL155" s="188"/>
      <c r="BM155" s="188"/>
      <c r="BN155" s="188"/>
      <c r="BO155" s="188"/>
      <c r="BP155" s="188"/>
      <c r="BQ155" s="188"/>
      <c r="BR155" s="188"/>
      <c r="BS155" s="188"/>
      <c r="BT155" s="188"/>
      <c r="BU155" s="188"/>
      <c r="BV155" s="188"/>
      <c r="BW155" s="188"/>
      <c r="BX155" s="188"/>
      <c r="BY155" s="188"/>
      <c r="BZ155" s="188"/>
      <c r="CA155" s="188"/>
      <c r="CB155" s="188"/>
      <c r="CC155" s="188"/>
      <c r="CD155" s="188"/>
      <c r="CE155" s="188"/>
      <c r="CF155" s="188"/>
      <c r="CG155" s="188"/>
      <c r="CH155" s="188"/>
      <c r="CI155" s="188"/>
      <c r="CJ155" s="188"/>
      <c r="CK155" s="188"/>
      <c r="CL155" s="188"/>
      <c r="CM155" s="188"/>
      <c r="CN155" s="188"/>
      <c r="CO155" s="188"/>
      <c r="CP155" s="188"/>
      <c r="CQ155" s="188"/>
      <c r="CR155" s="188"/>
      <c r="CS155" s="188"/>
      <c r="CT155" s="188"/>
      <c r="CU155" s="188"/>
      <c r="CV155" s="188"/>
      <c r="CW155" s="188"/>
      <c r="CX155" s="188"/>
      <c r="CY155" s="188"/>
      <c r="CZ155" s="188"/>
      <c r="DA155" s="188"/>
      <c r="DB155" s="188"/>
      <c r="DC155" s="188"/>
      <c r="DD155" s="188"/>
      <c r="DE155" s="188"/>
      <c r="DF155" s="188"/>
      <c r="DG155" s="188"/>
      <c r="DH155" s="188"/>
      <c r="DI155" s="188"/>
      <c r="DJ155" s="188"/>
      <c r="DK155" s="188"/>
      <c r="DL155" s="188"/>
      <c r="DM155" s="188"/>
      <c r="DN155" s="188"/>
      <c r="DO155" s="188"/>
      <c r="DP155" s="188"/>
      <c r="DQ155" s="188"/>
      <c r="DR155" s="188"/>
      <c r="DS155" s="188"/>
      <c r="DT155" s="188"/>
      <c r="DU155" s="188"/>
      <c r="DV155" s="188"/>
      <c r="DW155" s="188"/>
      <c r="DX155" s="188"/>
      <c r="DY155" s="188"/>
      <c r="DZ155" s="188"/>
      <c r="EA155" s="188"/>
    </row>
    <row r="156" spans="1:131" ht="15.75" x14ac:dyDescent="0.25">
      <c r="A156" s="12">
        <f>Broadsheet!A267</f>
        <v>0</v>
      </c>
      <c r="B156" s="204" t="str">
        <f>IF(Broadsheet!B156="","",Broadsheet!B156)</f>
        <v/>
      </c>
      <c r="C156" s="24" t="str">
        <f>IF(Broadsheet!C156="","",Broadsheet!C156)</f>
        <v xml:space="preserve"> </v>
      </c>
      <c r="G156" s="24" t="str">
        <f t="shared" si="2"/>
        <v/>
      </c>
      <c r="H156" s="188" t="str">
        <f>IF(ISERROR(getgrade(Broadsheet!H267,data!$H$4:$I$9)),"#",getgrade(Broadsheet!H267,data!$H$4:$I$9))</f>
        <v/>
      </c>
      <c r="I156" s="188" t="str">
        <f>IF(ISERROR(getgrade(Broadsheet!I267,data!$H$4:$I$9)),"#",getgrade(Broadsheet!I267,data!$H$4:$I$9))</f>
        <v/>
      </c>
      <c r="J156" s="188" t="str">
        <f>IF(ISERROR(getgrade(Broadsheet!J267,data!$H$4:$I$9)),"#",getgrade(Broadsheet!J267,data!$H$4:$I$9))</f>
        <v/>
      </c>
      <c r="K156" s="188" t="str">
        <f>IF(ISERROR(getgrade(Broadsheet!K267,data!$H$4:$I$9)),"#",getgrade(Broadsheet!K267,data!$H$4:$I$9))</f>
        <v/>
      </c>
      <c r="L156" s="188" t="str">
        <f>IF(ISERROR(getgrade(Broadsheet!L267,data!$H$4:$I$9)),"#",getgrade(Broadsheet!L267,data!$H$4:$I$9))</f>
        <v/>
      </c>
      <c r="M156" s="188" t="str">
        <f>IF(ISERROR(getgrade(Broadsheet!M267,data!$H$4:$I$9)),"#",getgrade(Broadsheet!M267,data!$H$4:$I$9))</f>
        <v/>
      </c>
      <c r="N156" s="188" t="str">
        <f>IF(ISERROR(getgrade(Broadsheet!N267,data!$H$4:$I$9)),"#",getgrade(Broadsheet!N267,data!$H$4:$I$9))</f>
        <v/>
      </c>
      <c r="O156" s="188" t="str">
        <f>IF(ISERROR(getgrade(Broadsheet!O267,data!$H$4:$I$9)),"#",getgrade(Broadsheet!O267,data!$H$4:$I$9))</f>
        <v/>
      </c>
      <c r="P156" s="188" t="str">
        <f>IF(ISERROR(getgrade(Broadsheet!P267,data!$H$4:$I$9)),"#",getgrade(Broadsheet!P267,data!$H$4:$I$9))</f>
        <v/>
      </c>
      <c r="Q156" s="188" t="str">
        <f>IF(ISERROR(getgrade(Broadsheet!Q267,data!$H$4:$I$9)),"#",getgrade(Broadsheet!Q267,data!$H$4:$I$9))</f>
        <v/>
      </c>
      <c r="R156" s="188" t="str">
        <f>IF(ISERROR(getgrade(Broadsheet!R267,data!$H$4:$I$9)),"#",getgrade(Broadsheet!R267,data!$H$4:$I$9))</f>
        <v/>
      </c>
      <c r="S156" s="188" t="str">
        <f>IF(ISERROR(getgrade(Broadsheet!S267,data!$H$4:$I$9)),"#",getgrade(Broadsheet!S267,data!$H$4:$I$9))</f>
        <v/>
      </c>
      <c r="T156" s="188" t="str">
        <f>IF(ISERROR(getgrade(Broadsheet!T267,data!$H$4:$I$9)),"#",getgrade(Broadsheet!T267,data!$H$4:$I$9))</f>
        <v/>
      </c>
      <c r="U156" s="188" t="str">
        <f>IF(ISERROR(getgrade(Broadsheet!U267,data!$H$4:$I$9)),"#",getgrade(Broadsheet!U267,data!$H$4:$I$9))</f>
        <v/>
      </c>
      <c r="V156" s="188" t="str">
        <f>IF(ISERROR(getgrade(Broadsheet!V267,data!$H$4:$I$9)),"#",getgrade(Broadsheet!V267,data!$H$4:$I$9))</f>
        <v/>
      </c>
      <c r="W156" s="188" t="str">
        <f>IF(ISERROR(getgrade(Broadsheet!W267,data!$H$4:$I$9)),"#",getgrade(Broadsheet!W267,data!$H$4:$I$9))</f>
        <v/>
      </c>
      <c r="X156" s="188" t="str">
        <f>IF(ISERROR(getgrade(Broadsheet!X267,data!$H$4:$I$9)),"#",getgrade(Broadsheet!X267,data!$H$4:$I$9))</f>
        <v/>
      </c>
      <c r="Y156" s="188" t="str">
        <f>IF(ISERROR(getgrade(Broadsheet!Y267,data!$H$4:$I$9)),"#",getgrade(Broadsheet!Y267,data!$H$4:$I$9))</f>
        <v/>
      </c>
      <c r="Z156" s="188" t="str">
        <f>IF(ISERROR(getgrade(Broadsheet!Z267,data!$H$4:$I$9)),"#",getgrade(Broadsheet!Z267,data!$H$4:$I$9))</f>
        <v/>
      </c>
      <c r="AA156" s="188" t="str">
        <f>IF(ISERROR(getgrade(Broadsheet!AA267,data!$H$4:$I$9)),"#",getgrade(Broadsheet!AA267,data!$H$4:$I$9))</f>
        <v/>
      </c>
      <c r="AB156" s="188" t="str">
        <f>IF(ISERROR(getgrade(Broadsheet!AB267,data!$H$4:$I$9)),"#",getgrade(Broadsheet!AB267,data!$H$4:$I$9))</f>
        <v/>
      </c>
      <c r="AC156" s="188" t="str">
        <f>IF(ISERROR(getgrade(Broadsheet!AC267,data!$H$4:$I$9)),"#",getgrade(Broadsheet!AC267,data!$H$4:$I$9))</f>
        <v/>
      </c>
      <c r="AD156" s="188" t="str">
        <f>IF(ISERROR(getgrade(Broadsheet!AD267,data!$H$4:$I$9)),"#",getgrade(Broadsheet!AD267,data!$H$4:$I$9))</f>
        <v/>
      </c>
      <c r="AE156" s="188" t="str">
        <f>IF(ISERROR(getgrade(Broadsheet!AE267,data!$H$4:$I$9)),"#",getgrade(Broadsheet!AE267,data!$H$4:$I$9))</f>
        <v/>
      </c>
      <c r="AF156" s="188" t="str">
        <f>IF(ISERROR(getgrade(Broadsheet!AF267,data!$H$4:$I$9)),"#",getgrade(Broadsheet!AF267,data!$H$4:$I$9))</f>
        <v/>
      </c>
      <c r="AG156" s="188" t="str">
        <f>IF(ISERROR(getgrade(Broadsheet!AG267,data!$H$4:$I$9)),"#",getgrade(Broadsheet!AG267,data!$H$4:$I$9))</f>
        <v/>
      </c>
      <c r="AH156" s="188" t="str">
        <f>IF(ISERROR(getgrade(Broadsheet!AH267,data!$H$4:$I$9)),"#",getgrade(Broadsheet!AH267,data!$H$4:$I$9))</f>
        <v/>
      </c>
      <c r="AI156" s="188" t="str">
        <f>IF(ISERROR(getgrade(Broadsheet!AI267,data!$H$4:$I$9)),"#",getgrade(Broadsheet!AI267,data!$H$4:$I$9))</f>
        <v/>
      </c>
      <c r="AJ156" s="188" t="str">
        <f>IF(ISERROR(getgrade(Broadsheet!AJ267,data!$H$4:$I$9)),"#",getgrade(Broadsheet!AJ267,data!$H$4:$I$9))</f>
        <v/>
      </c>
      <c r="AK156" s="188" t="str">
        <f>IF(ISERROR(getgrade(Broadsheet!AK267,data!$H$4:$I$9)),"#",getgrade(Broadsheet!AK267,data!$H$4:$I$9))</f>
        <v/>
      </c>
      <c r="AL156" s="188" t="str">
        <f>IF(ISERROR(getgrade(Broadsheet!AL267,data!$H$4:$I$9)),"#",getgrade(Broadsheet!AL267,data!$H$4:$I$9))</f>
        <v/>
      </c>
      <c r="AM156" s="188" t="str">
        <f>IF(ISERROR(getgrade(Broadsheet!AM267,data!$H$4:$I$9)),"#",getgrade(Broadsheet!AM267,data!$H$4:$I$9))</f>
        <v/>
      </c>
      <c r="AN156" s="188" t="str">
        <f>IF(ISERROR(getgrade(Broadsheet!AN267,data!$H$4:$I$9)),"#",getgrade(Broadsheet!AN267,data!$H$4:$I$9))</f>
        <v/>
      </c>
      <c r="AO156" s="188" t="str">
        <f>IF(ISERROR(getgrade(Broadsheet!AO267,data!$H$4:$I$9)),"#",getgrade(Broadsheet!AO267,data!$H$4:$I$9))</f>
        <v/>
      </c>
      <c r="AP156" s="188" t="str">
        <f>IF(ISERROR(getgrade(Broadsheet!AP267,data!$H$4:$I$9)),"#",getgrade(Broadsheet!AP267,data!$H$4:$I$9))</f>
        <v/>
      </c>
      <c r="AQ156" s="188" t="str">
        <f>IF(ISERROR(getgrade(Broadsheet!AQ267,data!$H$4:$I$9)),"#",getgrade(Broadsheet!AQ267,data!$H$4:$I$9))</f>
        <v/>
      </c>
      <c r="AR156" s="188" t="str">
        <f>IF(ISERROR(getgrade(Broadsheet!AR267,data!$H$4:$I$9)),"#",getgrade(Broadsheet!AR267,data!$H$4:$I$9))</f>
        <v/>
      </c>
      <c r="AS156" s="188" t="str">
        <f>IF(ISERROR(getgrade(Broadsheet!AS267,data!$H$4:$I$9)),"#",getgrade(Broadsheet!AS267,data!$H$4:$I$9))</f>
        <v/>
      </c>
      <c r="AT156" s="188" t="str">
        <f>IF(ISERROR(getgrade(Broadsheet!AT267,data!$H$4:$I$9)),"#",getgrade(Broadsheet!AT267,data!$H$4:$I$9))</f>
        <v/>
      </c>
      <c r="AU156" s="188" t="str">
        <f>IF(ISERROR(getgrade(Broadsheet!AU267,data!$H$4:$I$9)),"#",getgrade(Broadsheet!AU267,data!$H$4:$I$9))</f>
        <v/>
      </c>
      <c r="AV156" s="188" t="str">
        <f>IF(ISERROR(getgrade(Broadsheet!AV267,data!$H$4:$I$9)),"#",getgrade(Broadsheet!AV267,data!$H$4:$I$9))</f>
        <v/>
      </c>
      <c r="AW156" s="188" t="str">
        <f>IF(ISERROR(getgrade(Broadsheet!AW267,data!$H$4:$I$9)),"#",getgrade(Broadsheet!AW267,data!$H$4:$I$9))</f>
        <v/>
      </c>
      <c r="AX156" s="188" t="str">
        <f>IF(ISERROR(getgrade(Broadsheet!AX267,data!$H$4:$I$9)),"#",getgrade(Broadsheet!AX267,data!$H$4:$I$9))</f>
        <v/>
      </c>
      <c r="AY156" s="188" t="str">
        <f>IF(ISERROR(getgrade(Broadsheet!AY267,data!$H$4:$I$9)),"#",getgrade(Broadsheet!AY267,data!$H$4:$I$9))</f>
        <v/>
      </c>
      <c r="AZ156" s="188" t="str">
        <f>IF(ISERROR(getgrade(Broadsheet!AZ267,data!$H$4:$I$9)),"#",getgrade(Broadsheet!AZ267,data!$H$4:$I$9))</f>
        <v/>
      </c>
      <c r="BA156" s="188" t="str">
        <f>IF(ISERROR(getgrade(Broadsheet!BA267,data!$H$4:$I$9)),"#",getgrade(Broadsheet!BA267,data!$H$4:$I$9))</f>
        <v/>
      </c>
      <c r="BB156" s="188" t="str">
        <f>IF(ISERROR(getgrade(Broadsheet!BB267,data!$H$4:$I$9)),"#",getgrade(Broadsheet!BB267,data!$H$4:$I$9))</f>
        <v/>
      </c>
      <c r="BC156" s="188" t="str">
        <f>IF(ISERROR(getgrade(Broadsheet!BC267,data!$H$4:$I$9)),"#",getgrade(Broadsheet!BC267,data!$H$4:$I$9))</f>
        <v/>
      </c>
      <c r="BD156" s="188" t="str">
        <f>IF(ISERROR(getgrade(Broadsheet!BD267,data!$H$4:$I$9)),"#",getgrade(Broadsheet!BD267,data!$H$4:$I$9))</f>
        <v/>
      </c>
      <c r="BE156" s="188" t="str">
        <f>IF(ISERROR(getgrade(Broadsheet!BE267,data!$H$4:$I$9)),"#",getgrade(Broadsheet!BE267,data!$H$4:$I$9))</f>
        <v/>
      </c>
      <c r="BF156" s="188" t="str">
        <f>IF(ISERROR(getgrade(Broadsheet!BF267,data!$H$4:$I$9)),"#",getgrade(Broadsheet!BF267,data!$H$4:$I$9))</f>
        <v/>
      </c>
      <c r="BG156" s="188" t="str">
        <f>IF(ISERROR(getgrade(Broadsheet!BG267,data!$H$4:$I$9)),"#",getgrade(Broadsheet!BG267,data!$H$4:$I$9))</f>
        <v/>
      </c>
      <c r="BH156" s="188" t="str">
        <f>IF(ISERROR(getgrade(Broadsheet!BH267,data!$H$4:$I$9)),"#",getgrade(Broadsheet!BH267,data!$H$4:$I$9))</f>
        <v/>
      </c>
      <c r="BI156" s="188" t="str">
        <f>IF(ISERROR(getgrade(Broadsheet!BI267,data!$H$4:$I$9)),"#",getgrade(Broadsheet!BI267,data!$H$4:$I$9))</f>
        <v/>
      </c>
      <c r="BJ156" s="188" t="str">
        <f>IF(ISERROR(getgrade(Broadsheet!BJ267,data!$H$4:$I$9)),"#",getgrade(Broadsheet!BJ267,data!$H$4:$I$9))</f>
        <v/>
      </c>
      <c r="BK156" s="188"/>
      <c r="BL156" s="188"/>
      <c r="BM156" s="188"/>
      <c r="BN156" s="188"/>
      <c r="BO156" s="188"/>
      <c r="BP156" s="188"/>
      <c r="BQ156" s="188"/>
      <c r="BR156" s="188"/>
      <c r="BS156" s="188"/>
      <c r="BT156" s="188"/>
      <c r="BU156" s="188"/>
      <c r="BV156" s="188"/>
      <c r="BW156" s="188"/>
      <c r="BX156" s="188"/>
      <c r="BY156" s="188"/>
      <c r="BZ156" s="188"/>
      <c r="CA156" s="188"/>
      <c r="CB156" s="188"/>
      <c r="CC156" s="188"/>
      <c r="CD156" s="188"/>
      <c r="CE156" s="188"/>
      <c r="CF156" s="188"/>
      <c r="CG156" s="188"/>
      <c r="CH156" s="188"/>
      <c r="CI156" s="188"/>
      <c r="CJ156" s="188"/>
      <c r="CK156" s="188"/>
      <c r="CL156" s="188"/>
      <c r="CM156" s="188"/>
      <c r="CN156" s="188"/>
      <c r="CO156" s="188"/>
      <c r="CP156" s="188"/>
      <c r="CQ156" s="188"/>
      <c r="CR156" s="188"/>
      <c r="CS156" s="188"/>
      <c r="CT156" s="188"/>
      <c r="CU156" s="188"/>
      <c r="CV156" s="188"/>
      <c r="CW156" s="188"/>
      <c r="CX156" s="188"/>
      <c r="CY156" s="188"/>
      <c r="CZ156" s="188"/>
      <c r="DA156" s="188"/>
      <c r="DB156" s="188"/>
      <c r="DC156" s="188"/>
      <c r="DD156" s="188"/>
      <c r="DE156" s="188"/>
      <c r="DF156" s="188"/>
      <c r="DG156" s="188"/>
      <c r="DH156" s="188"/>
      <c r="DI156" s="188"/>
      <c r="DJ156" s="188"/>
      <c r="DK156" s="188"/>
      <c r="DL156" s="188"/>
      <c r="DM156" s="188"/>
      <c r="DN156" s="188"/>
      <c r="DO156" s="188"/>
      <c r="DP156" s="188"/>
      <c r="DQ156" s="188"/>
      <c r="DR156" s="188"/>
      <c r="DS156" s="188"/>
      <c r="DT156" s="188"/>
      <c r="DU156" s="188"/>
      <c r="DV156" s="188"/>
      <c r="DW156" s="188"/>
      <c r="DX156" s="188"/>
      <c r="DY156" s="188"/>
      <c r="DZ156" s="188"/>
      <c r="EA156" s="188"/>
    </row>
  </sheetData>
  <mergeCells count="9">
    <mergeCell ref="A7:A9"/>
    <mergeCell ref="B7:B9"/>
    <mergeCell ref="C7:C9"/>
    <mergeCell ref="BN7:BN8"/>
    <mergeCell ref="F7:F9"/>
    <mergeCell ref="G7:G9"/>
    <mergeCell ref="BK7:BK8"/>
    <mergeCell ref="BL7:BL8"/>
    <mergeCell ref="BM7:BM8"/>
  </mergeCells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Z156"/>
  <sheetViews>
    <sheetView topLeftCell="EI13" zoomScale="112" zoomScaleNormal="112" workbookViewId="0">
      <selection activeCell="EO24" sqref="EO24"/>
    </sheetView>
  </sheetViews>
  <sheetFormatPr defaultRowHeight="12.75" x14ac:dyDescent="0.2"/>
  <cols>
    <col min="2" max="2" width="13.85546875" customWidth="1"/>
    <col min="3" max="3" width="23.28515625" customWidth="1"/>
    <col min="24" max="24" width="9.140625" style="105"/>
    <col min="26" max="26" width="25.5703125" customWidth="1"/>
    <col min="27" max="27" width="28.5703125" customWidth="1"/>
    <col min="28" max="28" width="10.5703125" customWidth="1"/>
    <col min="31" max="31" width="8.85546875" customWidth="1"/>
    <col min="33" max="45" width="5.85546875" customWidth="1"/>
    <col min="46" max="50" width="4.85546875" customWidth="1"/>
  </cols>
  <sheetData>
    <row r="1" spans="1:156" x14ac:dyDescent="0.2">
      <c r="Z1" s="101"/>
      <c r="AA1" s="101"/>
      <c r="AB1" s="101"/>
      <c r="AC1" s="101"/>
      <c r="AD1" s="101"/>
      <c r="AE1" s="101"/>
    </row>
    <row r="2" spans="1:156" ht="15.75" x14ac:dyDescent="0.25">
      <c r="Z2" s="2"/>
      <c r="AA2" s="2"/>
      <c r="AB2" s="2"/>
      <c r="AC2" s="2"/>
      <c r="AD2" s="2"/>
      <c r="AE2" s="2"/>
    </row>
    <row r="3" spans="1:156" ht="15.75" x14ac:dyDescent="0.25">
      <c r="Z3" s="2"/>
      <c r="AA3" s="2"/>
      <c r="AB3" s="2"/>
      <c r="AC3" s="2"/>
      <c r="AD3" s="2"/>
      <c r="AE3" s="2"/>
    </row>
    <row r="4" spans="1:156" ht="15.75" x14ac:dyDescent="0.25">
      <c r="Z4" s="2"/>
      <c r="AA4" s="2"/>
      <c r="AB4" s="2"/>
      <c r="AC4" s="2"/>
      <c r="AD4" s="2"/>
      <c r="AE4" s="2"/>
      <c r="AG4" s="193" t="s">
        <v>216</v>
      </c>
      <c r="AH4" s="214" t="s">
        <v>217</v>
      </c>
    </row>
    <row r="5" spans="1:156" ht="15.75" x14ac:dyDescent="0.25">
      <c r="Z5" s="2"/>
      <c r="AA5" s="2"/>
      <c r="AB5" s="2"/>
      <c r="AC5" s="2"/>
      <c r="AD5" s="2"/>
      <c r="AE5" s="2"/>
    </row>
    <row r="6" spans="1:156" ht="16.5" thickBot="1" x14ac:dyDescent="0.3">
      <c r="Z6" s="2" t="s">
        <v>82</v>
      </c>
      <c r="AA6" s="2"/>
      <c r="AB6" s="2"/>
      <c r="AC6" s="2"/>
      <c r="AD6" s="2"/>
      <c r="AE6" s="2"/>
    </row>
    <row r="7" spans="1:156" ht="45" customHeight="1" thickBot="1" x14ac:dyDescent="0.25">
      <c r="A7" s="252" t="s">
        <v>4</v>
      </c>
      <c r="B7" s="255" t="s">
        <v>5</v>
      </c>
      <c r="C7" s="287" t="s">
        <v>6</v>
      </c>
      <c r="D7" s="288" t="s">
        <v>26</v>
      </c>
      <c r="E7" s="289"/>
      <c r="F7" s="289"/>
      <c r="G7" s="289"/>
      <c r="H7" s="290"/>
      <c r="I7" s="142"/>
      <c r="J7" s="143"/>
      <c r="K7" s="284" t="s">
        <v>89</v>
      </c>
      <c r="L7" s="285"/>
      <c r="M7" s="285"/>
      <c r="N7" s="285"/>
      <c r="O7" s="285"/>
      <c r="P7" s="286"/>
      <c r="Q7" s="284" t="s">
        <v>90</v>
      </c>
      <c r="R7" s="285"/>
      <c r="S7" s="285"/>
      <c r="T7" s="285"/>
      <c r="U7" s="285"/>
      <c r="V7" s="285"/>
      <c r="W7" s="155"/>
      <c r="X7" s="107"/>
      <c r="Y7" s="284" t="s">
        <v>82</v>
      </c>
      <c r="Z7" s="285"/>
      <c r="AA7" s="285"/>
      <c r="AB7" s="285"/>
      <c r="AC7" s="285"/>
      <c r="AD7" s="285"/>
      <c r="AE7" s="286"/>
      <c r="AG7" s="186" t="str">
        <f ca="1">Broadsheet!H7</f>
        <v>MTH110</v>
      </c>
      <c r="AH7" s="184" t="str">
        <f ca="1">Broadsheet!I7</f>
        <v>MTH111</v>
      </c>
      <c r="AI7" s="184" t="str">
        <f ca="1">Broadsheet!J7</f>
        <v>PHY111</v>
      </c>
      <c r="AJ7" s="184" t="str">
        <f ca="1">Broadsheet!K7</f>
        <v>PHY112</v>
      </c>
      <c r="AK7" s="184" t="str">
        <f ca="1">Broadsheet!L7</f>
        <v>CHM111</v>
      </c>
      <c r="AL7" s="184" t="str">
        <f ca="1">Broadsheet!M7</f>
        <v>CHM112</v>
      </c>
      <c r="AM7" s="184" t="str">
        <f ca="1">Broadsheet!N7</f>
        <v>GST111</v>
      </c>
      <c r="AN7" s="184" t="str">
        <f ca="1">Broadsheet!O7</f>
        <v>GST112</v>
      </c>
      <c r="AO7" s="184">
        <f ca="1">Broadsheet!P7</f>
        <v>0</v>
      </c>
      <c r="AP7" s="184">
        <f ca="1">Broadsheet!Q7</f>
        <v>0</v>
      </c>
      <c r="AQ7" s="184" t="str">
        <f ca="1">Broadsheet!R7</f>
        <v>CHE211</v>
      </c>
      <c r="AR7" s="184" t="str">
        <f ca="1">Broadsheet!S7</f>
        <v>CVE211</v>
      </c>
      <c r="AS7" s="184" t="str">
        <f ca="1">Broadsheet!T7</f>
        <v>MEE211</v>
      </c>
      <c r="AT7" s="184" t="str">
        <f ca="1">Broadsheet!U7</f>
        <v>MEE212</v>
      </c>
      <c r="AU7" s="184" t="str">
        <f ca="1">Broadsheet!V7</f>
        <v>PRE211</v>
      </c>
      <c r="AV7" s="184">
        <f>Broadsheet!W7</f>
        <v>0</v>
      </c>
      <c r="AW7" s="184">
        <f>Broadsheet!X7</f>
        <v>0</v>
      </c>
      <c r="AX7" s="184">
        <f>Broadsheet!Y7</f>
        <v>0</v>
      </c>
      <c r="AY7" s="184">
        <f>Broadsheet!Z7</f>
        <v>0</v>
      </c>
      <c r="AZ7" s="184">
        <f>Broadsheet!AA7</f>
        <v>0</v>
      </c>
      <c r="BA7" s="184">
        <f>Broadsheet!AB7</f>
        <v>0</v>
      </c>
      <c r="BB7" s="184">
        <f>Broadsheet!AC7</f>
        <v>0</v>
      </c>
      <c r="BC7" s="184">
        <f>Broadsheet!AD7</f>
        <v>0</v>
      </c>
      <c r="BD7" s="184">
        <f>Broadsheet!AE7</f>
        <v>0</v>
      </c>
      <c r="BE7" s="184">
        <f>Broadsheet!AF7</f>
        <v>0</v>
      </c>
      <c r="BF7" s="184">
        <f>Broadsheet!AG7</f>
        <v>0</v>
      </c>
      <c r="BG7" s="184">
        <f>Broadsheet!AH7</f>
        <v>0</v>
      </c>
      <c r="BH7" s="184">
        <f>Broadsheet!AI7</f>
        <v>0</v>
      </c>
      <c r="BI7" s="184">
        <f>Broadsheet!AJ7</f>
        <v>0</v>
      </c>
      <c r="BJ7" s="184">
        <f>Broadsheet!AK7</f>
        <v>0</v>
      </c>
      <c r="BK7" s="184">
        <f>Broadsheet!AL7</f>
        <v>0</v>
      </c>
      <c r="BL7" s="184">
        <f>Broadsheet!AM7</f>
        <v>0</v>
      </c>
      <c r="BM7" s="184">
        <f>Broadsheet!AN7</f>
        <v>0</v>
      </c>
      <c r="BN7" s="184">
        <f>Broadsheet!AO7</f>
        <v>0</v>
      </c>
      <c r="BO7" s="184">
        <f>Broadsheet!AP7</f>
        <v>0</v>
      </c>
      <c r="BP7" s="184">
        <f>Broadsheet!AQ7</f>
        <v>0</v>
      </c>
      <c r="BQ7" s="184">
        <f>Broadsheet!AR7</f>
        <v>0</v>
      </c>
      <c r="BR7" s="184">
        <f>Broadsheet!AS7</f>
        <v>0</v>
      </c>
      <c r="BS7" s="184">
        <f>Broadsheet!AT7</f>
        <v>0</v>
      </c>
      <c r="BT7" s="184">
        <f>Broadsheet!AU7</f>
        <v>0</v>
      </c>
      <c r="BU7" s="184">
        <f>Broadsheet!AV7</f>
        <v>0</v>
      </c>
      <c r="BV7" s="184">
        <f>Broadsheet!AW7</f>
        <v>0</v>
      </c>
      <c r="BW7" s="184">
        <f>Broadsheet!AX7</f>
        <v>0</v>
      </c>
      <c r="BX7" s="184">
        <f>Broadsheet!AY7</f>
        <v>0</v>
      </c>
      <c r="BY7" s="184">
        <f>Broadsheet!AZ7</f>
        <v>0</v>
      </c>
      <c r="BZ7" s="184">
        <f>Broadsheet!BA7</f>
        <v>0</v>
      </c>
      <c r="CA7" s="184">
        <f>Broadsheet!BB7</f>
        <v>0</v>
      </c>
      <c r="CB7" s="184">
        <f>Broadsheet!BC7</f>
        <v>0</v>
      </c>
      <c r="CC7" s="184">
        <f>Broadsheet!BD7</f>
        <v>0</v>
      </c>
      <c r="CD7" s="184">
        <f>Broadsheet!BE7</f>
        <v>0</v>
      </c>
      <c r="CE7" s="184">
        <f>Broadsheet!BF7</f>
        <v>0</v>
      </c>
      <c r="CF7" s="184">
        <f>Broadsheet!BG7</f>
        <v>0</v>
      </c>
      <c r="CG7" s="184">
        <f>Broadsheet!BH7</f>
        <v>0</v>
      </c>
      <c r="CH7" s="184">
        <f>Broadsheet!BI7</f>
        <v>0</v>
      </c>
      <c r="CI7" s="184">
        <f>Broadsheet!BJ7</f>
        <v>0</v>
      </c>
      <c r="CJ7" s="184" t="str">
        <f>Broadsheet!BK7</f>
        <v>TCF/1ST SEM.</v>
      </c>
      <c r="CK7" s="184" t="str">
        <f>Broadsheet!BL7</f>
        <v>TCP/1ST SEM.</v>
      </c>
      <c r="CL7" s="184" t="str">
        <f>Broadsheet!BM7</f>
        <v>TCR/1ST SEM.</v>
      </c>
      <c r="CM7" s="184" t="str">
        <f>Broadsheet!BN7</f>
        <v>REPEAT COURSES IN CODES AND MARKS (SECOND SEMESTER)</v>
      </c>
      <c r="CN7" s="184" t="str">
        <f ca="1">Broadsheet!BO7</f>
        <v>MTH110</v>
      </c>
      <c r="CO7" s="184">
        <f>Broadsheet!BP7</f>
        <v>0</v>
      </c>
      <c r="CP7" s="184">
        <f>Broadsheet!BQ7</f>
        <v>0</v>
      </c>
      <c r="CQ7" s="184">
        <f>Broadsheet!BR7</f>
        <v>0</v>
      </c>
      <c r="CR7" s="184">
        <f>Broadsheet!BS7</f>
        <v>0</v>
      </c>
      <c r="CS7" s="184">
        <f>Broadsheet!BT7</f>
        <v>0</v>
      </c>
      <c r="CT7" s="184">
        <f>Broadsheet!BU7</f>
        <v>0</v>
      </c>
      <c r="CU7" s="184">
        <f>Broadsheet!BV7</f>
        <v>0</v>
      </c>
      <c r="CV7" s="184">
        <f>Broadsheet!BW7</f>
        <v>0</v>
      </c>
      <c r="CW7" s="184">
        <f>Broadsheet!BX7</f>
        <v>0</v>
      </c>
      <c r="CX7" s="184">
        <f>Broadsheet!BY7</f>
        <v>0</v>
      </c>
      <c r="CY7" s="184">
        <f>Broadsheet!BZ7</f>
        <v>0</v>
      </c>
      <c r="CZ7" s="184">
        <f>Broadsheet!CA7</f>
        <v>0</v>
      </c>
      <c r="DA7" s="184">
        <f>Broadsheet!CB7</f>
        <v>0</v>
      </c>
      <c r="DB7" s="184">
        <f>Broadsheet!CC7</f>
        <v>0</v>
      </c>
      <c r="DC7" s="184">
        <f>Broadsheet!CD7</f>
        <v>0</v>
      </c>
      <c r="DD7" s="184">
        <f>Broadsheet!CE7</f>
        <v>0</v>
      </c>
      <c r="DE7" s="184">
        <f>Broadsheet!CF7</f>
        <v>0</v>
      </c>
      <c r="DF7" s="184">
        <f>Broadsheet!CG7</f>
        <v>0</v>
      </c>
      <c r="DG7" s="184">
        <f>Broadsheet!CH7</f>
        <v>0</v>
      </c>
      <c r="DH7" s="184">
        <f>Broadsheet!CI7</f>
        <v>0</v>
      </c>
      <c r="DI7" s="184">
        <f>Broadsheet!CJ7</f>
        <v>0</v>
      </c>
      <c r="DJ7" s="184">
        <f>Broadsheet!CK7</f>
        <v>0</v>
      </c>
      <c r="DK7" s="184">
        <f>Broadsheet!CL7</f>
        <v>0</v>
      </c>
      <c r="DL7" s="184">
        <f>Broadsheet!CM7</f>
        <v>0</v>
      </c>
      <c r="DM7" s="184">
        <f>Broadsheet!CN7</f>
        <v>0</v>
      </c>
      <c r="DN7" s="184">
        <f>Broadsheet!CO7</f>
        <v>0</v>
      </c>
      <c r="DO7" s="184">
        <f>Broadsheet!CP7</f>
        <v>0</v>
      </c>
      <c r="DP7" s="184">
        <f>Broadsheet!CQ7</f>
        <v>0</v>
      </c>
      <c r="DQ7" s="184">
        <f>Broadsheet!CR7</f>
        <v>0</v>
      </c>
      <c r="DR7" s="184">
        <f>Broadsheet!CS7</f>
        <v>0</v>
      </c>
      <c r="DS7" s="184">
        <f>Broadsheet!CT7</f>
        <v>0</v>
      </c>
      <c r="DT7" s="184">
        <f>Broadsheet!CU7</f>
        <v>0</v>
      </c>
      <c r="DU7" s="184">
        <f>Broadsheet!CV7</f>
        <v>0</v>
      </c>
      <c r="DV7" s="184">
        <f>Broadsheet!CW7</f>
        <v>0</v>
      </c>
      <c r="DW7" s="184">
        <f>Broadsheet!CX7</f>
        <v>0</v>
      </c>
      <c r="DX7" s="184">
        <f>Broadsheet!CY7</f>
        <v>0</v>
      </c>
      <c r="DY7" s="184">
        <f>Broadsheet!CZ7</f>
        <v>0</v>
      </c>
      <c r="DZ7" s="184">
        <f>Broadsheet!DA7</f>
        <v>0</v>
      </c>
      <c r="EA7" s="184">
        <f>Broadsheet!DB7</f>
        <v>0</v>
      </c>
      <c r="EB7" s="184">
        <f>Broadsheet!DC7</f>
        <v>0</v>
      </c>
      <c r="EC7" s="184">
        <f>Broadsheet!DD7</f>
        <v>0</v>
      </c>
      <c r="ED7" s="184">
        <f>Broadsheet!DE7</f>
        <v>0</v>
      </c>
      <c r="EE7" s="184">
        <f>Broadsheet!DF7</f>
        <v>0</v>
      </c>
      <c r="EF7" s="184">
        <f>Broadsheet!DG7</f>
        <v>0</v>
      </c>
      <c r="EG7" s="184">
        <f>Broadsheet!DH7</f>
        <v>0</v>
      </c>
      <c r="EH7" s="184">
        <f>Broadsheet!DI7</f>
        <v>0</v>
      </c>
      <c r="EI7" s="184">
        <f>Broadsheet!DJ7</f>
        <v>0</v>
      </c>
      <c r="EJ7" s="184">
        <f>Broadsheet!DK7</f>
        <v>0</v>
      </c>
      <c r="EK7" s="184">
        <f>Broadsheet!DL7</f>
        <v>0</v>
      </c>
      <c r="EL7" s="184">
        <f>Broadsheet!DM7</f>
        <v>0</v>
      </c>
      <c r="EM7" s="184">
        <f>Broadsheet!DN7</f>
        <v>0</v>
      </c>
      <c r="EN7" s="184">
        <f>Broadsheet!DO7</f>
        <v>0</v>
      </c>
      <c r="EO7" s="184">
        <f>Broadsheet!DP7</f>
        <v>0</v>
      </c>
      <c r="EP7" s="184">
        <f>Broadsheet!DQ7</f>
        <v>0</v>
      </c>
      <c r="EQ7" s="184" t="str">
        <f>Broadsheet!DR7</f>
        <v>TCF/2ND SEM.</v>
      </c>
      <c r="ER7" s="184" t="str">
        <f>Broadsheet!DS7</f>
        <v>TCP/2ND SEM.</v>
      </c>
      <c r="ES7" s="184" t="str">
        <f>Broadsheet!DT7</f>
        <v>TCR/2ND SEM.</v>
      </c>
      <c r="ET7" s="184" t="str">
        <f>Broadsheet!DU7</f>
        <v>TCF SESSION</v>
      </c>
      <c r="EU7" s="184" t="str">
        <f>Broadsheet!DV7</f>
        <v>TCP SESSION</v>
      </c>
      <c r="EV7" s="184" t="str">
        <f>Broadsheet!DW7</f>
        <v>TCR SESSION</v>
      </c>
      <c r="EW7" s="184" t="str">
        <f>Broadsheet!DX7</f>
        <v>GPA</v>
      </c>
      <c r="EX7" s="184" t="str">
        <f>Broadsheet!DY7</f>
        <v>CLASS OF DEGREE</v>
      </c>
      <c r="EY7" s="184" t="str">
        <f>Broadsheet!DZ7</f>
        <v>STATUS</v>
      </c>
      <c r="EZ7" s="184" t="str">
        <f>Broadsheet!EA7</f>
        <v>COURSES FAILED/TRAILED</v>
      </c>
    </row>
    <row r="8" spans="1:156" ht="13.5" customHeight="1" thickBot="1" x14ac:dyDescent="0.25">
      <c r="A8" s="253"/>
      <c r="B8" s="237"/>
      <c r="C8" s="260"/>
      <c r="D8" s="106"/>
      <c r="E8" s="107"/>
      <c r="F8" s="107"/>
      <c r="G8" s="108"/>
      <c r="H8" s="108"/>
      <c r="I8" s="108"/>
      <c r="J8" s="108"/>
      <c r="K8" s="145">
        <v>0</v>
      </c>
      <c r="L8" s="145">
        <v>0.15</v>
      </c>
      <c r="M8" s="145">
        <v>0.15</v>
      </c>
      <c r="N8" s="146">
        <v>0.2</v>
      </c>
      <c r="O8" s="147">
        <v>0.5</v>
      </c>
      <c r="P8" s="147"/>
      <c r="Q8" s="145">
        <v>0.05</v>
      </c>
      <c r="R8" s="145">
        <v>0.1</v>
      </c>
      <c r="S8" s="145">
        <v>0.15</v>
      </c>
      <c r="T8" s="146">
        <v>0.2</v>
      </c>
      <c r="U8" s="147">
        <v>0.5</v>
      </c>
      <c r="V8" s="153"/>
      <c r="W8" s="156"/>
      <c r="X8" s="107"/>
      <c r="Y8" s="160"/>
      <c r="Z8" s="159"/>
      <c r="AA8" s="159"/>
      <c r="AB8" s="161"/>
      <c r="AC8" s="159"/>
      <c r="AD8" s="159"/>
      <c r="AE8" s="159"/>
      <c r="AG8" s="187"/>
      <c r="AH8" s="188"/>
      <c r="AI8" s="188"/>
      <c r="AJ8" s="188"/>
      <c r="AK8" s="188"/>
      <c r="AL8" s="188"/>
      <c r="AM8" s="188"/>
      <c r="AN8" s="188"/>
      <c r="AO8" s="188"/>
      <c r="AP8" s="188"/>
      <c r="AQ8" s="188"/>
      <c r="AR8" s="188"/>
      <c r="AS8" s="188"/>
      <c r="AT8" s="188"/>
      <c r="AU8" s="188"/>
      <c r="AV8" s="188"/>
      <c r="AW8" s="188"/>
      <c r="AX8" s="188"/>
      <c r="AY8" s="188"/>
      <c r="AZ8" s="188"/>
      <c r="BA8" s="188"/>
      <c r="BB8" s="188"/>
      <c r="BC8" s="188"/>
      <c r="BD8" s="188"/>
      <c r="BE8" s="188"/>
      <c r="BF8" s="188"/>
      <c r="BG8" s="188"/>
      <c r="BH8" s="188"/>
      <c r="BI8" s="188"/>
      <c r="BJ8" s="188"/>
      <c r="BK8" s="188"/>
      <c r="BL8" s="188"/>
      <c r="BM8" s="188"/>
      <c r="BN8" s="188"/>
      <c r="BO8" s="188"/>
      <c r="BP8" s="188"/>
      <c r="BQ8" s="188"/>
      <c r="BR8" s="188"/>
      <c r="BS8" s="188"/>
      <c r="BT8" s="188"/>
      <c r="BU8" s="188"/>
      <c r="BV8" s="188"/>
      <c r="BW8" s="188"/>
      <c r="BX8" s="188"/>
      <c r="BY8" s="188"/>
      <c r="BZ8" s="188"/>
      <c r="CA8" s="188"/>
      <c r="CB8" s="188"/>
      <c r="CC8" s="188"/>
      <c r="CD8" s="188"/>
      <c r="CE8" s="188"/>
      <c r="CF8" s="188"/>
      <c r="CG8" s="188"/>
      <c r="CH8" s="188"/>
      <c r="CI8" s="188"/>
      <c r="CJ8" s="188"/>
      <c r="CK8" s="188"/>
      <c r="CL8" s="188"/>
      <c r="CM8" s="188"/>
      <c r="CN8" s="188"/>
      <c r="CO8" s="188"/>
      <c r="CP8" s="188"/>
      <c r="CQ8" s="188"/>
      <c r="CR8" s="188"/>
      <c r="CS8" s="188"/>
      <c r="CT8" s="188"/>
      <c r="CU8" s="188"/>
      <c r="CV8" s="188"/>
      <c r="CW8" s="188"/>
      <c r="CX8" s="188"/>
      <c r="CY8" s="188"/>
      <c r="CZ8" s="188"/>
      <c r="DA8" s="188"/>
      <c r="DB8" s="188"/>
      <c r="DC8" s="188"/>
      <c r="DD8" s="188"/>
      <c r="DE8" s="188"/>
      <c r="DF8" s="188"/>
      <c r="DG8" s="188"/>
      <c r="DH8" s="188"/>
      <c r="DI8" s="188"/>
      <c r="DJ8" s="188"/>
      <c r="DK8" s="188"/>
      <c r="DL8" s="188"/>
      <c r="DM8" s="188"/>
      <c r="DN8" s="188"/>
      <c r="DO8" s="188"/>
      <c r="DP8" s="188"/>
      <c r="DQ8" s="188"/>
      <c r="DR8" s="188"/>
      <c r="DS8" s="188"/>
      <c r="DT8" s="188"/>
      <c r="DU8" s="188"/>
      <c r="DV8" s="188"/>
      <c r="DW8" s="188"/>
      <c r="DX8" s="188"/>
      <c r="DY8" s="188"/>
      <c r="DZ8" s="188"/>
      <c r="EA8" s="188"/>
      <c r="EB8" s="188"/>
      <c r="EC8" s="188"/>
      <c r="ED8" s="188"/>
      <c r="EE8" s="188"/>
      <c r="EF8" s="188"/>
      <c r="EG8" s="188"/>
      <c r="EH8" s="188"/>
      <c r="EI8" s="188"/>
      <c r="EJ8" s="188"/>
      <c r="EK8" s="188"/>
      <c r="EL8" s="188"/>
      <c r="EM8" s="188"/>
      <c r="EN8" s="188"/>
      <c r="EO8" s="188"/>
      <c r="EP8" s="188"/>
      <c r="EQ8" s="188"/>
      <c r="ER8" s="188"/>
      <c r="ES8" s="188"/>
      <c r="ET8" s="188"/>
      <c r="EU8" s="188"/>
      <c r="EV8" s="188"/>
      <c r="EW8" s="188"/>
      <c r="EX8" s="188"/>
      <c r="EY8" s="188"/>
      <c r="EZ8" s="188"/>
    </row>
    <row r="9" spans="1:156" ht="24" customHeight="1" thickBot="1" x14ac:dyDescent="0.25">
      <c r="A9" s="254"/>
      <c r="B9" s="238"/>
      <c r="C9" s="261"/>
      <c r="D9" s="148" t="s">
        <v>34</v>
      </c>
      <c r="E9" s="149" t="s">
        <v>35</v>
      </c>
      <c r="F9" s="149" t="s">
        <v>36</v>
      </c>
      <c r="G9" s="149" t="s">
        <v>37</v>
      </c>
      <c r="H9" s="152" t="s">
        <v>38</v>
      </c>
      <c r="I9" s="151" t="s">
        <v>83</v>
      </c>
      <c r="J9" s="144" t="s">
        <v>39</v>
      </c>
      <c r="K9" s="148" t="s">
        <v>34</v>
      </c>
      <c r="L9" s="149" t="s">
        <v>35</v>
      </c>
      <c r="M9" s="149" t="s">
        <v>36</v>
      </c>
      <c r="N9" s="149" t="s">
        <v>37</v>
      </c>
      <c r="O9" s="149" t="s">
        <v>38</v>
      </c>
      <c r="P9" s="150" t="s">
        <v>91</v>
      </c>
      <c r="Q9" s="148" t="s">
        <v>34</v>
      </c>
      <c r="R9" s="149" t="s">
        <v>35</v>
      </c>
      <c r="S9" s="149" t="s">
        <v>36</v>
      </c>
      <c r="T9" s="149" t="s">
        <v>37</v>
      </c>
      <c r="U9" s="149" t="s">
        <v>38</v>
      </c>
      <c r="V9" s="154" t="s">
        <v>92</v>
      </c>
      <c r="W9" s="157" t="s">
        <v>85</v>
      </c>
      <c r="X9" s="158"/>
      <c r="Y9" s="182" t="s">
        <v>93</v>
      </c>
      <c r="Z9" s="183" t="s">
        <v>29</v>
      </c>
      <c r="AA9" s="183" t="s">
        <v>30</v>
      </c>
      <c r="AB9" s="183" t="s">
        <v>50</v>
      </c>
      <c r="AC9" s="183" t="s">
        <v>31</v>
      </c>
      <c r="AD9" s="183" t="s">
        <v>32</v>
      </c>
      <c r="AE9" s="183" t="s">
        <v>33</v>
      </c>
      <c r="AG9" s="189">
        <f>Broadsheet!H9</f>
        <v>3</v>
      </c>
      <c r="AH9" s="190">
        <f>Broadsheet!I9</f>
        <v>3</v>
      </c>
      <c r="AI9" s="190">
        <f>Broadsheet!J9</f>
        <v>3</v>
      </c>
      <c r="AJ9" s="190">
        <f>Broadsheet!K9</f>
        <v>3</v>
      </c>
      <c r="AK9" s="190">
        <f>Broadsheet!L9</f>
        <v>3</v>
      </c>
      <c r="AL9" s="190">
        <f>Broadsheet!M9</f>
        <v>3</v>
      </c>
      <c r="AM9" s="190">
        <f>Broadsheet!N9</f>
        <v>3</v>
      </c>
      <c r="AN9" s="190">
        <f>Broadsheet!O9</f>
        <v>3</v>
      </c>
      <c r="AO9" s="190">
        <f>Broadsheet!P9</f>
        <v>0</v>
      </c>
      <c r="AP9" s="190">
        <f>Broadsheet!Q9</f>
        <v>0</v>
      </c>
      <c r="AQ9" s="190">
        <f>Broadsheet!R9</f>
        <v>0</v>
      </c>
      <c r="AR9" s="190">
        <f>Broadsheet!S9</f>
        <v>0</v>
      </c>
      <c r="AS9" s="190">
        <f>Broadsheet!T9</f>
        <v>0</v>
      </c>
      <c r="AT9" s="190">
        <f>Broadsheet!U9</f>
        <v>0</v>
      </c>
      <c r="AU9" s="190">
        <f>Broadsheet!V9</f>
        <v>0</v>
      </c>
      <c r="AV9" s="190">
        <f>Broadsheet!W9</f>
        <v>0</v>
      </c>
      <c r="AW9" s="190">
        <f>Broadsheet!X9</f>
        <v>0</v>
      </c>
      <c r="AX9" s="190">
        <f>Broadsheet!Y9</f>
        <v>0</v>
      </c>
      <c r="AY9" s="190">
        <f>Broadsheet!Z9</f>
        <v>0</v>
      </c>
      <c r="AZ9" s="190">
        <f>Broadsheet!AA9</f>
        <v>0</v>
      </c>
      <c r="BA9" s="190">
        <f>Broadsheet!AB9</f>
        <v>0</v>
      </c>
      <c r="BB9" s="190">
        <f>Broadsheet!AC9</f>
        <v>0</v>
      </c>
      <c r="BC9" s="190">
        <f>Broadsheet!AD9</f>
        <v>0</v>
      </c>
      <c r="BD9" s="190">
        <f>Broadsheet!AE9</f>
        <v>0</v>
      </c>
      <c r="BE9" s="190">
        <f>Broadsheet!AF9</f>
        <v>0</v>
      </c>
      <c r="BF9" s="190">
        <f>Broadsheet!AG9</f>
        <v>0</v>
      </c>
      <c r="BG9" s="190">
        <f>Broadsheet!AH9</f>
        <v>0</v>
      </c>
      <c r="BH9" s="190">
        <f>Broadsheet!AI9</f>
        <v>0</v>
      </c>
      <c r="BI9" s="190">
        <f>Broadsheet!AJ9</f>
        <v>0</v>
      </c>
      <c r="BJ9" s="190">
        <f>Broadsheet!AK9</f>
        <v>0</v>
      </c>
      <c r="BK9" s="190">
        <f>Broadsheet!AL9</f>
        <v>0</v>
      </c>
      <c r="BL9" s="190">
        <f>Broadsheet!AM9</f>
        <v>0</v>
      </c>
      <c r="BM9" s="190">
        <f>Broadsheet!AN9</f>
        <v>0</v>
      </c>
      <c r="BN9" s="190">
        <f>Broadsheet!AO9</f>
        <v>0</v>
      </c>
      <c r="BO9" s="190">
        <f>Broadsheet!AP9</f>
        <v>0</v>
      </c>
      <c r="BP9" s="190">
        <f>Broadsheet!AQ9</f>
        <v>0</v>
      </c>
      <c r="BQ9" s="190">
        <f>Broadsheet!AR9</f>
        <v>0</v>
      </c>
      <c r="BR9" s="190">
        <f>Broadsheet!AS9</f>
        <v>0</v>
      </c>
      <c r="BS9" s="190">
        <f>Broadsheet!AT9</f>
        <v>0</v>
      </c>
      <c r="BT9" s="190">
        <f>Broadsheet!AU9</f>
        <v>0</v>
      </c>
      <c r="BU9" s="190">
        <f>Broadsheet!AV9</f>
        <v>0</v>
      </c>
      <c r="BV9" s="190">
        <f>Broadsheet!AW9</f>
        <v>0</v>
      </c>
      <c r="BW9" s="190">
        <f>Broadsheet!AX9</f>
        <v>0</v>
      </c>
      <c r="BX9" s="190">
        <f>Broadsheet!AY9</f>
        <v>0</v>
      </c>
      <c r="BY9" s="190">
        <f>Broadsheet!AZ9</f>
        <v>0</v>
      </c>
      <c r="BZ9" s="190">
        <f>Broadsheet!BA9</f>
        <v>0</v>
      </c>
      <c r="CA9" s="190">
        <f>Broadsheet!BB9</f>
        <v>0</v>
      </c>
      <c r="CB9" s="190">
        <f>Broadsheet!BC9</f>
        <v>0</v>
      </c>
      <c r="CC9" s="190">
        <f>Broadsheet!BD9</f>
        <v>0</v>
      </c>
      <c r="CD9" s="190">
        <f>Broadsheet!BE9</f>
        <v>0</v>
      </c>
      <c r="CE9" s="190">
        <f>Broadsheet!BF9</f>
        <v>0</v>
      </c>
      <c r="CF9" s="190">
        <f>Broadsheet!BG9</f>
        <v>0</v>
      </c>
      <c r="CG9" s="190">
        <f>Broadsheet!BH9</f>
        <v>0</v>
      </c>
      <c r="CH9" s="190">
        <f>Broadsheet!BI9</f>
        <v>0</v>
      </c>
      <c r="CI9" s="190">
        <f>Broadsheet!BJ9</f>
        <v>0</v>
      </c>
      <c r="CJ9" s="190">
        <f>Broadsheet!BK9</f>
        <v>0</v>
      </c>
      <c r="CK9" s="190">
        <f>Broadsheet!BL9</f>
        <v>0</v>
      </c>
      <c r="CL9" s="190">
        <f>Broadsheet!BM9</f>
        <v>0</v>
      </c>
      <c r="CM9" s="190">
        <f>Broadsheet!BN9</f>
        <v>0</v>
      </c>
      <c r="CN9" s="190">
        <f>Broadsheet!BO9</f>
        <v>3</v>
      </c>
      <c r="CO9" s="190">
        <f>Broadsheet!BP9</f>
        <v>3</v>
      </c>
      <c r="CP9" s="190">
        <f>Broadsheet!BQ9</f>
        <v>3</v>
      </c>
      <c r="CQ9" s="190">
        <f>Broadsheet!BR9</f>
        <v>3</v>
      </c>
      <c r="CR9" s="190">
        <f>Broadsheet!BS9</f>
        <v>3</v>
      </c>
      <c r="CS9" s="190">
        <f>Broadsheet!BT9</f>
        <v>3</v>
      </c>
      <c r="CT9" s="190">
        <f>Broadsheet!BU9</f>
        <v>3</v>
      </c>
      <c r="CU9" s="190">
        <f>Broadsheet!BV9</f>
        <v>3</v>
      </c>
      <c r="CV9" s="190">
        <f>Broadsheet!BW9</f>
        <v>3</v>
      </c>
      <c r="CW9" s="190">
        <f>Broadsheet!BX9</f>
        <v>3</v>
      </c>
      <c r="CX9" s="190">
        <f>Broadsheet!BY9</f>
        <v>3</v>
      </c>
      <c r="CY9" s="190">
        <f>Broadsheet!BZ9</f>
        <v>0</v>
      </c>
      <c r="CZ9" s="190">
        <f>Broadsheet!CA9</f>
        <v>0</v>
      </c>
      <c r="DA9" s="190">
        <f>Broadsheet!CB9</f>
        <v>0</v>
      </c>
      <c r="DB9" s="190">
        <f>Broadsheet!CC9</f>
        <v>0</v>
      </c>
      <c r="DC9" s="190">
        <f>Broadsheet!CD9</f>
        <v>0</v>
      </c>
      <c r="DD9" s="190">
        <f>Broadsheet!CE9</f>
        <v>0</v>
      </c>
      <c r="DE9" s="190">
        <f>Broadsheet!CF9</f>
        <v>0</v>
      </c>
      <c r="DF9" s="190">
        <f>Broadsheet!CG9</f>
        <v>0</v>
      </c>
      <c r="DG9" s="190">
        <f>Broadsheet!CH9</f>
        <v>0</v>
      </c>
      <c r="DH9" s="190">
        <f>Broadsheet!CI9</f>
        <v>0</v>
      </c>
      <c r="DI9" s="190">
        <f>Broadsheet!CJ9</f>
        <v>0</v>
      </c>
      <c r="DJ9" s="190">
        <f>Broadsheet!CK9</f>
        <v>0</v>
      </c>
      <c r="DK9" s="190">
        <f>Broadsheet!CL9</f>
        <v>0</v>
      </c>
      <c r="DL9" s="190">
        <f>Broadsheet!CM9</f>
        <v>0</v>
      </c>
      <c r="DM9" s="190">
        <f>Broadsheet!CN9</f>
        <v>0</v>
      </c>
      <c r="DN9" s="190">
        <f>Broadsheet!CO9</f>
        <v>0</v>
      </c>
      <c r="DO9" s="190">
        <f>Broadsheet!CP9</f>
        <v>0</v>
      </c>
      <c r="DP9" s="190">
        <f>Broadsheet!CQ9</f>
        <v>0</v>
      </c>
      <c r="DQ9" s="190">
        <f>Broadsheet!CR9</f>
        <v>0</v>
      </c>
      <c r="DR9" s="190">
        <f>Broadsheet!CS9</f>
        <v>0</v>
      </c>
      <c r="DS9" s="190">
        <f>Broadsheet!CT9</f>
        <v>0</v>
      </c>
      <c r="DT9" s="190">
        <f>Broadsheet!CU9</f>
        <v>0</v>
      </c>
      <c r="DU9" s="190">
        <f>Broadsheet!CV9</f>
        <v>0</v>
      </c>
      <c r="DV9" s="190">
        <f>Broadsheet!CW9</f>
        <v>0</v>
      </c>
      <c r="DW9" s="190">
        <f>Broadsheet!CX9</f>
        <v>0</v>
      </c>
      <c r="DX9" s="190">
        <f>Broadsheet!CY9</f>
        <v>0</v>
      </c>
      <c r="DY9" s="190">
        <f>Broadsheet!CZ9</f>
        <v>0</v>
      </c>
      <c r="DZ9" s="190">
        <f>Broadsheet!DA9</f>
        <v>0</v>
      </c>
      <c r="EA9" s="190">
        <f>Broadsheet!DB9</f>
        <v>0</v>
      </c>
      <c r="EB9" s="190">
        <f>Broadsheet!DC9</f>
        <v>0</v>
      </c>
      <c r="EC9" s="190">
        <f>Broadsheet!DD9</f>
        <v>0</v>
      </c>
      <c r="ED9" s="190">
        <f>Broadsheet!DE9</f>
        <v>0</v>
      </c>
      <c r="EE9" s="190">
        <f>Broadsheet!DF9</f>
        <v>0</v>
      </c>
      <c r="EF9" s="190">
        <f>Broadsheet!DG9</f>
        <v>0</v>
      </c>
      <c r="EG9" s="190">
        <f>Broadsheet!DH9</f>
        <v>0</v>
      </c>
      <c r="EH9" s="190">
        <f>Broadsheet!DI9</f>
        <v>0</v>
      </c>
      <c r="EI9" s="190">
        <f>Broadsheet!DJ9</f>
        <v>0</v>
      </c>
      <c r="EJ9" s="190">
        <f>Broadsheet!DK9</f>
        <v>0</v>
      </c>
      <c r="EK9" s="190">
        <f>Broadsheet!DL9</f>
        <v>0</v>
      </c>
      <c r="EL9" s="190">
        <f>Broadsheet!DM9</f>
        <v>0</v>
      </c>
      <c r="EM9" s="190">
        <f>Broadsheet!DN9</f>
        <v>0</v>
      </c>
      <c r="EN9" s="190">
        <f>Broadsheet!DO9</f>
        <v>0</v>
      </c>
      <c r="EO9" s="190">
        <f>Broadsheet!DP9</f>
        <v>0</v>
      </c>
      <c r="EP9" s="190">
        <f>Broadsheet!DQ9</f>
        <v>0</v>
      </c>
      <c r="EQ9" s="190">
        <f>Broadsheet!DR9</f>
        <v>0</v>
      </c>
      <c r="ER9" s="190">
        <f>Broadsheet!DS9</f>
        <v>0</v>
      </c>
      <c r="ES9" s="190">
        <f>Broadsheet!DT9</f>
        <v>0</v>
      </c>
      <c r="ET9" s="190">
        <f>Broadsheet!DU9</f>
        <v>0</v>
      </c>
      <c r="EU9" s="190">
        <f>Broadsheet!DV9</f>
        <v>0</v>
      </c>
      <c r="EV9" s="190">
        <f>Broadsheet!DW9</f>
        <v>0</v>
      </c>
      <c r="EW9" s="190">
        <f>Broadsheet!DX9</f>
        <v>0</v>
      </c>
      <c r="EX9" s="190">
        <f>Broadsheet!DY9</f>
        <v>0</v>
      </c>
      <c r="EY9" s="190">
        <f>Broadsheet!DZ9</f>
        <v>0</v>
      </c>
      <c r="EZ9" s="190">
        <f>Broadsheet!EA9</f>
        <v>0</v>
      </c>
    </row>
    <row r="10" spans="1:156" ht="15.75" x14ac:dyDescent="0.25">
      <c r="A10" s="8">
        <v>1</v>
      </c>
      <c r="B10" s="9">
        <f>Broadsheet!B10</f>
        <v>0</v>
      </c>
      <c r="C10" s="10" t="str">
        <f>Broadsheet!C10</f>
        <v xml:space="preserve"> </v>
      </c>
      <c r="D10" s="102">
        <f>COUNT(Broadsheet!H10:Q10)</f>
        <v>0</v>
      </c>
      <c r="E10" s="102">
        <v>3.6</v>
      </c>
      <c r="F10" s="102">
        <v>3.9</v>
      </c>
      <c r="G10" s="102">
        <v>4.5999999999999996</v>
      </c>
      <c r="H10" s="102">
        <v>4.7</v>
      </c>
      <c r="I10" s="112" t="s">
        <v>88</v>
      </c>
      <c r="J10" s="112" t="s">
        <v>84</v>
      </c>
      <c r="K10" s="102">
        <f>D10*$K$8</f>
        <v>0</v>
      </c>
      <c r="L10" s="104">
        <f>E10*$L$8</f>
        <v>0.54</v>
      </c>
      <c r="M10" s="104">
        <f>F10*$M$8</f>
        <v>0.58499999999999996</v>
      </c>
      <c r="N10" s="104">
        <f>G10*$N$8</f>
        <v>0.91999999999999993</v>
      </c>
      <c r="O10" s="104">
        <f>H10*$O$8</f>
        <v>2.35</v>
      </c>
      <c r="P10" s="102">
        <f>SUM(K10:O10)</f>
        <v>4.3949999999999996</v>
      </c>
      <c r="Q10" s="104">
        <f>D10*$Q$8</f>
        <v>0</v>
      </c>
      <c r="R10" s="104">
        <f>E10*$R$8</f>
        <v>0.36000000000000004</v>
      </c>
      <c r="S10" s="104">
        <f>F10*$S$8</f>
        <v>0.58499999999999996</v>
      </c>
      <c r="T10" s="104">
        <f>G10*$T$8</f>
        <v>0.91999999999999993</v>
      </c>
      <c r="U10" s="104">
        <f>H10*$U$8</f>
        <v>2.35</v>
      </c>
      <c r="V10" s="104">
        <f>SUM(Q10:U10)</f>
        <v>4.2149999999999999</v>
      </c>
      <c r="W10" s="104">
        <f>IF(J10="DE",P10,V10)</f>
        <v>4.2149999999999999</v>
      </c>
      <c r="X10" s="107"/>
      <c r="Y10" s="110"/>
      <c r="Z10" s="19" t="s">
        <v>10</v>
      </c>
      <c r="AA10" s="20"/>
      <c r="AB10" s="21"/>
      <c r="AC10" s="22"/>
      <c r="AD10" s="20"/>
      <c r="AE10" s="20"/>
      <c r="AG10" s="188" t="str">
        <f ca="1">IF(ISERROR(getgrade(Broadsheet!H10,data!$H$4:$I$9)),"#",getgrade(Broadsheet!H10,data!$H$4:$I$9))</f>
        <v>#</v>
      </c>
      <c r="AH10" s="188" t="str">
        <f ca="1">IF(ISERROR(getgrade(Broadsheet!I10,data!$H$4:$I$9)),"#",getgrade(Broadsheet!I10,data!$H$4:$I$9))</f>
        <v>#</v>
      </c>
      <c r="AI10" s="188" t="str">
        <f ca="1">IF(ISERROR(getgrade(Broadsheet!J10,data!$H$4:$I$9)),"#",getgrade(Broadsheet!J10,data!$H$4:$I$9))</f>
        <v>#</v>
      </c>
      <c r="AJ10" s="188" t="str">
        <f ca="1">IF(ISERROR(getgrade(Broadsheet!K10,data!$H$4:$I$9)),"#",getgrade(Broadsheet!K10,data!$H$4:$I$9))</f>
        <v>#</v>
      </c>
      <c r="AK10" s="188" t="str">
        <f ca="1">IF(ISERROR(getgrade(Broadsheet!L10,data!$H$4:$I$9)),"#",getgrade(Broadsheet!L10,data!$H$4:$I$9))</f>
        <v>#</v>
      </c>
      <c r="AL10" s="188" t="str">
        <f ca="1">IF(ISERROR(getgrade(Broadsheet!M10,data!$H$4:$I$9)),"#",getgrade(Broadsheet!M10,data!$H$4:$I$9))</f>
        <v>#</v>
      </c>
      <c r="AM10" s="188" t="str">
        <f ca="1">IF(ISERROR(getgrade(Broadsheet!N10,data!$H$4:$I$9)),"#",getgrade(Broadsheet!N10,data!$H$4:$I$9))</f>
        <v>#</v>
      </c>
      <c r="AN10" s="188" t="str">
        <f ca="1">IF(ISERROR(getgrade(Broadsheet!O10,data!$H$4:$I$9)),"#",getgrade(Broadsheet!O10,data!$H$4:$I$9))</f>
        <v>#</v>
      </c>
      <c r="AO10" s="188" t="str">
        <f ca="1">IF(ISERROR(getgrade(Broadsheet!P10,data!$H$4:$I$9)),"#",getgrade(Broadsheet!P10,data!$H$4:$I$9))</f>
        <v>#</v>
      </c>
      <c r="AP10" s="188" t="str">
        <f ca="1">IF(ISERROR(getgrade(Broadsheet!Q10,data!$H$4:$I$9)),"#",getgrade(Broadsheet!Q10,data!$H$4:$I$9))</f>
        <v>#</v>
      </c>
      <c r="AQ10" s="188" t="str">
        <f ca="1">IF(ISERROR(getgrade(Broadsheet!R10,data!$H$4:$I$9)),"#",getgrade(Broadsheet!R10,data!$H$4:$I$9))</f>
        <v>#</v>
      </c>
      <c r="AR10" s="188" t="str">
        <f ca="1">IF(ISERROR(getgrade(Broadsheet!S10,data!$H$4:$I$9)),"#",getgrade(Broadsheet!S10,data!$H$4:$I$9))</f>
        <v>#</v>
      </c>
      <c r="AS10" s="188" t="str">
        <f ca="1">IF(ISERROR(getgrade(Broadsheet!T10,data!$H$4:$I$9)),"#",getgrade(Broadsheet!T10,data!$H$4:$I$9))</f>
        <v>#</v>
      </c>
      <c r="AT10" s="188" t="str">
        <f ca="1">IF(ISERROR(getgrade(Broadsheet!U10,data!$H$4:$I$9)),"#",getgrade(Broadsheet!U10,data!$H$4:$I$9))</f>
        <v>#</v>
      </c>
      <c r="AU10" s="188" t="str">
        <f ca="1">IF(ISERROR(getgrade(Broadsheet!V10,data!$H$4:$I$9)),"#",getgrade(Broadsheet!V10,data!$H$4:$I$9))</f>
        <v>#</v>
      </c>
      <c r="AV10" s="188" t="str">
        <f>IF(ISERROR(getgrade(Broadsheet!W10,data!$H$4:$I$9)),"#",getgrade(Broadsheet!W10,data!$H$4:$I$9))</f>
        <v/>
      </c>
      <c r="AW10" s="188" t="str">
        <f>IF(ISERROR(getgrade(Broadsheet!X10,data!$H$4:$I$9)),"#",getgrade(Broadsheet!X10,data!$H$4:$I$9))</f>
        <v/>
      </c>
      <c r="AX10" s="188" t="str">
        <f>IF(ISERROR(getgrade(Broadsheet!Y10,data!$H$4:$I$9)),"#",getgrade(Broadsheet!Y10,data!$H$4:$I$9))</f>
        <v/>
      </c>
      <c r="AY10" s="188" t="str">
        <f>IF(ISERROR(getgrade(Broadsheet!Z10,data!$H$4:$I$9)),"#",getgrade(Broadsheet!Z10,data!$H$4:$I$9))</f>
        <v/>
      </c>
      <c r="AZ10" s="188" t="str">
        <f>IF(ISERROR(getgrade(Broadsheet!AA10,data!$H$4:$I$9)),"#",getgrade(Broadsheet!AA10,data!$H$4:$I$9))</f>
        <v/>
      </c>
      <c r="BA10" s="188" t="str">
        <f>IF(ISERROR(getgrade(Broadsheet!AB10,data!$H$4:$I$9)),"#",getgrade(Broadsheet!AB10,data!$H$4:$I$9))</f>
        <v/>
      </c>
      <c r="BB10" s="188" t="str">
        <f>IF(ISERROR(getgrade(Broadsheet!AC10,data!$H$4:$I$9)),"#",getgrade(Broadsheet!AC10,data!$H$4:$I$9))</f>
        <v/>
      </c>
      <c r="BC10" s="188" t="str">
        <f>IF(ISERROR(getgrade(Broadsheet!AD10,data!$H$4:$I$9)),"#",getgrade(Broadsheet!AD10,data!$H$4:$I$9))</f>
        <v/>
      </c>
      <c r="BD10" s="188" t="str">
        <f>IF(ISERROR(getgrade(Broadsheet!AE10,data!$H$4:$I$9)),"#",getgrade(Broadsheet!AE10,data!$H$4:$I$9))</f>
        <v/>
      </c>
      <c r="BE10" s="188" t="str">
        <f>IF(ISERROR(getgrade(Broadsheet!AF10,data!$H$4:$I$9)),"#",getgrade(Broadsheet!AF10,data!$H$4:$I$9))</f>
        <v/>
      </c>
      <c r="BF10" s="188" t="str">
        <f>IF(ISERROR(getgrade(Broadsheet!AG10,data!$H$4:$I$9)),"#",getgrade(Broadsheet!AG10,data!$H$4:$I$9))</f>
        <v/>
      </c>
      <c r="BG10" s="188" t="str">
        <f>IF(ISERROR(getgrade(Broadsheet!AH10,data!$H$4:$I$9)),"#",getgrade(Broadsheet!AH10,data!$H$4:$I$9))</f>
        <v/>
      </c>
      <c r="BH10" s="188" t="str">
        <f>IF(ISERROR(getgrade(Broadsheet!AI10,data!$H$4:$I$9)),"#",getgrade(Broadsheet!AI10,data!$H$4:$I$9))</f>
        <v/>
      </c>
      <c r="BI10" s="188" t="str">
        <f>IF(ISERROR(getgrade(Broadsheet!AJ10,data!$H$4:$I$9)),"#",getgrade(Broadsheet!AJ10,data!$H$4:$I$9))</f>
        <v/>
      </c>
      <c r="BJ10" s="188" t="str">
        <f>IF(ISERROR(getgrade(Broadsheet!AK10,data!$H$4:$I$9)),"#",getgrade(Broadsheet!AK10,data!$H$4:$I$9))</f>
        <v/>
      </c>
      <c r="BK10" s="188" t="str">
        <f>IF(ISERROR(getgrade(Broadsheet!AL10,data!$H$4:$I$9)),"#",getgrade(Broadsheet!AL10,data!$H$4:$I$9))</f>
        <v/>
      </c>
      <c r="BL10" s="188" t="str">
        <f>IF(ISERROR(getgrade(Broadsheet!AM10,data!$H$4:$I$9)),"#",getgrade(Broadsheet!AM10,data!$H$4:$I$9))</f>
        <v/>
      </c>
      <c r="BM10" s="188" t="str">
        <f>IF(ISERROR(getgrade(Broadsheet!AN10,data!$H$4:$I$9)),"#",getgrade(Broadsheet!AN10,data!$H$4:$I$9))</f>
        <v/>
      </c>
      <c r="BN10" s="188" t="str">
        <f>IF(ISERROR(getgrade(Broadsheet!AO10,data!$H$4:$I$9)),"#",getgrade(Broadsheet!AO10,data!$H$4:$I$9))</f>
        <v/>
      </c>
      <c r="BO10" s="188" t="str">
        <f>IF(ISERROR(getgrade(Broadsheet!AP10,data!$H$4:$I$9)),"#",getgrade(Broadsheet!AP10,data!$H$4:$I$9))</f>
        <v/>
      </c>
      <c r="BP10" s="188" t="str">
        <f>IF(ISERROR(getgrade(Broadsheet!AQ10,data!$H$4:$I$9)),"#",getgrade(Broadsheet!AQ10,data!$H$4:$I$9))</f>
        <v/>
      </c>
      <c r="BQ10" s="188" t="str">
        <f>IF(ISERROR(getgrade(Broadsheet!AR10,data!$H$4:$I$9)),"#",getgrade(Broadsheet!AR10,data!$H$4:$I$9))</f>
        <v/>
      </c>
      <c r="BR10" s="188" t="str">
        <f>IF(ISERROR(getgrade(Broadsheet!AS10,data!$H$4:$I$9)),"#",getgrade(Broadsheet!AS10,data!$H$4:$I$9))</f>
        <v/>
      </c>
      <c r="BS10" s="188" t="str">
        <f>IF(ISERROR(getgrade(Broadsheet!AT10,data!$H$4:$I$9)),"#",getgrade(Broadsheet!AT10,data!$H$4:$I$9))</f>
        <v/>
      </c>
      <c r="BT10" s="188" t="str">
        <f>IF(ISERROR(getgrade(Broadsheet!AU10,data!$H$4:$I$9)),"#",getgrade(Broadsheet!AU10,data!$H$4:$I$9))</f>
        <v/>
      </c>
      <c r="BU10" s="188" t="str">
        <f>IF(ISERROR(getgrade(Broadsheet!AV10,data!$H$4:$I$9)),"#",getgrade(Broadsheet!AV10,data!$H$4:$I$9))</f>
        <v/>
      </c>
      <c r="BV10" s="188" t="str">
        <f>IF(ISERROR(getgrade(Broadsheet!AW10,data!$H$4:$I$9)),"#",getgrade(Broadsheet!AW10,data!$H$4:$I$9))</f>
        <v/>
      </c>
      <c r="BW10" s="188" t="str">
        <f>IF(ISERROR(getgrade(Broadsheet!AX10,data!$H$4:$I$9)),"#",getgrade(Broadsheet!AX10,data!$H$4:$I$9))</f>
        <v/>
      </c>
      <c r="BX10" s="188" t="str">
        <f>IF(ISERROR(getgrade(Broadsheet!AY10,data!$H$4:$I$9)),"#",getgrade(Broadsheet!AY10,data!$H$4:$I$9))</f>
        <v/>
      </c>
      <c r="BY10" s="188" t="str">
        <f>IF(ISERROR(getgrade(Broadsheet!AZ10,data!$H$4:$I$9)),"#",getgrade(Broadsheet!AZ10,data!$H$4:$I$9))</f>
        <v/>
      </c>
      <c r="BZ10" s="188" t="str">
        <f>IF(ISERROR(getgrade(Broadsheet!BA10,data!$H$4:$I$9)),"#",getgrade(Broadsheet!BA10,data!$H$4:$I$9))</f>
        <v/>
      </c>
      <c r="CA10" s="188" t="str">
        <f>IF(ISERROR(getgrade(Broadsheet!BB10,data!$H$4:$I$9)),"#",getgrade(Broadsheet!BB10,data!$H$4:$I$9))</f>
        <v/>
      </c>
      <c r="CB10" s="188" t="str">
        <f>IF(ISERROR(getgrade(Broadsheet!BC10,data!$H$4:$I$9)),"#",getgrade(Broadsheet!BC10,data!$H$4:$I$9))</f>
        <v/>
      </c>
      <c r="CC10" s="188" t="str">
        <f>IF(ISERROR(getgrade(Broadsheet!BD10,data!$H$4:$I$9)),"#",getgrade(Broadsheet!BD10,data!$H$4:$I$9))</f>
        <v/>
      </c>
      <c r="CD10" s="188" t="str">
        <f>IF(ISERROR(getgrade(Broadsheet!BE10,data!$H$4:$I$9)),"#",getgrade(Broadsheet!BE10,data!$H$4:$I$9))</f>
        <v/>
      </c>
      <c r="CE10" s="188" t="str">
        <f>IF(ISERROR(getgrade(Broadsheet!BF10,data!$H$4:$I$9)),"#",getgrade(Broadsheet!BF10,data!$H$4:$I$9))</f>
        <v/>
      </c>
      <c r="CF10" s="188" t="str">
        <f>IF(ISERROR(getgrade(Broadsheet!BG10,data!$H$4:$I$9)),"#",getgrade(Broadsheet!BG10,data!$H$4:$I$9))</f>
        <v/>
      </c>
      <c r="CG10" s="188" t="str">
        <f>IF(ISERROR(getgrade(Broadsheet!BH10,data!$H$4:$I$9)),"#",getgrade(Broadsheet!BH10,data!$H$4:$I$9))</f>
        <v/>
      </c>
      <c r="CH10" s="188" t="str">
        <f>IF(ISERROR(getgrade(Broadsheet!BI10,data!$H$4:$I$9)),"#",getgrade(Broadsheet!BI10,data!$H$4:$I$9))</f>
        <v/>
      </c>
      <c r="CI10" s="188" t="str">
        <f>IF(ISERROR(getgrade(Broadsheet!BJ10,data!$H$4:$I$9)),"#",getgrade(Broadsheet!BJ10,data!$H$4:$I$9))</f>
        <v/>
      </c>
      <c r="CJ10" s="188"/>
      <c r="CK10" s="188"/>
      <c r="CL10" s="188"/>
      <c r="CM10" s="188"/>
      <c r="CN10" s="188"/>
      <c r="CO10" s="188"/>
      <c r="CP10" s="188"/>
      <c r="CQ10" s="188"/>
      <c r="CR10" s="188"/>
      <c r="CS10" s="188"/>
      <c r="CT10" s="188"/>
      <c r="CU10" s="188"/>
      <c r="CV10" s="188"/>
      <c r="CW10" s="188"/>
      <c r="CX10" s="188"/>
      <c r="CY10" s="188"/>
      <c r="CZ10" s="188"/>
      <c r="DA10" s="188"/>
      <c r="DB10" s="188"/>
      <c r="DC10" s="188"/>
      <c r="DD10" s="188"/>
      <c r="DE10" s="188"/>
      <c r="DF10" s="188"/>
      <c r="DG10" s="188"/>
      <c r="DH10" s="188"/>
      <c r="DI10" s="188"/>
      <c r="DJ10" s="188"/>
      <c r="DK10" s="188"/>
      <c r="DL10" s="188"/>
      <c r="DM10" s="188"/>
      <c r="DN10" s="188"/>
      <c r="DO10" s="188"/>
      <c r="DP10" s="188"/>
      <c r="DQ10" s="188"/>
      <c r="DR10" s="188"/>
      <c r="DS10" s="188"/>
      <c r="DT10" s="188"/>
      <c r="DU10" s="188"/>
      <c r="DV10" s="188"/>
      <c r="DW10" s="188"/>
      <c r="DX10" s="188"/>
      <c r="DY10" s="188"/>
      <c r="DZ10" s="188"/>
      <c r="EA10" s="188"/>
      <c r="EB10" s="188"/>
      <c r="EC10" s="188"/>
      <c r="ED10" s="188"/>
      <c r="EE10" s="188"/>
      <c r="EF10" s="188"/>
      <c r="EG10" s="188"/>
      <c r="EH10" s="188"/>
      <c r="EI10" s="188"/>
      <c r="EJ10" s="188"/>
      <c r="EK10" s="188"/>
      <c r="EL10" s="188"/>
      <c r="EM10" s="188"/>
      <c r="EN10" s="188"/>
      <c r="EO10" s="188"/>
      <c r="EP10" s="188"/>
      <c r="EQ10" s="188"/>
      <c r="ER10" s="188"/>
      <c r="ES10" s="188"/>
      <c r="ET10" s="188"/>
      <c r="EU10" s="188"/>
      <c r="EV10" s="188"/>
      <c r="EW10" s="188"/>
      <c r="EX10" s="188"/>
      <c r="EY10" s="188"/>
      <c r="EZ10" s="188"/>
    </row>
    <row r="11" spans="1:156" ht="15.75" x14ac:dyDescent="0.25">
      <c r="A11" s="12">
        <v>2</v>
      </c>
      <c r="B11" s="16"/>
      <c r="C11" s="24"/>
      <c r="D11" s="114">
        <f>COUNT(Broadsheet!H11:Q11)</f>
        <v>0</v>
      </c>
      <c r="E11" s="110"/>
      <c r="F11" s="110"/>
      <c r="G11" s="110"/>
      <c r="H11" s="110"/>
      <c r="I11" s="110"/>
      <c r="J11" s="111" t="s">
        <v>58</v>
      </c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07"/>
      <c r="Y11" s="110"/>
      <c r="Z11" s="19"/>
      <c r="AA11" s="25"/>
      <c r="AB11" s="21"/>
      <c r="AC11" s="25"/>
      <c r="AD11" s="25"/>
      <c r="AE11" s="20"/>
      <c r="AG11" s="188" t="str">
        <f ca="1">IF(ISERROR(getgrade(Broadsheet!H11,data!$H$4:$I$9)),"#",getgrade(Broadsheet!H11,data!$H$4:$I$9))</f>
        <v>#</v>
      </c>
      <c r="AH11" s="188" t="str">
        <f ca="1">IF(ISERROR(getgrade(Broadsheet!I11,data!$H$4:$I$9)),"#",getgrade(Broadsheet!I11,data!$H$4:$I$9))</f>
        <v>#</v>
      </c>
      <c r="AI11" s="188" t="str">
        <f ca="1">IF(ISERROR(getgrade(Broadsheet!J11,data!$H$4:$I$9)),"#",getgrade(Broadsheet!J11,data!$H$4:$I$9))</f>
        <v>#</v>
      </c>
      <c r="AJ11" s="188" t="str">
        <f ca="1">IF(ISERROR(getgrade(Broadsheet!K11,data!$H$4:$I$9)),"#",getgrade(Broadsheet!K11,data!$H$4:$I$9))</f>
        <v>#</v>
      </c>
      <c r="AK11" s="188" t="str">
        <f ca="1">IF(ISERROR(getgrade(Broadsheet!L11,data!$H$4:$I$9)),"#",getgrade(Broadsheet!L11,data!$H$4:$I$9))</f>
        <v>#</v>
      </c>
      <c r="AL11" s="188" t="str">
        <f ca="1">IF(ISERROR(getgrade(Broadsheet!M11,data!$H$4:$I$9)),"#",getgrade(Broadsheet!M11,data!$H$4:$I$9))</f>
        <v>#</v>
      </c>
      <c r="AM11" s="188" t="str">
        <f ca="1">IF(ISERROR(getgrade(Broadsheet!N11,data!$H$4:$I$9)),"#",getgrade(Broadsheet!N11,data!$H$4:$I$9))</f>
        <v>#</v>
      </c>
      <c r="AN11" s="188" t="str">
        <f ca="1">IF(ISERROR(getgrade(Broadsheet!O11,data!$H$4:$I$9)),"#",getgrade(Broadsheet!O11,data!$H$4:$I$9))</f>
        <v>#</v>
      </c>
      <c r="AO11" s="188" t="str">
        <f ca="1">IF(ISERROR(getgrade(Broadsheet!P11,data!$H$4:$I$9)),"#",getgrade(Broadsheet!P11,data!$H$4:$I$9))</f>
        <v>#</v>
      </c>
      <c r="AP11" s="188" t="str">
        <f ca="1">IF(ISERROR(getgrade(Broadsheet!Q11,data!$H$4:$I$9)),"#",getgrade(Broadsheet!Q11,data!$H$4:$I$9))</f>
        <v>#</v>
      </c>
      <c r="AQ11" s="188" t="str">
        <f ca="1">IF(ISERROR(getgrade(Broadsheet!R11,data!$H$4:$I$9)),"#",getgrade(Broadsheet!R11,data!$H$4:$I$9))</f>
        <v>#</v>
      </c>
      <c r="AR11" s="188" t="str">
        <f ca="1">IF(ISERROR(getgrade(Broadsheet!S11,data!$H$4:$I$9)),"#",getgrade(Broadsheet!S11,data!$H$4:$I$9))</f>
        <v>#</v>
      </c>
      <c r="AS11" s="188" t="str">
        <f ca="1">IF(ISERROR(getgrade(Broadsheet!T11,data!$H$4:$I$9)),"#",getgrade(Broadsheet!T11,data!$H$4:$I$9))</f>
        <v>#</v>
      </c>
      <c r="AT11" s="188" t="str">
        <f ca="1">IF(ISERROR(getgrade(Broadsheet!U11,data!$H$4:$I$9)),"#",getgrade(Broadsheet!U11,data!$H$4:$I$9))</f>
        <v>#</v>
      </c>
      <c r="AU11" s="188" t="str">
        <f ca="1">IF(ISERROR(getgrade(Broadsheet!V11,data!$H$4:$I$9)),"#",getgrade(Broadsheet!V11,data!$H$4:$I$9))</f>
        <v>#</v>
      </c>
      <c r="AV11" s="188" t="str">
        <f>IF(ISERROR(getgrade(Broadsheet!W11,data!$H$4:$I$9)),"#",getgrade(Broadsheet!W11,data!$H$4:$I$9))</f>
        <v/>
      </c>
      <c r="AW11" s="188" t="str">
        <f>IF(ISERROR(getgrade(Broadsheet!X11,data!$H$4:$I$9)),"#",getgrade(Broadsheet!X11,data!$H$4:$I$9))</f>
        <v/>
      </c>
      <c r="AX11" s="188" t="str">
        <f>IF(ISERROR(getgrade(Broadsheet!Y11,data!$H$4:$I$9)),"#",getgrade(Broadsheet!Y11,data!$H$4:$I$9))</f>
        <v/>
      </c>
      <c r="AY11" s="188" t="str">
        <f>IF(ISERROR(getgrade(Broadsheet!Z11,data!$H$4:$I$9)),"#",getgrade(Broadsheet!Z11,data!$H$4:$I$9))</f>
        <v/>
      </c>
      <c r="AZ11" s="188" t="str">
        <f>IF(ISERROR(getgrade(Broadsheet!AA11,data!$H$4:$I$9)),"#",getgrade(Broadsheet!AA11,data!$H$4:$I$9))</f>
        <v/>
      </c>
      <c r="BA11" s="188" t="str">
        <f>IF(ISERROR(getgrade(Broadsheet!AB11,data!$H$4:$I$9)),"#",getgrade(Broadsheet!AB11,data!$H$4:$I$9))</f>
        <v/>
      </c>
      <c r="BB11" s="188" t="str">
        <f>IF(ISERROR(getgrade(Broadsheet!AC11,data!$H$4:$I$9)),"#",getgrade(Broadsheet!AC11,data!$H$4:$I$9))</f>
        <v/>
      </c>
      <c r="BC11" s="188" t="str">
        <f>IF(ISERROR(getgrade(Broadsheet!AD11,data!$H$4:$I$9)),"#",getgrade(Broadsheet!AD11,data!$H$4:$I$9))</f>
        <v/>
      </c>
      <c r="BD11" s="188" t="str">
        <f>IF(ISERROR(getgrade(Broadsheet!AE11,data!$H$4:$I$9)),"#",getgrade(Broadsheet!AE11,data!$H$4:$I$9))</f>
        <v/>
      </c>
      <c r="BE11" s="188" t="str">
        <f>IF(ISERROR(getgrade(Broadsheet!AF11,data!$H$4:$I$9)),"#",getgrade(Broadsheet!AF11,data!$H$4:$I$9))</f>
        <v/>
      </c>
      <c r="BF11" s="188" t="str">
        <f>IF(ISERROR(getgrade(Broadsheet!AG11,data!$H$4:$I$9)),"#",getgrade(Broadsheet!AG11,data!$H$4:$I$9))</f>
        <v/>
      </c>
      <c r="BG11" s="188" t="str">
        <f>IF(ISERROR(getgrade(Broadsheet!AH11,data!$H$4:$I$9)),"#",getgrade(Broadsheet!AH11,data!$H$4:$I$9))</f>
        <v/>
      </c>
      <c r="BH11" s="188" t="str">
        <f>IF(ISERROR(getgrade(Broadsheet!AI11,data!$H$4:$I$9)),"#",getgrade(Broadsheet!AI11,data!$H$4:$I$9))</f>
        <v/>
      </c>
      <c r="BI11" s="188" t="str">
        <f>IF(ISERROR(getgrade(Broadsheet!AJ11,data!$H$4:$I$9)),"#",getgrade(Broadsheet!AJ11,data!$H$4:$I$9))</f>
        <v/>
      </c>
      <c r="BJ11" s="188" t="str">
        <f>IF(ISERROR(getgrade(Broadsheet!AK11,data!$H$4:$I$9)),"#",getgrade(Broadsheet!AK11,data!$H$4:$I$9))</f>
        <v/>
      </c>
      <c r="BK11" s="188" t="str">
        <f>IF(ISERROR(getgrade(Broadsheet!AL11,data!$H$4:$I$9)),"#",getgrade(Broadsheet!AL11,data!$H$4:$I$9))</f>
        <v/>
      </c>
      <c r="BL11" s="188" t="str">
        <f>IF(ISERROR(getgrade(Broadsheet!AM11,data!$H$4:$I$9)),"#",getgrade(Broadsheet!AM11,data!$H$4:$I$9))</f>
        <v/>
      </c>
      <c r="BM11" s="188" t="str">
        <f>IF(ISERROR(getgrade(Broadsheet!AN11,data!$H$4:$I$9)),"#",getgrade(Broadsheet!AN11,data!$H$4:$I$9))</f>
        <v/>
      </c>
      <c r="BN11" s="188" t="str">
        <f>IF(ISERROR(getgrade(Broadsheet!AO11,data!$H$4:$I$9)),"#",getgrade(Broadsheet!AO11,data!$H$4:$I$9))</f>
        <v/>
      </c>
      <c r="BO11" s="188" t="str">
        <f>IF(ISERROR(getgrade(Broadsheet!AP11,data!$H$4:$I$9)),"#",getgrade(Broadsheet!AP11,data!$H$4:$I$9))</f>
        <v/>
      </c>
      <c r="BP11" s="188" t="str">
        <f>IF(ISERROR(getgrade(Broadsheet!AQ11,data!$H$4:$I$9)),"#",getgrade(Broadsheet!AQ11,data!$H$4:$I$9))</f>
        <v/>
      </c>
      <c r="BQ11" s="188" t="str">
        <f>IF(ISERROR(getgrade(Broadsheet!AR11,data!$H$4:$I$9)),"#",getgrade(Broadsheet!AR11,data!$H$4:$I$9))</f>
        <v/>
      </c>
      <c r="BR11" s="188" t="str">
        <f>IF(ISERROR(getgrade(Broadsheet!AS11,data!$H$4:$I$9)),"#",getgrade(Broadsheet!AS11,data!$H$4:$I$9))</f>
        <v/>
      </c>
      <c r="BS11" s="188" t="str">
        <f>IF(ISERROR(getgrade(Broadsheet!AT11,data!$H$4:$I$9)),"#",getgrade(Broadsheet!AT11,data!$H$4:$I$9))</f>
        <v/>
      </c>
      <c r="BT11" s="188" t="str">
        <f>IF(ISERROR(getgrade(Broadsheet!AU11,data!$H$4:$I$9)),"#",getgrade(Broadsheet!AU11,data!$H$4:$I$9))</f>
        <v/>
      </c>
      <c r="BU11" s="188" t="str">
        <f>IF(ISERROR(getgrade(Broadsheet!AV11,data!$H$4:$I$9)),"#",getgrade(Broadsheet!AV11,data!$H$4:$I$9))</f>
        <v/>
      </c>
      <c r="BV11" s="188" t="str">
        <f>IF(ISERROR(getgrade(Broadsheet!AW11,data!$H$4:$I$9)),"#",getgrade(Broadsheet!AW11,data!$H$4:$I$9))</f>
        <v/>
      </c>
      <c r="BW11" s="188" t="str">
        <f>IF(ISERROR(getgrade(Broadsheet!AX11,data!$H$4:$I$9)),"#",getgrade(Broadsheet!AX11,data!$H$4:$I$9))</f>
        <v/>
      </c>
      <c r="BX11" s="188" t="str">
        <f>IF(ISERROR(getgrade(Broadsheet!AY11,data!$H$4:$I$9)),"#",getgrade(Broadsheet!AY11,data!$H$4:$I$9))</f>
        <v/>
      </c>
      <c r="BY11" s="188" t="str">
        <f>IF(ISERROR(getgrade(Broadsheet!AZ11,data!$H$4:$I$9)),"#",getgrade(Broadsheet!AZ11,data!$H$4:$I$9))</f>
        <v/>
      </c>
      <c r="BZ11" s="188" t="str">
        <f>IF(ISERROR(getgrade(Broadsheet!BA11,data!$H$4:$I$9)),"#",getgrade(Broadsheet!BA11,data!$H$4:$I$9))</f>
        <v/>
      </c>
      <c r="CA11" s="188" t="str">
        <f>IF(ISERROR(getgrade(Broadsheet!BB11,data!$H$4:$I$9)),"#",getgrade(Broadsheet!BB11,data!$H$4:$I$9))</f>
        <v/>
      </c>
      <c r="CB11" s="188" t="str">
        <f>IF(ISERROR(getgrade(Broadsheet!BC11,data!$H$4:$I$9)),"#",getgrade(Broadsheet!BC11,data!$H$4:$I$9))</f>
        <v/>
      </c>
      <c r="CC11" s="188" t="str">
        <f>IF(ISERROR(getgrade(Broadsheet!BD11,data!$H$4:$I$9)),"#",getgrade(Broadsheet!BD11,data!$H$4:$I$9))</f>
        <v/>
      </c>
      <c r="CD11" s="188" t="str">
        <f>IF(ISERROR(getgrade(Broadsheet!BE11,data!$H$4:$I$9)),"#",getgrade(Broadsheet!BE11,data!$H$4:$I$9))</f>
        <v/>
      </c>
      <c r="CE11" s="188" t="str">
        <f>IF(ISERROR(getgrade(Broadsheet!BF11,data!$H$4:$I$9)),"#",getgrade(Broadsheet!BF11,data!$H$4:$I$9))</f>
        <v/>
      </c>
      <c r="CF11" s="188" t="str">
        <f>IF(ISERROR(getgrade(Broadsheet!BG11,data!$H$4:$I$9)),"#",getgrade(Broadsheet!BG11,data!$H$4:$I$9))</f>
        <v/>
      </c>
      <c r="CG11" s="188" t="str">
        <f>IF(ISERROR(getgrade(Broadsheet!BH11,data!$H$4:$I$9)),"#",getgrade(Broadsheet!BH11,data!$H$4:$I$9))</f>
        <v/>
      </c>
      <c r="CH11" s="188" t="str">
        <f>IF(ISERROR(getgrade(Broadsheet!BI11,data!$H$4:$I$9)),"#",getgrade(Broadsheet!BI11,data!$H$4:$I$9))</f>
        <v/>
      </c>
      <c r="CI11" s="188" t="str">
        <f>IF(ISERROR(getgrade(Broadsheet!BJ11,data!$H$4:$I$9)),"#",getgrade(Broadsheet!BJ11,data!$H$4:$I$9))</f>
        <v/>
      </c>
      <c r="CJ11" s="188"/>
      <c r="CK11" s="188"/>
      <c r="CL11" s="188"/>
      <c r="CM11" s="188"/>
      <c r="CN11" s="188"/>
      <c r="CO11" s="188"/>
      <c r="CP11" s="188"/>
      <c r="CQ11" s="188"/>
      <c r="CR11" s="188"/>
      <c r="CS11" s="188"/>
      <c r="CT11" s="188"/>
      <c r="CU11" s="188"/>
      <c r="CV11" s="188"/>
      <c r="CW11" s="188"/>
      <c r="CX11" s="188"/>
      <c r="CY11" s="188"/>
      <c r="CZ11" s="188"/>
      <c r="DA11" s="188"/>
      <c r="DB11" s="188"/>
      <c r="DC11" s="188"/>
      <c r="DD11" s="188"/>
      <c r="DE11" s="188"/>
      <c r="DF11" s="188"/>
      <c r="DG11" s="188"/>
      <c r="DH11" s="188"/>
      <c r="DI11" s="188"/>
      <c r="DJ11" s="188"/>
      <c r="DK11" s="188"/>
      <c r="DL11" s="188"/>
      <c r="DM11" s="188"/>
      <c r="DN11" s="188"/>
      <c r="DO11" s="188"/>
      <c r="DP11" s="188"/>
      <c r="DQ11" s="188"/>
      <c r="DR11" s="188"/>
      <c r="DS11" s="188"/>
      <c r="DT11" s="188"/>
      <c r="DU11" s="188"/>
      <c r="DV11" s="188"/>
      <c r="DW11" s="188"/>
      <c r="DX11" s="188"/>
      <c r="DY11" s="188"/>
      <c r="DZ11" s="188"/>
      <c r="EA11" s="188"/>
      <c r="EB11" s="188"/>
      <c r="EC11" s="188"/>
      <c r="ED11" s="188"/>
      <c r="EE11" s="188"/>
      <c r="EF11" s="188"/>
      <c r="EG11" s="188"/>
      <c r="EH11" s="188"/>
      <c r="EI11" s="188"/>
      <c r="EJ11" s="188"/>
      <c r="EK11" s="188"/>
      <c r="EL11" s="188"/>
      <c r="EM11" s="188"/>
      <c r="EN11" s="188"/>
      <c r="EO11" s="188"/>
      <c r="EP11" s="188"/>
      <c r="EQ11" s="188"/>
      <c r="ER11" s="188"/>
      <c r="ES11" s="188"/>
      <c r="ET11" s="188"/>
      <c r="EU11" s="188"/>
      <c r="EV11" s="188"/>
      <c r="EW11" s="188"/>
      <c r="EX11" s="188"/>
      <c r="EY11" s="188"/>
      <c r="EZ11" s="188"/>
    </row>
    <row r="12" spans="1:156" ht="15.75" x14ac:dyDescent="0.25">
      <c r="A12" s="12">
        <v>3</v>
      </c>
      <c r="B12" s="16"/>
      <c r="C12" s="24"/>
      <c r="D12" s="114">
        <f>COUNT(Broadsheet!H12:Q12)</f>
        <v>0</v>
      </c>
      <c r="E12" s="110"/>
      <c r="F12" s="110"/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07"/>
      <c r="Y12" s="110"/>
      <c r="Z12" s="19"/>
      <c r="AA12" s="25"/>
      <c r="AB12" s="21"/>
      <c r="AC12" s="25"/>
      <c r="AD12" s="25"/>
      <c r="AE12" s="20"/>
      <c r="AG12" s="188" t="str">
        <f ca="1">IF(ISERROR(getgrade(Broadsheet!H12,data!$H$4:$I$9)),"#",getgrade(Broadsheet!H12,data!$H$4:$I$9))</f>
        <v>#</v>
      </c>
      <c r="AH12" s="188" t="str">
        <f ca="1">IF(ISERROR(getgrade(Broadsheet!I12,data!$H$4:$I$9)),"#",getgrade(Broadsheet!I12,data!$H$4:$I$9))</f>
        <v>#</v>
      </c>
      <c r="AI12" s="188" t="str">
        <f ca="1">IF(ISERROR(getgrade(Broadsheet!J12,data!$H$4:$I$9)),"#",getgrade(Broadsheet!J12,data!$H$4:$I$9))</f>
        <v>#</v>
      </c>
      <c r="AJ12" s="188" t="str">
        <f ca="1">IF(ISERROR(getgrade(Broadsheet!K12,data!$H$4:$I$9)),"#",getgrade(Broadsheet!K12,data!$H$4:$I$9))</f>
        <v>#</v>
      </c>
      <c r="AK12" s="188" t="str">
        <f ca="1">IF(ISERROR(getgrade(Broadsheet!L12,data!$H$4:$I$9)),"#",getgrade(Broadsheet!L12,data!$H$4:$I$9))</f>
        <v>#</v>
      </c>
      <c r="AL12" s="188" t="str">
        <f ca="1">IF(ISERROR(getgrade(Broadsheet!M12,data!$H$4:$I$9)),"#",getgrade(Broadsheet!M12,data!$H$4:$I$9))</f>
        <v>#</v>
      </c>
      <c r="AM12" s="188" t="str">
        <f ca="1">IF(ISERROR(getgrade(Broadsheet!N12,data!$H$4:$I$9)),"#",getgrade(Broadsheet!N12,data!$H$4:$I$9))</f>
        <v>#</v>
      </c>
      <c r="AN12" s="188" t="str">
        <f ca="1">IF(ISERROR(getgrade(Broadsheet!O12,data!$H$4:$I$9)),"#",getgrade(Broadsheet!O12,data!$H$4:$I$9))</f>
        <v>#</v>
      </c>
      <c r="AO12" s="188" t="str">
        <f ca="1">IF(ISERROR(getgrade(Broadsheet!P12,data!$H$4:$I$9)),"#",getgrade(Broadsheet!P12,data!$H$4:$I$9))</f>
        <v>#</v>
      </c>
      <c r="AP12" s="188" t="str">
        <f ca="1">IF(ISERROR(getgrade(Broadsheet!Q12,data!$H$4:$I$9)),"#",getgrade(Broadsheet!Q12,data!$H$4:$I$9))</f>
        <v>#</v>
      </c>
      <c r="AQ12" s="188" t="str">
        <f ca="1">IF(ISERROR(getgrade(Broadsheet!R12,data!$H$4:$I$9)),"#",getgrade(Broadsheet!R12,data!$H$4:$I$9))</f>
        <v>#</v>
      </c>
      <c r="AR12" s="188" t="str">
        <f ca="1">IF(ISERROR(getgrade(Broadsheet!S12,data!$H$4:$I$9)),"#",getgrade(Broadsheet!S12,data!$H$4:$I$9))</f>
        <v>#</v>
      </c>
      <c r="AS12" s="188" t="str">
        <f ca="1">IF(ISERROR(getgrade(Broadsheet!T12,data!$H$4:$I$9)),"#",getgrade(Broadsheet!T12,data!$H$4:$I$9))</f>
        <v>#</v>
      </c>
      <c r="AT12" s="188" t="str">
        <f ca="1">IF(ISERROR(getgrade(Broadsheet!U12,data!$H$4:$I$9)),"#",getgrade(Broadsheet!U12,data!$H$4:$I$9))</f>
        <v>#</v>
      </c>
      <c r="AU12" s="188" t="str">
        <f ca="1">IF(ISERROR(getgrade(Broadsheet!V12,data!$H$4:$I$9)),"#",getgrade(Broadsheet!V12,data!$H$4:$I$9))</f>
        <v>#</v>
      </c>
      <c r="AV12" s="188" t="str">
        <f>IF(ISERROR(getgrade(Broadsheet!W12,data!$H$4:$I$9)),"#",getgrade(Broadsheet!W12,data!$H$4:$I$9))</f>
        <v/>
      </c>
      <c r="AW12" s="188" t="str">
        <f>IF(ISERROR(getgrade(Broadsheet!X12,data!$H$4:$I$9)),"#",getgrade(Broadsheet!X12,data!$H$4:$I$9))</f>
        <v/>
      </c>
      <c r="AX12" s="188" t="str">
        <f>IF(ISERROR(getgrade(Broadsheet!Y12,data!$H$4:$I$9)),"#",getgrade(Broadsheet!Y12,data!$H$4:$I$9))</f>
        <v/>
      </c>
      <c r="AY12" s="188" t="str">
        <f>IF(ISERROR(getgrade(Broadsheet!Z12,data!$H$4:$I$9)),"#",getgrade(Broadsheet!Z12,data!$H$4:$I$9))</f>
        <v/>
      </c>
      <c r="AZ12" s="188" t="str">
        <f>IF(ISERROR(getgrade(Broadsheet!AA12,data!$H$4:$I$9)),"#",getgrade(Broadsheet!AA12,data!$H$4:$I$9))</f>
        <v/>
      </c>
      <c r="BA12" s="188" t="str">
        <f>IF(ISERROR(getgrade(Broadsheet!AB12,data!$H$4:$I$9)),"#",getgrade(Broadsheet!AB12,data!$H$4:$I$9))</f>
        <v/>
      </c>
      <c r="BB12" s="188" t="str">
        <f>IF(ISERROR(getgrade(Broadsheet!AC12,data!$H$4:$I$9)),"#",getgrade(Broadsheet!AC12,data!$H$4:$I$9))</f>
        <v/>
      </c>
      <c r="BC12" s="188" t="str">
        <f>IF(ISERROR(getgrade(Broadsheet!AD12,data!$H$4:$I$9)),"#",getgrade(Broadsheet!AD12,data!$H$4:$I$9))</f>
        <v/>
      </c>
      <c r="BD12" s="188" t="str">
        <f>IF(ISERROR(getgrade(Broadsheet!AE12,data!$H$4:$I$9)),"#",getgrade(Broadsheet!AE12,data!$H$4:$I$9))</f>
        <v/>
      </c>
      <c r="BE12" s="188" t="str">
        <f>IF(ISERROR(getgrade(Broadsheet!AF12,data!$H$4:$I$9)),"#",getgrade(Broadsheet!AF12,data!$H$4:$I$9))</f>
        <v/>
      </c>
      <c r="BF12" s="188" t="str">
        <f>IF(ISERROR(getgrade(Broadsheet!AG12,data!$H$4:$I$9)),"#",getgrade(Broadsheet!AG12,data!$H$4:$I$9))</f>
        <v/>
      </c>
      <c r="BG12" s="188" t="str">
        <f>IF(ISERROR(getgrade(Broadsheet!AH12,data!$H$4:$I$9)),"#",getgrade(Broadsheet!AH12,data!$H$4:$I$9))</f>
        <v/>
      </c>
      <c r="BH12" s="188" t="str">
        <f>IF(ISERROR(getgrade(Broadsheet!AI12,data!$H$4:$I$9)),"#",getgrade(Broadsheet!AI12,data!$H$4:$I$9))</f>
        <v/>
      </c>
      <c r="BI12" s="188" t="str">
        <f>IF(ISERROR(getgrade(Broadsheet!AJ12,data!$H$4:$I$9)),"#",getgrade(Broadsheet!AJ12,data!$H$4:$I$9))</f>
        <v/>
      </c>
      <c r="BJ12" s="188" t="str">
        <f>IF(ISERROR(getgrade(Broadsheet!AK12,data!$H$4:$I$9)),"#",getgrade(Broadsheet!AK12,data!$H$4:$I$9))</f>
        <v/>
      </c>
      <c r="BK12" s="188" t="str">
        <f>IF(ISERROR(getgrade(Broadsheet!AL12,data!$H$4:$I$9)),"#",getgrade(Broadsheet!AL12,data!$H$4:$I$9))</f>
        <v/>
      </c>
      <c r="BL12" s="188" t="str">
        <f>IF(ISERROR(getgrade(Broadsheet!AM12,data!$H$4:$I$9)),"#",getgrade(Broadsheet!AM12,data!$H$4:$I$9))</f>
        <v/>
      </c>
      <c r="BM12" s="188" t="str">
        <f>IF(ISERROR(getgrade(Broadsheet!AN12,data!$H$4:$I$9)),"#",getgrade(Broadsheet!AN12,data!$H$4:$I$9))</f>
        <v/>
      </c>
      <c r="BN12" s="188" t="str">
        <f>IF(ISERROR(getgrade(Broadsheet!AO12,data!$H$4:$I$9)),"#",getgrade(Broadsheet!AO12,data!$H$4:$I$9))</f>
        <v/>
      </c>
      <c r="BO12" s="188" t="str">
        <f>IF(ISERROR(getgrade(Broadsheet!AP12,data!$H$4:$I$9)),"#",getgrade(Broadsheet!AP12,data!$H$4:$I$9))</f>
        <v/>
      </c>
      <c r="BP12" s="188" t="str">
        <f>IF(ISERROR(getgrade(Broadsheet!AQ12,data!$H$4:$I$9)),"#",getgrade(Broadsheet!AQ12,data!$H$4:$I$9))</f>
        <v/>
      </c>
      <c r="BQ12" s="188" t="str">
        <f>IF(ISERROR(getgrade(Broadsheet!AR12,data!$H$4:$I$9)),"#",getgrade(Broadsheet!AR12,data!$H$4:$I$9))</f>
        <v/>
      </c>
      <c r="BR12" s="188" t="str">
        <f>IF(ISERROR(getgrade(Broadsheet!AS12,data!$H$4:$I$9)),"#",getgrade(Broadsheet!AS12,data!$H$4:$I$9))</f>
        <v/>
      </c>
      <c r="BS12" s="188" t="str">
        <f>IF(ISERROR(getgrade(Broadsheet!AT12,data!$H$4:$I$9)),"#",getgrade(Broadsheet!AT12,data!$H$4:$I$9))</f>
        <v/>
      </c>
      <c r="BT12" s="188" t="str">
        <f>IF(ISERROR(getgrade(Broadsheet!AU12,data!$H$4:$I$9)),"#",getgrade(Broadsheet!AU12,data!$H$4:$I$9))</f>
        <v/>
      </c>
      <c r="BU12" s="188" t="str">
        <f>IF(ISERROR(getgrade(Broadsheet!AV12,data!$H$4:$I$9)),"#",getgrade(Broadsheet!AV12,data!$H$4:$I$9))</f>
        <v/>
      </c>
      <c r="BV12" s="188" t="str">
        <f>IF(ISERROR(getgrade(Broadsheet!AW12,data!$H$4:$I$9)),"#",getgrade(Broadsheet!AW12,data!$H$4:$I$9))</f>
        <v/>
      </c>
      <c r="BW12" s="188" t="str">
        <f>IF(ISERROR(getgrade(Broadsheet!AX12,data!$H$4:$I$9)),"#",getgrade(Broadsheet!AX12,data!$H$4:$I$9))</f>
        <v/>
      </c>
      <c r="BX12" s="188" t="str">
        <f>IF(ISERROR(getgrade(Broadsheet!AY12,data!$H$4:$I$9)),"#",getgrade(Broadsheet!AY12,data!$H$4:$I$9))</f>
        <v/>
      </c>
      <c r="BY12" s="188" t="str">
        <f>IF(ISERROR(getgrade(Broadsheet!AZ12,data!$H$4:$I$9)),"#",getgrade(Broadsheet!AZ12,data!$H$4:$I$9))</f>
        <v/>
      </c>
      <c r="BZ12" s="188" t="str">
        <f>IF(ISERROR(getgrade(Broadsheet!BA12,data!$H$4:$I$9)),"#",getgrade(Broadsheet!BA12,data!$H$4:$I$9))</f>
        <v/>
      </c>
      <c r="CA12" s="188" t="str">
        <f>IF(ISERROR(getgrade(Broadsheet!BB12,data!$H$4:$I$9)),"#",getgrade(Broadsheet!BB12,data!$H$4:$I$9))</f>
        <v/>
      </c>
      <c r="CB12" s="188" t="str">
        <f>IF(ISERROR(getgrade(Broadsheet!BC12,data!$H$4:$I$9)),"#",getgrade(Broadsheet!BC12,data!$H$4:$I$9))</f>
        <v/>
      </c>
      <c r="CC12" s="188" t="str">
        <f>IF(ISERROR(getgrade(Broadsheet!BD12,data!$H$4:$I$9)),"#",getgrade(Broadsheet!BD12,data!$H$4:$I$9))</f>
        <v/>
      </c>
      <c r="CD12" s="188" t="str">
        <f>IF(ISERROR(getgrade(Broadsheet!BE12,data!$H$4:$I$9)),"#",getgrade(Broadsheet!BE12,data!$H$4:$I$9))</f>
        <v/>
      </c>
      <c r="CE12" s="188" t="str">
        <f>IF(ISERROR(getgrade(Broadsheet!BF12,data!$H$4:$I$9)),"#",getgrade(Broadsheet!BF12,data!$H$4:$I$9))</f>
        <v/>
      </c>
      <c r="CF12" s="188" t="str">
        <f>IF(ISERROR(getgrade(Broadsheet!BG12,data!$H$4:$I$9)),"#",getgrade(Broadsheet!BG12,data!$H$4:$I$9))</f>
        <v/>
      </c>
      <c r="CG12" s="188" t="str">
        <f>IF(ISERROR(getgrade(Broadsheet!BH12,data!$H$4:$I$9)),"#",getgrade(Broadsheet!BH12,data!$H$4:$I$9))</f>
        <v/>
      </c>
      <c r="CH12" s="188" t="str">
        <f>IF(ISERROR(getgrade(Broadsheet!BI12,data!$H$4:$I$9)),"#",getgrade(Broadsheet!BI12,data!$H$4:$I$9))</f>
        <v/>
      </c>
      <c r="CI12" s="188" t="str">
        <f>IF(ISERROR(getgrade(Broadsheet!BJ12,data!$H$4:$I$9)),"#",getgrade(Broadsheet!BJ12,data!$H$4:$I$9))</f>
        <v/>
      </c>
      <c r="CJ12" s="188"/>
      <c r="CK12" s="188"/>
      <c r="CL12" s="188"/>
      <c r="CM12" s="188"/>
      <c r="CN12" s="188"/>
      <c r="CO12" s="188"/>
      <c r="CP12" s="188"/>
      <c r="CQ12" s="188"/>
      <c r="CR12" s="188"/>
      <c r="CS12" s="188"/>
      <c r="CT12" s="188"/>
      <c r="CU12" s="188"/>
      <c r="CV12" s="188"/>
      <c r="CW12" s="188"/>
      <c r="CX12" s="188"/>
      <c r="CY12" s="188"/>
      <c r="CZ12" s="188"/>
      <c r="DA12" s="188"/>
      <c r="DB12" s="188"/>
      <c r="DC12" s="188"/>
      <c r="DD12" s="188"/>
      <c r="DE12" s="188"/>
      <c r="DF12" s="188"/>
      <c r="DG12" s="188"/>
      <c r="DH12" s="188"/>
      <c r="DI12" s="188"/>
      <c r="DJ12" s="188"/>
      <c r="DK12" s="188"/>
      <c r="DL12" s="188"/>
      <c r="DM12" s="188"/>
      <c r="DN12" s="188"/>
      <c r="DO12" s="188"/>
      <c r="DP12" s="188"/>
      <c r="DQ12" s="188"/>
      <c r="DR12" s="188"/>
      <c r="DS12" s="188"/>
      <c r="DT12" s="188"/>
      <c r="DU12" s="188"/>
      <c r="DV12" s="188"/>
      <c r="DW12" s="188"/>
      <c r="DX12" s="188"/>
      <c r="DY12" s="188"/>
      <c r="DZ12" s="188"/>
      <c r="EA12" s="188"/>
      <c r="EB12" s="188"/>
      <c r="EC12" s="188"/>
      <c r="ED12" s="188"/>
      <c r="EE12" s="188"/>
      <c r="EF12" s="188"/>
      <c r="EG12" s="188"/>
      <c r="EH12" s="188"/>
      <c r="EI12" s="188"/>
      <c r="EJ12" s="188"/>
      <c r="EK12" s="188"/>
      <c r="EL12" s="188"/>
      <c r="EM12" s="188"/>
      <c r="EN12" s="188"/>
      <c r="EO12" s="188"/>
      <c r="EP12" s="188"/>
      <c r="EQ12" s="188"/>
      <c r="ER12" s="188"/>
      <c r="ES12" s="188"/>
      <c r="ET12" s="188"/>
      <c r="EU12" s="188"/>
      <c r="EV12" s="188"/>
      <c r="EW12" s="188"/>
      <c r="EX12" s="188"/>
      <c r="EY12" s="188"/>
      <c r="EZ12" s="188"/>
    </row>
    <row r="13" spans="1:156" ht="15.75" x14ac:dyDescent="0.25">
      <c r="A13" s="12">
        <v>4</v>
      </c>
      <c r="B13" s="16"/>
      <c r="C13" s="24"/>
      <c r="D13" s="114">
        <f>COUNT(Broadsheet!H13:Q13)</f>
        <v>0</v>
      </c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07"/>
      <c r="Y13" s="110"/>
      <c r="Z13" s="19"/>
      <c r="AA13" s="25"/>
      <c r="AB13" s="21"/>
      <c r="AC13" s="25"/>
      <c r="AD13" s="25"/>
      <c r="AE13" s="20"/>
      <c r="AG13" s="188" t="str">
        <f ca="1">IF(ISERROR(getgrade(Broadsheet!H13,data!$H$4:$I$9)),"#",getgrade(Broadsheet!H13,data!$H$4:$I$9))</f>
        <v>#</v>
      </c>
      <c r="AH13" s="188" t="str">
        <f ca="1">IF(ISERROR(getgrade(Broadsheet!I13,data!$H$4:$I$9)),"#",getgrade(Broadsheet!I13,data!$H$4:$I$9))</f>
        <v>#</v>
      </c>
      <c r="AI13" s="188" t="str">
        <f ca="1">IF(ISERROR(getgrade(Broadsheet!J13,data!$H$4:$I$9)),"#",getgrade(Broadsheet!J13,data!$H$4:$I$9))</f>
        <v>#</v>
      </c>
      <c r="AJ13" s="188" t="str">
        <f ca="1">IF(ISERROR(getgrade(Broadsheet!K13,data!$H$4:$I$9)),"#",getgrade(Broadsheet!K13,data!$H$4:$I$9))</f>
        <v>#</v>
      </c>
      <c r="AK13" s="188" t="str">
        <f ca="1">IF(ISERROR(getgrade(Broadsheet!L13,data!$H$4:$I$9)),"#",getgrade(Broadsheet!L13,data!$H$4:$I$9))</f>
        <v>#</v>
      </c>
      <c r="AL13" s="188" t="str">
        <f ca="1">IF(ISERROR(getgrade(Broadsheet!M13,data!$H$4:$I$9)),"#",getgrade(Broadsheet!M13,data!$H$4:$I$9))</f>
        <v>#</v>
      </c>
      <c r="AM13" s="188" t="str">
        <f ca="1">IF(ISERROR(getgrade(Broadsheet!N13,data!$H$4:$I$9)),"#",getgrade(Broadsheet!N13,data!$H$4:$I$9))</f>
        <v>#</v>
      </c>
      <c r="AN13" s="188" t="str">
        <f ca="1">IF(ISERROR(getgrade(Broadsheet!O13,data!$H$4:$I$9)),"#",getgrade(Broadsheet!O13,data!$H$4:$I$9))</f>
        <v>#</v>
      </c>
      <c r="AO13" s="188" t="str">
        <f ca="1">IF(ISERROR(getgrade(Broadsheet!P13,data!$H$4:$I$9)),"#",getgrade(Broadsheet!P13,data!$H$4:$I$9))</f>
        <v>#</v>
      </c>
      <c r="AP13" s="188" t="str">
        <f ca="1">IF(ISERROR(getgrade(Broadsheet!Q13,data!$H$4:$I$9)),"#",getgrade(Broadsheet!Q13,data!$H$4:$I$9))</f>
        <v>#</v>
      </c>
      <c r="AQ13" s="188" t="str">
        <f ca="1">IF(ISERROR(getgrade(Broadsheet!R13,data!$H$4:$I$9)),"#",getgrade(Broadsheet!R13,data!$H$4:$I$9))</f>
        <v>#</v>
      </c>
      <c r="AR13" s="188" t="str">
        <f ca="1">IF(ISERROR(getgrade(Broadsheet!S13,data!$H$4:$I$9)),"#",getgrade(Broadsheet!S13,data!$H$4:$I$9))</f>
        <v>#</v>
      </c>
      <c r="AS13" s="188" t="str">
        <f ca="1">IF(ISERROR(getgrade(Broadsheet!T13,data!$H$4:$I$9)),"#",getgrade(Broadsheet!T13,data!$H$4:$I$9))</f>
        <v>#</v>
      </c>
      <c r="AT13" s="188" t="str">
        <f ca="1">IF(ISERROR(getgrade(Broadsheet!U13,data!$H$4:$I$9)),"#",getgrade(Broadsheet!U13,data!$H$4:$I$9))</f>
        <v>#</v>
      </c>
      <c r="AU13" s="188" t="str">
        <f ca="1">IF(ISERROR(getgrade(Broadsheet!V13,data!$H$4:$I$9)),"#",getgrade(Broadsheet!V13,data!$H$4:$I$9))</f>
        <v>#</v>
      </c>
      <c r="AV13" s="188" t="str">
        <f>IF(ISERROR(getgrade(Broadsheet!W13,data!$H$4:$I$9)),"#",getgrade(Broadsheet!W13,data!$H$4:$I$9))</f>
        <v/>
      </c>
      <c r="AW13" s="188" t="str">
        <f>IF(ISERROR(getgrade(Broadsheet!X13,data!$H$4:$I$9)),"#",getgrade(Broadsheet!X13,data!$H$4:$I$9))</f>
        <v/>
      </c>
      <c r="AX13" s="188" t="str">
        <f>IF(ISERROR(getgrade(Broadsheet!Y13,data!$H$4:$I$9)),"#",getgrade(Broadsheet!Y13,data!$H$4:$I$9))</f>
        <v/>
      </c>
      <c r="AY13" s="188" t="str">
        <f>IF(ISERROR(getgrade(Broadsheet!Z13,data!$H$4:$I$9)),"#",getgrade(Broadsheet!Z13,data!$H$4:$I$9))</f>
        <v/>
      </c>
      <c r="AZ13" s="188" t="str">
        <f>IF(ISERROR(getgrade(Broadsheet!AA13,data!$H$4:$I$9)),"#",getgrade(Broadsheet!AA13,data!$H$4:$I$9))</f>
        <v/>
      </c>
      <c r="BA13" s="188" t="str">
        <f>IF(ISERROR(getgrade(Broadsheet!AB13,data!$H$4:$I$9)),"#",getgrade(Broadsheet!AB13,data!$H$4:$I$9))</f>
        <v/>
      </c>
      <c r="BB13" s="188" t="str">
        <f>IF(ISERROR(getgrade(Broadsheet!AC13,data!$H$4:$I$9)),"#",getgrade(Broadsheet!AC13,data!$H$4:$I$9))</f>
        <v/>
      </c>
      <c r="BC13" s="188" t="str">
        <f>IF(ISERROR(getgrade(Broadsheet!AD13,data!$H$4:$I$9)),"#",getgrade(Broadsheet!AD13,data!$H$4:$I$9))</f>
        <v/>
      </c>
      <c r="BD13" s="188" t="str">
        <f>IF(ISERROR(getgrade(Broadsheet!AE13,data!$H$4:$I$9)),"#",getgrade(Broadsheet!AE13,data!$H$4:$I$9))</f>
        <v/>
      </c>
      <c r="BE13" s="188" t="str">
        <f>IF(ISERROR(getgrade(Broadsheet!AF13,data!$H$4:$I$9)),"#",getgrade(Broadsheet!AF13,data!$H$4:$I$9))</f>
        <v/>
      </c>
      <c r="BF13" s="188" t="str">
        <f>IF(ISERROR(getgrade(Broadsheet!AG13,data!$H$4:$I$9)),"#",getgrade(Broadsheet!AG13,data!$H$4:$I$9))</f>
        <v/>
      </c>
      <c r="BG13" s="188" t="str">
        <f>IF(ISERROR(getgrade(Broadsheet!AH13,data!$H$4:$I$9)),"#",getgrade(Broadsheet!AH13,data!$H$4:$I$9))</f>
        <v/>
      </c>
      <c r="BH13" s="188" t="str">
        <f>IF(ISERROR(getgrade(Broadsheet!AI13,data!$H$4:$I$9)),"#",getgrade(Broadsheet!AI13,data!$H$4:$I$9))</f>
        <v/>
      </c>
      <c r="BI13" s="188" t="str">
        <f>IF(ISERROR(getgrade(Broadsheet!AJ13,data!$H$4:$I$9)),"#",getgrade(Broadsheet!AJ13,data!$H$4:$I$9))</f>
        <v/>
      </c>
      <c r="BJ13" s="188" t="str">
        <f>IF(ISERROR(getgrade(Broadsheet!AK13,data!$H$4:$I$9)),"#",getgrade(Broadsheet!AK13,data!$H$4:$I$9))</f>
        <v/>
      </c>
      <c r="BK13" s="188" t="str">
        <f>IF(ISERROR(getgrade(Broadsheet!AL13,data!$H$4:$I$9)),"#",getgrade(Broadsheet!AL13,data!$H$4:$I$9))</f>
        <v/>
      </c>
      <c r="BL13" s="188" t="str">
        <f>IF(ISERROR(getgrade(Broadsheet!AM13,data!$H$4:$I$9)),"#",getgrade(Broadsheet!AM13,data!$H$4:$I$9))</f>
        <v/>
      </c>
      <c r="BM13" s="188" t="str">
        <f>IF(ISERROR(getgrade(Broadsheet!AN13,data!$H$4:$I$9)),"#",getgrade(Broadsheet!AN13,data!$H$4:$I$9))</f>
        <v/>
      </c>
      <c r="BN13" s="188" t="str">
        <f>IF(ISERROR(getgrade(Broadsheet!AO13,data!$H$4:$I$9)),"#",getgrade(Broadsheet!AO13,data!$H$4:$I$9))</f>
        <v/>
      </c>
      <c r="BO13" s="188" t="str">
        <f>IF(ISERROR(getgrade(Broadsheet!AP13,data!$H$4:$I$9)),"#",getgrade(Broadsheet!AP13,data!$H$4:$I$9))</f>
        <v/>
      </c>
      <c r="BP13" s="188" t="str">
        <f>IF(ISERROR(getgrade(Broadsheet!AQ13,data!$H$4:$I$9)),"#",getgrade(Broadsheet!AQ13,data!$H$4:$I$9))</f>
        <v/>
      </c>
      <c r="BQ13" s="188" t="str">
        <f>IF(ISERROR(getgrade(Broadsheet!AR13,data!$H$4:$I$9)),"#",getgrade(Broadsheet!AR13,data!$H$4:$I$9))</f>
        <v/>
      </c>
      <c r="BR13" s="188" t="str">
        <f>IF(ISERROR(getgrade(Broadsheet!AS13,data!$H$4:$I$9)),"#",getgrade(Broadsheet!AS13,data!$H$4:$I$9))</f>
        <v/>
      </c>
      <c r="BS13" s="188" t="str">
        <f>IF(ISERROR(getgrade(Broadsheet!AT13,data!$H$4:$I$9)),"#",getgrade(Broadsheet!AT13,data!$H$4:$I$9))</f>
        <v/>
      </c>
      <c r="BT13" s="188" t="str">
        <f>IF(ISERROR(getgrade(Broadsheet!AU13,data!$H$4:$I$9)),"#",getgrade(Broadsheet!AU13,data!$H$4:$I$9))</f>
        <v/>
      </c>
      <c r="BU13" s="188" t="str">
        <f>IF(ISERROR(getgrade(Broadsheet!AV13,data!$H$4:$I$9)),"#",getgrade(Broadsheet!AV13,data!$H$4:$I$9))</f>
        <v/>
      </c>
      <c r="BV13" s="188" t="str">
        <f>IF(ISERROR(getgrade(Broadsheet!AW13,data!$H$4:$I$9)),"#",getgrade(Broadsheet!AW13,data!$H$4:$I$9))</f>
        <v/>
      </c>
      <c r="BW13" s="188" t="str">
        <f>IF(ISERROR(getgrade(Broadsheet!AX13,data!$H$4:$I$9)),"#",getgrade(Broadsheet!AX13,data!$H$4:$I$9))</f>
        <v/>
      </c>
      <c r="BX13" s="188" t="str">
        <f>IF(ISERROR(getgrade(Broadsheet!AY13,data!$H$4:$I$9)),"#",getgrade(Broadsheet!AY13,data!$H$4:$I$9))</f>
        <v/>
      </c>
      <c r="BY13" s="188" t="str">
        <f>IF(ISERROR(getgrade(Broadsheet!AZ13,data!$H$4:$I$9)),"#",getgrade(Broadsheet!AZ13,data!$H$4:$I$9))</f>
        <v/>
      </c>
      <c r="BZ13" s="188" t="str">
        <f>IF(ISERROR(getgrade(Broadsheet!BA13,data!$H$4:$I$9)),"#",getgrade(Broadsheet!BA13,data!$H$4:$I$9))</f>
        <v/>
      </c>
      <c r="CA13" s="188" t="str">
        <f>IF(ISERROR(getgrade(Broadsheet!BB13,data!$H$4:$I$9)),"#",getgrade(Broadsheet!BB13,data!$H$4:$I$9))</f>
        <v/>
      </c>
      <c r="CB13" s="188" t="str">
        <f>IF(ISERROR(getgrade(Broadsheet!BC13,data!$H$4:$I$9)),"#",getgrade(Broadsheet!BC13,data!$H$4:$I$9))</f>
        <v/>
      </c>
      <c r="CC13" s="188" t="str">
        <f>IF(ISERROR(getgrade(Broadsheet!BD13,data!$H$4:$I$9)),"#",getgrade(Broadsheet!BD13,data!$H$4:$I$9))</f>
        <v/>
      </c>
      <c r="CD13" s="188" t="str">
        <f>IF(ISERROR(getgrade(Broadsheet!BE13,data!$H$4:$I$9)),"#",getgrade(Broadsheet!BE13,data!$H$4:$I$9))</f>
        <v/>
      </c>
      <c r="CE13" s="188" t="str">
        <f>IF(ISERROR(getgrade(Broadsheet!BF13,data!$H$4:$I$9)),"#",getgrade(Broadsheet!BF13,data!$H$4:$I$9))</f>
        <v/>
      </c>
      <c r="CF13" s="188" t="str">
        <f>IF(ISERROR(getgrade(Broadsheet!BG13,data!$H$4:$I$9)),"#",getgrade(Broadsheet!BG13,data!$H$4:$I$9))</f>
        <v/>
      </c>
      <c r="CG13" s="188" t="str">
        <f>IF(ISERROR(getgrade(Broadsheet!BH13,data!$H$4:$I$9)),"#",getgrade(Broadsheet!BH13,data!$H$4:$I$9))</f>
        <v/>
      </c>
      <c r="CH13" s="188" t="str">
        <f>IF(ISERROR(getgrade(Broadsheet!BI13,data!$H$4:$I$9)),"#",getgrade(Broadsheet!BI13,data!$H$4:$I$9))</f>
        <v/>
      </c>
      <c r="CI13" s="188" t="str">
        <f>IF(ISERROR(getgrade(Broadsheet!BJ13,data!$H$4:$I$9)),"#",getgrade(Broadsheet!BJ13,data!$H$4:$I$9))</f>
        <v/>
      </c>
      <c r="CJ13" s="188"/>
      <c r="CK13" s="188"/>
      <c r="CL13" s="188"/>
      <c r="CM13" s="188"/>
      <c r="CN13" s="188"/>
      <c r="CO13" s="188"/>
      <c r="CP13" s="188"/>
      <c r="CQ13" s="188"/>
      <c r="CR13" s="188"/>
      <c r="CS13" s="188"/>
      <c r="CT13" s="188"/>
      <c r="CU13" s="188"/>
      <c r="CV13" s="188"/>
      <c r="CW13" s="188"/>
      <c r="CX13" s="188"/>
      <c r="CY13" s="188"/>
      <c r="CZ13" s="188"/>
      <c r="DA13" s="188"/>
      <c r="DB13" s="188"/>
      <c r="DC13" s="188"/>
      <c r="DD13" s="188"/>
      <c r="DE13" s="188"/>
      <c r="DF13" s="188"/>
      <c r="DG13" s="188"/>
      <c r="DH13" s="188"/>
      <c r="DI13" s="188"/>
      <c r="DJ13" s="188"/>
      <c r="DK13" s="188"/>
      <c r="DL13" s="188"/>
      <c r="DM13" s="188"/>
      <c r="DN13" s="188"/>
      <c r="DO13" s="188"/>
      <c r="DP13" s="188"/>
      <c r="DQ13" s="188"/>
      <c r="DR13" s="188"/>
      <c r="DS13" s="188"/>
      <c r="DT13" s="188"/>
      <c r="DU13" s="188"/>
      <c r="DV13" s="188"/>
      <c r="DW13" s="188"/>
      <c r="DX13" s="188"/>
      <c r="DY13" s="188"/>
      <c r="DZ13" s="188"/>
      <c r="EA13" s="188"/>
      <c r="EB13" s="188"/>
      <c r="EC13" s="188"/>
      <c r="ED13" s="188"/>
      <c r="EE13" s="188"/>
      <c r="EF13" s="188"/>
      <c r="EG13" s="188"/>
      <c r="EH13" s="188"/>
      <c r="EI13" s="188"/>
      <c r="EJ13" s="188"/>
      <c r="EK13" s="188"/>
      <c r="EL13" s="188"/>
      <c r="EM13" s="188"/>
      <c r="EN13" s="188"/>
      <c r="EO13" s="188"/>
      <c r="EP13" s="188"/>
      <c r="EQ13" s="188"/>
      <c r="ER13" s="188"/>
      <c r="ES13" s="188"/>
      <c r="ET13" s="188"/>
      <c r="EU13" s="188"/>
      <c r="EV13" s="188"/>
      <c r="EW13" s="188"/>
      <c r="EX13" s="188"/>
      <c r="EY13" s="188"/>
      <c r="EZ13" s="188"/>
    </row>
    <row r="14" spans="1:156" ht="15.75" x14ac:dyDescent="0.25">
      <c r="A14" s="12">
        <v>5</v>
      </c>
      <c r="B14" s="16"/>
      <c r="C14" s="24"/>
      <c r="D14" s="114">
        <f>COUNT(Broadsheet!H14:Q14)</f>
        <v>0</v>
      </c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07"/>
      <c r="Y14" s="110"/>
      <c r="Z14" s="19"/>
      <c r="AA14" s="25"/>
      <c r="AB14" s="21"/>
      <c r="AC14" s="25"/>
      <c r="AD14" s="25"/>
      <c r="AE14" s="20"/>
      <c r="AG14" s="188" t="str">
        <f>IF(ISERROR(getgrade(Broadsheet!H14,data!$H$4:$I$9)),"#",getgrade(Broadsheet!H14,data!$H$4:$I$9))</f>
        <v/>
      </c>
      <c r="AH14" s="188" t="str">
        <f>IF(ISERROR(getgrade(Broadsheet!I14,data!$H$4:$I$9)),"#",getgrade(Broadsheet!I14,data!$H$4:$I$9))</f>
        <v/>
      </c>
      <c r="AI14" s="188" t="str">
        <f>IF(ISERROR(getgrade(Broadsheet!J14,data!$H$4:$I$9)),"#",getgrade(Broadsheet!J14,data!$H$4:$I$9))</f>
        <v/>
      </c>
      <c r="AJ14" s="188" t="str">
        <f>IF(ISERROR(getgrade(Broadsheet!K14,data!$H$4:$I$9)),"#",getgrade(Broadsheet!K14,data!$H$4:$I$9))</f>
        <v/>
      </c>
      <c r="AK14" s="188" t="str">
        <f>IF(ISERROR(getgrade(Broadsheet!L14,data!$H$4:$I$9)),"#",getgrade(Broadsheet!L14,data!$H$4:$I$9))</f>
        <v/>
      </c>
      <c r="AL14" s="188" t="str">
        <f>IF(ISERROR(getgrade(Broadsheet!M14,data!$H$4:$I$9)),"#",getgrade(Broadsheet!M14,data!$H$4:$I$9))</f>
        <v/>
      </c>
      <c r="AM14" s="188" t="str">
        <f>IF(ISERROR(getgrade(Broadsheet!N14,data!$H$4:$I$9)),"#",getgrade(Broadsheet!N14,data!$H$4:$I$9))</f>
        <v/>
      </c>
      <c r="AN14" s="188" t="str">
        <f>IF(ISERROR(getgrade(Broadsheet!O14,data!$H$4:$I$9)),"#",getgrade(Broadsheet!O14,data!$H$4:$I$9))</f>
        <v/>
      </c>
      <c r="AO14" s="188" t="str">
        <f>IF(ISERROR(getgrade(Broadsheet!P14,data!$H$4:$I$9)),"#",getgrade(Broadsheet!P14,data!$H$4:$I$9))</f>
        <v/>
      </c>
      <c r="AP14" s="188" t="str">
        <f>IF(ISERROR(getgrade(Broadsheet!Q14,data!$H$4:$I$9)),"#",getgrade(Broadsheet!Q14,data!$H$4:$I$9))</f>
        <v/>
      </c>
      <c r="AQ14" s="188" t="str">
        <f>IF(ISERROR(getgrade(Broadsheet!R14,data!$H$4:$I$9)),"#",getgrade(Broadsheet!R14,data!$H$4:$I$9))</f>
        <v/>
      </c>
      <c r="AR14" s="188" t="str">
        <f>IF(ISERROR(getgrade(Broadsheet!S14,data!$H$4:$I$9)),"#",getgrade(Broadsheet!S14,data!$H$4:$I$9))</f>
        <v/>
      </c>
      <c r="AS14" s="188" t="str">
        <f>IF(ISERROR(getgrade(Broadsheet!T14,data!$H$4:$I$9)),"#",getgrade(Broadsheet!T14,data!$H$4:$I$9))</f>
        <v/>
      </c>
      <c r="AT14" s="188" t="str">
        <f>IF(ISERROR(getgrade(Broadsheet!U14,data!$H$4:$I$9)),"#",getgrade(Broadsheet!U14,data!$H$4:$I$9))</f>
        <v/>
      </c>
      <c r="AU14" s="188" t="str">
        <f>IF(ISERROR(getgrade(Broadsheet!V14,data!$H$4:$I$9)),"#",getgrade(Broadsheet!V14,data!$H$4:$I$9))</f>
        <v/>
      </c>
      <c r="AV14" s="188" t="str">
        <f>IF(ISERROR(getgrade(Broadsheet!W14,data!$H$4:$I$9)),"#",getgrade(Broadsheet!W14,data!$H$4:$I$9))</f>
        <v/>
      </c>
      <c r="AW14" s="188" t="str">
        <f>IF(ISERROR(getgrade(Broadsheet!X14,data!$H$4:$I$9)),"#",getgrade(Broadsheet!X14,data!$H$4:$I$9))</f>
        <v/>
      </c>
      <c r="AX14" s="188" t="str">
        <f>IF(ISERROR(getgrade(Broadsheet!Y14,data!$H$4:$I$9)),"#",getgrade(Broadsheet!Y14,data!$H$4:$I$9))</f>
        <v/>
      </c>
      <c r="AY14" s="188" t="str">
        <f>IF(ISERROR(getgrade(Broadsheet!Z14,data!$H$4:$I$9)),"#",getgrade(Broadsheet!Z14,data!$H$4:$I$9))</f>
        <v/>
      </c>
      <c r="AZ14" s="188" t="str">
        <f>IF(ISERROR(getgrade(Broadsheet!AA14,data!$H$4:$I$9)),"#",getgrade(Broadsheet!AA14,data!$H$4:$I$9))</f>
        <v/>
      </c>
      <c r="BA14" s="188" t="str">
        <f>IF(ISERROR(getgrade(Broadsheet!AB14,data!$H$4:$I$9)),"#",getgrade(Broadsheet!AB14,data!$H$4:$I$9))</f>
        <v/>
      </c>
      <c r="BB14" s="188" t="str">
        <f>IF(ISERROR(getgrade(Broadsheet!AC14,data!$H$4:$I$9)),"#",getgrade(Broadsheet!AC14,data!$H$4:$I$9))</f>
        <v/>
      </c>
      <c r="BC14" s="188" t="str">
        <f>IF(ISERROR(getgrade(Broadsheet!AD14,data!$H$4:$I$9)),"#",getgrade(Broadsheet!AD14,data!$H$4:$I$9))</f>
        <v/>
      </c>
      <c r="BD14" s="188" t="str">
        <f>IF(ISERROR(getgrade(Broadsheet!AE14,data!$H$4:$I$9)),"#",getgrade(Broadsheet!AE14,data!$H$4:$I$9))</f>
        <v/>
      </c>
      <c r="BE14" s="188" t="str">
        <f>IF(ISERROR(getgrade(Broadsheet!AF14,data!$H$4:$I$9)),"#",getgrade(Broadsheet!AF14,data!$H$4:$I$9))</f>
        <v/>
      </c>
      <c r="BF14" s="188" t="str">
        <f>IF(ISERROR(getgrade(Broadsheet!AG14,data!$H$4:$I$9)),"#",getgrade(Broadsheet!AG14,data!$H$4:$I$9))</f>
        <v/>
      </c>
      <c r="BG14" s="188" t="str">
        <f>IF(ISERROR(getgrade(Broadsheet!AH14,data!$H$4:$I$9)),"#",getgrade(Broadsheet!AH14,data!$H$4:$I$9))</f>
        <v/>
      </c>
      <c r="BH14" s="188" t="str">
        <f>IF(ISERROR(getgrade(Broadsheet!AI14,data!$H$4:$I$9)),"#",getgrade(Broadsheet!AI14,data!$H$4:$I$9))</f>
        <v/>
      </c>
      <c r="BI14" s="188" t="str">
        <f>IF(ISERROR(getgrade(Broadsheet!AJ14,data!$H$4:$I$9)),"#",getgrade(Broadsheet!AJ14,data!$H$4:$I$9))</f>
        <v/>
      </c>
      <c r="BJ14" s="188" t="str">
        <f>IF(ISERROR(getgrade(Broadsheet!AK14,data!$H$4:$I$9)),"#",getgrade(Broadsheet!AK14,data!$H$4:$I$9))</f>
        <v/>
      </c>
      <c r="BK14" s="188" t="str">
        <f>IF(ISERROR(getgrade(Broadsheet!AL14,data!$H$4:$I$9)),"#",getgrade(Broadsheet!AL14,data!$H$4:$I$9))</f>
        <v/>
      </c>
      <c r="BL14" s="188" t="str">
        <f>IF(ISERROR(getgrade(Broadsheet!AM14,data!$H$4:$I$9)),"#",getgrade(Broadsheet!AM14,data!$H$4:$I$9))</f>
        <v/>
      </c>
      <c r="BM14" s="188" t="str">
        <f>IF(ISERROR(getgrade(Broadsheet!AN14,data!$H$4:$I$9)),"#",getgrade(Broadsheet!AN14,data!$H$4:$I$9))</f>
        <v/>
      </c>
      <c r="BN14" s="188" t="str">
        <f>IF(ISERROR(getgrade(Broadsheet!AO14,data!$H$4:$I$9)),"#",getgrade(Broadsheet!AO14,data!$H$4:$I$9))</f>
        <v/>
      </c>
      <c r="BO14" s="188" t="str">
        <f>IF(ISERROR(getgrade(Broadsheet!AP14,data!$H$4:$I$9)),"#",getgrade(Broadsheet!AP14,data!$H$4:$I$9))</f>
        <v/>
      </c>
      <c r="BP14" s="188" t="str">
        <f>IF(ISERROR(getgrade(Broadsheet!AQ14,data!$H$4:$I$9)),"#",getgrade(Broadsheet!AQ14,data!$H$4:$I$9))</f>
        <v/>
      </c>
      <c r="BQ14" s="188" t="str">
        <f>IF(ISERROR(getgrade(Broadsheet!AR14,data!$H$4:$I$9)),"#",getgrade(Broadsheet!AR14,data!$H$4:$I$9))</f>
        <v/>
      </c>
      <c r="BR14" s="188" t="str">
        <f>IF(ISERROR(getgrade(Broadsheet!AS14,data!$H$4:$I$9)),"#",getgrade(Broadsheet!AS14,data!$H$4:$I$9))</f>
        <v/>
      </c>
      <c r="BS14" s="188" t="str">
        <f>IF(ISERROR(getgrade(Broadsheet!AT14,data!$H$4:$I$9)),"#",getgrade(Broadsheet!AT14,data!$H$4:$I$9))</f>
        <v/>
      </c>
      <c r="BT14" s="188" t="str">
        <f>IF(ISERROR(getgrade(Broadsheet!AU14,data!$H$4:$I$9)),"#",getgrade(Broadsheet!AU14,data!$H$4:$I$9))</f>
        <v/>
      </c>
      <c r="BU14" s="188" t="str">
        <f>IF(ISERROR(getgrade(Broadsheet!AV14,data!$H$4:$I$9)),"#",getgrade(Broadsheet!AV14,data!$H$4:$I$9))</f>
        <v/>
      </c>
      <c r="BV14" s="188" t="str">
        <f>IF(ISERROR(getgrade(Broadsheet!AW14,data!$H$4:$I$9)),"#",getgrade(Broadsheet!AW14,data!$H$4:$I$9))</f>
        <v/>
      </c>
      <c r="BW14" s="188" t="str">
        <f>IF(ISERROR(getgrade(Broadsheet!AX14,data!$H$4:$I$9)),"#",getgrade(Broadsheet!AX14,data!$H$4:$I$9))</f>
        <v/>
      </c>
      <c r="BX14" s="188" t="str">
        <f>IF(ISERROR(getgrade(Broadsheet!AY14,data!$H$4:$I$9)),"#",getgrade(Broadsheet!AY14,data!$H$4:$I$9))</f>
        <v/>
      </c>
      <c r="BY14" s="188" t="str">
        <f>IF(ISERROR(getgrade(Broadsheet!AZ14,data!$H$4:$I$9)),"#",getgrade(Broadsheet!AZ14,data!$H$4:$I$9))</f>
        <v/>
      </c>
      <c r="BZ14" s="188" t="str">
        <f>IF(ISERROR(getgrade(Broadsheet!BA14,data!$H$4:$I$9)),"#",getgrade(Broadsheet!BA14,data!$H$4:$I$9))</f>
        <v/>
      </c>
      <c r="CA14" s="188" t="str">
        <f>IF(ISERROR(getgrade(Broadsheet!BB14,data!$H$4:$I$9)),"#",getgrade(Broadsheet!BB14,data!$H$4:$I$9))</f>
        <v/>
      </c>
      <c r="CB14" s="188" t="str">
        <f>IF(ISERROR(getgrade(Broadsheet!BC14,data!$H$4:$I$9)),"#",getgrade(Broadsheet!BC14,data!$H$4:$I$9))</f>
        <v/>
      </c>
      <c r="CC14" s="188" t="str">
        <f>IF(ISERROR(getgrade(Broadsheet!BD14,data!$H$4:$I$9)),"#",getgrade(Broadsheet!BD14,data!$H$4:$I$9))</f>
        <v/>
      </c>
      <c r="CD14" s="188" t="str">
        <f>IF(ISERROR(getgrade(Broadsheet!BE14,data!$H$4:$I$9)),"#",getgrade(Broadsheet!BE14,data!$H$4:$I$9))</f>
        <v/>
      </c>
      <c r="CE14" s="188" t="str">
        <f>IF(ISERROR(getgrade(Broadsheet!BF14,data!$H$4:$I$9)),"#",getgrade(Broadsheet!BF14,data!$H$4:$I$9))</f>
        <v/>
      </c>
      <c r="CF14" s="188" t="str">
        <f>IF(ISERROR(getgrade(Broadsheet!BG14,data!$H$4:$I$9)),"#",getgrade(Broadsheet!BG14,data!$H$4:$I$9))</f>
        <v/>
      </c>
      <c r="CG14" s="188" t="str">
        <f>IF(ISERROR(getgrade(Broadsheet!BH14,data!$H$4:$I$9)),"#",getgrade(Broadsheet!BH14,data!$H$4:$I$9))</f>
        <v/>
      </c>
      <c r="CH14" s="188" t="str">
        <f>IF(ISERROR(getgrade(Broadsheet!BI14,data!$H$4:$I$9)),"#",getgrade(Broadsheet!BI14,data!$H$4:$I$9))</f>
        <v/>
      </c>
      <c r="CI14" s="188" t="str">
        <f>IF(ISERROR(getgrade(Broadsheet!BJ14,data!$H$4:$I$9)),"#",getgrade(Broadsheet!BJ14,data!$H$4:$I$9))</f>
        <v/>
      </c>
      <c r="CJ14" s="188"/>
      <c r="CK14" s="188"/>
      <c r="CL14" s="188"/>
      <c r="CM14" s="188"/>
      <c r="CN14" s="188"/>
      <c r="CO14" s="188"/>
      <c r="CP14" s="188"/>
      <c r="CQ14" s="188"/>
      <c r="CR14" s="188"/>
      <c r="CS14" s="188"/>
      <c r="CT14" s="188"/>
      <c r="CU14" s="188"/>
      <c r="CV14" s="188"/>
      <c r="CW14" s="188"/>
      <c r="CX14" s="188"/>
      <c r="CY14" s="188"/>
      <c r="CZ14" s="188"/>
      <c r="DA14" s="188"/>
      <c r="DB14" s="188"/>
      <c r="DC14" s="188"/>
      <c r="DD14" s="188"/>
      <c r="DE14" s="188"/>
      <c r="DF14" s="188"/>
      <c r="DG14" s="188"/>
      <c r="DH14" s="188"/>
      <c r="DI14" s="188"/>
      <c r="DJ14" s="188"/>
      <c r="DK14" s="188"/>
      <c r="DL14" s="188"/>
      <c r="DM14" s="188"/>
      <c r="DN14" s="188"/>
      <c r="DO14" s="188"/>
      <c r="DP14" s="188"/>
      <c r="DQ14" s="188"/>
      <c r="DR14" s="188"/>
      <c r="DS14" s="188"/>
      <c r="DT14" s="188"/>
      <c r="DU14" s="188"/>
      <c r="DV14" s="188"/>
      <c r="DW14" s="188"/>
      <c r="DX14" s="188"/>
      <c r="DY14" s="188"/>
      <c r="DZ14" s="188"/>
      <c r="EA14" s="188"/>
      <c r="EB14" s="188"/>
      <c r="EC14" s="188"/>
      <c r="ED14" s="188"/>
      <c r="EE14" s="188"/>
      <c r="EF14" s="188"/>
      <c r="EG14" s="188"/>
      <c r="EH14" s="188"/>
      <c r="EI14" s="188"/>
      <c r="EJ14" s="188"/>
      <c r="EK14" s="188"/>
      <c r="EL14" s="188"/>
      <c r="EM14" s="188"/>
      <c r="EN14" s="188"/>
      <c r="EO14" s="188"/>
      <c r="EP14" s="188"/>
      <c r="EQ14" s="188"/>
      <c r="ER14" s="188"/>
      <c r="ES14" s="188"/>
      <c r="ET14" s="188"/>
      <c r="EU14" s="188"/>
      <c r="EV14" s="188"/>
      <c r="EW14" s="188"/>
      <c r="EX14" s="188"/>
      <c r="EY14" s="188"/>
      <c r="EZ14" s="188"/>
    </row>
    <row r="15" spans="1:156" ht="15.75" x14ac:dyDescent="0.25">
      <c r="A15" s="12">
        <v>6</v>
      </c>
      <c r="B15" s="16"/>
      <c r="C15" s="24"/>
      <c r="D15" s="110"/>
      <c r="E15" s="110"/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07"/>
      <c r="Y15" s="110"/>
      <c r="Z15" s="19"/>
      <c r="AA15" s="25"/>
      <c r="AB15" s="21"/>
      <c r="AC15" s="25"/>
      <c r="AD15" s="25"/>
      <c r="AE15" s="20"/>
      <c r="AG15" s="188" t="str">
        <f>IF(ISERROR(getgrade(Broadsheet!H15,data!$H$4:$I$9)),"#",getgrade(Broadsheet!H15,data!$H$4:$I$9))</f>
        <v/>
      </c>
      <c r="AH15" s="188" t="str">
        <f>IF(ISERROR(getgrade(Broadsheet!I15,data!$H$4:$I$9)),"#",getgrade(Broadsheet!I15,data!$H$4:$I$9))</f>
        <v/>
      </c>
      <c r="AI15" s="188" t="str">
        <f>IF(ISERROR(getgrade(Broadsheet!J15,data!$H$4:$I$9)),"#",getgrade(Broadsheet!J15,data!$H$4:$I$9))</f>
        <v/>
      </c>
      <c r="AJ15" s="188" t="str">
        <f>IF(ISERROR(getgrade(Broadsheet!K15,data!$H$4:$I$9)),"#",getgrade(Broadsheet!K15,data!$H$4:$I$9))</f>
        <v/>
      </c>
      <c r="AK15" s="188" t="str">
        <f>IF(ISERROR(getgrade(Broadsheet!L15,data!$H$4:$I$9)),"#",getgrade(Broadsheet!L15,data!$H$4:$I$9))</f>
        <v/>
      </c>
      <c r="AL15" s="188" t="str">
        <f>IF(ISERROR(getgrade(Broadsheet!M15,data!$H$4:$I$9)),"#",getgrade(Broadsheet!M15,data!$H$4:$I$9))</f>
        <v/>
      </c>
      <c r="AM15" s="188" t="str">
        <f>IF(ISERROR(getgrade(Broadsheet!N15,data!$H$4:$I$9)),"#",getgrade(Broadsheet!N15,data!$H$4:$I$9))</f>
        <v/>
      </c>
      <c r="AN15" s="188" t="str">
        <f>IF(ISERROR(getgrade(Broadsheet!O15,data!$H$4:$I$9)),"#",getgrade(Broadsheet!O15,data!$H$4:$I$9))</f>
        <v/>
      </c>
      <c r="AO15" s="188" t="str">
        <f>IF(ISERROR(getgrade(Broadsheet!P15,data!$H$4:$I$9)),"#",getgrade(Broadsheet!P15,data!$H$4:$I$9))</f>
        <v/>
      </c>
      <c r="AP15" s="188" t="str">
        <f>IF(ISERROR(getgrade(Broadsheet!Q15,data!$H$4:$I$9)),"#",getgrade(Broadsheet!Q15,data!$H$4:$I$9))</f>
        <v/>
      </c>
      <c r="AQ15" s="188" t="str">
        <f>IF(ISERROR(getgrade(Broadsheet!R15,data!$H$4:$I$9)),"#",getgrade(Broadsheet!R15,data!$H$4:$I$9))</f>
        <v/>
      </c>
      <c r="AR15" s="188" t="str">
        <f>IF(ISERROR(getgrade(Broadsheet!S15,data!$H$4:$I$9)),"#",getgrade(Broadsheet!S15,data!$H$4:$I$9))</f>
        <v/>
      </c>
      <c r="AS15" s="188" t="str">
        <f>IF(ISERROR(getgrade(Broadsheet!T15,data!$H$4:$I$9)),"#",getgrade(Broadsheet!T15,data!$H$4:$I$9))</f>
        <v/>
      </c>
      <c r="AT15" s="188" t="str">
        <f>IF(ISERROR(getgrade(Broadsheet!U15,data!$H$4:$I$9)),"#",getgrade(Broadsheet!U15,data!$H$4:$I$9))</f>
        <v/>
      </c>
      <c r="AU15" s="188" t="str">
        <f>IF(ISERROR(getgrade(Broadsheet!V15,data!$H$4:$I$9)),"#",getgrade(Broadsheet!V15,data!$H$4:$I$9))</f>
        <v/>
      </c>
      <c r="AV15" s="188" t="str">
        <f>IF(ISERROR(getgrade(Broadsheet!W15,data!$H$4:$I$9)),"#",getgrade(Broadsheet!W15,data!$H$4:$I$9))</f>
        <v/>
      </c>
      <c r="AW15" s="188" t="str">
        <f>IF(ISERROR(getgrade(Broadsheet!X15,data!$H$4:$I$9)),"#",getgrade(Broadsheet!X15,data!$H$4:$I$9))</f>
        <v/>
      </c>
      <c r="AX15" s="188" t="str">
        <f>IF(ISERROR(getgrade(Broadsheet!Y15,data!$H$4:$I$9)),"#",getgrade(Broadsheet!Y15,data!$H$4:$I$9))</f>
        <v/>
      </c>
      <c r="AY15" s="188" t="str">
        <f>IF(ISERROR(getgrade(Broadsheet!Z15,data!$H$4:$I$9)),"#",getgrade(Broadsheet!Z15,data!$H$4:$I$9))</f>
        <v/>
      </c>
      <c r="AZ15" s="188" t="str">
        <f>IF(ISERROR(getgrade(Broadsheet!AA15,data!$H$4:$I$9)),"#",getgrade(Broadsheet!AA15,data!$H$4:$I$9))</f>
        <v/>
      </c>
      <c r="BA15" s="188" t="str">
        <f>IF(ISERROR(getgrade(Broadsheet!AB15,data!$H$4:$I$9)),"#",getgrade(Broadsheet!AB15,data!$H$4:$I$9))</f>
        <v/>
      </c>
      <c r="BB15" s="188" t="str">
        <f>IF(ISERROR(getgrade(Broadsheet!AC15,data!$H$4:$I$9)),"#",getgrade(Broadsheet!AC15,data!$H$4:$I$9))</f>
        <v/>
      </c>
      <c r="BC15" s="188" t="str">
        <f>IF(ISERROR(getgrade(Broadsheet!AD15,data!$H$4:$I$9)),"#",getgrade(Broadsheet!AD15,data!$H$4:$I$9))</f>
        <v/>
      </c>
      <c r="BD15" s="188" t="str">
        <f>IF(ISERROR(getgrade(Broadsheet!AE15,data!$H$4:$I$9)),"#",getgrade(Broadsheet!AE15,data!$H$4:$I$9))</f>
        <v/>
      </c>
      <c r="BE15" s="188" t="str">
        <f>IF(ISERROR(getgrade(Broadsheet!AF15,data!$H$4:$I$9)),"#",getgrade(Broadsheet!AF15,data!$H$4:$I$9))</f>
        <v/>
      </c>
      <c r="BF15" s="188" t="str">
        <f>IF(ISERROR(getgrade(Broadsheet!AG15,data!$H$4:$I$9)),"#",getgrade(Broadsheet!AG15,data!$H$4:$I$9))</f>
        <v/>
      </c>
      <c r="BG15" s="188" t="str">
        <f>IF(ISERROR(getgrade(Broadsheet!AH15,data!$H$4:$I$9)),"#",getgrade(Broadsheet!AH15,data!$H$4:$I$9))</f>
        <v/>
      </c>
      <c r="BH15" s="188" t="str">
        <f>IF(ISERROR(getgrade(Broadsheet!AI15,data!$H$4:$I$9)),"#",getgrade(Broadsheet!AI15,data!$H$4:$I$9))</f>
        <v/>
      </c>
      <c r="BI15" s="188" t="str">
        <f>IF(ISERROR(getgrade(Broadsheet!AJ15,data!$H$4:$I$9)),"#",getgrade(Broadsheet!AJ15,data!$H$4:$I$9))</f>
        <v/>
      </c>
      <c r="BJ15" s="188" t="str">
        <f>IF(ISERROR(getgrade(Broadsheet!AK15,data!$H$4:$I$9)),"#",getgrade(Broadsheet!AK15,data!$H$4:$I$9))</f>
        <v/>
      </c>
      <c r="BK15" s="188" t="str">
        <f>IF(ISERROR(getgrade(Broadsheet!AL15,data!$H$4:$I$9)),"#",getgrade(Broadsheet!AL15,data!$H$4:$I$9))</f>
        <v/>
      </c>
      <c r="BL15" s="188" t="str">
        <f>IF(ISERROR(getgrade(Broadsheet!AM15,data!$H$4:$I$9)),"#",getgrade(Broadsheet!AM15,data!$H$4:$I$9))</f>
        <v/>
      </c>
      <c r="BM15" s="188" t="str">
        <f>IF(ISERROR(getgrade(Broadsheet!AN15,data!$H$4:$I$9)),"#",getgrade(Broadsheet!AN15,data!$H$4:$I$9))</f>
        <v/>
      </c>
      <c r="BN15" s="188" t="str">
        <f>IF(ISERROR(getgrade(Broadsheet!AO15,data!$H$4:$I$9)),"#",getgrade(Broadsheet!AO15,data!$H$4:$I$9))</f>
        <v/>
      </c>
      <c r="BO15" s="188" t="str">
        <f>IF(ISERROR(getgrade(Broadsheet!AP15,data!$H$4:$I$9)),"#",getgrade(Broadsheet!AP15,data!$H$4:$I$9))</f>
        <v/>
      </c>
      <c r="BP15" s="188" t="str">
        <f>IF(ISERROR(getgrade(Broadsheet!AQ15,data!$H$4:$I$9)),"#",getgrade(Broadsheet!AQ15,data!$H$4:$I$9))</f>
        <v/>
      </c>
      <c r="BQ15" s="188" t="str">
        <f>IF(ISERROR(getgrade(Broadsheet!AR15,data!$H$4:$I$9)),"#",getgrade(Broadsheet!AR15,data!$H$4:$I$9))</f>
        <v/>
      </c>
      <c r="BR15" s="188" t="str">
        <f>IF(ISERROR(getgrade(Broadsheet!AS15,data!$H$4:$I$9)),"#",getgrade(Broadsheet!AS15,data!$H$4:$I$9))</f>
        <v/>
      </c>
      <c r="BS15" s="188" t="str">
        <f>IF(ISERROR(getgrade(Broadsheet!AT15,data!$H$4:$I$9)),"#",getgrade(Broadsheet!AT15,data!$H$4:$I$9))</f>
        <v/>
      </c>
      <c r="BT15" s="188" t="str">
        <f>IF(ISERROR(getgrade(Broadsheet!AU15,data!$H$4:$I$9)),"#",getgrade(Broadsheet!AU15,data!$H$4:$I$9))</f>
        <v/>
      </c>
      <c r="BU15" s="188" t="str">
        <f>IF(ISERROR(getgrade(Broadsheet!AV15,data!$H$4:$I$9)),"#",getgrade(Broadsheet!AV15,data!$H$4:$I$9))</f>
        <v/>
      </c>
      <c r="BV15" s="188" t="str">
        <f>IF(ISERROR(getgrade(Broadsheet!AW15,data!$H$4:$I$9)),"#",getgrade(Broadsheet!AW15,data!$H$4:$I$9))</f>
        <v/>
      </c>
      <c r="BW15" s="188" t="str">
        <f>IF(ISERROR(getgrade(Broadsheet!AX15,data!$H$4:$I$9)),"#",getgrade(Broadsheet!AX15,data!$H$4:$I$9))</f>
        <v/>
      </c>
      <c r="BX15" s="188" t="str">
        <f>IF(ISERROR(getgrade(Broadsheet!AY15,data!$H$4:$I$9)),"#",getgrade(Broadsheet!AY15,data!$H$4:$I$9))</f>
        <v/>
      </c>
      <c r="BY15" s="188" t="str">
        <f>IF(ISERROR(getgrade(Broadsheet!AZ15,data!$H$4:$I$9)),"#",getgrade(Broadsheet!AZ15,data!$H$4:$I$9))</f>
        <v/>
      </c>
      <c r="BZ15" s="188" t="str">
        <f>IF(ISERROR(getgrade(Broadsheet!BA15,data!$H$4:$I$9)),"#",getgrade(Broadsheet!BA15,data!$H$4:$I$9))</f>
        <v/>
      </c>
      <c r="CA15" s="188" t="str">
        <f>IF(ISERROR(getgrade(Broadsheet!BB15,data!$H$4:$I$9)),"#",getgrade(Broadsheet!BB15,data!$H$4:$I$9))</f>
        <v/>
      </c>
      <c r="CB15" s="188" t="str">
        <f>IF(ISERROR(getgrade(Broadsheet!BC15,data!$H$4:$I$9)),"#",getgrade(Broadsheet!BC15,data!$H$4:$I$9))</f>
        <v/>
      </c>
      <c r="CC15" s="188" t="str">
        <f>IF(ISERROR(getgrade(Broadsheet!BD15,data!$H$4:$I$9)),"#",getgrade(Broadsheet!BD15,data!$H$4:$I$9))</f>
        <v/>
      </c>
      <c r="CD15" s="188" t="str">
        <f>IF(ISERROR(getgrade(Broadsheet!BE15,data!$H$4:$I$9)),"#",getgrade(Broadsheet!BE15,data!$H$4:$I$9))</f>
        <v/>
      </c>
      <c r="CE15" s="188" t="str">
        <f>IF(ISERROR(getgrade(Broadsheet!BF15,data!$H$4:$I$9)),"#",getgrade(Broadsheet!BF15,data!$H$4:$I$9))</f>
        <v/>
      </c>
      <c r="CF15" s="188" t="str">
        <f>IF(ISERROR(getgrade(Broadsheet!BG15,data!$H$4:$I$9)),"#",getgrade(Broadsheet!BG15,data!$H$4:$I$9))</f>
        <v/>
      </c>
      <c r="CG15" s="188" t="str">
        <f>IF(ISERROR(getgrade(Broadsheet!BH15,data!$H$4:$I$9)),"#",getgrade(Broadsheet!BH15,data!$H$4:$I$9))</f>
        <v/>
      </c>
      <c r="CH15" s="188" t="str">
        <f>IF(ISERROR(getgrade(Broadsheet!BI15,data!$H$4:$I$9)),"#",getgrade(Broadsheet!BI15,data!$H$4:$I$9))</f>
        <v/>
      </c>
      <c r="CI15" s="188" t="str">
        <f>IF(ISERROR(getgrade(Broadsheet!BJ15,data!$H$4:$I$9)),"#",getgrade(Broadsheet!BJ15,data!$H$4:$I$9))</f>
        <v/>
      </c>
      <c r="CJ15" s="188"/>
      <c r="CK15" s="188"/>
      <c r="CL15" s="188"/>
      <c r="CM15" s="188"/>
      <c r="CN15" s="188"/>
      <c r="CO15" s="188"/>
      <c r="CP15" s="188"/>
      <c r="CQ15" s="188"/>
      <c r="CR15" s="188"/>
      <c r="CS15" s="188"/>
      <c r="CT15" s="188"/>
      <c r="CU15" s="188"/>
      <c r="CV15" s="188"/>
      <c r="CW15" s="188"/>
      <c r="CX15" s="188"/>
      <c r="CY15" s="188"/>
      <c r="CZ15" s="188"/>
      <c r="DA15" s="188"/>
      <c r="DB15" s="188"/>
      <c r="DC15" s="188"/>
      <c r="DD15" s="188"/>
      <c r="DE15" s="188"/>
      <c r="DF15" s="188"/>
      <c r="DG15" s="188"/>
      <c r="DH15" s="188"/>
      <c r="DI15" s="188"/>
      <c r="DJ15" s="188"/>
      <c r="DK15" s="188"/>
      <c r="DL15" s="188"/>
      <c r="DM15" s="188"/>
      <c r="DN15" s="188"/>
      <c r="DO15" s="188"/>
      <c r="DP15" s="188"/>
      <c r="DQ15" s="188"/>
      <c r="DR15" s="188"/>
      <c r="DS15" s="188"/>
      <c r="DT15" s="188"/>
      <c r="DU15" s="188"/>
      <c r="DV15" s="188"/>
      <c r="DW15" s="188"/>
      <c r="DX15" s="188"/>
      <c r="DY15" s="188"/>
      <c r="DZ15" s="188"/>
      <c r="EA15" s="188"/>
      <c r="EB15" s="188"/>
      <c r="EC15" s="188"/>
      <c r="ED15" s="188"/>
      <c r="EE15" s="188"/>
      <c r="EF15" s="188"/>
      <c r="EG15" s="188"/>
      <c r="EH15" s="188"/>
      <c r="EI15" s="188"/>
      <c r="EJ15" s="188"/>
      <c r="EK15" s="188"/>
      <c r="EL15" s="188"/>
      <c r="EM15" s="188"/>
      <c r="EN15" s="188"/>
      <c r="EO15" s="188"/>
      <c r="EP15" s="188"/>
      <c r="EQ15" s="188"/>
      <c r="ER15" s="188"/>
      <c r="ES15" s="188"/>
      <c r="ET15" s="188"/>
      <c r="EU15" s="188"/>
      <c r="EV15" s="188"/>
      <c r="EW15" s="188"/>
      <c r="EX15" s="188"/>
      <c r="EY15" s="188"/>
      <c r="EZ15" s="188"/>
    </row>
    <row r="16" spans="1:156" ht="15.75" x14ac:dyDescent="0.25">
      <c r="A16" s="12">
        <v>7</v>
      </c>
      <c r="B16" s="16"/>
      <c r="C16" s="24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07"/>
      <c r="Y16" s="110"/>
      <c r="Z16" s="19"/>
      <c r="AA16" s="25"/>
      <c r="AB16" s="21"/>
      <c r="AC16" s="25"/>
      <c r="AD16" s="25"/>
      <c r="AE16" s="20"/>
      <c r="AG16" s="188" t="str">
        <f>IF(ISERROR(getgrade(Broadsheet!H16,data!$H$4:$I$9)),"#",getgrade(Broadsheet!H16,data!$H$4:$I$9))</f>
        <v/>
      </c>
      <c r="AH16" s="188" t="str">
        <f>IF(ISERROR(getgrade(Broadsheet!I16,data!$H$4:$I$9)),"#",getgrade(Broadsheet!I16,data!$H$4:$I$9))</f>
        <v/>
      </c>
      <c r="AI16" s="188" t="str">
        <f>IF(ISERROR(getgrade(Broadsheet!J16,data!$H$4:$I$9)),"#",getgrade(Broadsheet!J16,data!$H$4:$I$9))</f>
        <v/>
      </c>
      <c r="AJ16" s="188" t="str">
        <f>IF(ISERROR(getgrade(Broadsheet!K16,data!$H$4:$I$9)),"#",getgrade(Broadsheet!K16,data!$H$4:$I$9))</f>
        <v/>
      </c>
      <c r="AK16" s="188" t="str">
        <f>IF(ISERROR(getgrade(Broadsheet!L16,data!$H$4:$I$9)),"#",getgrade(Broadsheet!L16,data!$H$4:$I$9))</f>
        <v/>
      </c>
      <c r="AL16" s="188" t="str">
        <f>IF(ISERROR(getgrade(Broadsheet!M16,data!$H$4:$I$9)),"#",getgrade(Broadsheet!M16,data!$H$4:$I$9))</f>
        <v/>
      </c>
      <c r="AM16" s="188" t="str">
        <f>IF(ISERROR(getgrade(Broadsheet!N16,data!$H$4:$I$9)),"#",getgrade(Broadsheet!N16,data!$H$4:$I$9))</f>
        <v/>
      </c>
      <c r="AN16" s="188" t="str">
        <f>IF(ISERROR(getgrade(Broadsheet!O16,data!$H$4:$I$9)),"#",getgrade(Broadsheet!O16,data!$H$4:$I$9))</f>
        <v/>
      </c>
      <c r="AO16" s="188" t="str">
        <f>IF(ISERROR(getgrade(Broadsheet!P16,data!$H$4:$I$9)),"#",getgrade(Broadsheet!P16,data!$H$4:$I$9))</f>
        <v/>
      </c>
      <c r="AP16" s="188" t="str">
        <f>IF(ISERROR(getgrade(Broadsheet!Q16,data!$H$4:$I$9)),"#",getgrade(Broadsheet!Q16,data!$H$4:$I$9))</f>
        <v/>
      </c>
      <c r="AQ16" s="188" t="str">
        <f>IF(ISERROR(getgrade(Broadsheet!R16,data!$H$4:$I$9)),"#",getgrade(Broadsheet!R16,data!$H$4:$I$9))</f>
        <v/>
      </c>
      <c r="AR16" s="188" t="str">
        <f>IF(ISERROR(getgrade(Broadsheet!S16,data!$H$4:$I$9)),"#",getgrade(Broadsheet!S16,data!$H$4:$I$9))</f>
        <v/>
      </c>
      <c r="AS16" s="188" t="str">
        <f>IF(ISERROR(getgrade(Broadsheet!T16,data!$H$4:$I$9)),"#",getgrade(Broadsheet!T16,data!$H$4:$I$9))</f>
        <v/>
      </c>
      <c r="AT16" s="188" t="str">
        <f>IF(ISERROR(getgrade(Broadsheet!U16,data!$H$4:$I$9)),"#",getgrade(Broadsheet!U16,data!$H$4:$I$9))</f>
        <v/>
      </c>
      <c r="AU16" s="188" t="str">
        <f>IF(ISERROR(getgrade(Broadsheet!V16,data!$H$4:$I$9)),"#",getgrade(Broadsheet!V16,data!$H$4:$I$9))</f>
        <v/>
      </c>
      <c r="AV16" s="188" t="str">
        <f>IF(ISERROR(getgrade(Broadsheet!W16,data!$H$4:$I$9)),"#",getgrade(Broadsheet!W16,data!$H$4:$I$9))</f>
        <v/>
      </c>
      <c r="AW16" s="188" t="str">
        <f>IF(ISERROR(getgrade(Broadsheet!X16,data!$H$4:$I$9)),"#",getgrade(Broadsheet!X16,data!$H$4:$I$9))</f>
        <v/>
      </c>
      <c r="AX16" s="188" t="str">
        <f>IF(ISERROR(getgrade(Broadsheet!Y16,data!$H$4:$I$9)),"#",getgrade(Broadsheet!Y16,data!$H$4:$I$9))</f>
        <v/>
      </c>
      <c r="AY16" s="188" t="str">
        <f>IF(ISERROR(getgrade(Broadsheet!Z16,data!$H$4:$I$9)),"#",getgrade(Broadsheet!Z16,data!$H$4:$I$9))</f>
        <v/>
      </c>
      <c r="AZ16" s="188" t="str">
        <f>IF(ISERROR(getgrade(Broadsheet!AA16,data!$H$4:$I$9)),"#",getgrade(Broadsheet!AA16,data!$H$4:$I$9))</f>
        <v/>
      </c>
      <c r="BA16" s="188" t="str">
        <f>IF(ISERROR(getgrade(Broadsheet!AB16,data!$H$4:$I$9)),"#",getgrade(Broadsheet!AB16,data!$H$4:$I$9))</f>
        <v/>
      </c>
      <c r="BB16" s="188" t="str">
        <f>IF(ISERROR(getgrade(Broadsheet!AC16,data!$H$4:$I$9)),"#",getgrade(Broadsheet!AC16,data!$H$4:$I$9))</f>
        <v/>
      </c>
      <c r="BC16" s="188" t="str">
        <f>IF(ISERROR(getgrade(Broadsheet!AD16,data!$H$4:$I$9)),"#",getgrade(Broadsheet!AD16,data!$H$4:$I$9))</f>
        <v/>
      </c>
      <c r="BD16" s="188" t="str">
        <f>IF(ISERROR(getgrade(Broadsheet!AE16,data!$H$4:$I$9)),"#",getgrade(Broadsheet!AE16,data!$H$4:$I$9))</f>
        <v/>
      </c>
      <c r="BE16" s="188" t="str">
        <f>IF(ISERROR(getgrade(Broadsheet!AF16,data!$H$4:$I$9)),"#",getgrade(Broadsheet!AF16,data!$H$4:$I$9))</f>
        <v/>
      </c>
      <c r="BF16" s="188" t="str">
        <f>IF(ISERROR(getgrade(Broadsheet!AG16,data!$H$4:$I$9)),"#",getgrade(Broadsheet!AG16,data!$H$4:$I$9))</f>
        <v/>
      </c>
      <c r="BG16" s="188" t="str">
        <f>IF(ISERROR(getgrade(Broadsheet!AH16,data!$H$4:$I$9)),"#",getgrade(Broadsheet!AH16,data!$H$4:$I$9))</f>
        <v/>
      </c>
      <c r="BH16" s="188" t="str">
        <f>IF(ISERROR(getgrade(Broadsheet!AI16,data!$H$4:$I$9)),"#",getgrade(Broadsheet!AI16,data!$H$4:$I$9))</f>
        <v/>
      </c>
      <c r="BI16" s="188" t="str">
        <f>IF(ISERROR(getgrade(Broadsheet!AJ16,data!$H$4:$I$9)),"#",getgrade(Broadsheet!AJ16,data!$H$4:$I$9))</f>
        <v/>
      </c>
      <c r="BJ16" s="188" t="str">
        <f>IF(ISERROR(getgrade(Broadsheet!AK16,data!$H$4:$I$9)),"#",getgrade(Broadsheet!AK16,data!$H$4:$I$9))</f>
        <v/>
      </c>
      <c r="BK16" s="188" t="str">
        <f>IF(ISERROR(getgrade(Broadsheet!AL16,data!$H$4:$I$9)),"#",getgrade(Broadsheet!AL16,data!$H$4:$I$9))</f>
        <v/>
      </c>
      <c r="BL16" s="188" t="str">
        <f>IF(ISERROR(getgrade(Broadsheet!AM16,data!$H$4:$I$9)),"#",getgrade(Broadsheet!AM16,data!$H$4:$I$9))</f>
        <v/>
      </c>
      <c r="BM16" s="188" t="str">
        <f>IF(ISERROR(getgrade(Broadsheet!AN16,data!$H$4:$I$9)),"#",getgrade(Broadsheet!AN16,data!$H$4:$I$9))</f>
        <v/>
      </c>
      <c r="BN16" s="188" t="str">
        <f>IF(ISERROR(getgrade(Broadsheet!AO16,data!$H$4:$I$9)),"#",getgrade(Broadsheet!AO16,data!$H$4:$I$9))</f>
        <v/>
      </c>
      <c r="BO16" s="188" t="str">
        <f>IF(ISERROR(getgrade(Broadsheet!AP16,data!$H$4:$I$9)),"#",getgrade(Broadsheet!AP16,data!$H$4:$I$9))</f>
        <v/>
      </c>
      <c r="BP16" s="188" t="str">
        <f>IF(ISERROR(getgrade(Broadsheet!AQ16,data!$H$4:$I$9)),"#",getgrade(Broadsheet!AQ16,data!$H$4:$I$9))</f>
        <v/>
      </c>
      <c r="BQ16" s="188" t="str">
        <f>IF(ISERROR(getgrade(Broadsheet!AR16,data!$H$4:$I$9)),"#",getgrade(Broadsheet!AR16,data!$H$4:$I$9))</f>
        <v/>
      </c>
      <c r="BR16" s="188" t="str">
        <f>IF(ISERROR(getgrade(Broadsheet!AS16,data!$H$4:$I$9)),"#",getgrade(Broadsheet!AS16,data!$H$4:$I$9))</f>
        <v/>
      </c>
      <c r="BS16" s="188" t="str">
        <f>IF(ISERROR(getgrade(Broadsheet!AT16,data!$H$4:$I$9)),"#",getgrade(Broadsheet!AT16,data!$H$4:$I$9))</f>
        <v/>
      </c>
      <c r="BT16" s="188" t="str">
        <f>IF(ISERROR(getgrade(Broadsheet!AU16,data!$H$4:$I$9)),"#",getgrade(Broadsheet!AU16,data!$H$4:$I$9))</f>
        <v/>
      </c>
      <c r="BU16" s="188" t="str">
        <f>IF(ISERROR(getgrade(Broadsheet!AV16,data!$H$4:$I$9)),"#",getgrade(Broadsheet!AV16,data!$H$4:$I$9))</f>
        <v/>
      </c>
      <c r="BV16" s="188" t="str">
        <f>IF(ISERROR(getgrade(Broadsheet!AW16,data!$H$4:$I$9)),"#",getgrade(Broadsheet!AW16,data!$H$4:$I$9))</f>
        <v/>
      </c>
      <c r="BW16" s="188" t="str">
        <f>IF(ISERROR(getgrade(Broadsheet!AX16,data!$H$4:$I$9)),"#",getgrade(Broadsheet!AX16,data!$H$4:$I$9))</f>
        <v/>
      </c>
      <c r="BX16" s="188" t="str">
        <f>IF(ISERROR(getgrade(Broadsheet!AY16,data!$H$4:$I$9)),"#",getgrade(Broadsheet!AY16,data!$H$4:$I$9))</f>
        <v/>
      </c>
      <c r="BY16" s="188" t="str">
        <f>IF(ISERROR(getgrade(Broadsheet!AZ16,data!$H$4:$I$9)),"#",getgrade(Broadsheet!AZ16,data!$H$4:$I$9))</f>
        <v/>
      </c>
      <c r="BZ16" s="188" t="str">
        <f>IF(ISERROR(getgrade(Broadsheet!BA16,data!$H$4:$I$9)),"#",getgrade(Broadsheet!BA16,data!$H$4:$I$9))</f>
        <v/>
      </c>
      <c r="CA16" s="188" t="str">
        <f>IF(ISERROR(getgrade(Broadsheet!BB16,data!$H$4:$I$9)),"#",getgrade(Broadsheet!BB16,data!$H$4:$I$9))</f>
        <v/>
      </c>
      <c r="CB16" s="188" t="str">
        <f>IF(ISERROR(getgrade(Broadsheet!BC16,data!$H$4:$I$9)),"#",getgrade(Broadsheet!BC16,data!$H$4:$I$9))</f>
        <v/>
      </c>
      <c r="CC16" s="188" t="str">
        <f>IF(ISERROR(getgrade(Broadsheet!BD16,data!$H$4:$I$9)),"#",getgrade(Broadsheet!BD16,data!$H$4:$I$9))</f>
        <v/>
      </c>
      <c r="CD16" s="188" t="str">
        <f>IF(ISERROR(getgrade(Broadsheet!BE16,data!$H$4:$I$9)),"#",getgrade(Broadsheet!BE16,data!$H$4:$I$9))</f>
        <v/>
      </c>
      <c r="CE16" s="188" t="str">
        <f>IF(ISERROR(getgrade(Broadsheet!BF16,data!$H$4:$I$9)),"#",getgrade(Broadsheet!BF16,data!$H$4:$I$9))</f>
        <v/>
      </c>
      <c r="CF16" s="188" t="str">
        <f>IF(ISERROR(getgrade(Broadsheet!BG16,data!$H$4:$I$9)),"#",getgrade(Broadsheet!BG16,data!$H$4:$I$9))</f>
        <v/>
      </c>
      <c r="CG16" s="188" t="str">
        <f>IF(ISERROR(getgrade(Broadsheet!BH16,data!$H$4:$I$9)),"#",getgrade(Broadsheet!BH16,data!$H$4:$I$9))</f>
        <v/>
      </c>
      <c r="CH16" s="188" t="str">
        <f>IF(ISERROR(getgrade(Broadsheet!BI16,data!$H$4:$I$9)),"#",getgrade(Broadsheet!BI16,data!$H$4:$I$9))</f>
        <v/>
      </c>
      <c r="CI16" s="188" t="str">
        <f>IF(ISERROR(getgrade(Broadsheet!BJ16,data!$H$4:$I$9)),"#",getgrade(Broadsheet!BJ16,data!$H$4:$I$9))</f>
        <v/>
      </c>
      <c r="CJ16" s="188"/>
      <c r="CK16" s="188"/>
      <c r="CL16" s="188"/>
      <c r="CM16" s="188"/>
      <c r="CN16" s="188"/>
      <c r="CO16" s="188"/>
      <c r="CP16" s="188"/>
      <c r="CQ16" s="188"/>
      <c r="CR16" s="188"/>
      <c r="CS16" s="188"/>
      <c r="CT16" s="188"/>
      <c r="CU16" s="188"/>
      <c r="CV16" s="188"/>
      <c r="CW16" s="188"/>
      <c r="CX16" s="188"/>
      <c r="CY16" s="188"/>
      <c r="CZ16" s="188"/>
      <c r="DA16" s="188"/>
      <c r="DB16" s="188"/>
      <c r="DC16" s="188"/>
      <c r="DD16" s="188"/>
      <c r="DE16" s="188"/>
      <c r="DF16" s="188"/>
      <c r="DG16" s="188"/>
      <c r="DH16" s="188"/>
      <c r="DI16" s="188"/>
      <c r="DJ16" s="188"/>
      <c r="DK16" s="188"/>
      <c r="DL16" s="188"/>
      <c r="DM16" s="188"/>
      <c r="DN16" s="188"/>
      <c r="DO16" s="188"/>
      <c r="DP16" s="188"/>
      <c r="DQ16" s="188"/>
      <c r="DR16" s="188"/>
      <c r="DS16" s="188"/>
      <c r="DT16" s="188"/>
      <c r="DU16" s="188"/>
      <c r="DV16" s="188"/>
      <c r="DW16" s="188"/>
      <c r="DX16" s="188"/>
      <c r="DY16" s="188"/>
      <c r="DZ16" s="188"/>
      <c r="EA16" s="188"/>
      <c r="EB16" s="188"/>
      <c r="EC16" s="188"/>
      <c r="ED16" s="188"/>
      <c r="EE16" s="188"/>
      <c r="EF16" s="188"/>
      <c r="EG16" s="188"/>
      <c r="EH16" s="188"/>
      <c r="EI16" s="188"/>
      <c r="EJ16" s="188"/>
      <c r="EK16" s="188"/>
      <c r="EL16" s="188"/>
      <c r="EM16" s="188"/>
      <c r="EN16" s="188"/>
      <c r="EO16" s="188"/>
      <c r="EP16" s="188"/>
      <c r="EQ16" s="188"/>
      <c r="ER16" s="188"/>
      <c r="ES16" s="188"/>
      <c r="ET16" s="188"/>
      <c r="EU16" s="188"/>
      <c r="EV16" s="188"/>
      <c r="EW16" s="188"/>
      <c r="EX16" s="188"/>
      <c r="EY16" s="188"/>
      <c r="EZ16" s="188"/>
    </row>
    <row r="17" spans="1:156" ht="15.75" x14ac:dyDescent="0.25">
      <c r="A17" s="12">
        <v>8</v>
      </c>
      <c r="B17" s="16"/>
      <c r="C17" s="24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07"/>
      <c r="Y17" s="110"/>
      <c r="Z17" s="19"/>
      <c r="AA17" s="25"/>
      <c r="AB17" s="21"/>
      <c r="AC17" s="25"/>
      <c r="AD17" s="25"/>
      <c r="AE17" s="20"/>
      <c r="AG17" s="188" t="str">
        <f>IF(ISERROR(getgrade(Broadsheet!H17,data!$H$4:$I$9)),"#",getgrade(Broadsheet!H17,data!$H$4:$I$9))</f>
        <v/>
      </c>
      <c r="AH17" s="188" t="str">
        <f>IF(ISERROR(getgrade(Broadsheet!I17,data!$H$4:$I$9)),"#",getgrade(Broadsheet!I17,data!$H$4:$I$9))</f>
        <v/>
      </c>
      <c r="AI17" s="188" t="str">
        <f>IF(ISERROR(getgrade(Broadsheet!J17,data!$H$4:$I$9)),"#",getgrade(Broadsheet!J17,data!$H$4:$I$9))</f>
        <v/>
      </c>
      <c r="AJ17" s="188" t="str">
        <f>IF(ISERROR(getgrade(Broadsheet!K17,data!$H$4:$I$9)),"#",getgrade(Broadsheet!K17,data!$H$4:$I$9))</f>
        <v/>
      </c>
      <c r="AK17" s="188" t="str">
        <f>IF(ISERROR(getgrade(Broadsheet!L17,data!$H$4:$I$9)),"#",getgrade(Broadsheet!L17,data!$H$4:$I$9))</f>
        <v/>
      </c>
      <c r="AL17" s="188" t="str">
        <f>IF(ISERROR(getgrade(Broadsheet!M17,data!$H$4:$I$9)),"#",getgrade(Broadsheet!M17,data!$H$4:$I$9))</f>
        <v/>
      </c>
      <c r="AM17" s="188" t="str">
        <f>IF(ISERROR(getgrade(Broadsheet!N17,data!$H$4:$I$9)),"#",getgrade(Broadsheet!N17,data!$H$4:$I$9))</f>
        <v/>
      </c>
      <c r="AN17" s="188" t="str">
        <f>IF(ISERROR(getgrade(Broadsheet!O17,data!$H$4:$I$9)),"#",getgrade(Broadsheet!O17,data!$H$4:$I$9))</f>
        <v/>
      </c>
      <c r="AO17" s="188" t="str">
        <f>IF(ISERROR(getgrade(Broadsheet!P17,data!$H$4:$I$9)),"#",getgrade(Broadsheet!P17,data!$H$4:$I$9))</f>
        <v/>
      </c>
      <c r="AP17" s="188" t="str">
        <f>IF(ISERROR(getgrade(Broadsheet!Q17,data!$H$4:$I$9)),"#",getgrade(Broadsheet!Q17,data!$H$4:$I$9))</f>
        <v/>
      </c>
      <c r="AQ17" s="188" t="str">
        <f>IF(ISERROR(getgrade(Broadsheet!R17,data!$H$4:$I$9)),"#",getgrade(Broadsheet!R17,data!$H$4:$I$9))</f>
        <v/>
      </c>
      <c r="AR17" s="188" t="str">
        <f>IF(ISERROR(getgrade(Broadsheet!S17,data!$H$4:$I$9)),"#",getgrade(Broadsheet!S17,data!$H$4:$I$9))</f>
        <v/>
      </c>
      <c r="AS17" s="188" t="str">
        <f>IF(ISERROR(getgrade(Broadsheet!T17,data!$H$4:$I$9)),"#",getgrade(Broadsheet!T17,data!$H$4:$I$9))</f>
        <v/>
      </c>
      <c r="AT17" s="188" t="str">
        <f>IF(ISERROR(getgrade(Broadsheet!U17,data!$H$4:$I$9)),"#",getgrade(Broadsheet!U17,data!$H$4:$I$9))</f>
        <v/>
      </c>
      <c r="AU17" s="188" t="str">
        <f>IF(ISERROR(getgrade(Broadsheet!V17,data!$H$4:$I$9)),"#",getgrade(Broadsheet!V17,data!$H$4:$I$9))</f>
        <v/>
      </c>
      <c r="AV17" s="188" t="str">
        <f>IF(ISERROR(getgrade(Broadsheet!W17,data!$H$4:$I$9)),"#",getgrade(Broadsheet!W17,data!$H$4:$I$9))</f>
        <v/>
      </c>
      <c r="AW17" s="188" t="str">
        <f>IF(ISERROR(getgrade(Broadsheet!X17,data!$H$4:$I$9)),"#",getgrade(Broadsheet!X17,data!$H$4:$I$9))</f>
        <v/>
      </c>
      <c r="AX17" s="188" t="str">
        <f>IF(ISERROR(getgrade(Broadsheet!Y17,data!$H$4:$I$9)),"#",getgrade(Broadsheet!Y17,data!$H$4:$I$9))</f>
        <v/>
      </c>
      <c r="AY17" s="188" t="str">
        <f>IF(ISERROR(getgrade(Broadsheet!Z17,data!$H$4:$I$9)),"#",getgrade(Broadsheet!Z17,data!$H$4:$I$9))</f>
        <v/>
      </c>
      <c r="AZ17" s="188" t="str">
        <f>IF(ISERROR(getgrade(Broadsheet!AA17,data!$H$4:$I$9)),"#",getgrade(Broadsheet!AA17,data!$H$4:$I$9))</f>
        <v/>
      </c>
      <c r="BA17" s="188" t="str">
        <f>IF(ISERROR(getgrade(Broadsheet!AB17,data!$H$4:$I$9)),"#",getgrade(Broadsheet!AB17,data!$H$4:$I$9))</f>
        <v/>
      </c>
      <c r="BB17" s="188" t="str">
        <f>IF(ISERROR(getgrade(Broadsheet!AC17,data!$H$4:$I$9)),"#",getgrade(Broadsheet!AC17,data!$H$4:$I$9))</f>
        <v/>
      </c>
      <c r="BC17" s="188" t="str">
        <f>IF(ISERROR(getgrade(Broadsheet!AD17,data!$H$4:$I$9)),"#",getgrade(Broadsheet!AD17,data!$H$4:$I$9))</f>
        <v/>
      </c>
      <c r="BD17" s="188" t="str">
        <f>IF(ISERROR(getgrade(Broadsheet!AE17,data!$H$4:$I$9)),"#",getgrade(Broadsheet!AE17,data!$H$4:$I$9))</f>
        <v/>
      </c>
      <c r="BE17" s="188" t="str">
        <f>IF(ISERROR(getgrade(Broadsheet!AF17,data!$H$4:$I$9)),"#",getgrade(Broadsheet!AF17,data!$H$4:$I$9))</f>
        <v/>
      </c>
      <c r="BF17" s="188" t="str">
        <f>IF(ISERROR(getgrade(Broadsheet!AG17,data!$H$4:$I$9)),"#",getgrade(Broadsheet!AG17,data!$H$4:$I$9))</f>
        <v/>
      </c>
      <c r="BG17" s="188" t="str">
        <f>IF(ISERROR(getgrade(Broadsheet!AH17,data!$H$4:$I$9)),"#",getgrade(Broadsheet!AH17,data!$H$4:$I$9))</f>
        <v/>
      </c>
      <c r="BH17" s="188" t="str">
        <f>IF(ISERROR(getgrade(Broadsheet!AI17,data!$H$4:$I$9)),"#",getgrade(Broadsheet!AI17,data!$H$4:$I$9))</f>
        <v/>
      </c>
      <c r="BI17" s="188" t="str">
        <f>IF(ISERROR(getgrade(Broadsheet!AJ17,data!$H$4:$I$9)),"#",getgrade(Broadsheet!AJ17,data!$H$4:$I$9))</f>
        <v/>
      </c>
      <c r="BJ17" s="188" t="str">
        <f>IF(ISERROR(getgrade(Broadsheet!AK17,data!$H$4:$I$9)),"#",getgrade(Broadsheet!AK17,data!$H$4:$I$9))</f>
        <v/>
      </c>
      <c r="BK17" s="188" t="str">
        <f>IF(ISERROR(getgrade(Broadsheet!AL17,data!$H$4:$I$9)),"#",getgrade(Broadsheet!AL17,data!$H$4:$I$9))</f>
        <v/>
      </c>
      <c r="BL17" s="188" t="str">
        <f>IF(ISERROR(getgrade(Broadsheet!AM17,data!$H$4:$I$9)),"#",getgrade(Broadsheet!AM17,data!$H$4:$I$9))</f>
        <v/>
      </c>
      <c r="BM17" s="188" t="str">
        <f>IF(ISERROR(getgrade(Broadsheet!AN17,data!$H$4:$I$9)),"#",getgrade(Broadsheet!AN17,data!$H$4:$I$9))</f>
        <v/>
      </c>
      <c r="BN17" s="188" t="str">
        <f>IF(ISERROR(getgrade(Broadsheet!AO17,data!$H$4:$I$9)),"#",getgrade(Broadsheet!AO17,data!$H$4:$I$9))</f>
        <v/>
      </c>
      <c r="BO17" s="188" t="str">
        <f>IF(ISERROR(getgrade(Broadsheet!AP17,data!$H$4:$I$9)),"#",getgrade(Broadsheet!AP17,data!$H$4:$I$9))</f>
        <v/>
      </c>
      <c r="BP17" s="188" t="str">
        <f>IF(ISERROR(getgrade(Broadsheet!AQ17,data!$H$4:$I$9)),"#",getgrade(Broadsheet!AQ17,data!$H$4:$I$9))</f>
        <v/>
      </c>
      <c r="BQ17" s="188" t="str">
        <f>IF(ISERROR(getgrade(Broadsheet!AR17,data!$H$4:$I$9)),"#",getgrade(Broadsheet!AR17,data!$H$4:$I$9))</f>
        <v/>
      </c>
      <c r="BR17" s="188" t="str">
        <f>IF(ISERROR(getgrade(Broadsheet!AS17,data!$H$4:$I$9)),"#",getgrade(Broadsheet!AS17,data!$H$4:$I$9))</f>
        <v/>
      </c>
      <c r="BS17" s="188" t="str">
        <f>IF(ISERROR(getgrade(Broadsheet!AT17,data!$H$4:$I$9)),"#",getgrade(Broadsheet!AT17,data!$H$4:$I$9))</f>
        <v/>
      </c>
      <c r="BT17" s="188" t="str">
        <f>IF(ISERROR(getgrade(Broadsheet!AU17,data!$H$4:$I$9)),"#",getgrade(Broadsheet!AU17,data!$H$4:$I$9))</f>
        <v/>
      </c>
      <c r="BU17" s="188" t="str">
        <f>IF(ISERROR(getgrade(Broadsheet!AV17,data!$H$4:$I$9)),"#",getgrade(Broadsheet!AV17,data!$H$4:$I$9))</f>
        <v/>
      </c>
      <c r="BV17" s="188" t="str">
        <f>IF(ISERROR(getgrade(Broadsheet!AW17,data!$H$4:$I$9)),"#",getgrade(Broadsheet!AW17,data!$H$4:$I$9))</f>
        <v/>
      </c>
      <c r="BW17" s="188" t="str">
        <f>IF(ISERROR(getgrade(Broadsheet!AX17,data!$H$4:$I$9)),"#",getgrade(Broadsheet!AX17,data!$H$4:$I$9))</f>
        <v/>
      </c>
      <c r="BX17" s="188" t="str">
        <f>IF(ISERROR(getgrade(Broadsheet!AY17,data!$H$4:$I$9)),"#",getgrade(Broadsheet!AY17,data!$H$4:$I$9))</f>
        <v/>
      </c>
      <c r="BY17" s="188" t="str">
        <f>IF(ISERROR(getgrade(Broadsheet!AZ17,data!$H$4:$I$9)),"#",getgrade(Broadsheet!AZ17,data!$H$4:$I$9))</f>
        <v/>
      </c>
      <c r="BZ17" s="188" t="str">
        <f>IF(ISERROR(getgrade(Broadsheet!BA17,data!$H$4:$I$9)),"#",getgrade(Broadsheet!BA17,data!$H$4:$I$9))</f>
        <v/>
      </c>
      <c r="CA17" s="188" t="str">
        <f>IF(ISERROR(getgrade(Broadsheet!BB17,data!$H$4:$I$9)),"#",getgrade(Broadsheet!BB17,data!$H$4:$I$9))</f>
        <v/>
      </c>
      <c r="CB17" s="188" t="str">
        <f>IF(ISERROR(getgrade(Broadsheet!BC17,data!$H$4:$I$9)),"#",getgrade(Broadsheet!BC17,data!$H$4:$I$9))</f>
        <v/>
      </c>
      <c r="CC17" s="188" t="str">
        <f>IF(ISERROR(getgrade(Broadsheet!BD17,data!$H$4:$I$9)),"#",getgrade(Broadsheet!BD17,data!$H$4:$I$9))</f>
        <v/>
      </c>
      <c r="CD17" s="188" t="str">
        <f>IF(ISERROR(getgrade(Broadsheet!BE17,data!$H$4:$I$9)),"#",getgrade(Broadsheet!BE17,data!$H$4:$I$9))</f>
        <v/>
      </c>
      <c r="CE17" s="188" t="str">
        <f>IF(ISERROR(getgrade(Broadsheet!BF17,data!$H$4:$I$9)),"#",getgrade(Broadsheet!BF17,data!$H$4:$I$9))</f>
        <v/>
      </c>
      <c r="CF17" s="188" t="str">
        <f>IF(ISERROR(getgrade(Broadsheet!BG17,data!$H$4:$I$9)),"#",getgrade(Broadsheet!BG17,data!$H$4:$I$9))</f>
        <v/>
      </c>
      <c r="CG17" s="188" t="str">
        <f>IF(ISERROR(getgrade(Broadsheet!BH17,data!$H$4:$I$9)),"#",getgrade(Broadsheet!BH17,data!$H$4:$I$9))</f>
        <v/>
      </c>
      <c r="CH17" s="188" t="str">
        <f>IF(ISERROR(getgrade(Broadsheet!BI17,data!$H$4:$I$9)),"#",getgrade(Broadsheet!BI17,data!$H$4:$I$9))</f>
        <v/>
      </c>
      <c r="CI17" s="188" t="str">
        <f>IF(ISERROR(getgrade(Broadsheet!BJ17,data!$H$4:$I$9)),"#",getgrade(Broadsheet!BJ17,data!$H$4:$I$9))</f>
        <v/>
      </c>
      <c r="CJ17" s="188"/>
      <c r="CK17" s="188"/>
      <c r="CL17" s="188"/>
      <c r="CM17" s="188"/>
      <c r="CN17" s="188"/>
      <c r="CO17" s="188"/>
      <c r="CP17" s="188"/>
      <c r="CQ17" s="188"/>
      <c r="CR17" s="188"/>
      <c r="CS17" s="188"/>
      <c r="CT17" s="188"/>
      <c r="CU17" s="188"/>
      <c r="CV17" s="188"/>
      <c r="CW17" s="188"/>
      <c r="CX17" s="188"/>
      <c r="CY17" s="188"/>
      <c r="CZ17" s="188"/>
      <c r="DA17" s="188"/>
      <c r="DB17" s="188"/>
      <c r="DC17" s="188"/>
      <c r="DD17" s="188"/>
      <c r="DE17" s="188"/>
      <c r="DF17" s="188"/>
      <c r="DG17" s="188"/>
      <c r="DH17" s="188"/>
      <c r="DI17" s="188"/>
      <c r="DJ17" s="188"/>
      <c r="DK17" s="188"/>
      <c r="DL17" s="188"/>
      <c r="DM17" s="188"/>
      <c r="DN17" s="188"/>
      <c r="DO17" s="188"/>
      <c r="DP17" s="188"/>
      <c r="DQ17" s="188"/>
      <c r="DR17" s="188"/>
      <c r="DS17" s="188"/>
      <c r="DT17" s="188"/>
      <c r="DU17" s="188"/>
      <c r="DV17" s="188"/>
      <c r="DW17" s="188"/>
      <c r="DX17" s="188"/>
      <c r="DY17" s="188"/>
      <c r="DZ17" s="188"/>
      <c r="EA17" s="188"/>
      <c r="EB17" s="188"/>
      <c r="EC17" s="188"/>
      <c r="ED17" s="188"/>
      <c r="EE17" s="188"/>
      <c r="EF17" s="188"/>
      <c r="EG17" s="188"/>
      <c r="EH17" s="188"/>
      <c r="EI17" s="188"/>
      <c r="EJ17" s="188"/>
      <c r="EK17" s="188"/>
      <c r="EL17" s="188"/>
      <c r="EM17" s="188"/>
      <c r="EN17" s="188"/>
      <c r="EO17" s="188"/>
      <c r="EP17" s="188"/>
      <c r="EQ17" s="188"/>
      <c r="ER17" s="188"/>
      <c r="ES17" s="188"/>
      <c r="ET17" s="188"/>
      <c r="EU17" s="188"/>
      <c r="EV17" s="188"/>
      <c r="EW17" s="188"/>
      <c r="EX17" s="188"/>
      <c r="EY17" s="188"/>
      <c r="EZ17" s="188"/>
    </row>
    <row r="18" spans="1:156" ht="15.75" x14ac:dyDescent="0.25">
      <c r="A18" s="12">
        <v>9</v>
      </c>
      <c r="B18" s="16"/>
      <c r="C18" s="24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07"/>
      <c r="Y18" s="110"/>
      <c r="Z18" s="19"/>
      <c r="AA18" s="25"/>
      <c r="AB18" s="21"/>
      <c r="AC18" s="25"/>
      <c r="AD18" s="25"/>
      <c r="AE18" s="20"/>
      <c r="AG18" s="188" t="str">
        <f>IF(ISERROR(getgrade(Broadsheet!H18,data!$H$4:$I$9)),"#",getgrade(Broadsheet!H18,data!$H$4:$I$9))</f>
        <v/>
      </c>
      <c r="AH18" s="188" t="str">
        <f>IF(ISERROR(getgrade(Broadsheet!I18,data!$H$4:$I$9)),"#",getgrade(Broadsheet!I18,data!$H$4:$I$9))</f>
        <v/>
      </c>
      <c r="AI18" s="188" t="str">
        <f>IF(ISERROR(getgrade(Broadsheet!J18,data!$H$4:$I$9)),"#",getgrade(Broadsheet!J18,data!$H$4:$I$9))</f>
        <v/>
      </c>
      <c r="AJ18" s="188" t="str">
        <f>IF(ISERROR(getgrade(Broadsheet!K18,data!$H$4:$I$9)),"#",getgrade(Broadsheet!K18,data!$H$4:$I$9))</f>
        <v/>
      </c>
      <c r="AK18" s="188" t="str">
        <f>IF(ISERROR(getgrade(Broadsheet!L18,data!$H$4:$I$9)),"#",getgrade(Broadsheet!L18,data!$H$4:$I$9))</f>
        <v/>
      </c>
      <c r="AL18" s="188" t="str">
        <f>IF(ISERROR(getgrade(Broadsheet!M18,data!$H$4:$I$9)),"#",getgrade(Broadsheet!M18,data!$H$4:$I$9))</f>
        <v/>
      </c>
      <c r="AM18" s="188" t="str">
        <f>IF(ISERROR(getgrade(Broadsheet!N18,data!$H$4:$I$9)),"#",getgrade(Broadsheet!N18,data!$H$4:$I$9))</f>
        <v/>
      </c>
      <c r="AN18" s="188" t="str">
        <f>IF(ISERROR(getgrade(Broadsheet!O18,data!$H$4:$I$9)),"#",getgrade(Broadsheet!O18,data!$H$4:$I$9))</f>
        <v/>
      </c>
      <c r="AO18" s="188" t="str">
        <f>IF(ISERROR(getgrade(Broadsheet!P18,data!$H$4:$I$9)),"#",getgrade(Broadsheet!P18,data!$H$4:$I$9))</f>
        <v/>
      </c>
      <c r="AP18" s="188" t="str">
        <f>IF(ISERROR(getgrade(Broadsheet!Q18,data!$H$4:$I$9)),"#",getgrade(Broadsheet!Q18,data!$H$4:$I$9))</f>
        <v/>
      </c>
      <c r="AQ18" s="188" t="str">
        <f>IF(ISERROR(getgrade(Broadsheet!R18,data!$H$4:$I$9)),"#",getgrade(Broadsheet!R18,data!$H$4:$I$9))</f>
        <v/>
      </c>
      <c r="AR18" s="188" t="str">
        <f>IF(ISERROR(getgrade(Broadsheet!S18,data!$H$4:$I$9)),"#",getgrade(Broadsheet!S18,data!$H$4:$I$9))</f>
        <v/>
      </c>
      <c r="AS18" s="188" t="str">
        <f>IF(ISERROR(getgrade(Broadsheet!T18,data!$H$4:$I$9)),"#",getgrade(Broadsheet!T18,data!$H$4:$I$9))</f>
        <v/>
      </c>
      <c r="AT18" s="188" t="str">
        <f>IF(ISERROR(getgrade(Broadsheet!U18,data!$H$4:$I$9)),"#",getgrade(Broadsheet!U18,data!$H$4:$I$9))</f>
        <v/>
      </c>
      <c r="AU18" s="188" t="str">
        <f>IF(ISERROR(getgrade(Broadsheet!V18,data!$H$4:$I$9)),"#",getgrade(Broadsheet!V18,data!$H$4:$I$9))</f>
        <v/>
      </c>
      <c r="AV18" s="188" t="str">
        <f>IF(ISERROR(getgrade(Broadsheet!W18,data!$H$4:$I$9)),"#",getgrade(Broadsheet!W18,data!$H$4:$I$9))</f>
        <v/>
      </c>
      <c r="AW18" s="188" t="str">
        <f>IF(ISERROR(getgrade(Broadsheet!X18,data!$H$4:$I$9)),"#",getgrade(Broadsheet!X18,data!$H$4:$I$9))</f>
        <v/>
      </c>
      <c r="AX18" s="188" t="str">
        <f>IF(ISERROR(getgrade(Broadsheet!Y18,data!$H$4:$I$9)),"#",getgrade(Broadsheet!Y18,data!$H$4:$I$9))</f>
        <v/>
      </c>
      <c r="AY18" s="188" t="str">
        <f>IF(ISERROR(getgrade(Broadsheet!Z18,data!$H$4:$I$9)),"#",getgrade(Broadsheet!Z18,data!$H$4:$I$9))</f>
        <v/>
      </c>
      <c r="AZ18" s="188" t="str">
        <f>IF(ISERROR(getgrade(Broadsheet!AA18,data!$H$4:$I$9)),"#",getgrade(Broadsheet!AA18,data!$H$4:$I$9))</f>
        <v/>
      </c>
      <c r="BA18" s="188" t="str">
        <f>IF(ISERROR(getgrade(Broadsheet!AB18,data!$H$4:$I$9)),"#",getgrade(Broadsheet!AB18,data!$H$4:$I$9))</f>
        <v/>
      </c>
      <c r="BB18" s="188" t="str">
        <f>IF(ISERROR(getgrade(Broadsheet!AC18,data!$H$4:$I$9)),"#",getgrade(Broadsheet!AC18,data!$H$4:$I$9))</f>
        <v/>
      </c>
      <c r="BC18" s="188" t="str">
        <f>IF(ISERROR(getgrade(Broadsheet!AD18,data!$H$4:$I$9)),"#",getgrade(Broadsheet!AD18,data!$H$4:$I$9))</f>
        <v/>
      </c>
      <c r="BD18" s="188" t="str">
        <f>IF(ISERROR(getgrade(Broadsheet!AE18,data!$H$4:$I$9)),"#",getgrade(Broadsheet!AE18,data!$H$4:$I$9))</f>
        <v/>
      </c>
      <c r="BE18" s="188" t="str">
        <f>IF(ISERROR(getgrade(Broadsheet!AF18,data!$H$4:$I$9)),"#",getgrade(Broadsheet!AF18,data!$H$4:$I$9))</f>
        <v/>
      </c>
      <c r="BF18" s="188" t="str">
        <f>IF(ISERROR(getgrade(Broadsheet!AG18,data!$H$4:$I$9)),"#",getgrade(Broadsheet!AG18,data!$H$4:$I$9))</f>
        <v/>
      </c>
      <c r="BG18" s="188" t="str">
        <f>IF(ISERROR(getgrade(Broadsheet!AH18,data!$H$4:$I$9)),"#",getgrade(Broadsheet!AH18,data!$H$4:$I$9))</f>
        <v/>
      </c>
      <c r="BH18" s="188" t="str">
        <f>IF(ISERROR(getgrade(Broadsheet!AI18,data!$H$4:$I$9)),"#",getgrade(Broadsheet!AI18,data!$H$4:$I$9))</f>
        <v/>
      </c>
      <c r="BI18" s="188" t="str">
        <f>IF(ISERROR(getgrade(Broadsheet!AJ18,data!$H$4:$I$9)),"#",getgrade(Broadsheet!AJ18,data!$H$4:$I$9))</f>
        <v/>
      </c>
      <c r="BJ18" s="188" t="str">
        <f>IF(ISERROR(getgrade(Broadsheet!AK18,data!$H$4:$I$9)),"#",getgrade(Broadsheet!AK18,data!$H$4:$I$9))</f>
        <v/>
      </c>
      <c r="BK18" s="188" t="str">
        <f>IF(ISERROR(getgrade(Broadsheet!AL18,data!$H$4:$I$9)),"#",getgrade(Broadsheet!AL18,data!$H$4:$I$9))</f>
        <v/>
      </c>
      <c r="BL18" s="188" t="str">
        <f>IF(ISERROR(getgrade(Broadsheet!AM18,data!$H$4:$I$9)),"#",getgrade(Broadsheet!AM18,data!$H$4:$I$9))</f>
        <v/>
      </c>
      <c r="BM18" s="188" t="str">
        <f>IF(ISERROR(getgrade(Broadsheet!AN18,data!$H$4:$I$9)),"#",getgrade(Broadsheet!AN18,data!$H$4:$I$9))</f>
        <v/>
      </c>
      <c r="BN18" s="188" t="str">
        <f>IF(ISERROR(getgrade(Broadsheet!AO18,data!$H$4:$I$9)),"#",getgrade(Broadsheet!AO18,data!$H$4:$I$9))</f>
        <v/>
      </c>
      <c r="BO18" s="188" t="str">
        <f>IF(ISERROR(getgrade(Broadsheet!AP18,data!$H$4:$I$9)),"#",getgrade(Broadsheet!AP18,data!$H$4:$I$9))</f>
        <v/>
      </c>
      <c r="BP18" s="188" t="str">
        <f>IF(ISERROR(getgrade(Broadsheet!AQ18,data!$H$4:$I$9)),"#",getgrade(Broadsheet!AQ18,data!$H$4:$I$9))</f>
        <v/>
      </c>
      <c r="BQ18" s="188" t="str">
        <f>IF(ISERROR(getgrade(Broadsheet!AR18,data!$H$4:$I$9)),"#",getgrade(Broadsheet!AR18,data!$H$4:$I$9))</f>
        <v/>
      </c>
      <c r="BR18" s="188" t="str">
        <f>IF(ISERROR(getgrade(Broadsheet!AS18,data!$H$4:$I$9)),"#",getgrade(Broadsheet!AS18,data!$H$4:$I$9))</f>
        <v/>
      </c>
      <c r="BS18" s="188" t="str">
        <f>IF(ISERROR(getgrade(Broadsheet!AT18,data!$H$4:$I$9)),"#",getgrade(Broadsheet!AT18,data!$H$4:$I$9))</f>
        <v/>
      </c>
      <c r="BT18" s="188" t="str">
        <f>IF(ISERROR(getgrade(Broadsheet!AU18,data!$H$4:$I$9)),"#",getgrade(Broadsheet!AU18,data!$H$4:$I$9))</f>
        <v/>
      </c>
      <c r="BU18" s="188" t="str">
        <f>IF(ISERROR(getgrade(Broadsheet!AV18,data!$H$4:$I$9)),"#",getgrade(Broadsheet!AV18,data!$H$4:$I$9))</f>
        <v/>
      </c>
      <c r="BV18" s="188" t="str">
        <f>IF(ISERROR(getgrade(Broadsheet!AW18,data!$H$4:$I$9)),"#",getgrade(Broadsheet!AW18,data!$H$4:$I$9))</f>
        <v/>
      </c>
      <c r="BW18" s="188" t="str">
        <f>IF(ISERROR(getgrade(Broadsheet!AX18,data!$H$4:$I$9)),"#",getgrade(Broadsheet!AX18,data!$H$4:$I$9))</f>
        <v/>
      </c>
      <c r="BX18" s="188" t="str">
        <f>IF(ISERROR(getgrade(Broadsheet!AY18,data!$H$4:$I$9)),"#",getgrade(Broadsheet!AY18,data!$H$4:$I$9))</f>
        <v/>
      </c>
      <c r="BY18" s="188" t="str">
        <f>IF(ISERROR(getgrade(Broadsheet!AZ18,data!$H$4:$I$9)),"#",getgrade(Broadsheet!AZ18,data!$H$4:$I$9))</f>
        <v/>
      </c>
      <c r="BZ18" s="188" t="str">
        <f>IF(ISERROR(getgrade(Broadsheet!BA18,data!$H$4:$I$9)),"#",getgrade(Broadsheet!BA18,data!$H$4:$I$9))</f>
        <v/>
      </c>
      <c r="CA18" s="188" t="str">
        <f>IF(ISERROR(getgrade(Broadsheet!BB18,data!$H$4:$I$9)),"#",getgrade(Broadsheet!BB18,data!$H$4:$I$9))</f>
        <v/>
      </c>
      <c r="CB18" s="188" t="str">
        <f>IF(ISERROR(getgrade(Broadsheet!BC18,data!$H$4:$I$9)),"#",getgrade(Broadsheet!BC18,data!$H$4:$I$9))</f>
        <v/>
      </c>
      <c r="CC18" s="188" t="str">
        <f>IF(ISERROR(getgrade(Broadsheet!BD18,data!$H$4:$I$9)),"#",getgrade(Broadsheet!BD18,data!$H$4:$I$9))</f>
        <v/>
      </c>
      <c r="CD18" s="188" t="str">
        <f>IF(ISERROR(getgrade(Broadsheet!BE18,data!$H$4:$I$9)),"#",getgrade(Broadsheet!BE18,data!$H$4:$I$9))</f>
        <v/>
      </c>
      <c r="CE18" s="188" t="str">
        <f>IF(ISERROR(getgrade(Broadsheet!BF18,data!$H$4:$I$9)),"#",getgrade(Broadsheet!BF18,data!$H$4:$I$9))</f>
        <v/>
      </c>
      <c r="CF18" s="188" t="str">
        <f>IF(ISERROR(getgrade(Broadsheet!BG18,data!$H$4:$I$9)),"#",getgrade(Broadsheet!BG18,data!$H$4:$I$9))</f>
        <v/>
      </c>
      <c r="CG18" s="188" t="str">
        <f>IF(ISERROR(getgrade(Broadsheet!BH18,data!$H$4:$I$9)),"#",getgrade(Broadsheet!BH18,data!$H$4:$I$9))</f>
        <v/>
      </c>
      <c r="CH18" s="188" t="str">
        <f>IF(ISERROR(getgrade(Broadsheet!BI18,data!$H$4:$I$9)),"#",getgrade(Broadsheet!BI18,data!$H$4:$I$9))</f>
        <v/>
      </c>
      <c r="CI18" s="188" t="str">
        <f>IF(ISERROR(getgrade(Broadsheet!BJ18,data!$H$4:$I$9)),"#",getgrade(Broadsheet!BJ18,data!$H$4:$I$9))</f>
        <v/>
      </c>
      <c r="CJ18" s="188"/>
      <c r="CK18" s="188"/>
      <c r="CL18" s="188"/>
      <c r="CM18" s="188"/>
      <c r="CN18" s="188"/>
      <c r="CO18" s="188"/>
      <c r="CP18" s="188"/>
      <c r="CQ18" s="188"/>
      <c r="CR18" s="188"/>
      <c r="CS18" s="188"/>
      <c r="CT18" s="188"/>
      <c r="CU18" s="188"/>
      <c r="CV18" s="188"/>
      <c r="CW18" s="188"/>
      <c r="CX18" s="188"/>
      <c r="CY18" s="188"/>
      <c r="CZ18" s="188"/>
      <c r="DA18" s="188"/>
      <c r="DB18" s="188"/>
      <c r="DC18" s="188"/>
      <c r="DD18" s="188"/>
      <c r="DE18" s="188"/>
      <c r="DF18" s="188"/>
      <c r="DG18" s="188"/>
      <c r="DH18" s="188"/>
      <c r="DI18" s="188"/>
      <c r="DJ18" s="188"/>
      <c r="DK18" s="188"/>
      <c r="DL18" s="188"/>
      <c r="DM18" s="188"/>
      <c r="DN18" s="188"/>
      <c r="DO18" s="188"/>
      <c r="DP18" s="188"/>
      <c r="DQ18" s="188"/>
      <c r="DR18" s="188"/>
      <c r="DS18" s="188"/>
      <c r="DT18" s="188"/>
      <c r="DU18" s="188"/>
      <c r="DV18" s="188"/>
      <c r="DW18" s="188"/>
      <c r="DX18" s="188"/>
      <c r="DY18" s="188"/>
      <c r="DZ18" s="188"/>
      <c r="EA18" s="188"/>
      <c r="EB18" s="188"/>
      <c r="EC18" s="188"/>
      <c r="ED18" s="188"/>
      <c r="EE18" s="188"/>
      <c r="EF18" s="188"/>
      <c r="EG18" s="188"/>
      <c r="EH18" s="188"/>
      <c r="EI18" s="188"/>
      <c r="EJ18" s="188"/>
      <c r="EK18" s="188"/>
      <c r="EL18" s="188"/>
      <c r="EM18" s="188"/>
      <c r="EN18" s="188"/>
      <c r="EO18" s="188"/>
      <c r="EP18" s="188"/>
      <c r="EQ18" s="188"/>
      <c r="ER18" s="188"/>
      <c r="ES18" s="188"/>
      <c r="ET18" s="188"/>
      <c r="EU18" s="188"/>
      <c r="EV18" s="188"/>
      <c r="EW18" s="188"/>
      <c r="EX18" s="188"/>
      <c r="EY18" s="188"/>
      <c r="EZ18" s="188"/>
    </row>
    <row r="19" spans="1:156" ht="15.75" x14ac:dyDescent="0.25">
      <c r="A19" s="12">
        <v>10</v>
      </c>
      <c r="B19" s="16"/>
      <c r="C19" s="24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07"/>
      <c r="Y19" s="110"/>
      <c r="Z19" s="19"/>
      <c r="AA19" s="25"/>
      <c r="AB19" s="21"/>
      <c r="AC19" s="25"/>
      <c r="AD19" s="25"/>
      <c r="AE19" s="20"/>
      <c r="AG19" s="188" t="str">
        <f>IF(ISERROR(getgrade(Broadsheet!H19,data!$H$4:$I$9)),"#",getgrade(Broadsheet!H19,data!$H$4:$I$9))</f>
        <v/>
      </c>
      <c r="AH19" s="188" t="str">
        <f>IF(ISERROR(getgrade(Broadsheet!I19,data!$H$4:$I$9)),"#",getgrade(Broadsheet!I19,data!$H$4:$I$9))</f>
        <v/>
      </c>
      <c r="AI19" s="188" t="str">
        <f>IF(ISERROR(getgrade(Broadsheet!J19,data!$H$4:$I$9)),"#",getgrade(Broadsheet!J19,data!$H$4:$I$9))</f>
        <v/>
      </c>
      <c r="AJ19" s="188" t="str">
        <f>IF(ISERROR(getgrade(Broadsheet!K19,data!$H$4:$I$9)),"#",getgrade(Broadsheet!K19,data!$H$4:$I$9))</f>
        <v/>
      </c>
      <c r="AK19" s="188" t="str">
        <f>IF(ISERROR(getgrade(Broadsheet!L19,data!$H$4:$I$9)),"#",getgrade(Broadsheet!L19,data!$H$4:$I$9))</f>
        <v/>
      </c>
      <c r="AL19" s="188" t="str">
        <f>IF(ISERROR(getgrade(Broadsheet!M19,data!$H$4:$I$9)),"#",getgrade(Broadsheet!M19,data!$H$4:$I$9))</f>
        <v/>
      </c>
      <c r="AM19" s="188" t="str">
        <f>IF(ISERROR(getgrade(Broadsheet!N19,data!$H$4:$I$9)),"#",getgrade(Broadsheet!N19,data!$H$4:$I$9))</f>
        <v/>
      </c>
      <c r="AN19" s="188" t="str">
        <f>IF(ISERROR(getgrade(Broadsheet!O19,data!$H$4:$I$9)),"#",getgrade(Broadsheet!O19,data!$H$4:$I$9))</f>
        <v/>
      </c>
      <c r="AO19" s="188" t="str">
        <f>IF(ISERROR(getgrade(Broadsheet!P19,data!$H$4:$I$9)),"#",getgrade(Broadsheet!P19,data!$H$4:$I$9))</f>
        <v/>
      </c>
      <c r="AP19" s="188" t="str">
        <f>IF(ISERROR(getgrade(Broadsheet!Q19,data!$H$4:$I$9)),"#",getgrade(Broadsheet!Q19,data!$H$4:$I$9))</f>
        <v/>
      </c>
      <c r="AQ19" s="188" t="str">
        <f>IF(ISERROR(getgrade(Broadsheet!R19,data!$H$4:$I$9)),"#",getgrade(Broadsheet!R19,data!$H$4:$I$9))</f>
        <v/>
      </c>
      <c r="AR19" s="188" t="str">
        <f>IF(ISERROR(getgrade(Broadsheet!S19,data!$H$4:$I$9)),"#",getgrade(Broadsheet!S19,data!$H$4:$I$9))</f>
        <v/>
      </c>
      <c r="AS19" s="188" t="str">
        <f>IF(ISERROR(getgrade(Broadsheet!T19,data!$H$4:$I$9)),"#",getgrade(Broadsheet!T19,data!$H$4:$I$9))</f>
        <v/>
      </c>
      <c r="AT19" s="188" t="str">
        <f>IF(ISERROR(getgrade(Broadsheet!U19,data!$H$4:$I$9)),"#",getgrade(Broadsheet!U19,data!$H$4:$I$9))</f>
        <v/>
      </c>
      <c r="AU19" s="188" t="str">
        <f>IF(ISERROR(getgrade(Broadsheet!V19,data!$H$4:$I$9)),"#",getgrade(Broadsheet!V19,data!$H$4:$I$9))</f>
        <v/>
      </c>
      <c r="AV19" s="188" t="str">
        <f>IF(ISERROR(getgrade(Broadsheet!W19,data!$H$4:$I$9)),"#",getgrade(Broadsheet!W19,data!$H$4:$I$9))</f>
        <v/>
      </c>
      <c r="AW19" s="188" t="str">
        <f>IF(ISERROR(getgrade(Broadsheet!X19,data!$H$4:$I$9)),"#",getgrade(Broadsheet!X19,data!$H$4:$I$9))</f>
        <v/>
      </c>
      <c r="AX19" s="188" t="str">
        <f>IF(ISERROR(getgrade(Broadsheet!Y19,data!$H$4:$I$9)),"#",getgrade(Broadsheet!Y19,data!$H$4:$I$9))</f>
        <v/>
      </c>
      <c r="AY19" s="188" t="str">
        <f>IF(ISERROR(getgrade(Broadsheet!Z19,data!$H$4:$I$9)),"#",getgrade(Broadsheet!Z19,data!$H$4:$I$9))</f>
        <v/>
      </c>
      <c r="AZ19" s="188" t="str">
        <f>IF(ISERROR(getgrade(Broadsheet!AA19,data!$H$4:$I$9)),"#",getgrade(Broadsheet!AA19,data!$H$4:$I$9))</f>
        <v/>
      </c>
      <c r="BA19" s="188" t="str">
        <f>IF(ISERROR(getgrade(Broadsheet!AB19,data!$H$4:$I$9)),"#",getgrade(Broadsheet!AB19,data!$H$4:$I$9))</f>
        <v/>
      </c>
      <c r="BB19" s="188" t="str">
        <f>IF(ISERROR(getgrade(Broadsheet!AC19,data!$H$4:$I$9)),"#",getgrade(Broadsheet!AC19,data!$H$4:$I$9))</f>
        <v/>
      </c>
      <c r="BC19" s="188" t="str">
        <f>IF(ISERROR(getgrade(Broadsheet!AD19,data!$H$4:$I$9)),"#",getgrade(Broadsheet!AD19,data!$H$4:$I$9))</f>
        <v/>
      </c>
      <c r="BD19" s="188" t="str">
        <f>IF(ISERROR(getgrade(Broadsheet!AE19,data!$H$4:$I$9)),"#",getgrade(Broadsheet!AE19,data!$H$4:$I$9))</f>
        <v/>
      </c>
      <c r="BE19" s="188" t="str">
        <f>IF(ISERROR(getgrade(Broadsheet!AF19,data!$H$4:$I$9)),"#",getgrade(Broadsheet!AF19,data!$H$4:$I$9))</f>
        <v/>
      </c>
      <c r="BF19" s="188" t="str">
        <f>IF(ISERROR(getgrade(Broadsheet!AG19,data!$H$4:$I$9)),"#",getgrade(Broadsheet!AG19,data!$H$4:$I$9))</f>
        <v/>
      </c>
      <c r="BG19" s="188" t="str">
        <f>IF(ISERROR(getgrade(Broadsheet!AH19,data!$H$4:$I$9)),"#",getgrade(Broadsheet!AH19,data!$H$4:$I$9))</f>
        <v/>
      </c>
      <c r="BH19" s="188" t="str">
        <f>IF(ISERROR(getgrade(Broadsheet!AI19,data!$H$4:$I$9)),"#",getgrade(Broadsheet!AI19,data!$H$4:$I$9))</f>
        <v/>
      </c>
      <c r="BI19" s="188" t="str">
        <f>IF(ISERROR(getgrade(Broadsheet!AJ19,data!$H$4:$I$9)),"#",getgrade(Broadsheet!AJ19,data!$H$4:$I$9))</f>
        <v/>
      </c>
      <c r="BJ19" s="188" t="str">
        <f>IF(ISERROR(getgrade(Broadsheet!AK19,data!$H$4:$I$9)),"#",getgrade(Broadsheet!AK19,data!$H$4:$I$9))</f>
        <v/>
      </c>
      <c r="BK19" s="188" t="str">
        <f>IF(ISERROR(getgrade(Broadsheet!AL19,data!$H$4:$I$9)),"#",getgrade(Broadsheet!AL19,data!$H$4:$I$9))</f>
        <v/>
      </c>
      <c r="BL19" s="188" t="str">
        <f>IF(ISERROR(getgrade(Broadsheet!AM19,data!$H$4:$I$9)),"#",getgrade(Broadsheet!AM19,data!$H$4:$I$9))</f>
        <v/>
      </c>
      <c r="BM19" s="188" t="str">
        <f>IF(ISERROR(getgrade(Broadsheet!AN19,data!$H$4:$I$9)),"#",getgrade(Broadsheet!AN19,data!$H$4:$I$9))</f>
        <v/>
      </c>
      <c r="BN19" s="188" t="str">
        <f>IF(ISERROR(getgrade(Broadsheet!AO19,data!$H$4:$I$9)),"#",getgrade(Broadsheet!AO19,data!$H$4:$I$9))</f>
        <v/>
      </c>
      <c r="BO19" s="188" t="str">
        <f>IF(ISERROR(getgrade(Broadsheet!AP19,data!$H$4:$I$9)),"#",getgrade(Broadsheet!AP19,data!$H$4:$I$9))</f>
        <v/>
      </c>
      <c r="BP19" s="188" t="str">
        <f>IF(ISERROR(getgrade(Broadsheet!AQ19,data!$H$4:$I$9)),"#",getgrade(Broadsheet!AQ19,data!$H$4:$I$9))</f>
        <v/>
      </c>
      <c r="BQ19" s="188" t="str">
        <f>IF(ISERROR(getgrade(Broadsheet!AR19,data!$H$4:$I$9)),"#",getgrade(Broadsheet!AR19,data!$H$4:$I$9))</f>
        <v/>
      </c>
      <c r="BR19" s="188" t="str">
        <f>IF(ISERROR(getgrade(Broadsheet!AS19,data!$H$4:$I$9)),"#",getgrade(Broadsheet!AS19,data!$H$4:$I$9))</f>
        <v/>
      </c>
      <c r="BS19" s="188" t="str">
        <f>IF(ISERROR(getgrade(Broadsheet!AT19,data!$H$4:$I$9)),"#",getgrade(Broadsheet!AT19,data!$H$4:$I$9))</f>
        <v/>
      </c>
      <c r="BT19" s="188" t="str">
        <f>IF(ISERROR(getgrade(Broadsheet!AU19,data!$H$4:$I$9)),"#",getgrade(Broadsheet!AU19,data!$H$4:$I$9))</f>
        <v/>
      </c>
      <c r="BU19" s="188" t="str">
        <f>IF(ISERROR(getgrade(Broadsheet!AV19,data!$H$4:$I$9)),"#",getgrade(Broadsheet!AV19,data!$H$4:$I$9))</f>
        <v/>
      </c>
      <c r="BV19" s="188" t="str">
        <f>IF(ISERROR(getgrade(Broadsheet!AW19,data!$H$4:$I$9)),"#",getgrade(Broadsheet!AW19,data!$H$4:$I$9))</f>
        <v/>
      </c>
      <c r="BW19" s="188" t="str">
        <f>IF(ISERROR(getgrade(Broadsheet!AX19,data!$H$4:$I$9)),"#",getgrade(Broadsheet!AX19,data!$H$4:$I$9))</f>
        <v/>
      </c>
      <c r="BX19" s="188" t="str">
        <f>IF(ISERROR(getgrade(Broadsheet!AY19,data!$H$4:$I$9)),"#",getgrade(Broadsheet!AY19,data!$H$4:$I$9))</f>
        <v/>
      </c>
      <c r="BY19" s="188" t="str">
        <f>IF(ISERROR(getgrade(Broadsheet!AZ19,data!$H$4:$I$9)),"#",getgrade(Broadsheet!AZ19,data!$H$4:$I$9))</f>
        <v/>
      </c>
      <c r="BZ19" s="188" t="str">
        <f>IF(ISERROR(getgrade(Broadsheet!BA19,data!$H$4:$I$9)),"#",getgrade(Broadsheet!BA19,data!$H$4:$I$9))</f>
        <v/>
      </c>
      <c r="CA19" s="188" t="str">
        <f>IF(ISERROR(getgrade(Broadsheet!BB19,data!$H$4:$I$9)),"#",getgrade(Broadsheet!BB19,data!$H$4:$I$9))</f>
        <v/>
      </c>
      <c r="CB19" s="188" t="str">
        <f>IF(ISERROR(getgrade(Broadsheet!BC19,data!$H$4:$I$9)),"#",getgrade(Broadsheet!BC19,data!$H$4:$I$9))</f>
        <v/>
      </c>
      <c r="CC19" s="188" t="str">
        <f>IF(ISERROR(getgrade(Broadsheet!BD19,data!$H$4:$I$9)),"#",getgrade(Broadsheet!BD19,data!$H$4:$I$9))</f>
        <v/>
      </c>
      <c r="CD19" s="188" t="str">
        <f>IF(ISERROR(getgrade(Broadsheet!BE19,data!$H$4:$I$9)),"#",getgrade(Broadsheet!BE19,data!$H$4:$I$9))</f>
        <v/>
      </c>
      <c r="CE19" s="188" t="str">
        <f>IF(ISERROR(getgrade(Broadsheet!BF19,data!$H$4:$I$9)),"#",getgrade(Broadsheet!BF19,data!$H$4:$I$9))</f>
        <v/>
      </c>
      <c r="CF19" s="188" t="str">
        <f>IF(ISERROR(getgrade(Broadsheet!BG19,data!$H$4:$I$9)),"#",getgrade(Broadsheet!BG19,data!$H$4:$I$9))</f>
        <v/>
      </c>
      <c r="CG19" s="188" t="str">
        <f>IF(ISERROR(getgrade(Broadsheet!BH19,data!$H$4:$I$9)),"#",getgrade(Broadsheet!BH19,data!$H$4:$I$9))</f>
        <v/>
      </c>
      <c r="CH19" s="188" t="str">
        <f>IF(ISERROR(getgrade(Broadsheet!BI19,data!$H$4:$I$9)),"#",getgrade(Broadsheet!BI19,data!$H$4:$I$9))</f>
        <v/>
      </c>
      <c r="CI19" s="188" t="str">
        <f>IF(ISERROR(getgrade(Broadsheet!BJ19,data!$H$4:$I$9)),"#",getgrade(Broadsheet!BJ19,data!$H$4:$I$9))</f>
        <v/>
      </c>
      <c r="CJ19" s="188"/>
      <c r="CK19" s="188"/>
      <c r="CL19" s="188"/>
      <c r="CM19" s="188"/>
      <c r="CN19" s="188"/>
      <c r="CO19" s="188"/>
      <c r="CP19" s="188"/>
      <c r="CQ19" s="188"/>
      <c r="CR19" s="188"/>
      <c r="CS19" s="188"/>
      <c r="CT19" s="188"/>
      <c r="CU19" s="188"/>
      <c r="CV19" s="188"/>
      <c r="CW19" s="188"/>
      <c r="CX19" s="188"/>
      <c r="CY19" s="188"/>
      <c r="CZ19" s="188"/>
      <c r="DA19" s="188"/>
      <c r="DB19" s="188"/>
      <c r="DC19" s="188"/>
      <c r="DD19" s="188"/>
      <c r="DE19" s="188"/>
      <c r="DF19" s="188"/>
      <c r="DG19" s="188"/>
      <c r="DH19" s="188"/>
      <c r="DI19" s="188"/>
      <c r="DJ19" s="188"/>
      <c r="DK19" s="188"/>
      <c r="DL19" s="188"/>
      <c r="DM19" s="188"/>
      <c r="DN19" s="188"/>
      <c r="DO19" s="188"/>
      <c r="DP19" s="188"/>
      <c r="DQ19" s="188"/>
      <c r="DR19" s="188"/>
      <c r="DS19" s="188"/>
      <c r="DT19" s="188"/>
      <c r="DU19" s="188"/>
      <c r="DV19" s="188"/>
      <c r="DW19" s="188"/>
      <c r="DX19" s="188"/>
      <c r="DY19" s="188"/>
      <c r="DZ19" s="188"/>
      <c r="EA19" s="188"/>
      <c r="EB19" s="188"/>
      <c r="EC19" s="188"/>
      <c r="ED19" s="188"/>
      <c r="EE19" s="188"/>
      <c r="EF19" s="188"/>
      <c r="EG19" s="188"/>
      <c r="EH19" s="188"/>
      <c r="EI19" s="188"/>
      <c r="EJ19" s="188"/>
      <c r="EK19" s="188"/>
      <c r="EL19" s="188"/>
      <c r="EM19" s="188"/>
      <c r="EN19" s="188"/>
      <c r="EO19" s="188"/>
      <c r="EP19" s="188"/>
      <c r="EQ19" s="188"/>
      <c r="ER19" s="188"/>
      <c r="ES19" s="188"/>
      <c r="ET19" s="188"/>
      <c r="EU19" s="188"/>
      <c r="EV19" s="188"/>
      <c r="EW19" s="188"/>
      <c r="EX19" s="188"/>
      <c r="EY19" s="188"/>
      <c r="EZ19" s="188"/>
    </row>
    <row r="20" spans="1:156" ht="15.75" x14ac:dyDescent="0.25">
      <c r="A20" s="12">
        <v>11</v>
      </c>
      <c r="B20" s="16"/>
      <c r="C20" s="24"/>
      <c r="D20" s="110"/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07"/>
      <c r="Y20" s="110"/>
      <c r="Z20" s="19"/>
      <c r="AA20" s="25"/>
      <c r="AB20" s="21"/>
      <c r="AC20" s="25"/>
      <c r="AD20" s="25"/>
      <c r="AE20" s="20"/>
      <c r="AG20" s="188" t="str">
        <f>IF(ISERROR(getgrade(Broadsheet!H20,data!$H$4:$I$9)),"#",getgrade(Broadsheet!H20,data!$H$4:$I$9))</f>
        <v/>
      </c>
      <c r="AH20" s="188" t="str">
        <f>IF(ISERROR(getgrade(Broadsheet!I20,data!$H$4:$I$9)),"#",getgrade(Broadsheet!I20,data!$H$4:$I$9))</f>
        <v/>
      </c>
      <c r="AI20" s="188" t="str">
        <f>IF(ISERROR(getgrade(Broadsheet!J20,data!$H$4:$I$9)),"#",getgrade(Broadsheet!J20,data!$H$4:$I$9))</f>
        <v/>
      </c>
      <c r="AJ20" s="188" t="str">
        <f>IF(ISERROR(getgrade(Broadsheet!K20,data!$H$4:$I$9)),"#",getgrade(Broadsheet!K20,data!$H$4:$I$9))</f>
        <v/>
      </c>
      <c r="AK20" s="188" t="str">
        <f>IF(ISERROR(getgrade(Broadsheet!L20,data!$H$4:$I$9)),"#",getgrade(Broadsheet!L20,data!$H$4:$I$9))</f>
        <v/>
      </c>
      <c r="AL20" s="188" t="str">
        <f>IF(ISERROR(getgrade(Broadsheet!M20,data!$H$4:$I$9)),"#",getgrade(Broadsheet!M20,data!$H$4:$I$9))</f>
        <v/>
      </c>
      <c r="AM20" s="188" t="str">
        <f>IF(ISERROR(getgrade(Broadsheet!N20,data!$H$4:$I$9)),"#",getgrade(Broadsheet!N20,data!$H$4:$I$9))</f>
        <v/>
      </c>
      <c r="AN20" s="188" t="str">
        <f>IF(ISERROR(getgrade(Broadsheet!O20,data!$H$4:$I$9)),"#",getgrade(Broadsheet!O20,data!$H$4:$I$9))</f>
        <v/>
      </c>
      <c r="AO20" s="188" t="str">
        <f>IF(ISERROR(getgrade(Broadsheet!P20,data!$H$4:$I$9)),"#",getgrade(Broadsheet!P20,data!$H$4:$I$9))</f>
        <v/>
      </c>
      <c r="AP20" s="188" t="str">
        <f>IF(ISERROR(getgrade(Broadsheet!Q20,data!$H$4:$I$9)),"#",getgrade(Broadsheet!Q20,data!$H$4:$I$9))</f>
        <v/>
      </c>
      <c r="AQ20" s="188" t="str">
        <f>IF(ISERROR(getgrade(Broadsheet!R20,data!$H$4:$I$9)),"#",getgrade(Broadsheet!R20,data!$H$4:$I$9))</f>
        <v/>
      </c>
      <c r="AR20" s="188" t="str">
        <f>IF(ISERROR(getgrade(Broadsheet!S20,data!$H$4:$I$9)),"#",getgrade(Broadsheet!S20,data!$H$4:$I$9))</f>
        <v/>
      </c>
      <c r="AS20" s="188" t="str">
        <f>IF(ISERROR(getgrade(Broadsheet!T20,data!$H$4:$I$9)),"#",getgrade(Broadsheet!T20,data!$H$4:$I$9))</f>
        <v/>
      </c>
      <c r="AT20" s="188" t="str">
        <f>IF(ISERROR(getgrade(Broadsheet!U20,data!$H$4:$I$9)),"#",getgrade(Broadsheet!U20,data!$H$4:$I$9))</f>
        <v/>
      </c>
      <c r="AU20" s="188" t="str">
        <f>IF(ISERROR(getgrade(Broadsheet!V20,data!$H$4:$I$9)),"#",getgrade(Broadsheet!V20,data!$H$4:$I$9))</f>
        <v/>
      </c>
      <c r="AV20" s="188" t="str">
        <f>IF(ISERROR(getgrade(Broadsheet!W20,data!$H$4:$I$9)),"#",getgrade(Broadsheet!W20,data!$H$4:$I$9))</f>
        <v/>
      </c>
      <c r="AW20" s="188" t="str">
        <f>IF(ISERROR(getgrade(Broadsheet!X20,data!$H$4:$I$9)),"#",getgrade(Broadsheet!X20,data!$H$4:$I$9))</f>
        <v/>
      </c>
      <c r="AX20" s="188" t="str">
        <f>IF(ISERROR(getgrade(Broadsheet!Y20,data!$H$4:$I$9)),"#",getgrade(Broadsheet!Y20,data!$H$4:$I$9))</f>
        <v/>
      </c>
      <c r="AY20" s="188" t="str">
        <f>IF(ISERROR(getgrade(Broadsheet!Z20,data!$H$4:$I$9)),"#",getgrade(Broadsheet!Z20,data!$H$4:$I$9))</f>
        <v/>
      </c>
      <c r="AZ20" s="188" t="str">
        <f>IF(ISERROR(getgrade(Broadsheet!AA20,data!$H$4:$I$9)),"#",getgrade(Broadsheet!AA20,data!$H$4:$I$9))</f>
        <v/>
      </c>
      <c r="BA20" s="188" t="str">
        <f>IF(ISERROR(getgrade(Broadsheet!AB20,data!$H$4:$I$9)),"#",getgrade(Broadsheet!AB20,data!$H$4:$I$9))</f>
        <v/>
      </c>
      <c r="BB20" s="188" t="str">
        <f>IF(ISERROR(getgrade(Broadsheet!AC20,data!$H$4:$I$9)),"#",getgrade(Broadsheet!AC20,data!$H$4:$I$9))</f>
        <v/>
      </c>
      <c r="BC20" s="188" t="str">
        <f>IF(ISERROR(getgrade(Broadsheet!AD20,data!$H$4:$I$9)),"#",getgrade(Broadsheet!AD20,data!$H$4:$I$9))</f>
        <v/>
      </c>
      <c r="BD20" s="188" t="str">
        <f>IF(ISERROR(getgrade(Broadsheet!AE20,data!$H$4:$I$9)),"#",getgrade(Broadsheet!AE20,data!$H$4:$I$9))</f>
        <v/>
      </c>
      <c r="BE20" s="188" t="str">
        <f>IF(ISERROR(getgrade(Broadsheet!AF20,data!$H$4:$I$9)),"#",getgrade(Broadsheet!AF20,data!$H$4:$I$9))</f>
        <v/>
      </c>
      <c r="BF20" s="188" t="str">
        <f>IF(ISERROR(getgrade(Broadsheet!AG20,data!$H$4:$I$9)),"#",getgrade(Broadsheet!AG20,data!$H$4:$I$9))</f>
        <v/>
      </c>
      <c r="BG20" s="188" t="str">
        <f>IF(ISERROR(getgrade(Broadsheet!AH20,data!$H$4:$I$9)),"#",getgrade(Broadsheet!AH20,data!$H$4:$I$9))</f>
        <v/>
      </c>
      <c r="BH20" s="188" t="str">
        <f>IF(ISERROR(getgrade(Broadsheet!AI20,data!$H$4:$I$9)),"#",getgrade(Broadsheet!AI20,data!$H$4:$I$9))</f>
        <v/>
      </c>
      <c r="BI20" s="188" t="str">
        <f>IF(ISERROR(getgrade(Broadsheet!AJ20,data!$H$4:$I$9)),"#",getgrade(Broadsheet!AJ20,data!$H$4:$I$9))</f>
        <v/>
      </c>
      <c r="BJ20" s="188" t="str">
        <f>IF(ISERROR(getgrade(Broadsheet!AK20,data!$H$4:$I$9)),"#",getgrade(Broadsheet!AK20,data!$H$4:$I$9))</f>
        <v/>
      </c>
      <c r="BK20" s="188" t="str">
        <f>IF(ISERROR(getgrade(Broadsheet!AL20,data!$H$4:$I$9)),"#",getgrade(Broadsheet!AL20,data!$H$4:$I$9))</f>
        <v/>
      </c>
      <c r="BL20" s="188" t="str">
        <f>IF(ISERROR(getgrade(Broadsheet!AM20,data!$H$4:$I$9)),"#",getgrade(Broadsheet!AM20,data!$H$4:$I$9))</f>
        <v/>
      </c>
      <c r="BM20" s="188" t="str">
        <f>IF(ISERROR(getgrade(Broadsheet!AN20,data!$H$4:$I$9)),"#",getgrade(Broadsheet!AN20,data!$H$4:$I$9))</f>
        <v/>
      </c>
      <c r="BN20" s="188" t="str">
        <f>IF(ISERROR(getgrade(Broadsheet!AO20,data!$H$4:$I$9)),"#",getgrade(Broadsheet!AO20,data!$H$4:$I$9))</f>
        <v/>
      </c>
      <c r="BO20" s="188" t="str">
        <f>IF(ISERROR(getgrade(Broadsheet!AP20,data!$H$4:$I$9)),"#",getgrade(Broadsheet!AP20,data!$H$4:$I$9))</f>
        <v/>
      </c>
      <c r="BP20" s="188" t="str">
        <f>IF(ISERROR(getgrade(Broadsheet!AQ20,data!$H$4:$I$9)),"#",getgrade(Broadsheet!AQ20,data!$H$4:$I$9))</f>
        <v/>
      </c>
      <c r="BQ20" s="188" t="str">
        <f>IF(ISERROR(getgrade(Broadsheet!AR20,data!$H$4:$I$9)),"#",getgrade(Broadsheet!AR20,data!$H$4:$I$9))</f>
        <v/>
      </c>
      <c r="BR20" s="188" t="str">
        <f>IF(ISERROR(getgrade(Broadsheet!AS20,data!$H$4:$I$9)),"#",getgrade(Broadsheet!AS20,data!$H$4:$I$9))</f>
        <v/>
      </c>
      <c r="BS20" s="188" t="str">
        <f>IF(ISERROR(getgrade(Broadsheet!AT20,data!$H$4:$I$9)),"#",getgrade(Broadsheet!AT20,data!$H$4:$I$9))</f>
        <v/>
      </c>
      <c r="BT20" s="188" t="str">
        <f>IF(ISERROR(getgrade(Broadsheet!AU20,data!$H$4:$I$9)),"#",getgrade(Broadsheet!AU20,data!$H$4:$I$9))</f>
        <v/>
      </c>
      <c r="BU20" s="188" t="str">
        <f>IF(ISERROR(getgrade(Broadsheet!AV20,data!$H$4:$I$9)),"#",getgrade(Broadsheet!AV20,data!$H$4:$I$9))</f>
        <v/>
      </c>
      <c r="BV20" s="188" t="str">
        <f>IF(ISERROR(getgrade(Broadsheet!AW20,data!$H$4:$I$9)),"#",getgrade(Broadsheet!AW20,data!$H$4:$I$9))</f>
        <v/>
      </c>
      <c r="BW20" s="188" t="str">
        <f>IF(ISERROR(getgrade(Broadsheet!AX20,data!$H$4:$I$9)),"#",getgrade(Broadsheet!AX20,data!$H$4:$I$9))</f>
        <v/>
      </c>
      <c r="BX20" s="188" t="str">
        <f>IF(ISERROR(getgrade(Broadsheet!AY20,data!$H$4:$I$9)),"#",getgrade(Broadsheet!AY20,data!$H$4:$I$9))</f>
        <v/>
      </c>
      <c r="BY20" s="188" t="str">
        <f>IF(ISERROR(getgrade(Broadsheet!AZ20,data!$H$4:$I$9)),"#",getgrade(Broadsheet!AZ20,data!$H$4:$I$9))</f>
        <v/>
      </c>
      <c r="BZ20" s="188" t="str">
        <f>IF(ISERROR(getgrade(Broadsheet!BA20,data!$H$4:$I$9)),"#",getgrade(Broadsheet!BA20,data!$H$4:$I$9))</f>
        <v/>
      </c>
      <c r="CA20" s="188" t="str">
        <f>IF(ISERROR(getgrade(Broadsheet!BB20,data!$H$4:$I$9)),"#",getgrade(Broadsheet!BB20,data!$H$4:$I$9))</f>
        <v/>
      </c>
      <c r="CB20" s="188" t="str">
        <f>IF(ISERROR(getgrade(Broadsheet!BC20,data!$H$4:$I$9)),"#",getgrade(Broadsheet!BC20,data!$H$4:$I$9))</f>
        <v/>
      </c>
      <c r="CC20" s="188" t="str">
        <f>IF(ISERROR(getgrade(Broadsheet!BD20,data!$H$4:$I$9)),"#",getgrade(Broadsheet!BD20,data!$H$4:$I$9))</f>
        <v/>
      </c>
      <c r="CD20" s="188" t="str">
        <f>IF(ISERROR(getgrade(Broadsheet!BE20,data!$H$4:$I$9)),"#",getgrade(Broadsheet!BE20,data!$H$4:$I$9))</f>
        <v/>
      </c>
      <c r="CE20" s="188" t="str">
        <f>IF(ISERROR(getgrade(Broadsheet!BF20,data!$H$4:$I$9)),"#",getgrade(Broadsheet!BF20,data!$H$4:$I$9))</f>
        <v/>
      </c>
      <c r="CF20" s="188" t="str">
        <f>IF(ISERROR(getgrade(Broadsheet!BG20,data!$H$4:$I$9)),"#",getgrade(Broadsheet!BG20,data!$H$4:$I$9))</f>
        <v/>
      </c>
      <c r="CG20" s="188" t="str">
        <f>IF(ISERROR(getgrade(Broadsheet!BH20,data!$H$4:$I$9)),"#",getgrade(Broadsheet!BH20,data!$H$4:$I$9))</f>
        <v/>
      </c>
      <c r="CH20" s="188" t="str">
        <f>IF(ISERROR(getgrade(Broadsheet!BI20,data!$H$4:$I$9)),"#",getgrade(Broadsheet!BI20,data!$H$4:$I$9))</f>
        <v/>
      </c>
      <c r="CI20" s="188" t="str">
        <f>IF(ISERROR(getgrade(Broadsheet!BJ20,data!$H$4:$I$9)),"#",getgrade(Broadsheet!BJ20,data!$H$4:$I$9))</f>
        <v/>
      </c>
      <c r="CJ20" s="188"/>
      <c r="CK20" s="188"/>
      <c r="CL20" s="188"/>
      <c r="CM20" s="188"/>
      <c r="CN20" s="188"/>
      <c r="CO20" s="188"/>
      <c r="CP20" s="188"/>
      <c r="CQ20" s="188"/>
      <c r="CR20" s="188"/>
      <c r="CS20" s="188"/>
      <c r="CT20" s="188"/>
      <c r="CU20" s="188"/>
      <c r="CV20" s="188"/>
      <c r="CW20" s="188"/>
      <c r="CX20" s="188"/>
      <c r="CY20" s="188"/>
      <c r="CZ20" s="188"/>
      <c r="DA20" s="188"/>
      <c r="DB20" s="188"/>
      <c r="DC20" s="188"/>
      <c r="DD20" s="188"/>
      <c r="DE20" s="188"/>
      <c r="DF20" s="188"/>
      <c r="DG20" s="188"/>
      <c r="DH20" s="188"/>
      <c r="DI20" s="188"/>
      <c r="DJ20" s="188"/>
      <c r="DK20" s="188"/>
      <c r="DL20" s="188"/>
      <c r="DM20" s="188"/>
      <c r="DN20" s="188"/>
      <c r="DO20" s="188"/>
      <c r="DP20" s="188"/>
      <c r="DQ20" s="188"/>
      <c r="DR20" s="188"/>
      <c r="DS20" s="188"/>
      <c r="DT20" s="188"/>
      <c r="DU20" s="188"/>
      <c r="DV20" s="188"/>
      <c r="DW20" s="188"/>
      <c r="DX20" s="188"/>
      <c r="DY20" s="188"/>
      <c r="DZ20" s="188"/>
      <c r="EA20" s="188"/>
      <c r="EB20" s="188"/>
      <c r="EC20" s="188"/>
      <c r="ED20" s="188"/>
      <c r="EE20" s="188"/>
      <c r="EF20" s="188"/>
      <c r="EG20" s="188"/>
      <c r="EH20" s="188"/>
      <c r="EI20" s="188"/>
      <c r="EJ20" s="188"/>
      <c r="EK20" s="188"/>
      <c r="EL20" s="188"/>
      <c r="EM20" s="188"/>
      <c r="EN20" s="188"/>
      <c r="EO20" s="188"/>
      <c r="EP20" s="188"/>
      <c r="EQ20" s="188"/>
      <c r="ER20" s="188"/>
      <c r="ES20" s="188"/>
      <c r="ET20" s="188"/>
      <c r="EU20" s="188"/>
      <c r="EV20" s="188"/>
      <c r="EW20" s="188"/>
      <c r="EX20" s="188"/>
      <c r="EY20" s="188"/>
      <c r="EZ20" s="188"/>
    </row>
    <row r="21" spans="1:156" ht="15.75" x14ac:dyDescent="0.25">
      <c r="A21" s="12">
        <v>12</v>
      </c>
      <c r="B21" s="16"/>
      <c r="C21" s="24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07"/>
      <c r="Y21" s="110"/>
      <c r="Z21" s="19"/>
      <c r="AA21" s="25"/>
      <c r="AB21" s="21"/>
      <c r="AC21" s="25"/>
      <c r="AD21" s="25"/>
      <c r="AE21" s="20"/>
      <c r="AG21" s="188" t="str">
        <f>IF(ISERROR(getgrade(Broadsheet!H21,data!$H$4:$I$9)),"#",getgrade(Broadsheet!H21,data!$H$4:$I$9))</f>
        <v/>
      </c>
      <c r="AH21" s="188" t="str">
        <f>IF(ISERROR(getgrade(Broadsheet!I21,data!$H$4:$I$9)),"#",getgrade(Broadsheet!I21,data!$H$4:$I$9))</f>
        <v/>
      </c>
      <c r="AI21" s="188" t="str">
        <f>IF(ISERROR(getgrade(Broadsheet!J21,data!$H$4:$I$9)),"#",getgrade(Broadsheet!J21,data!$H$4:$I$9))</f>
        <v/>
      </c>
      <c r="AJ21" s="188" t="str">
        <f>IF(ISERROR(getgrade(Broadsheet!K21,data!$H$4:$I$9)),"#",getgrade(Broadsheet!K21,data!$H$4:$I$9))</f>
        <v/>
      </c>
      <c r="AK21" s="188" t="str">
        <f>IF(ISERROR(getgrade(Broadsheet!L21,data!$H$4:$I$9)),"#",getgrade(Broadsheet!L21,data!$H$4:$I$9))</f>
        <v/>
      </c>
      <c r="AL21" s="188" t="str">
        <f>IF(ISERROR(getgrade(Broadsheet!M21,data!$H$4:$I$9)),"#",getgrade(Broadsheet!M21,data!$H$4:$I$9))</f>
        <v/>
      </c>
      <c r="AM21" s="188" t="str">
        <f>IF(ISERROR(getgrade(Broadsheet!N21,data!$H$4:$I$9)),"#",getgrade(Broadsheet!N21,data!$H$4:$I$9))</f>
        <v/>
      </c>
      <c r="AN21" s="188" t="str">
        <f>IF(ISERROR(getgrade(Broadsheet!O21,data!$H$4:$I$9)),"#",getgrade(Broadsheet!O21,data!$H$4:$I$9))</f>
        <v/>
      </c>
      <c r="AO21" s="188" t="str">
        <f>IF(ISERROR(getgrade(Broadsheet!P21,data!$H$4:$I$9)),"#",getgrade(Broadsheet!P21,data!$H$4:$I$9))</f>
        <v/>
      </c>
      <c r="AP21" s="188" t="str">
        <f>IF(ISERROR(getgrade(Broadsheet!Q21,data!$H$4:$I$9)),"#",getgrade(Broadsheet!Q21,data!$H$4:$I$9))</f>
        <v/>
      </c>
      <c r="AQ21" s="188" t="str">
        <f>IF(ISERROR(getgrade(Broadsheet!R21,data!$H$4:$I$9)),"#",getgrade(Broadsheet!R21,data!$H$4:$I$9))</f>
        <v/>
      </c>
      <c r="AR21" s="188" t="str">
        <f>IF(ISERROR(getgrade(Broadsheet!S21,data!$H$4:$I$9)),"#",getgrade(Broadsheet!S21,data!$H$4:$I$9))</f>
        <v/>
      </c>
      <c r="AS21" s="188" t="str">
        <f>IF(ISERROR(getgrade(Broadsheet!T21,data!$H$4:$I$9)),"#",getgrade(Broadsheet!T21,data!$H$4:$I$9))</f>
        <v/>
      </c>
      <c r="AT21" s="188" t="str">
        <f>IF(ISERROR(getgrade(Broadsheet!U21,data!$H$4:$I$9)),"#",getgrade(Broadsheet!U21,data!$H$4:$I$9))</f>
        <v/>
      </c>
      <c r="AU21" s="188" t="str">
        <f>IF(ISERROR(getgrade(Broadsheet!V21,data!$H$4:$I$9)),"#",getgrade(Broadsheet!V21,data!$H$4:$I$9))</f>
        <v/>
      </c>
      <c r="AV21" s="188" t="str">
        <f>IF(ISERROR(getgrade(Broadsheet!W21,data!$H$4:$I$9)),"#",getgrade(Broadsheet!W21,data!$H$4:$I$9))</f>
        <v/>
      </c>
      <c r="AW21" s="188" t="str">
        <f>IF(ISERROR(getgrade(Broadsheet!X21,data!$H$4:$I$9)),"#",getgrade(Broadsheet!X21,data!$H$4:$I$9))</f>
        <v/>
      </c>
      <c r="AX21" s="188" t="str">
        <f>IF(ISERROR(getgrade(Broadsheet!Y21,data!$H$4:$I$9)),"#",getgrade(Broadsheet!Y21,data!$H$4:$I$9))</f>
        <v/>
      </c>
      <c r="AY21" s="188" t="str">
        <f>IF(ISERROR(getgrade(Broadsheet!Z21,data!$H$4:$I$9)),"#",getgrade(Broadsheet!Z21,data!$H$4:$I$9))</f>
        <v/>
      </c>
      <c r="AZ21" s="188" t="str">
        <f>IF(ISERROR(getgrade(Broadsheet!AA21,data!$H$4:$I$9)),"#",getgrade(Broadsheet!AA21,data!$H$4:$I$9))</f>
        <v/>
      </c>
      <c r="BA21" s="188" t="str">
        <f>IF(ISERROR(getgrade(Broadsheet!AB21,data!$H$4:$I$9)),"#",getgrade(Broadsheet!AB21,data!$H$4:$I$9))</f>
        <v/>
      </c>
      <c r="BB21" s="188" t="str">
        <f>IF(ISERROR(getgrade(Broadsheet!AC21,data!$H$4:$I$9)),"#",getgrade(Broadsheet!AC21,data!$H$4:$I$9))</f>
        <v/>
      </c>
      <c r="BC21" s="188" t="str">
        <f>IF(ISERROR(getgrade(Broadsheet!AD21,data!$H$4:$I$9)),"#",getgrade(Broadsheet!AD21,data!$H$4:$I$9))</f>
        <v/>
      </c>
      <c r="BD21" s="188" t="str">
        <f>IF(ISERROR(getgrade(Broadsheet!AE21,data!$H$4:$I$9)),"#",getgrade(Broadsheet!AE21,data!$H$4:$I$9))</f>
        <v/>
      </c>
      <c r="BE21" s="188" t="str">
        <f>IF(ISERROR(getgrade(Broadsheet!AF21,data!$H$4:$I$9)),"#",getgrade(Broadsheet!AF21,data!$H$4:$I$9))</f>
        <v/>
      </c>
      <c r="BF21" s="188" t="str">
        <f>IF(ISERROR(getgrade(Broadsheet!AG21,data!$H$4:$I$9)),"#",getgrade(Broadsheet!AG21,data!$H$4:$I$9))</f>
        <v/>
      </c>
      <c r="BG21" s="188" t="str">
        <f>IF(ISERROR(getgrade(Broadsheet!AH21,data!$H$4:$I$9)),"#",getgrade(Broadsheet!AH21,data!$H$4:$I$9))</f>
        <v/>
      </c>
      <c r="BH21" s="188" t="str">
        <f>IF(ISERROR(getgrade(Broadsheet!AI21,data!$H$4:$I$9)),"#",getgrade(Broadsheet!AI21,data!$H$4:$I$9))</f>
        <v/>
      </c>
      <c r="BI21" s="188" t="str">
        <f>IF(ISERROR(getgrade(Broadsheet!AJ21,data!$H$4:$I$9)),"#",getgrade(Broadsheet!AJ21,data!$H$4:$I$9))</f>
        <v/>
      </c>
      <c r="BJ21" s="188" t="str">
        <f>IF(ISERROR(getgrade(Broadsheet!AK21,data!$H$4:$I$9)),"#",getgrade(Broadsheet!AK21,data!$H$4:$I$9))</f>
        <v/>
      </c>
      <c r="BK21" s="188" t="str">
        <f>IF(ISERROR(getgrade(Broadsheet!AL21,data!$H$4:$I$9)),"#",getgrade(Broadsheet!AL21,data!$H$4:$I$9))</f>
        <v/>
      </c>
      <c r="BL21" s="188" t="str">
        <f>IF(ISERROR(getgrade(Broadsheet!AM21,data!$H$4:$I$9)),"#",getgrade(Broadsheet!AM21,data!$H$4:$I$9))</f>
        <v/>
      </c>
      <c r="BM21" s="188" t="str">
        <f>IF(ISERROR(getgrade(Broadsheet!AN21,data!$H$4:$I$9)),"#",getgrade(Broadsheet!AN21,data!$H$4:$I$9))</f>
        <v/>
      </c>
      <c r="BN21" s="188" t="str">
        <f>IF(ISERROR(getgrade(Broadsheet!AO21,data!$H$4:$I$9)),"#",getgrade(Broadsheet!AO21,data!$H$4:$I$9))</f>
        <v/>
      </c>
      <c r="BO21" s="188" t="str">
        <f>IF(ISERROR(getgrade(Broadsheet!AP21,data!$H$4:$I$9)),"#",getgrade(Broadsheet!AP21,data!$H$4:$I$9))</f>
        <v/>
      </c>
      <c r="BP21" s="188" t="str">
        <f>IF(ISERROR(getgrade(Broadsheet!AQ21,data!$H$4:$I$9)),"#",getgrade(Broadsheet!AQ21,data!$H$4:$I$9))</f>
        <v/>
      </c>
      <c r="BQ21" s="188" t="str">
        <f>IF(ISERROR(getgrade(Broadsheet!AR21,data!$H$4:$I$9)),"#",getgrade(Broadsheet!AR21,data!$H$4:$I$9))</f>
        <v/>
      </c>
      <c r="BR21" s="188" t="str">
        <f>IF(ISERROR(getgrade(Broadsheet!AS21,data!$H$4:$I$9)),"#",getgrade(Broadsheet!AS21,data!$H$4:$I$9))</f>
        <v/>
      </c>
      <c r="BS21" s="188" t="str">
        <f>IF(ISERROR(getgrade(Broadsheet!AT21,data!$H$4:$I$9)),"#",getgrade(Broadsheet!AT21,data!$H$4:$I$9))</f>
        <v/>
      </c>
      <c r="BT21" s="188" t="str">
        <f>IF(ISERROR(getgrade(Broadsheet!AU21,data!$H$4:$I$9)),"#",getgrade(Broadsheet!AU21,data!$H$4:$I$9))</f>
        <v/>
      </c>
      <c r="BU21" s="188" t="str">
        <f>IF(ISERROR(getgrade(Broadsheet!AV21,data!$H$4:$I$9)),"#",getgrade(Broadsheet!AV21,data!$H$4:$I$9))</f>
        <v/>
      </c>
      <c r="BV21" s="188" t="str">
        <f>IF(ISERROR(getgrade(Broadsheet!AW21,data!$H$4:$I$9)),"#",getgrade(Broadsheet!AW21,data!$H$4:$I$9))</f>
        <v/>
      </c>
      <c r="BW21" s="188" t="str">
        <f>IF(ISERROR(getgrade(Broadsheet!AX21,data!$H$4:$I$9)),"#",getgrade(Broadsheet!AX21,data!$H$4:$I$9))</f>
        <v/>
      </c>
      <c r="BX21" s="188" t="str">
        <f>IF(ISERROR(getgrade(Broadsheet!AY21,data!$H$4:$I$9)),"#",getgrade(Broadsheet!AY21,data!$H$4:$I$9))</f>
        <v/>
      </c>
      <c r="BY21" s="188" t="str">
        <f>IF(ISERROR(getgrade(Broadsheet!AZ21,data!$H$4:$I$9)),"#",getgrade(Broadsheet!AZ21,data!$H$4:$I$9))</f>
        <v/>
      </c>
      <c r="BZ21" s="188" t="str">
        <f>IF(ISERROR(getgrade(Broadsheet!BA21,data!$H$4:$I$9)),"#",getgrade(Broadsheet!BA21,data!$H$4:$I$9))</f>
        <v/>
      </c>
      <c r="CA21" s="188" t="str">
        <f>IF(ISERROR(getgrade(Broadsheet!BB21,data!$H$4:$I$9)),"#",getgrade(Broadsheet!BB21,data!$H$4:$I$9))</f>
        <v/>
      </c>
      <c r="CB21" s="188" t="str">
        <f>IF(ISERROR(getgrade(Broadsheet!BC21,data!$H$4:$I$9)),"#",getgrade(Broadsheet!BC21,data!$H$4:$I$9))</f>
        <v/>
      </c>
      <c r="CC21" s="188" t="str">
        <f>IF(ISERROR(getgrade(Broadsheet!BD21,data!$H$4:$I$9)),"#",getgrade(Broadsheet!BD21,data!$H$4:$I$9))</f>
        <v/>
      </c>
      <c r="CD21" s="188" t="str">
        <f>IF(ISERROR(getgrade(Broadsheet!BE21,data!$H$4:$I$9)),"#",getgrade(Broadsheet!BE21,data!$H$4:$I$9))</f>
        <v/>
      </c>
      <c r="CE21" s="188" t="str">
        <f>IF(ISERROR(getgrade(Broadsheet!BF21,data!$H$4:$I$9)),"#",getgrade(Broadsheet!BF21,data!$H$4:$I$9))</f>
        <v/>
      </c>
      <c r="CF21" s="188" t="str">
        <f>IF(ISERROR(getgrade(Broadsheet!BG21,data!$H$4:$I$9)),"#",getgrade(Broadsheet!BG21,data!$H$4:$I$9))</f>
        <v/>
      </c>
      <c r="CG21" s="188" t="str">
        <f>IF(ISERROR(getgrade(Broadsheet!BH21,data!$H$4:$I$9)),"#",getgrade(Broadsheet!BH21,data!$H$4:$I$9))</f>
        <v/>
      </c>
      <c r="CH21" s="188" t="str">
        <f>IF(ISERROR(getgrade(Broadsheet!BI21,data!$H$4:$I$9)),"#",getgrade(Broadsheet!BI21,data!$H$4:$I$9))</f>
        <v/>
      </c>
      <c r="CI21" s="188" t="str">
        <f>IF(ISERROR(getgrade(Broadsheet!BJ21,data!$H$4:$I$9)),"#",getgrade(Broadsheet!BJ21,data!$H$4:$I$9))</f>
        <v/>
      </c>
      <c r="CJ21" s="188"/>
      <c r="CK21" s="188"/>
      <c r="CL21" s="188"/>
      <c r="CM21" s="188"/>
      <c r="CN21" s="188"/>
      <c r="CO21" s="188"/>
      <c r="CP21" s="188"/>
      <c r="CQ21" s="188"/>
      <c r="CR21" s="188"/>
      <c r="CS21" s="188"/>
      <c r="CT21" s="188"/>
      <c r="CU21" s="188"/>
      <c r="CV21" s="188"/>
      <c r="CW21" s="188"/>
      <c r="CX21" s="188"/>
      <c r="CY21" s="188"/>
      <c r="CZ21" s="188"/>
      <c r="DA21" s="188"/>
      <c r="DB21" s="188"/>
      <c r="DC21" s="188"/>
      <c r="DD21" s="188"/>
      <c r="DE21" s="188"/>
      <c r="DF21" s="188"/>
      <c r="DG21" s="188"/>
      <c r="DH21" s="188"/>
      <c r="DI21" s="188"/>
      <c r="DJ21" s="188"/>
      <c r="DK21" s="188"/>
      <c r="DL21" s="188"/>
      <c r="DM21" s="188"/>
      <c r="DN21" s="188"/>
      <c r="DO21" s="188"/>
      <c r="DP21" s="188"/>
      <c r="DQ21" s="188"/>
      <c r="DR21" s="188"/>
      <c r="DS21" s="188"/>
      <c r="DT21" s="188"/>
      <c r="DU21" s="188"/>
      <c r="DV21" s="188"/>
      <c r="DW21" s="188"/>
      <c r="DX21" s="188"/>
      <c r="DY21" s="188"/>
      <c r="DZ21" s="188"/>
      <c r="EA21" s="188"/>
      <c r="EB21" s="188"/>
      <c r="EC21" s="188"/>
      <c r="ED21" s="188"/>
      <c r="EE21" s="188"/>
      <c r="EF21" s="188"/>
      <c r="EG21" s="188"/>
      <c r="EH21" s="188"/>
      <c r="EI21" s="188"/>
      <c r="EJ21" s="188"/>
      <c r="EK21" s="188"/>
      <c r="EL21" s="188"/>
      <c r="EM21" s="188"/>
      <c r="EN21" s="188"/>
      <c r="EO21" s="188"/>
      <c r="EP21" s="188"/>
      <c r="EQ21" s="188"/>
      <c r="ER21" s="188"/>
      <c r="ES21" s="188"/>
      <c r="ET21" s="188"/>
      <c r="EU21" s="188"/>
      <c r="EV21" s="188"/>
      <c r="EW21" s="188"/>
      <c r="EX21" s="188"/>
      <c r="EY21" s="188"/>
      <c r="EZ21" s="188"/>
    </row>
    <row r="22" spans="1:156" ht="15.75" x14ac:dyDescent="0.25">
      <c r="A22" s="12">
        <v>13</v>
      </c>
      <c r="B22" s="16"/>
      <c r="C22" s="24"/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07"/>
      <c r="Y22" s="110"/>
      <c r="Z22" s="19"/>
      <c r="AA22" s="25"/>
      <c r="AB22" s="21"/>
      <c r="AC22" s="25"/>
      <c r="AD22" s="25"/>
      <c r="AE22" s="20"/>
      <c r="AG22" s="188" t="str">
        <f>IF(ISERROR(getgrade(Broadsheet!H22,data!$H$4:$I$9)),"#",getgrade(Broadsheet!H22,data!$H$4:$I$9))</f>
        <v/>
      </c>
      <c r="AH22" s="188" t="str">
        <f>IF(ISERROR(getgrade(Broadsheet!I22,data!$H$4:$I$9)),"#",getgrade(Broadsheet!I22,data!$H$4:$I$9))</f>
        <v/>
      </c>
      <c r="AI22" s="188" t="str">
        <f>IF(ISERROR(getgrade(Broadsheet!J22,data!$H$4:$I$9)),"#",getgrade(Broadsheet!J22,data!$H$4:$I$9))</f>
        <v/>
      </c>
      <c r="AJ22" s="188" t="str">
        <f>IF(ISERROR(getgrade(Broadsheet!K22,data!$H$4:$I$9)),"#",getgrade(Broadsheet!K22,data!$H$4:$I$9))</f>
        <v/>
      </c>
      <c r="AK22" s="188" t="str">
        <f>IF(ISERROR(getgrade(Broadsheet!L22,data!$H$4:$I$9)),"#",getgrade(Broadsheet!L22,data!$H$4:$I$9))</f>
        <v/>
      </c>
      <c r="AL22" s="188" t="str">
        <f>IF(ISERROR(getgrade(Broadsheet!M22,data!$H$4:$I$9)),"#",getgrade(Broadsheet!M22,data!$H$4:$I$9))</f>
        <v/>
      </c>
      <c r="AM22" s="188" t="str">
        <f>IF(ISERROR(getgrade(Broadsheet!N22,data!$H$4:$I$9)),"#",getgrade(Broadsheet!N22,data!$H$4:$I$9))</f>
        <v/>
      </c>
      <c r="AN22" s="188" t="str">
        <f>IF(ISERROR(getgrade(Broadsheet!O22,data!$H$4:$I$9)),"#",getgrade(Broadsheet!O22,data!$H$4:$I$9))</f>
        <v/>
      </c>
      <c r="AO22" s="188" t="str">
        <f>IF(ISERROR(getgrade(Broadsheet!P22,data!$H$4:$I$9)),"#",getgrade(Broadsheet!P22,data!$H$4:$I$9))</f>
        <v/>
      </c>
      <c r="AP22" s="188" t="str">
        <f>IF(ISERROR(getgrade(Broadsheet!Q22,data!$H$4:$I$9)),"#",getgrade(Broadsheet!Q22,data!$H$4:$I$9))</f>
        <v/>
      </c>
      <c r="AQ22" s="188" t="str">
        <f>IF(ISERROR(getgrade(Broadsheet!R22,data!$H$4:$I$9)),"#",getgrade(Broadsheet!R22,data!$H$4:$I$9))</f>
        <v/>
      </c>
      <c r="AR22" s="188" t="str">
        <f>IF(ISERROR(getgrade(Broadsheet!S22,data!$H$4:$I$9)),"#",getgrade(Broadsheet!S22,data!$H$4:$I$9))</f>
        <v/>
      </c>
      <c r="AS22" s="188" t="str">
        <f>IF(ISERROR(getgrade(Broadsheet!T22,data!$H$4:$I$9)),"#",getgrade(Broadsheet!T22,data!$H$4:$I$9))</f>
        <v/>
      </c>
      <c r="AT22" s="188" t="str">
        <f>IF(ISERROR(getgrade(Broadsheet!U22,data!$H$4:$I$9)),"#",getgrade(Broadsheet!U22,data!$H$4:$I$9))</f>
        <v/>
      </c>
      <c r="AU22" s="188" t="str">
        <f>IF(ISERROR(getgrade(Broadsheet!V22,data!$H$4:$I$9)),"#",getgrade(Broadsheet!V22,data!$H$4:$I$9))</f>
        <v/>
      </c>
      <c r="AV22" s="188" t="str">
        <f>IF(ISERROR(getgrade(Broadsheet!W22,data!$H$4:$I$9)),"#",getgrade(Broadsheet!W22,data!$H$4:$I$9))</f>
        <v/>
      </c>
      <c r="AW22" s="188" t="str">
        <f>IF(ISERROR(getgrade(Broadsheet!X22,data!$H$4:$I$9)),"#",getgrade(Broadsheet!X22,data!$H$4:$I$9))</f>
        <v/>
      </c>
      <c r="AX22" s="188" t="str">
        <f>IF(ISERROR(getgrade(Broadsheet!Y22,data!$H$4:$I$9)),"#",getgrade(Broadsheet!Y22,data!$H$4:$I$9))</f>
        <v/>
      </c>
      <c r="AY22" s="188" t="str">
        <f>IF(ISERROR(getgrade(Broadsheet!Z22,data!$H$4:$I$9)),"#",getgrade(Broadsheet!Z22,data!$H$4:$I$9))</f>
        <v/>
      </c>
      <c r="AZ22" s="188" t="str">
        <f>IF(ISERROR(getgrade(Broadsheet!AA22,data!$H$4:$I$9)),"#",getgrade(Broadsheet!AA22,data!$H$4:$I$9))</f>
        <v/>
      </c>
      <c r="BA22" s="188" t="str">
        <f>IF(ISERROR(getgrade(Broadsheet!AB22,data!$H$4:$I$9)),"#",getgrade(Broadsheet!AB22,data!$H$4:$I$9))</f>
        <v/>
      </c>
      <c r="BB22" s="188" t="str">
        <f>IF(ISERROR(getgrade(Broadsheet!AC22,data!$H$4:$I$9)),"#",getgrade(Broadsheet!AC22,data!$H$4:$I$9))</f>
        <v/>
      </c>
      <c r="BC22" s="188" t="str">
        <f>IF(ISERROR(getgrade(Broadsheet!AD22,data!$H$4:$I$9)),"#",getgrade(Broadsheet!AD22,data!$H$4:$I$9))</f>
        <v/>
      </c>
      <c r="BD22" s="188" t="str">
        <f>IF(ISERROR(getgrade(Broadsheet!AE22,data!$H$4:$I$9)),"#",getgrade(Broadsheet!AE22,data!$H$4:$I$9))</f>
        <v/>
      </c>
      <c r="BE22" s="188" t="str">
        <f>IF(ISERROR(getgrade(Broadsheet!AF22,data!$H$4:$I$9)),"#",getgrade(Broadsheet!AF22,data!$H$4:$I$9))</f>
        <v/>
      </c>
      <c r="BF22" s="188" t="str">
        <f>IF(ISERROR(getgrade(Broadsheet!AG22,data!$H$4:$I$9)),"#",getgrade(Broadsheet!AG22,data!$H$4:$I$9))</f>
        <v/>
      </c>
      <c r="BG22" s="188" t="str">
        <f>IF(ISERROR(getgrade(Broadsheet!AH22,data!$H$4:$I$9)),"#",getgrade(Broadsheet!AH22,data!$H$4:$I$9))</f>
        <v/>
      </c>
      <c r="BH22" s="188" t="str">
        <f>IF(ISERROR(getgrade(Broadsheet!AI22,data!$H$4:$I$9)),"#",getgrade(Broadsheet!AI22,data!$H$4:$I$9))</f>
        <v/>
      </c>
      <c r="BI22" s="188" t="str">
        <f>IF(ISERROR(getgrade(Broadsheet!AJ22,data!$H$4:$I$9)),"#",getgrade(Broadsheet!AJ22,data!$H$4:$I$9))</f>
        <v/>
      </c>
      <c r="BJ22" s="188" t="str">
        <f>IF(ISERROR(getgrade(Broadsheet!AK22,data!$H$4:$I$9)),"#",getgrade(Broadsheet!AK22,data!$H$4:$I$9))</f>
        <v/>
      </c>
      <c r="BK22" s="188" t="str">
        <f>IF(ISERROR(getgrade(Broadsheet!AL22,data!$H$4:$I$9)),"#",getgrade(Broadsheet!AL22,data!$H$4:$I$9))</f>
        <v/>
      </c>
      <c r="BL22" s="188" t="str">
        <f>IF(ISERROR(getgrade(Broadsheet!AM22,data!$H$4:$I$9)),"#",getgrade(Broadsheet!AM22,data!$H$4:$I$9))</f>
        <v/>
      </c>
      <c r="BM22" s="188" t="str">
        <f>IF(ISERROR(getgrade(Broadsheet!AN22,data!$H$4:$I$9)),"#",getgrade(Broadsheet!AN22,data!$H$4:$I$9))</f>
        <v/>
      </c>
      <c r="BN22" s="188" t="str">
        <f>IF(ISERROR(getgrade(Broadsheet!AO22,data!$H$4:$I$9)),"#",getgrade(Broadsheet!AO22,data!$H$4:$I$9))</f>
        <v/>
      </c>
      <c r="BO22" s="188" t="str">
        <f>IF(ISERROR(getgrade(Broadsheet!AP22,data!$H$4:$I$9)),"#",getgrade(Broadsheet!AP22,data!$H$4:$I$9))</f>
        <v/>
      </c>
      <c r="BP22" s="188" t="str">
        <f>IF(ISERROR(getgrade(Broadsheet!AQ22,data!$H$4:$I$9)),"#",getgrade(Broadsheet!AQ22,data!$H$4:$I$9))</f>
        <v/>
      </c>
      <c r="BQ22" s="188" t="str">
        <f>IF(ISERROR(getgrade(Broadsheet!AR22,data!$H$4:$I$9)),"#",getgrade(Broadsheet!AR22,data!$H$4:$I$9))</f>
        <v/>
      </c>
      <c r="BR22" s="188" t="str">
        <f>IF(ISERROR(getgrade(Broadsheet!AS22,data!$H$4:$I$9)),"#",getgrade(Broadsheet!AS22,data!$H$4:$I$9))</f>
        <v/>
      </c>
      <c r="BS22" s="188" t="str">
        <f>IF(ISERROR(getgrade(Broadsheet!AT22,data!$H$4:$I$9)),"#",getgrade(Broadsheet!AT22,data!$H$4:$I$9))</f>
        <v/>
      </c>
      <c r="BT22" s="188" t="str">
        <f>IF(ISERROR(getgrade(Broadsheet!AU22,data!$H$4:$I$9)),"#",getgrade(Broadsheet!AU22,data!$H$4:$I$9))</f>
        <v/>
      </c>
      <c r="BU22" s="188" t="str">
        <f>IF(ISERROR(getgrade(Broadsheet!AV22,data!$H$4:$I$9)),"#",getgrade(Broadsheet!AV22,data!$H$4:$I$9))</f>
        <v/>
      </c>
      <c r="BV22" s="188" t="str">
        <f>IF(ISERROR(getgrade(Broadsheet!AW22,data!$H$4:$I$9)),"#",getgrade(Broadsheet!AW22,data!$H$4:$I$9))</f>
        <v/>
      </c>
      <c r="BW22" s="188" t="str">
        <f>IF(ISERROR(getgrade(Broadsheet!AX22,data!$H$4:$I$9)),"#",getgrade(Broadsheet!AX22,data!$H$4:$I$9))</f>
        <v/>
      </c>
      <c r="BX22" s="188" t="str">
        <f>IF(ISERROR(getgrade(Broadsheet!AY22,data!$H$4:$I$9)),"#",getgrade(Broadsheet!AY22,data!$H$4:$I$9))</f>
        <v/>
      </c>
      <c r="BY22" s="188" t="str">
        <f>IF(ISERROR(getgrade(Broadsheet!AZ22,data!$H$4:$I$9)),"#",getgrade(Broadsheet!AZ22,data!$H$4:$I$9))</f>
        <v/>
      </c>
      <c r="BZ22" s="188" t="str">
        <f>IF(ISERROR(getgrade(Broadsheet!BA22,data!$H$4:$I$9)),"#",getgrade(Broadsheet!BA22,data!$H$4:$I$9))</f>
        <v/>
      </c>
      <c r="CA22" s="188" t="str">
        <f>IF(ISERROR(getgrade(Broadsheet!BB22,data!$H$4:$I$9)),"#",getgrade(Broadsheet!BB22,data!$H$4:$I$9))</f>
        <v/>
      </c>
      <c r="CB22" s="188" t="str">
        <f>IF(ISERROR(getgrade(Broadsheet!BC22,data!$H$4:$I$9)),"#",getgrade(Broadsheet!BC22,data!$H$4:$I$9))</f>
        <v/>
      </c>
      <c r="CC22" s="188" t="str">
        <f>IF(ISERROR(getgrade(Broadsheet!BD22,data!$H$4:$I$9)),"#",getgrade(Broadsheet!BD22,data!$H$4:$I$9))</f>
        <v/>
      </c>
      <c r="CD22" s="188" t="str">
        <f>IF(ISERROR(getgrade(Broadsheet!BE22,data!$H$4:$I$9)),"#",getgrade(Broadsheet!BE22,data!$H$4:$I$9))</f>
        <v/>
      </c>
      <c r="CE22" s="188" t="str">
        <f>IF(ISERROR(getgrade(Broadsheet!BF22,data!$H$4:$I$9)),"#",getgrade(Broadsheet!BF22,data!$H$4:$I$9))</f>
        <v/>
      </c>
      <c r="CF22" s="188" t="str">
        <f>IF(ISERROR(getgrade(Broadsheet!BG22,data!$H$4:$I$9)),"#",getgrade(Broadsheet!BG22,data!$H$4:$I$9))</f>
        <v/>
      </c>
      <c r="CG22" s="188" t="str">
        <f>IF(ISERROR(getgrade(Broadsheet!BH22,data!$H$4:$I$9)),"#",getgrade(Broadsheet!BH22,data!$H$4:$I$9))</f>
        <v/>
      </c>
      <c r="CH22" s="188" t="str">
        <f>IF(ISERROR(getgrade(Broadsheet!BI22,data!$H$4:$I$9)),"#",getgrade(Broadsheet!BI22,data!$H$4:$I$9))</f>
        <v/>
      </c>
      <c r="CI22" s="188" t="str">
        <f>IF(ISERROR(getgrade(Broadsheet!BJ22,data!$H$4:$I$9)),"#",getgrade(Broadsheet!BJ22,data!$H$4:$I$9))</f>
        <v/>
      </c>
      <c r="CJ22" s="188"/>
      <c r="CK22" s="188"/>
      <c r="CL22" s="188"/>
      <c r="CM22" s="188"/>
      <c r="CN22" s="188"/>
      <c r="CO22" s="188"/>
      <c r="CP22" s="188"/>
      <c r="CQ22" s="188"/>
      <c r="CR22" s="188"/>
      <c r="CS22" s="188"/>
      <c r="CT22" s="188"/>
      <c r="CU22" s="188"/>
      <c r="CV22" s="188"/>
      <c r="CW22" s="188"/>
      <c r="CX22" s="188"/>
      <c r="CY22" s="188"/>
      <c r="CZ22" s="188"/>
      <c r="DA22" s="188"/>
      <c r="DB22" s="188"/>
      <c r="DC22" s="188"/>
      <c r="DD22" s="188"/>
      <c r="DE22" s="188"/>
      <c r="DF22" s="188"/>
      <c r="DG22" s="188"/>
      <c r="DH22" s="188"/>
      <c r="DI22" s="188"/>
      <c r="DJ22" s="188"/>
      <c r="DK22" s="188"/>
      <c r="DL22" s="188"/>
      <c r="DM22" s="188"/>
      <c r="DN22" s="188"/>
      <c r="DO22" s="188"/>
      <c r="DP22" s="188"/>
      <c r="DQ22" s="188"/>
      <c r="DR22" s="188"/>
      <c r="DS22" s="188"/>
      <c r="DT22" s="188"/>
      <c r="DU22" s="188"/>
      <c r="DV22" s="188"/>
      <c r="DW22" s="188"/>
      <c r="DX22" s="188"/>
      <c r="DY22" s="188"/>
      <c r="DZ22" s="188"/>
      <c r="EA22" s="188"/>
      <c r="EB22" s="188"/>
      <c r="EC22" s="188"/>
      <c r="ED22" s="188"/>
      <c r="EE22" s="188"/>
      <c r="EF22" s="188"/>
      <c r="EG22" s="188"/>
      <c r="EH22" s="188"/>
      <c r="EI22" s="188"/>
      <c r="EJ22" s="188"/>
      <c r="EK22" s="188"/>
      <c r="EL22" s="188"/>
      <c r="EM22" s="188"/>
      <c r="EN22" s="188"/>
      <c r="EO22" s="188"/>
      <c r="EP22" s="188"/>
      <c r="EQ22" s="188"/>
      <c r="ER22" s="188"/>
      <c r="ES22" s="188"/>
      <c r="ET22" s="188"/>
      <c r="EU22" s="188"/>
      <c r="EV22" s="188"/>
      <c r="EW22" s="188"/>
      <c r="EX22" s="188"/>
      <c r="EY22" s="188"/>
      <c r="EZ22" s="188"/>
    </row>
    <row r="23" spans="1:156" ht="15.75" x14ac:dyDescent="0.25">
      <c r="A23" s="12">
        <v>14</v>
      </c>
      <c r="B23" s="16"/>
      <c r="C23" s="24"/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07"/>
      <c r="Y23" s="110"/>
      <c r="Z23" s="19"/>
      <c r="AA23" s="25"/>
      <c r="AB23" s="21"/>
      <c r="AC23" s="25"/>
      <c r="AD23" s="25"/>
      <c r="AE23" s="20"/>
      <c r="AG23" s="188" t="str">
        <f>IF(ISERROR(getgrade(Broadsheet!H23,data!$H$4:$I$9)),"#",getgrade(Broadsheet!H23,data!$H$4:$I$9))</f>
        <v/>
      </c>
      <c r="AH23" s="188" t="str">
        <f>IF(ISERROR(getgrade(Broadsheet!I23,data!$H$4:$I$9)),"#",getgrade(Broadsheet!I23,data!$H$4:$I$9))</f>
        <v/>
      </c>
      <c r="AI23" s="188" t="str">
        <f>IF(ISERROR(getgrade(Broadsheet!J23,data!$H$4:$I$9)),"#",getgrade(Broadsheet!J23,data!$H$4:$I$9))</f>
        <v/>
      </c>
      <c r="AJ23" s="188" t="str">
        <f>IF(ISERROR(getgrade(Broadsheet!K23,data!$H$4:$I$9)),"#",getgrade(Broadsheet!K23,data!$H$4:$I$9))</f>
        <v/>
      </c>
      <c r="AK23" s="188" t="str">
        <f>IF(ISERROR(getgrade(Broadsheet!L23,data!$H$4:$I$9)),"#",getgrade(Broadsheet!L23,data!$H$4:$I$9))</f>
        <v/>
      </c>
      <c r="AL23" s="188" t="str">
        <f>IF(ISERROR(getgrade(Broadsheet!M23,data!$H$4:$I$9)),"#",getgrade(Broadsheet!M23,data!$H$4:$I$9))</f>
        <v/>
      </c>
      <c r="AM23" s="188" t="str">
        <f>IF(ISERROR(getgrade(Broadsheet!N23,data!$H$4:$I$9)),"#",getgrade(Broadsheet!N23,data!$H$4:$I$9))</f>
        <v/>
      </c>
      <c r="AN23" s="188" t="str">
        <f>IF(ISERROR(getgrade(Broadsheet!O23,data!$H$4:$I$9)),"#",getgrade(Broadsheet!O23,data!$H$4:$I$9))</f>
        <v/>
      </c>
      <c r="AO23" s="188" t="str">
        <f>IF(ISERROR(getgrade(Broadsheet!P23,data!$H$4:$I$9)),"#",getgrade(Broadsheet!P23,data!$H$4:$I$9))</f>
        <v/>
      </c>
      <c r="AP23" s="188" t="str">
        <f>IF(ISERROR(getgrade(Broadsheet!Q23,data!$H$4:$I$9)),"#",getgrade(Broadsheet!Q23,data!$H$4:$I$9))</f>
        <v/>
      </c>
      <c r="AQ23" s="188" t="str">
        <f>IF(ISERROR(getgrade(Broadsheet!R23,data!$H$4:$I$9)),"#",getgrade(Broadsheet!R23,data!$H$4:$I$9))</f>
        <v/>
      </c>
      <c r="AR23" s="188" t="str">
        <f>IF(ISERROR(getgrade(Broadsheet!S23,data!$H$4:$I$9)),"#",getgrade(Broadsheet!S23,data!$H$4:$I$9))</f>
        <v/>
      </c>
      <c r="AS23" s="188" t="str">
        <f>IF(ISERROR(getgrade(Broadsheet!T23,data!$H$4:$I$9)),"#",getgrade(Broadsheet!T23,data!$H$4:$I$9))</f>
        <v/>
      </c>
      <c r="AT23" s="188" t="str">
        <f>IF(ISERROR(getgrade(Broadsheet!U23,data!$H$4:$I$9)),"#",getgrade(Broadsheet!U23,data!$H$4:$I$9))</f>
        <v/>
      </c>
      <c r="AU23" s="188" t="str">
        <f>IF(ISERROR(getgrade(Broadsheet!V23,data!$H$4:$I$9)),"#",getgrade(Broadsheet!V23,data!$H$4:$I$9))</f>
        <v/>
      </c>
      <c r="AV23" s="188" t="str">
        <f>IF(ISERROR(getgrade(Broadsheet!W23,data!$H$4:$I$9)),"#",getgrade(Broadsheet!W23,data!$H$4:$I$9))</f>
        <v/>
      </c>
      <c r="AW23" s="188" t="str">
        <f>IF(ISERROR(getgrade(Broadsheet!X23,data!$H$4:$I$9)),"#",getgrade(Broadsheet!X23,data!$H$4:$I$9))</f>
        <v/>
      </c>
      <c r="AX23" s="188" t="str">
        <f>IF(ISERROR(getgrade(Broadsheet!Y23,data!$H$4:$I$9)),"#",getgrade(Broadsheet!Y23,data!$H$4:$I$9))</f>
        <v/>
      </c>
      <c r="AY23" s="188" t="str">
        <f>IF(ISERROR(getgrade(Broadsheet!Z23,data!$H$4:$I$9)),"#",getgrade(Broadsheet!Z23,data!$H$4:$I$9))</f>
        <v/>
      </c>
      <c r="AZ23" s="188" t="str">
        <f>IF(ISERROR(getgrade(Broadsheet!AA23,data!$H$4:$I$9)),"#",getgrade(Broadsheet!AA23,data!$H$4:$I$9))</f>
        <v/>
      </c>
      <c r="BA23" s="188" t="str">
        <f>IF(ISERROR(getgrade(Broadsheet!AB23,data!$H$4:$I$9)),"#",getgrade(Broadsheet!AB23,data!$H$4:$I$9))</f>
        <v/>
      </c>
      <c r="BB23" s="188" t="str">
        <f>IF(ISERROR(getgrade(Broadsheet!AC23,data!$H$4:$I$9)),"#",getgrade(Broadsheet!AC23,data!$H$4:$I$9))</f>
        <v/>
      </c>
      <c r="BC23" s="188" t="str">
        <f>IF(ISERROR(getgrade(Broadsheet!AD23,data!$H$4:$I$9)),"#",getgrade(Broadsheet!AD23,data!$H$4:$I$9))</f>
        <v/>
      </c>
      <c r="BD23" s="188" t="str">
        <f>IF(ISERROR(getgrade(Broadsheet!AE23,data!$H$4:$I$9)),"#",getgrade(Broadsheet!AE23,data!$H$4:$I$9))</f>
        <v/>
      </c>
      <c r="BE23" s="188" t="str">
        <f>IF(ISERROR(getgrade(Broadsheet!AF23,data!$H$4:$I$9)),"#",getgrade(Broadsheet!AF23,data!$H$4:$I$9))</f>
        <v/>
      </c>
      <c r="BF23" s="188" t="str">
        <f>IF(ISERROR(getgrade(Broadsheet!AG23,data!$H$4:$I$9)),"#",getgrade(Broadsheet!AG23,data!$H$4:$I$9))</f>
        <v/>
      </c>
      <c r="BG23" s="188" t="str">
        <f>IF(ISERROR(getgrade(Broadsheet!AH23,data!$H$4:$I$9)),"#",getgrade(Broadsheet!AH23,data!$H$4:$I$9))</f>
        <v/>
      </c>
      <c r="BH23" s="188" t="str">
        <f>IF(ISERROR(getgrade(Broadsheet!AI23,data!$H$4:$I$9)),"#",getgrade(Broadsheet!AI23,data!$H$4:$I$9))</f>
        <v/>
      </c>
      <c r="BI23" s="188" t="str">
        <f>IF(ISERROR(getgrade(Broadsheet!AJ23,data!$H$4:$I$9)),"#",getgrade(Broadsheet!AJ23,data!$H$4:$I$9))</f>
        <v/>
      </c>
      <c r="BJ23" s="188" t="str">
        <f>IF(ISERROR(getgrade(Broadsheet!AK23,data!$H$4:$I$9)),"#",getgrade(Broadsheet!AK23,data!$H$4:$I$9))</f>
        <v/>
      </c>
      <c r="BK23" s="188" t="str">
        <f>IF(ISERROR(getgrade(Broadsheet!AL23,data!$H$4:$I$9)),"#",getgrade(Broadsheet!AL23,data!$H$4:$I$9))</f>
        <v/>
      </c>
      <c r="BL23" s="188" t="str">
        <f>IF(ISERROR(getgrade(Broadsheet!AM23,data!$H$4:$I$9)),"#",getgrade(Broadsheet!AM23,data!$H$4:$I$9))</f>
        <v/>
      </c>
      <c r="BM23" s="188" t="str">
        <f>IF(ISERROR(getgrade(Broadsheet!AN23,data!$H$4:$I$9)),"#",getgrade(Broadsheet!AN23,data!$H$4:$I$9))</f>
        <v/>
      </c>
      <c r="BN23" s="188" t="str">
        <f>IF(ISERROR(getgrade(Broadsheet!AO23,data!$H$4:$I$9)),"#",getgrade(Broadsheet!AO23,data!$H$4:$I$9))</f>
        <v/>
      </c>
      <c r="BO23" s="188" t="str">
        <f>IF(ISERROR(getgrade(Broadsheet!AP23,data!$H$4:$I$9)),"#",getgrade(Broadsheet!AP23,data!$H$4:$I$9))</f>
        <v/>
      </c>
      <c r="BP23" s="188" t="str">
        <f>IF(ISERROR(getgrade(Broadsheet!AQ23,data!$H$4:$I$9)),"#",getgrade(Broadsheet!AQ23,data!$H$4:$I$9))</f>
        <v/>
      </c>
      <c r="BQ23" s="188" t="str">
        <f>IF(ISERROR(getgrade(Broadsheet!AR23,data!$H$4:$I$9)),"#",getgrade(Broadsheet!AR23,data!$H$4:$I$9))</f>
        <v/>
      </c>
      <c r="BR23" s="188" t="str">
        <f>IF(ISERROR(getgrade(Broadsheet!AS23,data!$H$4:$I$9)),"#",getgrade(Broadsheet!AS23,data!$H$4:$I$9))</f>
        <v/>
      </c>
      <c r="BS23" s="188" t="str">
        <f>IF(ISERROR(getgrade(Broadsheet!AT23,data!$H$4:$I$9)),"#",getgrade(Broadsheet!AT23,data!$H$4:$I$9))</f>
        <v/>
      </c>
      <c r="BT23" s="188" t="str">
        <f>IF(ISERROR(getgrade(Broadsheet!AU23,data!$H$4:$I$9)),"#",getgrade(Broadsheet!AU23,data!$H$4:$I$9))</f>
        <v/>
      </c>
      <c r="BU23" s="188" t="str">
        <f>IF(ISERROR(getgrade(Broadsheet!AV23,data!$H$4:$I$9)),"#",getgrade(Broadsheet!AV23,data!$H$4:$I$9))</f>
        <v/>
      </c>
      <c r="BV23" s="188" t="str">
        <f>IF(ISERROR(getgrade(Broadsheet!AW23,data!$H$4:$I$9)),"#",getgrade(Broadsheet!AW23,data!$H$4:$I$9))</f>
        <v/>
      </c>
      <c r="BW23" s="188" t="str">
        <f>IF(ISERROR(getgrade(Broadsheet!AX23,data!$H$4:$I$9)),"#",getgrade(Broadsheet!AX23,data!$H$4:$I$9))</f>
        <v/>
      </c>
      <c r="BX23" s="188" t="str">
        <f>IF(ISERROR(getgrade(Broadsheet!AY23,data!$H$4:$I$9)),"#",getgrade(Broadsheet!AY23,data!$H$4:$I$9))</f>
        <v/>
      </c>
      <c r="BY23" s="188" t="str">
        <f>IF(ISERROR(getgrade(Broadsheet!AZ23,data!$H$4:$I$9)),"#",getgrade(Broadsheet!AZ23,data!$H$4:$I$9))</f>
        <v/>
      </c>
      <c r="BZ23" s="188" t="str">
        <f>IF(ISERROR(getgrade(Broadsheet!BA23,data!$H$4:$I$9)),"#",getgrade(Broadsheet!BA23,data!$H$4:$I$9))</f>
        <v/>
      </c>
      <c r="CA23" s="188" t="str">
        <f>IF(ISERROR(getgrade(Broadsheet!BB23,data!$H$4:$I$9)),"#",getgrade(Broadsheet!BB23,data!$H$4:$I$9))</f>
        <v/>
      </c>
      <c r="CB23" s="188" t="str">
        <f>IF(ISERROR(getgrade(Broadsheet!BC23,data!$H$4:$I$9)),"#",getgrade(Broadsheet!BC23,data!$H$4:$I$9))</f>
        <v/>
      </c>
      <c r="CC23" s="188" t="str">
        <f>IF(ISERROR(getgrade(Broadsheet!BD23,data!$H$4:$I$9)),"#",getgrade(Broadsheet!BD23,data!$H$4:$I$9))</f>
        <v/>
      </c>
      <c r="CD23" s="188" t="str">
        <f>IF(ISERROR(getgrade(Broadsheet!BE23,data!$H$4:$I$9)),"#",getgrade(Broadsheet!BE23,data!$H$4:$I$9))</f>
        <v/>
      </c>
      <c r="CE23" s="188" t="str">
        <f>IF(ISERROR(getgrade(Broadsheet!BF23,data!$H$4:$I$9)),"#",getgrade(Broadsheet!BF23,data!$H$4:$I$9))</f>
        <v/>
      </c>
      <c r="CF23" s="188" t="str">
        <f>IF(ISERROR(getgrade(Broadsheet!BG23,data!$H$4:$I$9)),"#",getgrade(Broadsheet!BG23,data!$H$4:$I$9))</f>
        <v/>
      </c>
      <c r="CG23" s="188" t="str">
        <f>IF(ISERROR(getgrade(Broadsheet!BH23,data!$H$4:$I$9)),"#",getgrade(Broadsheet!BH23,data!$H$4:$I$9))</f>
        <v/>
      </c>
      <c r="CH23" s="188" t="str">
        <f>IF(ISERROR(getgrade(Broadsheet!BI23,data!$H$4:$I$9)),"#",getgrade(Broadsheet!BI23,data!$H$4:$I$9))</f>
        <v/>
      </c>
      <c r="CI23" s="188" t="str">
        <f>IF(ISERROR(getgrade(Broadsheet!BJ23,data!$H$4:$I$9)),"#",getgrade(Broadsheet!BJ23,data!$H$4:$I$9))</f>
        <v/>
      </c>
      <c r="CJ23" s="188"/>
      <c r="CK23" s="188"/>
      <c r="CL23" s="188"/>
      <c r="CM23" s="188"/>
      <c r="CN23" s="188"/>
      <c r="CO23" s="188"/>
      <c r="CP23" s="188"/>
      <c r="CQ23" s="188"/>
      <c r="CR23" s="188"/>
      <c r="CS23" s="188"/>
      <c r="CT23" s="188"/>
      <c r="CU23" s="188"/>
      <c r="CV23" s="188"/>
      <c r="CW23" s="188"/>
      <c r="CX23" s="188"/>
      <c r="CY23" s="188"/>
      <c r="CZ23" s="188"/>
      <c r="DA23" s="188"/>
      <c r="DB23" s="188"/>
      <c r="DC23" s="188"/>
      <c r="DD23" s="188"/>
      <c r="DE23" s="188"/>
      <c r="DF23" s="188"/>
      <c r="DG23" s="188"/>
      <c r="DH23" s="188"/>
      <c r="DI23" s="188"/>
      <c r="DJ23" s="188"/>
      <c r="DK23" s="188"/>
      <c r="DL23" s="188"/>
      <c r="DM23" s="188"/>
      <c r="DN23" s="188"/>
      <c r="DO23" s="188"/>
      <c r="DP23" s="188"/>
      <c r="DQ23" s="188"/>
      <c r="DR23" s="188"/>
      <c r="DS23" s="188"/>
      <c r="DT23" s="188"/>
      <c r="DU23" s="188"/>
      <c r="DV23" s="188"/>
      <c r="DW23" s="188"/>
      <c r="DX23" s="188"/>
      <c r="DY23" s="188"/>
      <c r="DZ23" s="188"/>
      <c r="EA23" s="188"/>
      <c r="EB23" s="188"/>
      <c r="EC23" s="188"/>
      <c r="ED23" s="188"/>
      <c r="EE23" s="188"/>
      <c r="EF23" s="188"/>
      <c r="EG23" s="188"/>
      <c r="EH23" s="188"/>
      <c r="EI23" s="188"/>
      <c r="EJ23" s="188"/>
      <c r="EK23" s="188"/>
      <c r="EL23" s="188"/>
      <c r="EM23" s="188"/>
      <c r="EN23" s="188"/>
      <c r="EO23" s="188"/>
      <c r="EP23" s="188"/>
      <c r="EQ23" s="188"/>
      <c r="ER23" s="188"/>
      <c r="ES23" s="188"/>
      <c r="ET23" s="188"/>
      <c r="EU23" s="188"/>
      <c r="EV23" s="188"/>
      <c r="EW23" s="188"/>
      <c r="EX23" s="188"/>
      <c r="EY23" s="188"/>
      <c r="EZ23" s="188"/>
    </row>
    <row r="24" spans="1:156" ht="15.75" x14ac:dyDescent="0.25">
      <c r="A24" s="12">
        <v>15</v>
      </c>
      <c r="B24" s="16"/>
      <c r="C24" s="24"/>
      <c r="D24" s="110"/>
      <c r="E24" s="110"/>
      <c r="F24" s="110"/>
      <c r="G24" s="110"/>
      <c r="H24" s="110"/>
      <c r="I24" s="110"/>
      <c r="J24" s="110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07"/>
      <c r="Y24" s="110"/>
      <c r="Z24" s="19"/>
      <c r="AA24" s="25"/>
      <c r="AB24" s="21"/>
      <c r="AC24" s="25"/>
      <c r="AD24" s="25"/>
      <c r="AE24" s="20"/>
      <c r="AG24" s="188" t="str">
        <f>IF(ISERROR(getgrade(Broadsheet!H24,data!$H$4:$I$9)),"#",getgrade(Broadsheet!H24,data!$H$4:$I$9))</f>
        <v/>
      </c>
      <c r="AH24" s="188" t="str">
        <f>IF(ISERROR(getgrade(Broadsheet!I24,data!$H$4:$I$9)),"#",getgrade(Broadsheet!I24,data!$H$4:$I$9))</f>
        <v/>
      </c>
      <c r="AI24" s="188" t="str">
        <f>IF(ISERROR(getgrade(Broadsheet!J24,data!$H$4:$I$9)),"#",getgrade(Broadsheet!J24,data!$H$4:$I$9))</f>
        <v/>
      </c>
      <c r="AJ24" s="188" t="str">
        <f>IF(ISERROR(getgrade(Broadsheet!K24,data!$H$4:$I$9)),"#",getgrade(Broadsheet!K24,data!$H$4:$I$9))</f>
        <v/>
      </c>
      <c r="AK24" s="188" t="str">
        <f>IF(ISERROR(getgrade(Broadsheet!L24,data!$H$4:$I$9)),"#",getgrade(Broadsheet!L24,data!$H$4:$I$9))</f>
        <v/>
      </c>
      <c r="AL24" s="188" t="str">
        <f>IF(ISERROR(getgrade(Broadsheet!M24,data!$H$4:$I$9)),"#",getgrade(Broadsheet!M24,data!$H$4:$I$9))</f>
        <v/>
      </c>
      <c r="AM24" s="188" t="str">
        <f>IF(ISERROR(getgrade(Broadsheet!N24,data!$H$4:$I$9)),"#",getgrade(Broadsheet!N24,data!$H$4:$I$9))</f>
        <v/>
      </c>
      <c r="AN24" s="188" t="str">
        <f>IF(ISERROR(getgrade(Broadsheet!O24,data!$H$4:$I$9)),"#",getgrade(Broadsheet!O24,data!$H$4:$I$9))</f>
        <v/>
      </c>
      <c r="AO24" s="188" t="str">
        <f>IF(ISERROR(getgrade(Broadsheet!P24,data!$H$4:$I$9)),"#",getgrade(Broadsheet!P24,data!$H$4:$I$9))</f>
        <v/>
      </c>
      <c r="AP24" s="188" t="str">
        <f>IF(ISERROR(getgrade(Broadsheet!Q24,data!$H$4:$I$9)),"#",getgrade(Broadsheet!Q24,data!$H$4:$I$9))</f>
        <v/>
      </c>
      <c r="AQ24" s="188" t="str">
        <f>IF(ISERROR(getgrade(Broadsheet!R24,data!$H$4:$I$9)),"#",getgrade(Broadsheet!R24,data!$H$4:$I$9))</f>
        <v/>
      </c>
      <c r="AR24" s="188" t="str">
        <f>IF(ISERROR(getgrade(Broadsheet!S24,data!$H$4:$I$9)),"#",getgrade(Broadsheet!S24,data!$H$4:$I$9))</f>
        <v/>
      </c>
      <c r="AS24" s="188" t="str">
        <f>IF(ISERROR(getgrade(Broadsheet!T24,data!$H$4:$I$9)),"#",getgrade(Broadsheet!T24,data!$H$4:$I$9))</f>
        <v/>
      </c>
      <c r="AT24" s="188" t="str">
        <f>IF(ISERROR(getgrade(Broadsheet!U24,data!$H$4:$I$9)),"#",getgrade(Broadsheet!U24,data!$H$4:$I$9))</f>
        <v/>
      </c>
      <c r="AU24" s="188" t="str">
        <f>IF(ISERROR(getgrade(Broadsheet!V24,data!$H$4:$I$9)),"#",getgrade(Broadsheet!V24,data!$H$4:$I$9))</f>
        <v/>
      </c>
      <c r="AV24" s="188" t="str">
        <f>IF(ISERROR(getgrade(Broadsheet!W24,data!$H$4:$I$9)),"#",getgrade(Broadsheet!W24,data!$H$4:$I$9))</f>
        <v/>
      </c>
      <c r="AW24" s="188" t="str">
        <f>IF(ISERROR(getgrade(Broadsheet!X24,data!$H$4:$I$9)),"#",getgrade(Broadsheet!X24,data!$H$4:$I$9))</f>
        <v/>
      </c>
      <c r="AX24" s="188" t="str">
        <f>IF(ISERROR(getgrade(Broadsheet!Y24,data!$H$4:$I$9)),"#",getgrade(Broadsheet!Y24,data!$H$4:$I$9))</f>
        <v/>
      </c>
      <c r="AY24" s="188" t="str">
        <f>IF(ISERROR(getgrade(Broadsheet!Z24,data!$H$4:$I$9)),"#",getgrade(Broadsheet!Z24,data!$H$4:$I$9))</f>
        <v/>
      </c>
      <c r="AZ24" s="188" t="str">
        <f>IF(ISERROR(getgrade(Broadsheet!AA24,data!$H$4:$I$9)),"#",getgrade(Broadsheet!AA24,data!$H$4:$I$9))</f>
        <v/>
      </c>
      <c r="BA24" s="188" t="str">
        <f>IF(ISERROR(getgrade(Broadsheet!AB24,data!$H$4:$I$9)),"#",getgrade(Broadsheet!AB24,data!$H$4:$I$9))</f>
        <v/>
      </c>
      <c r="BB24" s="188" t="str">
        <f>IF(ISERROR(getgrade(Broadsheet!AC24,data!$H$4:$I$9)),"#",getgrade(Broadsheet!AC24,data!$H$4:$I$9))</f>
        <v/>
      </c>
      <c r="BC24" s="188" t="str">
        <f>IF(ISERROR(getgrade(Broadsheet!AD24,data!$H$4:$I$9)),"#",getgrade(Broadsheet!AD24,data!$H$4:$I$9))</f>
        <v/>
      </c>
      <c r="BD24" s="188" t="str">
        <f>IF(ISERROR(getgrade(Broadsheet!AE24,data!$H$4:$I$9)),"#",getgrade(Broadsheet!AE24,data!$H$4:$I$9))</f>
        <v/>
      </c>
      <c r="BE24" s="188" t="str">
        <f>IF(ISERROR(getgrade(Broadsheet!AF24,data!$H$4:$I$9)),"#",getgrade(Broadsheet!AF24,data!$H$4:$I$9))</f>
        <v/>
      </c>
      <c r="BF24" s="188" t="str">
        <f>IF(ISERROR(getgrade(Broadsheet!AG24,data!$H$4:$I$9)),"#",getgrade(Broadsheet!AG24,data!$H$4:$I$9))</f>
        <v/>
      </c>
      <c r="BG24" s="188" t="str">
        <f>IF(ISERROR(getgrade(Broadsheet!AH24,data!$H$4:$I$9)),"#",getgrade(Broadsheet!AH24,data!$H$4:$I$9))</f>
        <v/>
      </c>
      <c r="BH24" s="188" t="str">
        <f>IF(ISERROR(getgrade(Broadsheet!AI24,data!$H$4:$I$9)),"#",getgrade(Broadsheet!AI24,data!$H$4:$I$9))</f>
        <v/>
      </c>
      <c r="BI24" s="188" t="str">
        <f>IF(ISERROR(getgrade(Broadsheet!AJ24,data!$H$4:$I$9)),"#",getgrade(Broadsheet!AJ24,data!$H$4:$I$9))</f>
        <v/>
      </c>
      <c r="BJ24" s="188" t="str">
        <f>IF(ISERROR(getgrade(Broadsheet!AK24,data!$H$4:$I$9)),"#",getgrade(Broadsheet!AK24,data!$H$4:$I$9))</f>
        <v/>
      </c>
      <c r="BK24" s="188" t="str">
        <f>IF(ISERROR(getgrade(Broadsheet!AL24,data!$H$4:$I$9)),"#",getgrade(Broadsheet!AL24,data!$H$4:$I$9))</f>
        <v/>
      </c>
      <c r="BL24" s="188" t="str">
        <f>IF(ISERROR(getgrade(Broadsheet!AM24,data!$H$4:$I$9)),"#",getgrade(Broadsheet!AM24,data!$H$4:$I$9))</f>
        <v/>
      </c>
      <c r="BM24" s="188" t="str">
        <f>IF(ISERROR(getgrade(Broadsheet!AN24,data!$H$4:$I$9)),"#",getgrade(Broadsheet!AN24,data!$H$4:$I$9))</f>
        <v/>
      </c>
      <c r="BN24" s="188" t="str">
        <f>IF(ISERROR(getgrade(Broadsheet!AO24,data!$H$4:$I$9)),"#",getgrade(Broadsheet!AO24,data!$H$4:$I$9))</f>
        <v/>
      </c>
      <c r="BO24" s="188" t="str">
        <f>IF(ISERROR(getgrade(Broadsheet!AP24,data!$H$4:$I$9)),"#",getgrade(Broadsheet!AP24,data!$H$4:$I$9))</f>
        <v/>
      </c>
      <c r="BP24" s="188" t="str">
        <f>IF(ISERROR(getgrade(Broadsheet!AQ24,data!$H$4:$I$9)),"#",getgrade(Broadsheet!AQ24,data!$H$4:$I$9))</f>
        <v/>
      </c>
      <c r="BQ24" s="188" t="str">
        <f>IF(ISERROR(getgrade(Broadsheet!AR24,data!$H$4:$I$9)),"#",getgrade(Broadsheet!AR24,data!$H$4:$I$9))</f>
        <v/>
      </c>
      <c r="BR24" s="188" t="str">
        <f>IF(ISERROR(getgrade(Broadsheet!AS24,data!$H$4:$I$9)),"#",getgrade(Broadsheet!AS24,data!$H$4:$I$9))</f>
        <v/>
      </c>
      <c r="BS24" s="188" t="str">
        <f>IF(ISERROR(getgrade(Broadsheet!AT24,data!$H$4:$I$9)),"#",getgrade(Broadsheet!AT24,data!$H$4:$I$9))</f>
        <v/>
      </c>
      <c r="BT24" s="188" t="str">
        <f>IF(ISERROR(getgrade(Broadsheet!AU24,data!$H$4:$I$9)),"#",getgrade(Broadsheet!AU24,data!$H$4:$I$9))</f>
        <v/>
      </c>
      <c r="BU24" s="188" t="str">
        <f>IF(ISERROR(getgrade(Broadsheet!AV24,data!$H$4:$I$9)),"#",getgrade(Broadsheet!AV24,data!$H$4:$I$9))</f>
        <v/>
      </c>
      <c r="BV24" s="188" t="str">
        <f>IF(ISERROR(getgrade(Broadsheet!AW24,data!$H$4:$I$9)),"#",getgrade(Broadsheet!AW24,data!$H$4:$I$9))</f>
        <v/>
      </c>
      <c r="BW24" s="188" t="str">
        <f>IF(ISERROR(getgrade(Broadsheet!AX24,data!$H$4:$I$9)),"#",getgrade(Broadsheet!AX24,data!$H$4:$I$9))</f>
        <v/>
      </c>
      <c r="BX24" s="188" t="str">
        <f>IF(ISERROR(getgrade(Broadsheet!AY24,data!$H$4:$I$9)),"#",getgrade(Broadsheet!AY24,data!$H$4:$I$9))</f>
        <v/>
      </c>
      <c r="BY24" s="188" t="str">
        <f>IF(ISERROR(getgrade(Broadsheet!AZ24,data!$H$4:$I$9)),"#",getgrade(Broadsheet!AZ24,data!$H$4:$I$9))</f>
        <v/>
      </c>
      <c r="BZ24" s="188" t="str">
        <f>IF(ISERROR(getgrade(Broadsheet!BA24,data!$H$4:$I$9)),"#",getgrade(Broadsheet!BA24,data!$H$4:$I$9))</f>
        <v/>
      </c>
      <c r="CA24" s="188" t="str">
        <f>IF(ISERROR(getgrade(Broadsheet!BB24,data!$H$4:$I$9)),"#",getgrade(Broadsheet!BB24,data!$H$4:$I$9))</f>
        <v/>
      </c>
      <c r="CB24" s="188" t="str">
        <f>IF(ISERROR(getgrade(Broadsheet!BC24,data!$H$4:$I$9)),"#",getgrade(Broadsheet!BC24,data!$H$4:$I$9))</f>
        <v/>
      </c>
      <c r="CC24" s="188" t="str">
        <f>IF(ISERROR(getgrade(Broadsheet!BD24,data!$H$4:$I$9)),"#",getgrade(Broadsheet!BD24,data!$H$4:$I$9))</f>
        <v/>
      </c>
      <c r="CD24" s="188" t="str">
        <f>IF(ISERROR(getgrade(Broadsheet!BE24,data!$H$4:$I$9)),"#",getgrade(Broadsheet!BE24,data!$H$4:$I$9))</f>
        <v/>
      </c>
      <c r="CE24" s="188" t="str">
        <f>IF(ISERROR(getgrade(Broadsheet!BF24,data!$H$4:$I$9)),"#",getgrade(Broadsheet!BF24,data!$H$4:$I$9))</f>
        <v/>
      </c>
      <c r="CF24" s="188" t="str">
        <f>IF(ISERROR(getgrade(Broadsheet!BG24,data!$H$4:$I$9)),"#",getgrade(Broadsheet!BG24,data!$H$4:$I$9))</f>
        <v/>
      </c>
      <c r="CG24" s="188" t="str">
        <f>IF(ISERROR(getgrade(Broadsheet!BH24,data!$H$4:$I$9)),"#",getgrade(Broadsheet!BH24,data!$H$4:$I$9))</f>
        <v/>
      </c>
      <c r="CH24" s="188" t="str">
        <f>IF(ISERROR(getgrade(Broadsheet!BI24,data!$H$4:$I$9)),"#",getgrade(Broadsheet!BI24,data!$H$4:$I$9))</f>
        <v/>
      </c>
      <c r="CI24" s="188" t="str">
        <f>IF(ISERROR(getgrade(Broadsheet!BJ24,data!$H$4:$I$9)),"#",getgrade(Broadsheet!BJ24,data!$H$4:$I$9))</f>
        <v/>
      </c>
      <c r="CJ24" s="188"/>
      <c r="CK24" s="188"/>
      <c r="CL24" s="188"/>
      <c r="CM24" s="188"/>
      <c r="CN24" s="188"/>
      <c r="CO24" s="188"/>
      <c r="CP24" s="188"/>
      <c r="CQ24" s="188"/>
      <c r="CR24" s="188"/>
      <c r="CS24" s="188"/>
      <c r="CT24" s="188"/>
      <c r="CU24" s="188"/>
      <c r="CV24" s="188"/>
      <c r="CW24" s="188"/>
      <c r="CX24" s="188"/>
      <c r="CY24" s="188"/>
      <c r="CZ24" s="188"/>
      <c r="DA24" s="188"/>
      <c r="DB24" s="188"/>
      <c r="DC24" s="188"/>
      <c r="DD24" s="188"/>
      <c r="DE24" s="188"/>
      <c r="DF24" s="188"/>
      <c r="DG24" s="188"/>
      <c r="DH24" s="188"/>
      <c r="DI24" s="188"/>
      <c r="DJ24" s="188"/>
      <c r="DK24" s="188"/>
      <c r="DL24" s="188"/>
      <c r="DM24" s="188"/>
      <c r="DN24" s="188"/>
      <c r="DO24" s="188"/>
      <c r="DP24" s="188"/>
      <c r="DQ24" s="188"/>
      <c r="DR24" s="188"/>
      <c r="DS24" s="188"/>
      <c r="DT24" s="188"/>
      <c r="DU24" s="188"/>
      <c r="DV24" s="188"/>
      <c r="DW24" s="188"/>
      <c r="DX24" s="188"/>
      <c r="DY24" s="188"/>
      <c r="DZ24" s="188"/>
      <c r="EA24" s="188"/>
      <c r="EB24" s="188"/>
      <c r="EC24" s="188"/>
      <c r="ED24" s="188"/>
      <c r="EE24" s="188"/>
      <c r="EF24" s="188"/>
      <c r="EG24" s="188"/>
      <c r="EH24" s="188"/>
      <c r="EI24" s="188"/>
      <c r="EJ24" s="188"/>
      <c r="EK24" s="188"/>
      <c r="EL24" s="188"/>
      <c r="EM24" s="188"/>
      <c r="EN24" s="188"/>
      <c r="EO24" s="188"/>
      <c r="EP24" s="188"/>
      <c r="EQ24" s="188"/>
      <c r="ER24" s="188"/>
      <c r="ES24" s="188"/>
      <c r="ET24" s="188"/>
      <c r="EU24" s="188"/>
      <c r="EV24" s="188"/>
      <c r="EW24" s="188"/>
      <c r="EX24" s="188"/>
      <c r="EY24" s="188"/>
      <c r="EZ24" s="188"/>
    </row>
    <row r="25" spans="1:156" ht="15.75" x14ac:dyDescent="0.25">
      <c r="A25" s="12">
        <v>16</v>
      </c>
      <c r="B25" s="16"/>
      <c r="C25" s="24"/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07"/>
      <c r="Y25" s="110"/>
      <c r="Z25" s="19"/>
      <c r="AA25" s="25"/>
      <c r="AB25" s="21"/>
      <c r="AC25" s="25"/>
      <c r="AD25" s="25"/>
      <c r="AE25" s="20"/>
      <c r="AG25" s="188" t="str">
        <f>IF(ISERROR(getgrade(Broadsheet!H25,data!$H$4:$I$9)),"#",getgrade(Broadsheet!H25,data!$H$4:$I$9))</f>
        <v/>
      </c>
      <c r="AH25" s="188" t="str">
        <f>IF(ISERROR(getgrade(Broadsheet!I25,data!$H$4:$I$9)),"#",getgrade(Broadsheet!I25,data!$H$4:$I$9))</f>
        <v/>
      </c>
      <c r="AI25" s="188" t="str">
        <f>IF(ISERROR(getgrade(Broadsheet!J25,data!$H$4:$I$9)),"#",getgrade(Broadsheet!J25,data!$H$4:$I$9))</f>
        <v/>
      </c>
      <c r="AJ25" s="188" t="str">
        <f>IF(ISERROR(getgrade(Broadsheet!K25,data!$H$4:$I$9)),"#",getgrade(Broadsheet!K25,data!$H$4:$I$9))</f>
        <v/>
      </c>
      <c r="AK25" s="188" t="str">
        <f>IF(ISERROR(getgrade(Broadsheet!L25,data!$H$4:$I$9)),"#",getgrade(Broadsheet!L25,data!$H$4:$I$9))</f>
        <v/>
      </c>
      <c r="AL25" s="188" t="str">
        <f>IF(ISERROR(getgrade(Broadsheet!M25,data!$H$4:$I$9)),"#",getgrade(Broadsheet!M25,data!$H$4:$I$9))</f>
        <v/>
      </c>
      <c r="AM25" s="188" t="str">
        <f>IF(ISERROR(getgrade(Broadsheet!N25,data!$H$4:$I$9)),"#",getgrade(Broadsheet!N25,data!$H$4:$I$9))</f>
        <v/>
      </c>
      <c r="AN25" s="188" t="str">
        <f>IF(ISERROR(getgrade(Broadsheet!O25,data!$H$4:$I$9)),"#",getgrade(Broadsheet!O25,data!$H$4:$I$9))</f>
        <v/>
      </c>
      <c r="AO25" s="188" t="str">
        <f>IF(ISERROR(getgrade(Broadsheet!P25,data!$H$4:$I$9)),"#",getgrade(Broadsheet!P25,data!$H$4:$I$9))</f>
        <v/>
      </c>
      <c r="AP25" s="188" t="str">
        <f>IF(ISERROR(getgrade(Broadsheet!Q25,data!$H$4:$I$9)),"#",getgrade(Broadsheet!Q25,data!$H$4:$I$9))</f>
        <v/>
      </c>
      <c r="AQ25" s="188" t="str">
        <f>IF(ISERROR(getgrade(Broadsheet!R25,data!$H$4:$I$9)),"#",getgrade(Broadsheet!R25,data!$H$4:$I$9))</f>
        <v/>
      </c>
      <c r="AR25" s="188" t="str">
        <f>IF(ISERROR(getgrade(Broadsheet!S25,data!$H$4:$I$9)),"#",getgrade(Broadsheet!S25,data!$H$4:$I$9))</f>
        <v/>
      </c>
      <c r="AS25" s="188" t="str">
        <f>IF(ISERROR(getgrade(Broadsheet!T25,data!$H$4:$I$9)),"#",getgrade(Broadsheet!T25,data!$H$4:$I$9))</f>
        <v/>
      </c>
      <c r="AT25" s="188" t="str">
        <f>IF(ISERROR(getgrade(Broadsheet!U25,data!$H$4:$I$9)),"#",getgrade(Broadsheet!U25,data!$H$4:$I$9))</f>
        <v/>
      </c>
      <c r="AU25" s="188" t="str">
        <f>IF(ISERROR(getgrade(Broadsheet!V25,data!$H$4:$I$9)),"#",getgrade(Broadsheet!V25,data!$H$4:$I$9))</f>
        <v/>
      </c>
      <c r="AV25" s="188" t="str">
        <f>IF(ISERROR(getgrade(Broadsheet!W25,data!$H$4:$I$9)),"#",getgrade(Broadsheet!W25,data!$H$4:$I$9))</f>
        <v/>
      </c>
      <c r="AW25" s="188" t="str">
        <f>IF(ISERROR(getgrade(Broadsheet!X25,data!$H$4:$I$9)),"#",getgrade(Broadsheet!X25,data!$H$4:$I$9))</f>
        <v/>
      </c>
      <c r="AX25" s="188" t="str">
        <f>IF(ISERROR(getgrade(Broadsheet!Y25,data!$H$4:$I$9)),"#",getgrade(Broadsheet!Y25,data!$H$4:$I$9))</f>
        <v/>
      </c>
      <c r="AY25" s="188" t="str">
        <f>IF(ISERROR(getgrade(Broadsheet!Z25,data!$H$4:$I$9)),"#",getgrade(Broadsheet!Z25,data!$H$4:$I$9))</f>
        <v/>
      </c>
      <c r="AZ25" s="188" t="str">
        <f>IF(ISERROR(getgrade(Broadsheet!AA25,data!$H$4:$I$9)),"#",getgrade(Broadsheet!AA25,data!$H$4:$I$9))</f>
        <v/>
      </c>
      <c r="BA25" s="188" t="str">
        <f>IF(ISERROR(getgrade(Broadsheet!AB25,data!$H$4:$I$9)),"#",getgrade(Broadsheet!AB25,data!$H$4:$I$9))</f>
        <v/>
      </c>
      <c r="BB25" s="188" t="str">
        <f>IF(ISERROR(getgrade(Broadsheet!AC25,data!$H$4:$I$9)),"#",getgrade(Broadsheet!AC25,data!$H$4:$I$9))</f>
        <v/>
      </c>
      <c r="BC25" s="188" t="str">
        <f>IF(ISERROR(getgrade(Broadsheet!AD25,data!$H$4:$I$9)),"#",getgrade(Broadsheet!AD25,data!$H$4:$I$9))</f>
        <v/>
      </c>
      <c r="BD25" s="188" t="str">
        <f>IF(ISERROR(getgrade(Broadsheet!AE25,data!$H$4:$I$9)),"#",getgrade(Broadsheet!AE25,data!$H$4:$I$9))</f>
        <v/>
      </c>
      <c r="BE25" s="188" t="str">
        <f>IF(ISERROR(getgrade(Broadsheet!AF25,data!$H$4:$I$9)),"#",getgrade(Broadsheet!AF25,data!$H$4:$I$9))</f>
        <v/>
      </c>
      <c r="BF25" s="188" t="str">
        <f>IF(ISERROR(getgrade(Broadsheet!AG25,data!$H$4:$I$9)),"#",getgrade(Broadsheet!AG25,data!$H$4:$I$9))</f>
        <v/>
      </c>
      <c r="BG25" s="188" t="str">
        <f>IF(ISERROR(getgrade(Broadsheet!AH25,data!$H$4:$I$9)),"#",getgrade(Broadsheet!AH25,data!$H$4:$I$9))</f>
        <v/>
      </c>
      <c r="BH25" s="188" t="str">
        <f>IF(ISERROR(getgrade(Broadsheet!AI25,data!$H$4:$I$9)),"#",getgrade(Broadsheet!AI25,data!$H$4:$I$9))</f>
        <v/>
      </c>
      <c r="BI25" s="188" t="str">
        <f>IF(ISERROR(getgrade(Broadsheet!AJ25,data!$H$4:$I$9)),"#",getgrade(Broadsheet!AJ25,data!$H$4:$I$9))</f>
        <v/>
      </c>
      <c r="BJ25" s="188" t="str">
        <f>IF(ISERROR(getgrade(Broadsheet!AK25,data!$H$4:$I$9)),"#",getgrade(Broadsheet!AK25,data!$H$4:$I$9))</f>
        <v/>
      </c>
      <c r="BK25" s="188" t="str">
        <f>IF(ISERROR(getgrade(Broadsheet!AL25,data!$H$4:$I$9)),"#",getgrade(Broadsheet!AL25,data!$H$4:$I$9))</f>
        <v/>
      </c>
      <c r="BL25" s="188" t="str">
        <f>IF(ISERROR(getgrade(Broadsheet!AM25,data!$H$4:$I$9)),"#",getgrade(Broadsheet!AM25,data!$H$4:$I$9))</f>
        <v/>
      </c>
      <c r="BM25" s="188" t="str">
        <f>IF(ISERROR(getgrade(Broadsheet!AN25,data!$H$4:$I$9)),"#",getgrade(Broadsheet!AN25,data!$H$4:$I$9))</f>
        <v/>
      </c>
      <c r="BN25" s="188" t="str">
        <f>IF(ISERROR(getgrade(Broadsheet!AO25,data!$H$4:$I$9)),"#",getgrade(Broadsheet!AO25,data!$H$4:$I$9))</f>
        <v/>
      </c>
      <c r="BO25" s="188" t="str">
        <f>IF(ISERROR(getgrade(Broadsheet!AP25,data!$H$4:$I$9)),"#",getgrade(Broadsheet!AP25,data!$H$4:$I$9))</f>
        <v/>
      </c>
      <c r="BP25" s="188" t="str">
        <f>IF(ISERROR(getgrade(Broadsheet!AQ25,data!$H$4:$I$9)),"#",getgrade(Broadsheet!AQ25,data!$H$4:$I$9))</f>
        <v/>
      </c>
      <c r="BQ25" s="188" t="str">
        <f>IF(ISERROR(getgrade(Broadsheet!AR25,data!$H$4:$I$9)),"#",getgrade(Broadsheet!AR25,data!$H$4:$I$9))</f>
        <v/>
      </c>
      <c r="BR25" s="188" t="str">
        <f>IF(ISERROR(getgrade(Broadsheet!AS25,data!$H$4:$I$9)),"#",getgrade(Broadsheet!AS25,data!$H$4:$I$9))</f>
        <v/>
      </c>
      <c r="BS25" s="188" t="str">
        <f>IF(ISERROR(getgrade(Broadsheet!AT25,data!$H$4:$I$9)),"#",getgrade(Broadsheet!AT25,data!$H$4:$I$9))</f>
        <v/>
      </c>
      <c r="BT25" s="188" t="str">
        <f>IF(ISERROR(getgrade(Broadsheet!AU25,data!$H$4:$I$9)),"#",getgrade(Broadsheet!AU25,data!$H$4:$I$9))</f>
        <v/>
      </c>
      <c r="BU25" s="188" t="str">
        <f>IF(ISERROR(getgrade(Broadsheet!AV25,data!$H$4:$I$9)),"#",getgrade(Broadsheet!AV25,data!$H$4:$I$9))</f>
        <v/>
      </c>
      <c r="BV25" s="188" t="str">
        <f>IF(ISERROR(getgrade(Broadsheet!AW25,data!$H$4:$I$9)),"#",getgrade(Broadsheet!AW25,data!$H$4:$I$9))</f>
        <v/>
      </c>
      <c r="BW25" s="188" t="str">
        <f>IF(ISERROR(getgrade(Broadsheet!AX25,data!$H$4:$I$9)),"#",getgrade(Broadsheet!AX25,data!$H$4:$I$9))</f>
        <v/>
      </c>
      <c r="BX25" s="188" t="str">
        <f>IF(ISERROR(getgrade(Broadsheet!AY25,data!$H$4:$I$9)),"#",getgrade(Broadsheet!AY25,data!$H$4:$I$9))</f>
        <v/>
      </c>
      <c r="BY25" s="188" t="str">
        <f>IF(ISERROR(getgrade(Broadsheet!AZ25,data!$H$4:$I$9)),"#",getgrade(Broadsheet!AZ25,data!$H$4:$I$9))</f>
        <v/>
      </c>
      <c r="BZ25" s="188" t="str">
        <f>IF(ISERROR(getgrade(Broadsheet!BA25,data!$H$4:$I$9)),"#",getgrade(Broadsheet!BA25,data!$H$4:$I$9))</f>
        <v/>
      </c>
      <c r="CA25" s="188" t="str">
        <f>IF(ISERROR(getgrade(Broadsheet!BB25,data!$H$4:$I$9)),"#",getgrade(Broadsheet!BB25,data!$H$4:$I$9))</f>
        <v/>
      </c>
      <c r="CB25" s="188" t="str">
        <f>IF(ISERROR(getgrade(Broadsheet!BC25,data!$H$4:$I$9)),"#",getgrade(Broadsheet!BC25,data!$H$4:$I$9))</f>
        <v/>
      </c>
      <c r="CC25" s="188" t="str">
        <f>IF(ISERROR(getgrade(Broadsheet!BD25,data!$H$4:$I$9)),"#",getgrade(Broadsheet!BD25,data!$H$4:$I$9))</f>
        <v/>
      </c>
      <c r="CD25" s="188" t="str">
        <f>IF(ISERROR(getgrade(Broadsheet!BE25,data!$H$4:$I$9)),"#",getgrade(Broadsheet!BE25,data!$H$4:$I$9))</f>
        <v/>
      </c>
      <c r="CE25" s="188" t="str">
        <f>IF(ISERROR(getgrade(Broadsheet!BF25,data!$H$4:$I$9)),"#",getgrade(Broadsheet!BF25,data!$H$4:$I$9))</f>
        <v/>
      </c>
      <c r="CF25" s="188" t="str">
        <f>IF(ISERROR(getgrade(Broadsheet!BG25,data!$H$4:$I$9)),"#",getgrade(Broadsheet!BG25,data!$H$4:$I$9))</f>
        <v/>
      </c>
      <c r="CG25" s="188" t="str">
        <f>IF(ISERROR(getgrade(Broadsheet!BH25,data!$H$4:$I$9)),"#",getgrade(Broadsheet!BH25,data!$H$4:$I$9))</f>
        <v/>
      </c>
      <c r="CH25" s="188" t="str">
        <f>IF(ISERROR(getgrade(Broadsheet!BI25,data!$H$4:$I$9)),"#",getgrade(Broadsheet!BI25,data!$H$4:$I$9))</f>
        <v/>
      </c>
      <c r="CI25" s="188" t="str">
        <f>IF(ISERROR(getgrade(Broadsheet!BJ25,data!$H$4:$I$9)),"#",getgrade(Broadsheet!BJ25,data!$H$4:$I$9))</f>
        <v/>
      </c>
      <c r="CJ25" s="188"/>
      <c r="CK25" s="188"/>
      <c r="CL25" s="188"/>
      <c r="CM25" s="188"/>
      <c r="CN25" s="188"/>
      <c r="CO25" s="188"/>
      <c r="CP25" s="188"/>
      <c r="CQ25" s="188"/>
      <c r="CR25" s="188"/>
      <c r="CS25" s="188"/>
      <c r="CT25" s="188"/>
      <c r="CU25" s="188"/>
      <c r="CV25" s="188"/>
      <c r="CW25" s="188"/>
      <c r="CX25" s="188"/>
      <c r="CY25" s="188"/>
      <c r="CZ25" s="188"/>
      <c r="DA25" s="188"/>
      <c r="DB25" s="188"/>
      <c r="DC25" s="188"/>
      <c r="DD25" s="188"/>
      <c r="DE25" s="188"/>
      <c r="DF25" s="188"/>
      <c r="DG25" s="188"/>
      <c r="DH25" s="188"/>
      <c r="DI25" s="188"/>
      <c r="DJ25" s="188"/>
      <c r="DK25" s="188"/>
      <c r="DL25" s="188"/>
      <c r="DM25" s="188"/>
      <c r="DN25" s="188"/>
      <c r="DO25" s="188"/>
      <c r="DP25" s="188"/>
      <c r="DQ25" s="188"/>
      <c r="DR25" s="188"/>
      <c r="DS25" s="188"/>
      <c r="DT25" s="188"/>
      <c r="DU25" s="188"/>
      <c r="DV25" s="188"/>
      <c r="DW25" s="188"/>
      <c r="DX25" s="188"/>
      <c r="DY25" s="188"/>
      <c r="DZ25" s="188"/>
      <c r="EA25" s="188"/>
      <c r="EB25" s="188"/>
      <c r="EC25" s="188"/>
      <c r="ED25" s="188"/>
      <c r="EE25" s="188"/>
      <c r="EF25" s="188"/>
      <c r="EG25" s="188"/>
      <c r="EH25" s="188"/>
      <c r="EI25" s="188"/>
      <c r="EJ25" s="188"/>
      <c r="EK25" s="188"/>
      <c r="EL25" s="188"/>
      <c r="EM25" s="188"/>
      <c r="EN25" s="188"/>
      <c r="EO25" s="188"/>
      <c r="EP25" s="188"/>
      <c r="EQ25" s="188"/>
      <c r="ER25" s="188"/>
      <c r="ES25" s="188"/>
      <c r="ET25" s="188"/>
      <c r="EU25" s="188"/>
      <c r="EV25" s="188"/>
      <c r="EW25" s="188"/>
      <c r="EX25" s="188"/>
      <c r="EY25" s="188"/>
      <c r="EZ25" s="188"/>
    </row>
    <row r="26" spans="1:156" ht="15.75" x14ac:dyDescent="0.25">
      <c r="A26" s="12">
        <v>17</v>
      </c>
      <c r="B26" s="16"/>
      <c r="C26" s="24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07"/>
      <c r="Y26" s="110"/>
      <c r="Z26" s="19"/>
      <c r="AA26" s="25"/>
      <c r="AB26" s="21"/>
      <c r="AC26" s="25"/>
      <c r="AD26" s="25"/>
      <c r="AE26" s="20"/>
      <c r="AG26" s="188" t="str">
        <f>IF(ISERROR(getgrade(Broadsheet!H26,data!$H$4:$I$9)),"#",getgrade(Broadsheet!H26,data!$H$4:$I$9))</f>
        <v/>
      </c>
      <c r="AH26" s="188" t="str">
        <f>IF(ISERROR(getgrade(Broadsheet!I26,data!$H$4:$I$9)),"#",getgrade(Broadsheet!I26,data!$H$4:$I$9))</f>
        <v/>
      </c>
      <c r="AI26" s="188" t="str">
        <f>IF(ISERROR(getgrade(Broadsheet!J26,data!$H$4:$I$9)),"#",getgrade(Broadsheet!J26,data!$H$4:$I$9))</f>
        <v/>
      </c>
      <c r="AJ26" s="188" t="str">
        <f>IF(ISERROR(getgrade(Broadsheet!K26,data!$H$4:$I$9)),"#",getgrade(Broadsheet!K26,data!$H$4:$I$9))</f>
        <v/>
      </c>
      <c r="AK26" s="188" t="str">
        <f>IF(ISERROR(getgrade(Broadsheet!L26,data!$H$4:$I$9)),"#",getgrade(Broadsheet!L26,data!$H$4:$I$9))</f>
        <v/>
      </c>
      <c r="AL26" s="188" t="str">
        <f>IF(ISERROR(getgrade(Broadsheet!M26,data!$H$4:$I$9)),"#",getgrade(Broadsheet!M26,data!$H$4:$I$9))</f>
        <v/>
      </c>
      <c r="AM26" s="188" t="str">
        <f>IF(ISERROR(getgrade(Broadsheet!N26,data!$H$4:$I$9)),"#",getgrade(Broadsheet!N26,data!$H$4:$I$9))</f>
        <v/>
      </c>
      <c r="AN26" s="188" t="str">
        <f>IF(ISERROR(getgrade(Broadsheet!O26,data!$H$4:$I$9)),"#",getgrade(Broadsheet!O26,data!$H$4:$I$9))</f>
        <v/>
      </c>
      <c r="AO26" s="188" t="str">
        <f>IF(ISERROR(getgrade(Broadsheet!P26,data!$H$4:$I$9)),"#",getgrade(Broadsheet!P26,data!$H$4:$I$9))</f>
        <v/>
      </c>
      <c r="AP26" s="188" t="str">
        <f>IF(ISERROR(getgrade(Broadsheet!Q26,data!$H$4:$I$9)),"#",getgrade(Broadsheet!Q26,data!$H$4:$I$9))</f>
        <v/>
      </c>
      <c r="AQ26" s="188" t="str">
        <f>IF(ISERROR(getgrade(Broadsheet!R26,data!$H$4:$I$9)),"#",getgrade(Broadsheet!R26,data!$H$4:$I$9))</f>
        <v/>
      </c>
      <c r="AR26" s="188" t="str">
        <f>IF(ISERROR(getgrade(Broadsheet!S26,data!$H$4:$I$9)),"#",getgrade(Broadsheet!S26,data!$H$4:$I$9))</f>
        <v/>
      </c>
      <c r="AS26" s="188" t="str">
        <f>IF(ISERROR(getgrade(Broadsheet!T26,data!$H$4:$I$9)),"#",getgrade(Broadsheet!T26,data!$H$4:$I$9))</f>
        <v/>
      </c>
      <c r="AT26" s="188" t="str">
        <f>IF(ISERROR(getgrade(Broadsheet!U26,data!$H$4:$I$9)),"#",getgrade(Broadsheet!U26,data!$H$4:$I$9))</f>
        <v/>
      </c>
      <c r="AU26" s="188" t="str">
        <f>IF(ISERROR(getgrade(Broadsheet!V26,data!$H$4:$I$9)),"#",getgrade(Broadsheet!V26,data!$H$4:$I$9))</f>
        <v/>
      </c>
      <c r="AV26" s="188" t="str">
        <f>IF(ISERROR(getgrade(Broadsheet!W26,data!$H$4:$I$9)),"#",getgrade(Broadsheet!W26,data!$H$4:$I$9))</f>
        <v/>
      </c>
      <c r="AW26" s="188" t="str">
        <f>IF(ISERROR(getgrade(Broadsheet!X26,data!$H$4:$I$9)),"#",getgrade(Broadsheet!X26,data!$H$4:$I$9))</f>
        <v/>
      </c>
      <c r="AX26" s="188" t="str">
        <f>IF(ISERROR(getgrade(Broadsheet!Y26,data!$H$4:$I$9)),"#",getgrade(Broadsheet!Y26,data!$H$4:$I$9))</f>
        <v/>
      </c>
      <c r="AY26" s="188" t="str">
        <f>IF(ISERROR(getgrade(Broadsheet!Z26,data!$H$4:$I$9)),"#",getgrade(Broadsheet!Z26,data!$H$4:$I$9))</f>
        <v/>
      </c>
      <c r="AZ26" s="188" t="str">
        <f>IF(ISERROR(getgrade(Broadsheet!AA26,data!$H$4:$I$9)),"#",getgrade(Broadsheet!AA26,data!$H$4:$I$9))</f>
        <v/>
      </c>
      <c r="BA26" s="188" t="str">
        <f>IF(ISERROR(getgrade(Broadsheet!AB26,data!$H$4:$I$9)),"#",getgrade(Broadsheet!AB26,data!$H$4:$I$9))</f>
        <v/>
      </c>
      <c r="BB26" s="188" t="str">
        <f>IF(ISERROR(getgrade(Broadsheet!AC26,data!$H$4:$I$9)),"#",getgrade(Broadsheet!AC26,data!$H$4:$I$9))</f>
        <v/>
      </c>
      <c r="BC26" s="188" t="str">
        <f>IF(ISERROR(getgrade(Broadsheet!AD26,data!$H$4:$I$9)),"#",getgrade(Broadsheet!AD26,data!$H$4:$I$9))</f>
        <v/>
      </c>
      <c r="BD26" s="188" t="str">
        <f>IF(ISERROR(getgrade(Broadsheet!AE26,data!$H$4:$I$9)),"#",getgrade(Broadsheet!AE26,data!$H$4:$I$9))</f>
        <v/>
      </c>
      <c r="BE26" s="188" t="str">
        <f>IF(ISERROR(getgrade(Broadsheet!AF26,data!$H$4:$I$9)),"#",getgrade(Broadsheet!AF26,data!$H$4:$I$9))</f>
        <v/>
      </c>
      <c r="BF26" s="188" t="str">
        <f>IF(ISERROR(getgrade(Broadsheet!AG26,data!$H$4:$I$9)),"#",getgrade(Broadsheet!AG26,data!$H$4:$I$9))</f>
        <v/>
      </c>
      <c r="BG26" s="188" t="str">
        <f>IF(ISERROR(getgrade(Broadsheet!AH26,data!$H$4:$I$9)),"#",getgrade(Broadsheet!AH26,data!$H$4:$I$9))</f>
        <v/>
      </c>
      <c r="BH26" s="188" t="str">
        <f>IF(ISERROR(getgrade(Broadsheet!AI26,data!$H$4:$I$9)),"#",getgrade(Broadsheet!AI26,data!$H$4:$I$9))</f>
        <v/>
      </c>
      <c r="BI26" s="188" t="str">
        <f>IF(ISERROR(getgrade(Broadsheet!AJ26,data!$H$4:$I$9)),"#",getgrade(Broadsheet!AJ26,data!$H$4:$I$9))</f>
        <v/>
      </c>
      <c r="BJ26" s="188" t="str">
        <f>IF(ISERROR(getgrade(Broadsheet!AK26,data!$H$4:$I$9)),"#",getgrade(Broadsheet!AK26,data!$H$4:$I$9))</f>
        <v/>
      </c>
      <c r="BK26" s="188" t="str">
        <f>IF(ISERROR(getgrade(Broadsheet!AL26,data!$H$4:$I$9)),"#",getgrade(Broadsheet!AL26,data!$H$4:$I$9))</f>
        <v/>
      </c>
      <c r="BL26" s="188" t="str">
        <f>IF(ISERROR(getgrade(Broadsheet!AM26,data!$H$4:$I$9)),"#",getgrade(Broadsheet!AM26,data!$H$4:$I$9))</f>
        <v/>
      </c>
      <c r="BM26" s="188" t="str">
        <f>IF(ISERROR(getgrade(Broadsheet!AN26,data!$H$4:$I$9)),"#",getgrade(Broadsheet!AN26,data!$H$4:$I$9))</f>
        <v/>
      </c>
      <c r="BN26" s="188" t="str">
        <f>IF(ISERROR(getgrade(Broadsheet!AO26,data!$H$4:$I$9)),"#",getgrade(Broadsheet!AO26,data!$H$4:$I$9))</f>
        <v/>
      </c>
      <c r="BO26" s="188" t="str">
        <f>IF(ISERROR(getgrade(Broadsheet!AP26,data!$H$4:$I$9)),"#",getgrade(Broadsheet!AP26,data!$H$4:$I$9))</f>
        <v/>
      </c>
      <c r="BP26" s="188" t="str">
        <f>IF(ISERROR(getgrade(Broadsheet!AQ26,data!$H$4:$I$9)),"#",getgrade(Broadsheet!AQ26,data!$H$4:$I$9))</f>
        <v/>
      </c>
      <c r="BQ26" s="188" t="str">
        <f>IF(ISERROR(getgrade(Broadsheet!AR26,data!$H$4:$I$9)),"#",getgrade(Broadsheet!AR26,data!$H$4:$I$9))</f>
        <v/>
      </c>
      <c r="BR26" s="188" t="str">
        <f>IF(ISERROR(getgrade(Broadsheet!AS26,data!$H$4:$I$9)),"#",getgrade(Broadsheet!AS26,data!$H$4:$I$9))</f>
        <v/>
      </c>
      <c r="BS26" s="188" t="str">
        <f>IF(ISERROR(getgrade(Broadsheet!AT26,data!$H$4:$I$9)),"#",getgrade(Broadsheet!AT26,data!$H$4:$I$9))</f>
        <v/>
      </c>
      <c r="BT26" s="188" t="str">
        <f>IF(ISERROR(getgrade(Broadsheet!AU26,data!$H$4:$I$9)),"#",getgrade(Broadsheet!AU26,data!$H$4:$I$9))</f>
        <v/>
      </c>
      <c r="BU26" s="188" t="str">
        <f>IF(ISERROR(getgrade(Broadsheet!AV26,data!$H$4:$I$9)),"#",getgrade(Broadsheet!AV26,data!$H$4:$I$9))</f>
        <v/>
      </c>
      <c r="BV26" s="188" t="str">
        <f>IF(ISERROR(getgrade(Broadsheet!AW26,data!$H$4:$I$9)),"#",getgrade(Broadsheet!AW26,data!$H$4:$I$9))</f>
        <v/>
      </c>
      <c r="BW26" s="188" t="str">
        <f>IF(ISERROR(getgrade(Broadsheet!AX26,data!$H$4:$I$9)),"#",getgrade(Broadsheet!AX26,data!$H$4:$I$9))</f>
        <v/>
      </c>
      <c r="BX26" s="188" t="str">
        <f>IF(ISERROR(getgrade(Broadsheet!AY26,data!$H$4:$I$9)),"#",getgrade(Broadsheet!AY26,data!$H$4:$I$9))</f>
        <v/>
      </c>
      <c r="BY26" s="188" t="str">
        <f>IF(ISERROR(getgrade(Broadsheet!AZ26,data!$H$4:$I$9)),"#",getgrade(Broadsheet!AZ26,data!$H$4:$I$9))</f>
        <v/>
      </c>
      <c r="BZ26" s="188" t="str">
        <f>IF(ISERROR(getgrade(Broadsheet!BA26,data!$H$4:$I$9)),"#",getgrade(Broadsheet!BA26,data!$H$4:$I$9))</f>
        <v/>
      </c>
      <c r="CA26" s="188" t="str">
        <f>IF(ISERROR(getgrade(Broadsheet!BB26,data!$H$4:$I$9)),"#",getgrade(Broadsheet!BB26,data!$H$4:$I$9))</f>
        <v/>
      </c>
      <c r="CB26" s="188" t="str">
        <f>IF(ISERROR(getgrade(Broadsheet!BC26,data!$H$4:$I$9)),"#",getgrade(Broadsheet!BC26,data!$H$4:$I$9))</f>
        <v/>
      </c>
      <c r="CC26" s="188" t="str">
        <f>IF(ISERROR(getgrade(Broadsheet!BD26,data!$H$4:$I$9)),"#",getgrade(Broadsheet!BD26,data!$H$4:$I$9))</f>
        <v/>
      </c>
      <c r="CD26" s="188" t="str">
        <f>IF(ISERROR(getgrade(Broadsheet!BE26,data!$H$4:$I$9)),"#",getgrade(Broadsheet!BE26,data!$H$4:$I$9))</f>
        <v/>
      </c>
      <c r="CE26" s="188" t="str">
        <f>IF(ISERROR(getgrade(Broadsheet!BF26,data!$H$4:$I$9)),"#",getgrade(Broadsheet!BF26,data!$H$4:$I$9))</f>
        <v/>
      </c>
      <c r="CF26" s="188" t="str">
        <f>IF(ISERROR(getgrade(Broadsheet!BG26,data!$H$4:$I$9)),"#",getgrade(Broadsheet!BG26,data!$H$4:$I$9))</f>
        <v/>
      </c>
      <c r="CG26" s="188" t="str">
        <f>IF(ISERROR(getgrade(Broadsheet!BH26,data!$H$4:$I$9)),"#",getgrade(Broadsheet!BH26,data!$H$4:$I$9))</f>
        <v/>
      </c>
      <c r="CH26" s="188" t="str">
        <f>IF(ISERROR(getgrade(Broadsheet!BI26,data!$H$4:$I$9)),"#",getgrade(Broadsheet!BI26,data!$H$4:$I$9))</f>
        <v/>
      </c>
      <c r="CI26" s="188" t="str">
        <f>IF(ISERROR(getgrade(Broadsheet!BJ26,data!$H$4:$I$9)),"#",getgrade(Broadsheet!BJ26,data!$H$4:$I$9))</f>
        <v/>
      </c>
      <c r="CJ26" s="188"/>
      <c r="CK26" s="188"/>
      <c r="CL26" s="188"/>
      <c r="CM26" s="188"/>
      <c r="CN26" s="188"/>
      <c r="CO26" s="188"/>
      <c r="CP26" s="188"/>
      <c r="CQ26" s="188"/>
      <c r="CR26" s="188"/>
      <c r="CS26" s="188"/>
      <c r="CT26" s="188"/>
      <c r="CU26" s="188"/>
      <c r="CV26" s="188"/>
      <c r="CW26" s="188"/>
      <c r="CX26" s="188"/>
      <c r="CY26" s="188"/>
      <c r="CZ26" s="188"/>
      <c r="DA26" s="188"/>
      <c r="DB26" s="188"/>
      <c r="DC26" s="188"/>
      <c r="DD26" s="188"/>
      <c r="DE26" s="188"/>
      <c r="DF26" s="188"/>
      <c r="DG26" s="188"/>
      <c r="DH26" s="188"/>
      <c r="DI26" s="188"/>
      <c r="DJ26" s="188"/>
      <c r="DK26" s="188"/>
      <c r="DL26" s="188"/>
      <c r="DM26" s="188"/>
      <c r="DN26" s="188"/>
      <c r="DO26" s="188"/>
      <c r="DP26" s="188"/>
      <c r="DQ26" s="188"/>
      <c r="DR26" s="188"/>
      <c r="DS26" s="188"/>
      <c r="DT26" s="188"/>
      <c r="DU26" s="188"/>
      <c r="DV26" s="188"/>
      <c r="DW26" s="188"/>
      <c r="DX26" s="188"/>
      <c r="DY26" s="188"/>
      <c r="DZ26" s="188"/>
      <c r="EA26" s="188"/>
      <c r="EB26" s="188"/>
      <c r="EC26" s="188"/>
      <c r="ED26" s="188"/>
      <c r="EE26" s="188"/>
      <c r="EF26" s="188"/>
      <c r="EG26" s="188"/>
      <c r="EH26" s="188"/>
      <c r="EI26" s="188"/>
      <c r="EJ26" s="188"/>
      <c r="EK26" s="188"/>
      <c r="EL26" s="188"/>
      <c r="EM26" s="188"/>
      <c r="EN26" s="188"/>
      <c r="EO26" s="188"/>
      <c r="EP26" s="188"/>
      <c r="EQ26" s="188"/>
      <c r="ER26" s="188"/>
      <c r="ES26" s="188"/>
      <c r="ET26" s="188"/>
      <c r="EU26" s="188"/>
      <c r="EV26" s="188"/>
      <c r="EW26" s="188"/>
      <c r="EX26" s="188"/>
      <c r="EY26" s="188"/>
      <c r="EZ26" s="188"/>
    </row>
    <row r="27" spans="1:156" ht="15.75" x14ac:dyDescent="0.25">
      <c r="A27" s="12">
        <v>18</v>
      </c>
      <c r="B27" s="16"/>
      <c r="C27" s="24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07"/>
      <c r="Y27" s="110"/>
      <c r="Z27" s="19"/>
      <c r="AA27" s="25"/>
      <c r="AB27" s="21"/>
      <c r="AC27" s="25"/>
      <c r="AD27" s="25"/>
      <c r="AE27" s="20"/>
      <c r="AG27" s="188" t="str">
        <f>IF(ISERROR(getgrade(Broadsheet!H27,data!$H$4:$I$9)),"#",getgrade(Broadsheet!H27,data!$H$4:$I$9))</f>
        <v/>
      </c>
      <c r="AH27" s="188" t="str">
        <f>IF(ISERROR(getgrade(Broadsheet!I27,data!$H$4:$I$9)),"#",getgrade(Broadsheet!I27,data!$H$4:$I$9))</f>
        <v/>
      </c>
      <c r="AI27" s="188" t="str">
        <f>IF(ISERROR(getgrade(Broadsheet!J27,data!$H$4:$I$9)),"#",getgrade(Broadsheet!J27,data!$H$4:$I$9))</f>
        <v/>
      </c>
      <c r="AJ27" s="188" t="str">
        <f>IF(ISERROR(getgrade(Broadsheet!K27,data!$H$4:$I$9)),"#",getgrade(Broadsheet!K27,data!$H$4:$I$9))</f>
        <v/>
      </c>
      <c r="AK27" s="188" t="str">
        <f>IF(ISERROR(getgrade(Broadsheet!L27,data!$H$4:$I$9)),"#",getgrade(Broadsheet!L27,data!$H$4:$I$9))</f>
        <v/>
      </c>
      <c r="AL27" s="188" t="str">
        <f>IF(ISERROR(getgrade(Broadsheet!M27,data!$H$4:$I$9)),"#",getgrade(Broadsheet!M27,data!$H$4:$I$9))</f>
        <v/>
      </c>
      <c r="AM27" s="188" t="str">
        <f>IF(ISERROR(getgrade(Broadsheet!N27,data!$H$4:$I$9)),"#",getgrade(Broadsheet!N27,data!$H$4:$I$9))</f>
        <v/>
      </c>
      <c r="AN27" s="188" t="str">
        <f>IF(ISERROR(getgrade(Broadsheet!O27,data!$H$4:$I$9)),"#",getgrade(Broadsheet!O27,data!$H$4:$I$9))</f>
        <v/>
      </c>
      <c r="AO27" s="188" t="str">
        <f>IF(ISERROR(getgrade(Broadsheet!P27,data!$H$4:$I$9)),"#",getgrade(Broadsheet!P27,data!$H$4:$I$9))</f>
        <v/>
      </c>
      <c r="AP27" s="188" t="str">
        <f>IF(ISERROR(getgrade(Broadsheet!Q27,data!$H$4:$I$9)),"#",getgrade(Broadsheet!Q27,data!$H$4:$I$9))</f>
        <v/>
      </c>
      <c r="AQ27" s="188" t="str">
        <f>IF(ISERROR(getgrade(Broadsheet!R27,data!$H$4:$I$9)),"#",getgrade(Broadsheet!R27,data!$H$4:$I$9))</f>
        <v/>
      </c>
      <c r="AR27" s="188" t="str">
        <f>IF(ISERROR(getgrade(Broadsheet!S27,data!$H$4:$I$9)),"#",getgrade(Broadsheet!S27,data!$H$4:$I$9))</f>
        <v/>
      </c>
      <c r="AS27" s="188" t="str">
        <f>IF(ISERROR(getgrade(Broadsheet!T27,data!$H$4:$I$9)),"#",getgrade(Broadsheet!T27,data!$H$4:$I$9))</f>
        <v/>
      </c>
      <c r="AT27" s="188" t="str">
        <f>IF(ISERROR(getgrade(Broadsheet!U27,data!$H$4:$I$9)),"#",getgrade(Broadsheet!U27,data!$H$4:$I$9))</f>
        <v/>
      </c>
      <c r="AU27" s="188" t="str">
        <f>IF(ISERROR(getgrade(Broadsheet!V27,data!$H$4:$I$9)),"#",getgrade(Broadsheet!V27,data!$H$4:$I$9))</f>
        <v/>
      </c>
      <c r="AV27" s="188" t="str">
        <f>IF(ISERROR(getgrade(Broadsheet!W27,data!$H$4:$I$9)),"#",getgrade(Broadsheet!W27,data!$H$4:$I$9))</f>
        <v/>
      </c>
      <c r="AW27" s="188" t="str">
        <f>IF(ISERROR(getgrade(Broadsheet!X27,data!$H$4:$I$9)),"#",getgrade(Broadsheet!X27,data!$H$4:$I$9))</f>
        <v/>
      </c>
      <c r="AX27" s="188" t="str">
        <f>IF(ISERROR(getgrade(Broadsheet!Y27,data!$H$4:$I$9)),"#",getgrade(Broadsheet!Y27,data!$H$4:$I$9))</f>
        <v/>
      </c>
      <c r="AY27" s="188" t="str">
        <f>IF(ISERROR(getgrade(Broadsheet!Z27,data!$H$4:$I$9)),"#",getgrade(Broadsheet!Z27,data!$H$4:$I$9))</f>
        <v/>
      </c>
      <c r="AZ27" s="188" t="str">
        <f>IF(ISERROR(getgrade(Broadsheet!AA27,data!$H$4:$I$9)),"#",getgrade(Broadsheet!AA27,data!$H$4:$I$9))</f>
        <v/>
      </c>
      <c r="BA27" s="188" t="str">
        <f>IF(ISERROR(getgrade(Broadsheet!AB27,data!$H$4:$I$9)),"#",getgrade(Broadsheet!AB27,data!$H$4:$I$9))</f>
        <v/>
      </c>
      <c r="BB27" s="188" t="str">
        <f>IF(ISERROR(getgrade(Broadsheet!AC27,data!$H$4:$I$9)),"#",getgrade(Broadsheet!AC27,data!$H$4:$I$9))</f>
        <v/>
      </c>
      <c r="BC27" s="188" t="str">
        <f>IF(ISERROR(getgrade(Broadsheet!AD27,data!$H$4:$I$9)),"#",getgrade(Broadsheet!AD27,data!$H$4:$I$9))</f>
        <v/>
      </c>
      <c r="BD27" s="188" t="str">
        <f>IF(ISERROR(getgrade(Broadsheet!AE27,data!$H$4:$I$9)),"#",getgrade(Broadsheet!AE27,data!$H$4:$I$9))</f>
        <v/>
      </c>
      <c r="BE27" s="188" t="str">
        <f>IF(ISERROR(getgrade(Broadsheet!AF27,data!$H$4:$I$9)),"#",getgrade(Broadsheet!AF27,data!$H$4:$I$9))</f>
        <v/>
      </c>
      <c r="BF27" s="188" t="str">
        <f>IF(ISERROR(getgrade(Broadsheet!AG27,data!$H$4:$I$9)),"#",getgrade(Broadsheet!AG27,data!$H$4:$I$9))</f>
        <v/>
      </c>
      <c r="BG27" s="188" t="str">
        <f>IF(ISERROR(getgrade(Broadsheet!AH27,data!$H$4:$I$9)),"#",getgrade(Broadsheet!AH27,data!$H$4:$I$9))</f>
        <v/>
      </c>
      <c r="BH27" s="188" t="str">
        <f>IF(ISERROR(getgrade(Broadsheet!AI27,data!$H$4:$I$9)),"#",getgrade(Broadsheet!AI27,data!$H$4:$I$9))</f>
        <v/>
      </c>
      <c r="BI27" s="188" t="str">
        <f>IF(ISERROR(getgrade(Broadsheet!AJ27,data!$H$4:$I$9)),"#",getgrade(Broadsheet!AJ27,data!$H$4:$I$9))</f>
        <v/>
      </c>
      <c r="BJ27" s="188" t="str">
        <f>IF(ISERROR(getgrade(Broadsheet!AK27,data!$H$4:$I$9)),"#",getgrade(Broadsheet!AK27,data!$H$4:$I$9))</f>
        <v/>
      </c>
      <c r="BK27" s="188" t="str">
        <f>IF(ISERROR(getgrade(Broadsheet!AL27,data!$H$4:$I$9)),"#",getgrade(Broadsheet!AL27,data!$H$4:$I$9))</f>
        <v/>
      </c>
      <c r="BL27" s="188" t="str">
        <f>IF(ISERROR(getgrade(Broadsheet!AM27,data!$H$4:$I$9)),"#",getgrade(Broadsheet!AM27,data!$H$4:$I$9))</f>
        <v/>
      </c>
      <c r="BM27" s="188" t="str">
        <f>IF(ISERROR(getgrade(Broadsheet!AN27,data!$H$4:$I$9)),"#",getgrade(Broadsheet!AN27,data!$H$4:$I$9))</f>
        <v/>
      </c>
      <c r="BN27" s="188" t="str">
        <f>IF(ISERROR(getgrade(Broadsheet!AO27,data!$H$4:$I$9)),"#",getgrade(Broadsheet!AO27,data!$H$4:$I$9))</f>
        <v/>
      </c>
      <c r="BO27" s="188" t="str">
        <f>IF(ISERROR(getgrade(Broadsheet!AP27,data!$H$4:$I$9)),"#",getgrade(Broadsheet!AP27,data!$H$4:$I$9))</f>
        <v/>
      </c>
      <c r="BP27" s="188" t="str">
        <f>IF(ISERROR(getgrade(Broadsheet!AQ27,data!$H$4:$I$9)),"#",getgrade(Broadsheet!AQ27,data!$H$4:$I$9))</f>
        <v/>
      </c>
      <c r="BQ27" s="188" t="str">
        <f>IF(ISERROR(getgrade(Broadsheet!AR27,data!$H$4:$I$9)),"#",getgrade(Broadsheet!AR27,data!$H$4:$I$9))</f>
        <v/>
      </c>
      <c r="BR27" s="188" t="str">
        <f>IF(ISERROR(getgrade(Broadsheet!AS27,data!$H$4:$I$9)),"#",getgrade(Broadsheet!AS27,data!$H$4:$I$9))</f>
        <v/>
      </c>
      <c r="BS27" s="188" t="str">
        <f>IF(ISERROR(getgrade(Broadsheet!AT27,data!$H$4:$I$9)),"#",getgrade(Broadsheet!AT27,data!$H$4:$I$9))</f>
        <v/>
      </c>
      <c r="BT27" s="188" t="str">
        <f>IF(ISERROR(getgrade(Broadsheet!AU27,data!$H$4:$I$9)),"#",getgrade(Broadsheet!AU27,data!$H$4:$I$9))</f>
        <v/>
      </c>
      <c r="BU27" s="188" t="str">
        <f>IF(ISERROR(getgrade(Broadsheet!AV27,data!$H$4:$I$9)),"#",getgrade(Broadsheet!AV27,data!$H$4:$I$9))</f>
        <v/>
      </c>
      <c r="BV27" s="188" t="str">
        <f>IF(ISERROR(getgrade(Broadsheet!AW27,data!$H$4:$I$9)),"#",getgrade(Broadsheet!AW27,data!$H$4:$I$9))</f>
        <v/>
      </c>
      <c r="BW27" s="188" t="str">
        <f>IF(ISERROR(getgrade(Broadsheet!AX27,data!$H$4:$I$9)),"#",getgrade(Broadsheet!AX27,data!$H$4:$I$9))</f>
        <v/>
      </c>
      <c r="BX27" s="188" t="str">
        <f>IF(ISERROR(getgrade(Broadsheet!AY27,data!$H$4:$I$9)),"#",getgrade(Broadsheet!AY27,data!$H$4:$I$9))</f>
        <v/>
      </c>
      <c r="BY27" s="188" t="str">
        <f>IF(ISERROR(getgrade(Broadsheet!AZ27,data!$H$4:$I$9)),"#",getgrade(Broadsheet!AZ27,data!$H$4:$I$9))</f>
        <v/>
      </c>
      <c r="BZ27" s="188" t="str">
        <f>IF(ISERROR(getgrade(Broadsheet!BA27,data!$H$4:$I$9)),"#",getgrade(Broadsheet!BA27,data!$H$4:$I$9))</f>
        <v/>
      </c>
      <c r="CA27" s="188" t="str">
        <f>IF(ISERROR(getgrade(Broadsheet!BB27,data!$H$4:$I$9)),"#",getgrade(Broadsheet!BB27,data!$H$4:$I$9))</f>
        <v/>
      </c>
      <c r="CB27" s="188" t="str">
        <f>IF(ISERROR(getgrade(Broadsheet!BC27,data!$H$4:$I$9)),"#",getgrade(Broadsheet!BC27,data!$H$4:$I$9))</f>
        <v/>
      </c>
      <c r="CC27" s="188" t="str">
        <f>IF(ISERROR(getgrade(Broadsheet!BD27,data!$H$4:$I$9)),"#",getgrade(Broadsheet!BD27,data!$H$4:$I$9))</f>
        <v/>
      </c>
      <c r="CD27" s="188" t="str">
        <f>IF(ISERROR(getgrade(Broadsheet!BE27,data!$H$4:$I$9)),"#",getgrade(Broadsheet!BE27,data!$H$4:$I$9))</f>
        <v/>
      </c>
      <c r="CE27" s="188" t="str">
        <f>IF(ISERROR(getgrade(Broadsheet!BF27,data!$H$4:$I$9)),"#",getgrade(Broadsheet!BF27,data!$H$4:$I$9))</f>
        <v/>
      </c>
      <c r="CF27" s="188" t="str">
        <f>IF(ISERROR(getgrade(Broadsheet!BG27,data!$H$4:$I$9)),"#",getgrade(Broadsheet!BG27,data!$H$4:$I$9))</f>
        <v/>
      </c>
      <c r="CG27" s="188" t="str">
        <f>IF(ISERROR(getgrade(Broadsheet!BH27,data!$H$4:$I$9)),"#",getgrade(Broadsheet!BH27,data!$H$4:$I$9))</f>
        <v/>
      </c>
      <c r="CH27" s="188" t="str">
        <f>IF(ISERROR(getgrade(Broadsheet!BI27,data!$H$4:$I$9)),"#",getgrade(Broadsheet!BI27,data!$H$4:$I$9))</f>
        <v/>
      </c>
      <c r="CI27" s="188" t="str">
        <f>IF(ISERROR(getgrade(Broadsheet!BJ27,data!$H$4:$I$9)),"#",getgrade(Broadsheet!BJ27,data!$H$4:$I$9))</f>
        <v/>
      </c>
      <c r="CJ27" s="188"/>
      <c r="CK27" s="188"/>
      <c r="CL27" s="188"/>
      <c r="CM27" s="188"/>
      <c r="CN27" s="188"/>
      <c r="CO27" s="188"/>
      <c r="CP27" s="188"/>
      <c r="CQ27" s="188"/>
      <c r="CR27" s="188"/>
      <c r="CS27" s="188"/>
      <c r="CT27" s="188"/>
      <c r="CU27" s="188"/>
      <c r="CV27" s="188"/>
      <c r="CW27" s="188"/>
      <c r="CX27" s="188"/>
      <c r="CY27" s="188"/>
      <c r="CZ27" s="188"/>
      <c r="DA27" s="188"/>
      <c r="DB27" s="188"/>
      <c r="DC27" s="188"/>
      <c r="DD27" s="188"/>
      <c r="DE27" s="188"/>
      <c r="DF27" s="188"/>
      <c r="DG27" s="188"/>
      <c r="DH27" s="188"/>
      <c r="DI27" s="188"/>
      <c r="DJ27" s="188"/>
      <c r="DK27" s="188"/>
      <c r="DL27" s="188"/>
      <c r="DM27" s="188"/>
      <c r="DN27" s="188"/>
      <c r="DO27" s="188"/>
      <c r="DP27" s="188"/>
      <c r="DQ27" s="188"/>
      <c r="DR27" s="188"/>
      <c r="DS27" s="188"/>
      <c r="DT27" s="188"/>
      <c r="DU27" s="188"/>
      <c r="DV27" s="188"/>
      <c r="DW27" s="188"/>
      <c r="DX27" s="188"/>
      <c r="DY27" s="188"/>
      <c r="DZ27" s="188"/>
      <c r="EA27" s="188"/>
      <c r="EB27" s="188"/>
      <c r="EC27" s="188"/>
      <c r="ED27" s="188"/>
      <c r="EE27" s="188"/>
      <c r="EF27" s="188"/>
      <c r="EG27" s="188"/>
      <c r="EH27" s="188"/>
      <c r="EI27" s="188"/>
      <c r="EJ27" s="188"/>
      <c r="EK27" s="188"/>
      <c r="EL27" s="188"/>
      <c r="EM27" s="188"/>
      <c r="EN27" s="188"/>
      <c r="EO27" s="188"/>
      <c r="EP27" s="188"/>
      <c r="EQ27" s="188"/>
      <c r="ER27" s="188"/>
      <c r="ES27" s="188"/>
      <c r="ET27" s="188"/>
      <c r="EU27" s="188"/>
      <c r="EV27" s="188"/>
      <c r="EW27" s="188"/>
      <c r="EX27" s="188"/>
      <c r="EY27" s="188"/>
      <c r="EZ27" s="188"/>
    </row>
    <row r="28" spans="1:156" ht="15.75" x14ac:dyDescent="0.25">
      <c r="A28" s="12">
        <v>19</v>
      </c>
      <c r="B28" s="16"/>
      <c r="C28" s="24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07"/>
      <c r="Y28" s="110"/>
      <c r="Z28" s="19"/>
      <c r="AA28" s="25"/>
      <c r="AB28" s="21"/>
      <c r="AC28" s="25"/>
      <c r="AD28" s="25"/>
      <c r="AE28" s="20"/>
      <c r="AG28" s="188" t="str">
        <f>IF(ISERROR(getgrade(Broadsheet!H28,data!$H$4:$I$9)),"#",getgrade(Broadsheet!H28,data!$H$4:$I$9))</f>
        <v/>
      </c>
      <c r="AH28" s="188" t="str">
        <f>IF(ISERROR(getgrade(Broadsheet!I28,data!$H$4:$I$9)),"#",getgrade(Broadsheet!I28,data!$H$4:$I$9))</f>
        <v/>
      </c>
      <c r="AI28" s="188" t="str">
        <f>IF(ISERROR(getgrade(Broadsheet!J28,data!$H$4:$I$9)),"#",getgrade(Broadsheet!J28,data!$H$4:$I$9))</f>
        <v/>
      </c>
      <c r="AJ28" s="188" t="str">
        <f>IF(ISERROR(getgrade(Broadsheet!K28,data!$H$4:$I$9)),"#",getgrade(Broadsheet!K28,data!$H$4:$I$9))</f>
        <v/>
      </c>
      <c r="AK28" s="188" t="str">
        <f>IF(ISERROR(getgrade(Broadsheet!L28,data!$H$4:$I$9)),"#",getgrade(Broadsheet!L28,data!$H$4:$I$9))</f>
        <v/>
      </c>
      <c r="AL28" s="188" t="str">
        <f>IF(ISERROR(getgrade(Broadsheet!M28,data!$H$4:$I$9)),"#",getgrade(Broadsheet!M28,data!$H$4:$I$9))</f>
        <v/>
      </c>
      <c r="AM28" s="188" t="str">
        <f>IF(ISERROR(getgrade(Broadsheet!N28,data!$H$4:$I$9)),"#",getgrade(Broadsheet!N28,data!$H$4:$I$9))</f>
        <v/>
      </c>
      <c r="AN28" s="188" t="str">
        <f>IF(ISERROR(getgrade(Broadsheet!O28,data!$H$4:$I$9)),"#",getgrade(Broadsheet!O28,data!$H$4:$I$9))</f>
        <v/>
      </c>
      <c r="AO28" s="188" t="str">
        <f>IF(ISERROR(getgrade(Broadsheet!P28,data!$H$4:$I$9)),"#",getgrade(Broadsheet!P28,data!$H$4:$I$9))</f>
        <v/>
      </c>
      <c r="AP28" s="188" t="str">
        <f>IF(ISERROR(getgrade(Broadsheet!Q28,data!$H$4:$I$9)),"#",getgrade(Broadsheet!Q28,data!$H$4:$I$9))</f>
        <v/>
      </c>
      <c r="AQ28" s="188" t="str">
        <f>IF(ISERROR(getgrade(Broadsheet!R28,data!$H$4:$I$9)),"#",getgrade(Broadsheet!R28,data!$H$4:$I$9))</f>
        <v/>
      </c>
      <c r="AR28" s="188" t="str">
        <f>IF(ISERROR(getgrade(Broadsheet!S28,data!$H$4:$I$9)),"#",getgrade(Broadsheet!S28,data!$H$4:$I$9))</f>
        <v/>
      </c>
      <c r="AS28" s="188" t="str">
        <f>IF(ISERROR(getgrade(Broadsheet!T28,data!$H$4:$I$9)),"#",getgrade(Broadsheet!T28,data!$H$4:$I$9))</f>
        <v/>
      </c>
      <c r="AT28" s="188" t="str">
        <f>IF(ISERROR(getgrade(Broadsheet!U28,data!$H$4:$I$9)),"#",getgrade(Broadsheet!U28,data!$H$4:$I$9))</f>
        <v/>
      </c>
      <c r="AU28" s="188" t="str">
        <f>IF(ISERROR(getgrade(Broadsheet!V28,data!$H$4:$I$9)),"#",getgrade(Broadsheet!V28,data!$H$4:$I$9))</f>
        <v/>
      </c>
      <c r="AV28" s="188" t="str">
        <f>IF(ISERROR(getgrade(Broadsheet!W28,data!$H$4:$I$9)),"#",getgrade(Broadsheet!W28,data!$H$4:$I$9))</f>
        <v/>
      </c>
      <c r="AW28" s="188" t="str">
        <f>IF(ISERROR(getgrade(Broadsheet!X28,data!$H$4:$I$9)),"#",getgrade(Broadsheet!X28,data!$H$4:$I$9))</f>
        <v/>
      </c>
      <c r="AX28" s="188" t="str">
        <f>IF(ISERROR(getgrade(Broadsheet!Y28,data!$H$4:$I$9)),"#",getgrade(Broadsheet!Y28,data!$H$4:$I$9))</f>
        <v/>
      </c>
      <c r="AY28" s="188" t="str">
        <f>IF(ISERROR(getgrade(Broadsheet!Z28,data!$H$4:$I$9)),"#",getgrade(Broadsheet!Z28,data!$H$4:$I$9))</f>
        <v/>
      </c>
      <c r="AZ28" s="188" t="str">
        <f>IF(ISERROR(getgrade(Broadsheet!AA28,data!$H$4:$I$9)),"#",getgrade(Broadsheet!AA28,data!$H$4:$I$9))</f>
        <v/>
      </c>
      <c r="BA28" s="188" t="str">
        <f>IF(ISERROR(getgrade(Broadsheet!AB28,data!$H$4:$I$9)),"#",getgrade(Broadsheet!AB28,data!$H$4:$I$9))</f>
        <v/>
      </c>
      <c r="BB28" s="188" t="str">
        <f>IF(ISERROR(getgrade(Broadsheet!AC28,data!$H$4:$I$9)),"#",getgrade(Broadsheet!AC28,data!$H$4:$I$9))</f>
        <v/>
      </c>
      <c r="BC28" s="188" t="str">
        <f>IF(ISERROR(getgrade(Broadsheet!AD28,data!$H$4:$I$9)),"#",getgrade(Broadsheet!AD28,data!$H$4:$I$9))</f>
        <v/>
      </c>
      <c r="BD28" s="188" t="str">
        <f>IF(ISERROR(getgrade(Broadsheet!AE28,data!$H$4:$I$9)),"#",getgrade(Broadsheet!AE28,data!$H$4:$I$9))</f>
        <v/>
      </c>
      <c r="BE28" s="188" t="str">
        <f>IF(ISERROR(getgrade(Broadsheet!AF28,data!$H$4:$I$9)),"#",getgrade(Broadsheet!AF28,data!$H$4:$I$9))</f>
        <v/>
      </c>
      <c r="BF28" s="188" t="str">
        <f>IF(ISERROR(getgrade(Broadsheet!AG28,data!$H$4:$I$9)),"#",getgrade(Broadsheet!AG28,data!$H$4:$I$9))</f>
        <v/>
      </c>
      <c r="BG28" s="188" t="str">
        <f>IF(ISERROR(getgrade(Broadsheet!AH28,data!$H$4:$I$9)),"#",getgrade(Broadsheet!AH28,data!$H$4:$I$9))</f>
        <v/>
      </c>
      <c r="BH28" s="188" t="str">
        <f>IF(ISERROR(getgrade(Broadsheet!AI28,data!$H$4:$I$9)),"#",getgrade(Broadsheet!AI28,data!$H$4:$I$9))</f>
        <v/>
      </c>
      <c r="BI28" s="188" t="str">
        <f>IF(ISERROR(getgrade(Broadsheet!AJ28,data!$H$4:$I$9)),"#",getgrade(Broadsheet!AJ28,data!$H$4:$I$9))</f>
        <v/>
      </c>
      <c r="BJ28" s="188" t="str">
        <f>IF(ISERROR(getgrade(Broadsheet!AK28,data!$H$4:$I$9)),"#",getgrade(Broadsheet!AK28,data!$H$4:$I$9))</f>
        <v/>
      </c>
      <c r="BK28" s="188" t="str">
        <f>IF(ISERROR(getgrade(Broadsheet!AL28,data!$H$4:$I$9)),"#",getgrade(Broadsheet!AL28,data!$H$4:$I$9))</f>
        <v/>
      </c>
      <c r="BL28" s="188" t="str">
        <f>IF(ISERROR(getgrade(Broadsheet!AM28,data!$H$4:$I$9)),"#",getgrade(Broadsheet!AM28,data!$H$4:$I$9))</f>
        <v/>
      </c>
      <c r="BM28" s="188" t="str">
        <f>IF(ISERROR(getgrade(Broadsheet!AN28,data!$H$4:$I$9)),"#",getgrade(Broadsheet!AN28,data!$H$4:$I$9))</f>
        <v/>
      </c>
      <c r="BN28" s="188" t="str">
        <f>IF(ISERROR(getgrade(Broadsheet!AO28,data!$H$4:$I$9)),"#",getgrade(Broadsheet!AO28,data!$H$4:$I$9))</f>
        <v/>
      </c>
      <c r="BO28" s="188" t="str">
        <f>IF(ISERROR(getgrade(Broadsheet!AP28,data!$H$4:$I$9)),"#",getgrade(Broadsheet!AP28,data!$H$4:$I$9))</f>
        <v/>
      </c>
      <c r="BP28" s="188" t="str">
        <f>IF(ISERROR(getgrade(Broadsheet!AQ28,data!$H$4:$I$9)),"#",getgrade(Broadsheet!AQ28,data!$H$4:$I$9))</f>
        <v/>
      </c>
      <c r="BQ28" s="188" t="str">
        <f>IF(ISERROR(getgrade(Broadsheet!AR28,data!$H$4:$I$9)),"#",getgrade(Broadsheet!AR28,data!$H$4:$I$9))</f>
        <v/>
      </c>
      <c r="BR28" s="188" t="str">
        <f>IF(ISERROR(getgrade(Broadsheet!AS28,data!$H$4:$I$9)),"#",getgrade(Broadsheet!AS28,data!$H$4:$I$9))</f>
        <v/>
      </c>
      <c r="BS28" s="188" t="str">
        <f>IF(ISERROR(getgrade(Broadsheet!AT28,data!$H$4:$I$9)),"#",getgrade(Broadsheet!AT28,data!$H$4:$I$9))</f>
        <v/>
      </c>
      <c r="BT28" s="188" t="str">
        <f>IF(ISERROR(getgrade(Broadsheet!AU28,data!$H$4:$I$9)),"#",getgrade(Broadsheet!AU28,data!$H$4:$I$9))</f>
        <v/>
      </c>
      <c r="BU28" s="188" t="str">
        <f>IF(ISERROR(getgrade(Broadsheet!AV28,data!$H$4:$I$9)),"#",getgrade(Broadsheet!AV28,data!$H$4:$I$9))</f>
        <v/>
      </c>
      <c r="BV28" s="188" t="str">
        <f>IF(ISERROR(getgrade(Broadsheet!AW28,data!$H$4:$I$9)),"#",getgrade(Broadsheet!AW28,data!$H$4:$I$9))</f>
        <v/>
      </c>
      <c r="BW28" s="188" t="str">
        <f>IF(ISERROR(getgrade(Broadsheet!AX28,data!$H$4:$I$9)),"#",getgrade(Broadsheet!AX28,data!$H$4:$I$9))</f>
        <v/>
      </c>
      <c r="BX28" s="188" t="str">
        <f>IF(ISERROR(getgrade(Broadsheet!AY28,data!$H$4:$I$9)),"#",getgrade(Broadsheet!AY28,data!$H$4:$I$9))</f>
        <v/>
      </c>
      <c r="BY28" s="188" t="str">
        <f>IF(ISERROR(getgrade(Broadsheet!AZ28,data!$H$4:$I$9)),"#",getgrade(Broadsheet!AZ28,data!$H$4:$I$9))</f>
        <v/>
      </c>
      <c r="BZ28" s="188" t="str">
        <f>IF(ISERROR(getgrade(Broadsheet!BA28,data!$H$4:$I$9)),"#",getgrade(Broadsheet!BA28,data!$H$4:$I$9))</f>
        <v/>
      </c>
      <c r="CA28" s="188" t="str">
        <f>IF(ISERROR(getgrade(Broadsheet!BB28,data!$H$4:$I$9)),"#",getgrade(Broadsheet!BB28,data!$H$4:$I$9))</f>
        <v/>
      </c>
      <c r="CB28" s="188" t="str">
        <f>IF(ISERROR(getgrade(Broadsheet!BC28,data!$H$4:$I$9)),"#",getgrade(Broadsheet!BC28,data!$H$4:$I$9))</f>
        <v/>
      </c>
      <c r="CC28" s="188" t="str">
        <f>IF(ISERROR(getgrade(Broadsheet!BD28,data!$H$4:$I$9)),"#",getgrade(Broadsheet!BD28,data!$H$4:$I$9))</f>
        <v/>
      </c>
      <c r="CD28" s="188" t="str">
        <f>IF(ISERROR(getgrade(Broadsheet!BE28,data!$H$4:$I$9)),"#",getgrade(Broadsheet!BE28,data!$H$4:$I$9))</f>
        <v/>
      </c>
      <c r="CE28" s="188" t="str">
        <f>IF(ISERROR(getgrade(Broadsheet!BF28,data!$H$4:$I$9)),"#",getgrade(Broadsheet!BF28,data!$H$4:$I$9))</f>
        <v/>
      </c>
      <c r="CF28" s="188" t="str">
        <f>IF(ISERROR(getgrade(Broadsheet!BG28,data!$H$4:$I$9)),"#",getgrade(Broadsheet!BG28,data!$H$4:$I$9))</f>
        <v/>
      </c>
      <c r="CG28" s="188" t="str">
        <f>IF(ISERROR(getgrade(Broadsheet!BH28,data!$H$4:$I$9)),"#",getgrade(Broadsheet!BH28,data!$H$4:$I$9))</f>
        <v/>
      </c>
      <c r="CH28" s="188" t="str">
        <f>IF(ISERROR(getgrade(Broadsheet!BI28,data!$H$4:$I$9)),"#",getgrade(Broadsheet!BI28,data!$H$4:$I$9))</f>
        <v/>
      </c>
      <c r="CI28" s="188" t="str">
        <f>IF(ISERROR(getgrade(Broadsheet!BJ28,data!$H$4:$I$9)),"#",getgrade(Broadsheet!BJ28,data!$H$4:$I$9))</f>
        <v/>
      </c>
      <c r="CJ28" s="188"/>
      <c r="CK28" s="188"/>
      <c r="CL28" s="188"/>
      <c r="CM28" s="188"/>
      <c r="CN28" s="188"/>
      <c r="CO28" s="188"/>
      <c r="CP28" s="188"/>
      <c r="CQ28" s="188"/>
      <c r="CR28" s="188"/>
      <c r="CS28" s="188"/>
      <c r="CT28" s="188"/>
      <c r="CU28" s="188"/>
      <c r="CV28" s="188"/>
      <c r="CW28" s="188"/>
      <c r="CX28" s="188"/>
      <c r="CY28" s="188"/>
      <c r="CZ28" s="188"/>
      <c r="DA28" s="188"/>
      <c r="DB28" s="188"/>
      <c r="DC28" s="188"/>
      <c r="DD28" s="188"/>
      <c r="DE28" s="188"/>
      <c r="DF28" s="188"/>
      <c r="DG28" s="188"/>
      <c r="DH28" s="188"/>
      <c r="DI28" s="188"/>
      <c r="DJ28" s="188"/>
      <c r="DK28" s="188"/>
      <c r="DL28" s="188"/>
      <c r="DM28" s="188"/>
      <c r="DN28" s="188"/>
      <c r="DO28" s="188"/>
      <c r="DP28" s="188"/>
      <c r="DQ28" s="188"/>
      <c r="DR28" s="188"/>
      <c r="DS28" s="188"/>
      <c r="DT28" s="188"/>
      <c r="DU28" s="188"/>
      <c r="DV28" s="188"/>
      <c r="DW28" s="188"/>
      <c r="DX28" s="188"/>
      <c r="DY28" s="188"/>
      <c r="DZ28" s="188"/>
      <c r="EA28" s="188"/>
      <c r="EB28" s="188"/>
      <c r="EC28" s="188"/>
      <c r="ED28" s="188"/>
      <c r="EE28" s="188"/>
      <c r="EF28" s="188"/>
      <c r="EG28" s="188"/>
      <c r="EH28" s="188"/>
      <c r="EI28" s="188"/>
      <c r="EJ28" s="188"/>
      <c r="EK28" s="188"/>
      <c r="EL28" s="188"/>
      <c r="EM28" s="188"/>
      <c r="EN28" s="188"/>
      <c r="EO28" s="188"/>
      <c r="EP28" s="188"/>
      <c r="EQ28" s="188"/>
      <c r="ER28" s="188"/>
      <c r="ES28" s="188"/>
      <c r="ET28" s="188"/>
      <c r="EU28" s="188"/>
      <c r="EV28" s="188"/>
      <c r="EW28" s="188"/>
      <c r="EX28" s="188"/>
      <c r="EY28" s="188"/>
      <c r="EZ28" s="188"/>
    </row>
    <row r="29" spans="1:156" ht="15.75" x14ac:dyDescent="0.25">
      <c r="A29" s="12">
        <v>20</v>
      </c>
      <c r="B29" s="16"/>
      <c r="C29" s="24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07"/>
      <c r="Y29" s="110"/>
      <c r="Z29" s="19"/>
      <c r="AA29" s="25"/>
      <c r="AB29" s="21"/>
      <c r="AC29" s="25"/>
      <c r="AD29" s="25"/>
      <c r="AE29" s="20"/>
      <c r="AG29" s="188" t="str">
        <f>IF(ISERROR(getgrade(Broadsheet!H29,data!$H$4:$I$9)),"#",getgrade(Broadsheet!H29,data!$H$4:$I$9))</f>
        <v/>
      </c>
      <c r="AH29" s="188" t="str">
        <f>IF(ISERROR(getgrade(Broadsheet!I29,data!$H$4:$I$9)),"#",getgrade(Broadsheet!I29,data!$H$4:$I$9))</f>
        <v/>
      </c>
      <c r="AI29" s="188" t="str">
        <f>IF(ISERROR(getgrade(Broadsheet!J29,data!$H$4:$I$9)),"#",getgrade(Broadsheet!J29,data!$H$4:$I$9))</f>
        <v/>
      </c>
      <c r="AJ29" s="188" t="str">
        <f>IF(ISERROR(getgrade(Broadsheet!K29,data!$H$4:$I$9)),"#",getgrade(Broadsheet!K29,data!$H$4:$I$9))</f>
        <v/>
      </c>
      <c r="AK29" s="188" t="str">
        <f>IF(ISERROR(getgrade(Broadsheet!L29,data!$H$4:$I$9)),"#",getgrade(Broadsheet!L29,data!$H$4:$I$9))</f>
        <v/>
      </c>
      <c r="AL29" s="188" t="str">
        <f>IF(ISERROR(getgrade(Broadsheet!M29,data!$H$4:$I$9)),"#",getgrade(Broadsheet!M29,data!$H$4:$I$9))</f>
        <v/>
      </c>
      <c r="AM29" s="188" t="str">
        <f>IF(ISERROR(getgrade(Broadsheet!N29,data!$H$4:$I$9)),"#",getgrade(Broadsheet!N29,data!$H$4:$I$9))</f>
        <v/>
      </c>
      <c r="AN29" s="188" t="str">
        <f>IF(ISERROR(getgrade(Broadsheet!O29,data!$H$4:$I$9)),"#",getgrade(Broadsheet!O29,data!$H$4:$I$9))</f>
        <v/>
      </c>
      <c r="AO29" s="188" t="str">
        <f>IF(ISERROR(getgrade(Broadsheet!P29,data!$H$4:$I$9)),"#",getgrade(Broadsheet!P29,data!$H$4:$I$9))</f>
        <v/>
      </c>
      <c r="AP29" s="188" t="str">
        <f>IF(ISERROR(getgrade(Broadsheet!Q29,data!$H$4:$I$9)),"#",getgrade(Broadsheet!Q29,data!$H$4:$I$9))</f>
        <v/>
      </c>
      <c r="AQ29" s="188" t="str">
        <f>IF(ISERROR(getgrade(Broadsheet!R29,data!$H$4:$I$9)),"#",getgrade(Broadsheet!R29,data!$H$4:$I$9))</f>
        <v/>
      </c>
      <c r="AR29" s="188" t="str">
        <f>IF(ISERROR(getgrade(Broadsheet!S29,data!$H$4:$I$9)),"#",getgrade(Broadsheet!S29,data!$H$4:$I$9))</f>
        <v/>
      </c>
      <c r="AS29" s="188" t="str">
        <f>IF(ISERROR(getgrade(Broadsheet!T29,data!$H$4:$I$9)),"#",getgrade(Broadsheet!T29,data!$H$4:$I$9))</f>
        <v/>
      </c>
      <c r="AT29" s="188" t="str">
        <f>IF(ISERROR(getgrade(Broadsheet!U29,data!$H$4:$I$9)),"#",getgrade(Broadsheet!U29,data!$H$4:$I$9))</f>
        <v/>
      </c>
      <c r="AU29" s="188" t="str">
        <f>IF(ISERROR(getgrade(Broadsheet!V29,data!$H$4:$I$9)),"#",getgrade(Broadsheet!V29,data!$H$4:$I$9))</f>
        <v/>
      </c>
      <c r="AV29" s="188" t="str">
        <f>IF(ISERROR(getgrade(Broadsheet!W29,data!$H$4:$I$9)),"#",getgrade(Broadsheet!W29,data!$H$4:$I$9))</f>
        <v/>
      </c>
      <c r="AW29" s="188" t="str">
        <f>IF(ISERROR(getgrade(Broadsheet!X29,data!$H$4:$I$9)),"#",getgrade(Broadsheet!X29,data!$H$4:$I$9))</f>
        <v/>
      </c>
      <c r="AX29" s="188" t="str">
        <f>IF(ISERROR(getgrade(Broadsheet!Y29,data!$H$4:$I$9)),"#",getgrade(Broadsheet!Y29,data!$H$4:$I$9))</f>
        <v/>
      </c>
      <c r="AY29" s="188" t="str">
        <f>IF(ISERROR(getgrade(Broadsheet!Z29,data!$H$4:$I$9)),"#",getgrade(Broadsheet!Z29,data!$H$4:$I$9))</f>
        <v/>
      </c>
      <c r="AZ29" s="188" t="str">
        <f>IF(ISERROR(getgrade(Broadsheet!AA29,data!$H$4:$I$9)),"#",getgrade(Broadsheet!AA29,data!$H$4:$I$9))</f>
        <v/>
      </c>
      <c r="BA29" s="188" t="str">
        <f>IF(ISERROR(getgrade(Broadsheet!AB29,data!$H$4:$I$9)),"#",getgrade(Broadsheet!AB29,data!$H$4:$I$9))</f>
        <v/>
      </c>
      <c r="BB29" s="188" t="str">
        <f>IF(ISERROR(getgrade(Broadsheet!AC29,data!$H$4:$I$9)),"#",getgrade(Broadsheet!AC29,data!$H$4:$I$9))</f>
        <v/>
      </c>
      <c r="BC29" s="188" t="str">
        <f>IF(ISERROR(getgrade(Broadsheet!AD29,data!$H$4:$I$9)),"#",getgrade(Broadsheet!AD29,data!$H$4:$I$9))</f>
        <v/>
      </c>
      <c r="BD29" s="188" t="str">
        <f>IF(ISERROR(getgrade(Broadsheet!AE29,data!$H$4:$I$9)),"#",getgrade(Broadsheet!AE29,data!$H$4:$I$9))</f>
        <v/>
      </c>
      <c r="BE29" s="188" t="str">
        <f>IF(ISERROR(getgrade(Broadsheet!AF29,data!$H$4:$I$9)),"#",getgrade(Broadsheet!AF29,data!$H$4:$I$9))</f>
        <v/>
      </c>
      <c r="BF29" s="188" t="str">
        <f>IF(ISERROR(getgrade(Broadsheet!AG29,data!$H$4:$I$9)),"#",getgrade(Broadsheet!AG29,data!$H$4:$I$9))</f>
        <v/>
      </c>
      <c r="BG29" s="188" t="str">
        <f>IF(ISERROR(getgrade(Broadsheet!AH29,data!$H$4:$I$9)),"#",getgrade(Broadsheet!AH29,data!$H$4:$I$9))</f>
        <v/>
      </c>
      <c r="BH29" s="188" t="str">
        <f>IF(ISERROR(getgrade(Broadsheet!AI29,data!$H$4:$I$9)),"#",getgrade(Broadsheet!AI29,data!$H$4:$I$9))</f>
        <v/>
      </c>
      <c r="BI29" s="188" t="str">
        <f>IF(ISERROR(getgrade(Broadsheet!AJ29,data!$H$4:$I$9)),"#",getgrade(Broadsheet!AJ29,data!$H$4:$I$9))</f>
        <v/>
      </c>
      <c r="BJ29" s="188" t="str">
        <f>IF(ISERROR(getgrade(Broadsheet!AK29,data!$H$4:$I$9)),"#",getgrade(Broadsheet!AK29,data!$H$4:$I$9))</f>
        <v/>
      </c>
      <c r="BK29" s="188" t="str">
        <f>IF(ISERROR(getgrade(Broadsheet!AL29,data!$H$4:$I$9)),"#",getgrade(Broadsheet!AL29,data!$H$4:$I$9))</f>
        <v/>
      </c>
      <c r="BL29" s="188" t="str">
        <f>IF(ISERROR(getgrade(Broadsheet!AM29,data!$H$4:$I$9)),"#",getgrade(Broadsheet!AM29,data!$H$4:$I$9))</f>
        <v/>
      </c>
      <c r="BM29" s="188" t="str">
        <f>IF(ISERROR(getgrade(Broadsheet!AN29,data!$H$4:$I$9)),"#",getgrade(Broadsheet!AN29,data!$H$4:$I$9))</f>
        <v/>
      </c>
      <c r="BN29" s="188" t="str">
        <f>IF(ISERROR(getgrade(Broadsheet!AO29,data!$H$4:$I$9)),"#",getgrade(Broadsheet!AO29,data!$H$4:$I$9))</f>
        <v/>
      </c>
      <c r="BO29" s="188" t="str">
        <f>IF(ISERROR(getgrade(Broadsheet!AP29,data!$H$4:$I$9)),"#",getgrade(Broadsheet!AP29,data!$H$4:$I$9))</f>
        <v/>
      </c>
      <c r="BP29" s="188" t="str">
        <f>IF(ISERROR(getgrade(Broadsheet!AQ29,data!$H$4:$I$9)),"#",getgrade(Broadsheet!AQ29,data!$H$4:$I$9))</f>
        <v/>
      </c>
      <c r="BQ29" s="188" t="str">
        <f>IF(ISERROR(getgrade(Broadsheet!AR29,data!$H$4:$I$9)),"#",getgrade(Broadsheet!AR29,data!$H$4:$I$9))</f>
        <v/>
      </c>
      <c r="BR29" s="188" t="str">
        <f>IF(ISERROR(getgrade(Broadsheet!AS29,data!$H$4:$I$9)),"#",getgrade(Broadsheet!AS29,data!$H$4:$I$9))</f>
        <v/>
      </c>
      <c r="BS29" s="188" t="str">
        <f>IF(ISERROR(getgrade(Broadsheet!AT29,data!$H$4:$I$9)),"#",getgrade(Broadsheet!AT29,data!$H$4:$I$9))</f>
        <v/>
      </c>
      <c r="BT29" s="188" t="str">
        <f>IF(ISERROR(getgrade(Broadsheet!AU29,data!$H$4:$I$9)),"#",getgrade(Broadsheet!AU29,data!$H$4:$I$9))</f>
        <v/>
      </c>
      <c r="BU29" s="188" t="str">
        <f>IF(ISERROR(getgrade(Broadsheet!AV29,data!$H$4:$I$9)),"#",getgrade(Broadsheet!AV29,data!$H$4:$I$9))</f>
        <v/>
      </c>
      <c r="BV29" s="188" t="str">
        <f>IF(ISERROR(getgrade(Broadsheet!AW29,data!$H$4:$I$9)),"#",getgrade(Broadsheet!AW29,data!$H$4:$I$9))</f>
        <v/>
      </c>
      <c r="BW29" s="188" t="str">
        <f>IF(ISERROR(getgrade(Broadsheet!AX29,data!$H$4:$I$9)),"#",getgrade(Broadsheet!AX29,data!$H$4:$I$9))</f>
        <v/>
      </c>
      <c r="BX29" s="188" t="str">
        <f>IF(ISERROR(getgrade(Broadsheet!AY29,data!$H$4:$I$9)),"#",getgrade(Broadsheet!AY29,data!$H$4:$I$9))</f>
        <v/>
      </c>
      <c r="BY29" s="188" t="str">
        <f>IF(ISERROR(getgrade(Broadsheet!AZ29,data!$H$4:$I$9)),"#",getgrade(Broadsheet!AZ29,data!$H$4:$I$9))</f>
        <v/>
      </c>
      <c r="BZ29" s="188" t="str">
        <f>IF(ISERROR(getgrade(Broadsheet!BA29,data!$H$4:$I$9)),"#",getgrade(Broadsheet!BA29,data!$H$4:$I$9))</f>
        <v/>
      </c>
      <c r="CA29" s="188" t="str">
        <f>IF(ISERROR(getgrade(Broadsheet!BB29,data!$H$4:$I$9)),"#",getgrade(Broadsheet!BB29,data!$H$4:$I$9))</f>
        <v/>
      </c>
      <c r="CB29" s="188" t="str">
        <f>IF(ISERROR(getgrade(Broadsheet!BC29,data!$H$4:$I$9)),"#",getgrade(Broadsheet!BC29,data!$H$4:$I$9))</f>
        <v/>
      </c>
      <c r="CC29" s="188" t="str">
        <f>IF(ISERROR(getgrade(Broadsheet!BD29,data!$H$4:$I$9)),"#",getgrade(Broadsheet!BD29,data!$H$4:$I$9))</f>
        <v/>
      </c>
      <c r="CD29" s="188" t="str">
        <f>IF(ISERROR(getgrade(Broadsheet!BE29,data!$H$4:$I$9)),"#",getgrade(Broadsheet!BE29,data!$H$4:$I$9))</f>
        <v/>
      </c>
      <c r="CE29" s="188" t="str">
        <f>IF(ISERROR(getgrade(Broadsheet!BF29,data!$H$4:$I$9)),"#",getgrade(Broadsheet!BF29,data!$H$4:$I$9))</f>
        <v/>
      </c>
      <c r="CF29" s="188" t="str">
        <f>IF(ISERROR(getgrade(Broadsheet!BG29,data!$H$4:$I$9)),"#",getgrade(Broadsheet!BG29,data!$H$4:$I$9))</f>
        <v/>
      </c>
      <c r="CG29" s="188" t="str">
        <f>IF(ISERROR(getgrade(Broadsheet!BH29,data!$H$4:$I$9)),"#",getgrade(Broadsheet!BH29,data!$H$4:$I$9))</f>
        <v/>
      </c>
      <c r="CH29" s="188" t="str">
        <f>IF(ISERROR(getgrade(Broadsheet!BI29,data!$H$4:$I$9)),"#",getgrade(Broadsheet!BI29,data!$H$4:$I$9))</f>
        <v/>
      </c>
      <c r="CI29" s="188" t="str">
        <f>IF(ISERROR(getgrade(Broadsheet!BJ29,data!$H$4:$I$9)),"#",getgrade(Broadsheet!BJ29,data!$H$4:$I$9))</f>
        <v/>
      </c>
      <c r="CJ29" s="188"/>
      <c r="CK29" s="188"/>
      <c r="CL29" s="188"/>
      <c r="CM29" s="188"/>
      <c r="CN29" s="188"/>
      <c r="CO29" s="188"/>
      <c r="CP29" s="188"/>
      <c r="CQ29" s="188"/>
      <c r="CR29" s="188"/>
      <c r="CS29" s="188"/>
      <c r="CT29" s="188"/>
      <c r="CU29" s="188"/>
      <c r="CV29" s="188"/>
      <c r="CW29" s="188"/>
      <c r="CX29" s="188"/>
      <c r="CY29" s="188"/>
      <c r="CZ29" s="188"/>
      <c r="DA29" s="188"/>
      <c r="DB29" s="188"/>
      <c r="DC29" s="188"/>
      <c r="DD29" s="188"/>
      <c r="DE29" s="188"/>
      <c r="DF29" s="188"/>
      <c r="DG29" s="188"/>
      <c r="DH29" s="188"/>
      <c r="DI29" s="188"/>
      <c r="DJ29" s="188"/>
      <c r="DK29" s="188"/>
      <c r="DL29" s="188"/>
      <c r="DM29" s="188"/>
      <c r="DN29" s="188"/>
      <c r="DO29" s="188"/>
      <c r="DP29" s="188"/>
      <c r="DQ29" s="188"/>
      <c r="DR29" s="188"/>
      <c r="DS29" s="188"/>
      <c r="DT29" s="188"/>
      <c r="DU29" s="188"/>
      <c r="DV29" s="188"/>
      <c r="DW29" s="188"/>
      <c r="DX29" s="188"/>
      <c r="DY29" s="188"/>
      <c r="DZ29" s="188"/>
      <c r="EA29" s="188"/>
      <c r="EB29" s="188"/>
      <c r="EC29" s="188"/>
      <c r="ED29" s="188"/>
      <c r="EE29" s="188"/>
      <c r="EF29" s="188"/>
      <c r="EG29" s="188"/>
      <c r="EH29" s="188"/>
      <c r="EI29" s="188"/>
      <c r="EJ29" s="188"/>
      <c r="EK29" s="188"/>
      <c r="EL29" s="188"/>
      <c r="EM29" s="188"/>
      <c r="EN29" s="188"/>
      <c r="EO29" s="188"/>
      <c r="EP29" s="188"/>
      <c r="EQ29" s="188"/>
      <c r="ER29" s="188"/>
      <c r="ES29" s="188"/>
      <c r="ET29" s="188"/>
      <c r="EU29" s="188"/>
      <c r="EV29" s="188"/>
      <c r="EW29" s="188"/>
      <c r="EX29" s="188"/>
      <c r="EY29" s="188"/>
      <c r="EZ29" s="188"/>
    </row>
    <row r="30" spans="1:156" ht="15.75" x14ac:dyDescent="0.25">
      <c r="A30" s="12">
        <v>21</v>
      </c>
      <c r="B30" s="16"/>
      <c r="C30" s="24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07"/>
      <c r="Y30" s="110"/>
      <c r="Z30" s="19"/>
      <c r="AA30" s="25"/>
      <c r="AB30" s="21"/>
      <c r="AC30" s="25"/>
      <c r="AD30" s="25"/>
      <c r="AE30" s="20"/>
      <c r="AG30" s="188" t="str">
        <f>IF(ISERROR(getgrade(Broadsheet!H30,data!$H$4:$I$9)),"#",getgrade(Broadsheet!H30,data!$H$4:$I$9))</f>
        <v/>
      </c>
      <c r="AH30" s="188" t="str">
        <f>IF(ISERROR(getgrade(Broadsheet!I30,data!$H$4:$I$9)),"#",getgrade(Broadsheet!I30,data!$H$4:$I$9))</f>
        <v/>
      </c>
      <c r="AI30" s="188" t="str">
        <f>IF(ISERROR(getgrade(Broadsheet!J30,data!$H$4:$I$9)),"#",getgrade(Broadsheet!J30,data!$H$4:$I$9))</f>
        <v/>
      </c>
      <c r="AJ30" s="188" t="str">
        <f>IF(ISERROR(getgrade(Broadsheet!K30,data!$H$4:$I$9)),"#",getgrade(Broadsheet!K30,data!$H$4:$I$9))</f>
        <v/>
      </c>
      <c r="AK30" s="188" t="str">
        <f>IF(ISERROR(getgrade(Broadsheet!L30,data!$H$4:$I$9)),"#",getgrade(Broadsheet!L30,data!$H$4:$I$9))</f>
        <v/>
      </c>
      <c r="AL30" s="188" t="str">
        <f>IF(ISERROR(getgrade(Broadsheet!M30,data!$H$4:$I$9)),"#",getgrade(Broadsheet!M30,data!$H$4:$I$9))</f>
        <v/>
      </c>
      <c r="AM30" s="188" t="str">
        <f>IF(ISERROR(getgrade(Broadsheet!N30,data!$H$4:$I$9)),"#",getgrade(Broadsheet!N30,data!$H$4:$I$9))</f>
        <v/>
      </c>
      <c r="AN30" s="188" t="str">
        <f>IF(ISERROR(getgrade(Broadsheet!O30,data!$H$4:$I$9)),"#",getgrade(Broadsheet!O30,data!$H$4:$I$9))</f>
        <v/>
      </c>
      <c r="AO30" s="188" t="str">
        <f>IF(ISERROR(getgrade(Broadsheet!P30,data!$H$4:$I$9)),"#",getgrade(Broadsheet!P30,data!$H$4:$I$9))</f>
        <v/>
      </c>
      <c r="AP30" s="188" t="str">
        <f>IF(ISERROR(getgrade(Broadsheet!Q30,data!$H$4:$I$9)),"#",getgrade(Broadsheet!Q30,data!$H$4:$I$9))</f>
        <v/>
      </c>
      <c r="AQ30" s="188" t="str">
        <f>IF(ISERROR(getgrade(Broadsheet!R30,data!$H$4:$I$9)),"#",getgrade(Broadsheet!R30,data!$H$4:$I$9))</f>
        <v/>
      </c>
      <c r="AR30" s="188" t="str">
        <f>IF(ISERROR(getgrade(Broadsheet!S30,data!$H$4:$I$9)),"#",getgrade(Broadsheet!S30,data!$H$4:$I$9))</f>
        <v/>
      </c>
      <c r="AS30" s="188" t="str">
        <f>IF(ISERROR(getgrade(Broadsheet!T30,data!$H$4:$I$9)),"#",getgrade(Broadsheet!T30,data!$H$4:$I$9))</f>
        <v/>
      </c>
      <c r="AT30" s="188" t="str">
        <f>IF(ISERROR(getgrade(Broadsheet!U30,data!$H$4:$I$9)),"#",getgrade(Broadsheet!U30,data!$H$4:$I$9))</f>
        <v/>
      </c>
      <c r="AU30" s="188" t="str">
        <f>IF(ISERROR(getgrade(Broadsheet!V30,data!$H$4:$I$9)),"#",getgrade(Broadsheet!V30,data!$H$4:$I$9))</f>
        <v/>
      </c>
      <c r="AV30" s="188" t="str">
        <f>IF(ISERROR(getgrade(Broadsheet!W30,data!$H$4:$I$9)),"#",getgrade(Broadsheet!W30,data!$H$4:$I$9))</f>
        <v/>
      </c>
      <c r="AW30" s="188" t="str">
        <f>IF(ISERROR(getgrade(Broadsheet!X30,data!$H$4:$I$9)),"#",getgrade(Broadsheet!X30,data!$H$4:$I$9))</f>
        <v/>
      </c>
      <c r="AX30" s="188" t="str">
        <f>IF(ISERROR(getgrade(Broadsheet!Y30,data!$H$4:$I$9)),"#",getgrade(Broadsheet!Y30,data!$H$4:$I$9))</f>
        <v/>
      </c>
      <c r="AY30" s="188" t="str">
        <f>IF(ISERROR(getgrade(Broadsheet!Z30,data!$H$4:$I$9)),"#",getgrade(Broadsheet!Z30,data!$H$4:$I$9))</f>
        <v/>
      </c>
      <c r="AZ30" s="188" t="str">
        <f>IF(ISERROR(getgrade(Broadsheet!AA30,data!$H$4:$I$9)),"#",getgrade(Broadsheet!AA30,data!$H$4:$I$9))</f>
        <v/>
      </c>
      <c r="BA30" s="188" t="str">
        <f>IF(ISERROR(getgrade(Broadsheet!AB30,data!$H$4:$I$9)),"#",getgrade(Broadsheet!AB30,data!$H$4:$I$9))</f>
        <v/>
      </c>
      <c r="BB30" s="188" t="str">
        <f>IF(ISERROR(getgrade(Broadsheet!AC30,data!$H$4:$I$9)),"#",getgrade(Broadsheet!AC30,data!$H$4:$I$9))</f>
        <v/>
      </c>
      <c r="BC30" s="188" t="str">
        <f>IF(ISERROR(getgrade(Broadsheet!AD30,data!$H$4:$I$9)),"#",getgrade(Broadsheet!AD30,data!$H$4:$I$9))</f>
        <v/>
      </c>
      <c r="BD30" s="188" t="str">
        <f>IF(ISERROR(getgrade(Broadsheet!AE30,data!$H$4:$I$9)),"#",getgrade(Broadsheet!AE30,data!$H$4:$I$9))</f>
        <v/>
      </c>
      <c r="BE30" s="188" t="str">
        <f>IF(ISERROR(getgrade(Broadsheet!AF30,data!$H$4:$I$9)),"#",getgrade(Broadsheet!AF30,data!$H$4:$I$9))</f>
        <v/>
      </c>
      <c r="BF30" s="188" t="str">
        <f>IF(ISERROR(getgrade(Broadsheet!AG30,data!$H$4:$I$9)),"#",getgrade(Broadsheet!AG30,data!$H$4:$I$9))</f>
        <v/>
      </c>
      <c r="BG30" s="188" t="str">
        <f>IF(ISERROR(getgrade(Broadsheet!AH30,data!$H$4:$I$9)),"#",getgrade(Broadsheet!AH30,data!$H$4:$I$9))</f>
        <v/>
      </c>
      <c r="BH30" s="188" t="str">
        <f>IF(ISERROR(getgrade(Broadsheet!AI30,data!$H$4:$I$9)),"#",getgrade(Broadsheet!AI30,data!$H$4:$I$9))</f>
        <v/>
      </c>
      <c r="BI30" s="188" t="str">
        <f>IF(ISERROR(getgrade(Broadsheet!AJ30,data!$H$4:$I$9)),"#",getgrade(Broadsheet!AJ30,data!$H$4:$I$9))</f>
        <v/>
      </c>
      <c r="BJ30" s="188" t="str">
        <f>IF(ISERROR(getgrade(Broadsheet!AK30,data!$H$4:$I$9)),"#",getgrade(Broadsheet!AK30,data!$H$4:$I$9))</f>
        <v/>
      </c>
      <c r="BK30" s="188" t="str">
        <f>IF(ISERROR(getgrade(Broadsheet!AL30,data!$H$4:$I$9)),"#",getgrade(Broadsheet!AL30,data!$H$4:$I$9))</f>
        <v/>
      </c>
      <c r="BL30" s="188" t="str">
        <f>IF(ISERROR(getgrade(Broadsheet!AM30,data!$H$4:$I$9)),"#",getgrade(Broadsheet!AM30,data!$H$4:$I$9))</f>
        <v/>
      </c>
      <c r="BM30" s="188" t="str">
        <f>IF(ISERROR(getgrade(Broadsheet!AN30,data!$H$4:$I$9)),"#",getgrade(Broadsheet!AN30,data!$H$4:$I$9))</f>
        <v/>
      </c>
      <c r="BN30" s="188" t="str">
        <f>IF(ISERROR(getgrade(Broadsheet!AO30,data!$H$4:$I$9)),"#",getgrade(Broadsheet!AO30,data!$H$4:$I$9))</f>
        <v/>
      </c>
      <c r="BO30" s="188" t="str">
        <f>IF(ISERROR(getgrade(Broadsheet!AP30,data!$H$4:$I$9)),"#",getgrade(Broadsheet!AP30,data!$H$4:$I$9))</f>
        <v/>
      </c>
      <c r="BP30" s="188" t="str">
        <f>IF(ISERROR(getgrade(Broadsheet!AQ30,data!$H$4:$I$9)),"#",getgrade(Broadsheet!AQ30,data!$H$4:$I$9))</f>
        <v/>
      </c>
      <c r="BQ30" s="188" t="str">
        <f>IF(ISERROR(getgrade(Broadsheet!AR30,data!$H$4:$I$9)),"#",getgrade(Broadsheet!AR30,data!$H$4:$I$9))</f>
        <v/>
      </c>
      <c r="BR30" s="188" t="str">
        <f>IF(ISERROR(getgrade(Broadsheet!AS30,data!$H$4:$I$9)),"#",getgrade(Broadsheet!AS30,data!$H$4:$I$9))</f>
        <v/>
      </c>
      <c r="BS30" s="188" t="str">
        <f>IF(ISERROR(getgrade(Broadsheet!AT30,data!$H$4:$I$9)),"#",getgrade(Broadsheet!AT30,data!$H$4:$I$9))</f>
        <v/>
      </c>
      <c r="BT30" s="188" t="str">
        <f>IF(ISERROR(getgrade(Broadsheet!AU30,data!$H$4:$I$9)),"#",getgrade(Broadsheet!AU30,data!$H$4:$I$9))</f>
        <v/>
      </c>
      <c r="BU30" s="188" t="str">
        <f>IF(ISERROR(getgrade(Broadsheet!AV30,data!$H$4:$I$9)),"#",getgrade(Broadsheet!AV30,data!$H$4:$I$9))</f>
        <v/>
      </c>
      <c r="BV30" s="188" t="str">
        <f>IF(ISERROR(getgrade(Broadsheet!AW30,data!$H$4:$I$9)),"#",getgrade(Broadsheet!AW30,data!$H$4:$I$9))</f>
        <v/>
      </c>
      <c r="BW30" s="188" t="str">
        <f>IF(ISERROR(getgrade(Broadsheet!AX30,data!$H$4:$I$9)),"#",getgrade(Broadsheet!AX30,data!$H$4:$I$9))</f>
        <v/>
      </c>
      <c r="BX30" s="188" t="str">
        <f>IF(ISERROR(getgrade(Broadsheet!AY30,data!$H$4:$I$9)),"#",getgrade(Broadsheet!AY30,data!$H$4:$I$9))</f>
        <v/>
      </c>
      <c r="BY30" s="188" t="str">
        <f>IF(ISERROR(getgrade(Broadsheet!AZ30,data!$H$4:$I$9)),"#",getgrade(Broadsheet!AZ30,data!$H$4:$I$9))</f>
        <v/>
      </c>
      <c r="BZ30" s="188" t="str">
        <f>IF(ISERROR(getgrade(Broadsheet!BA30,data!$H$4:$I$9)),"#",getgrade(Broadsheet!BA30,data!$H$4:$I$9))</f>
        <v/>
      </c>
      <c r="CA30" s="188" t="str">
        <f>IF(ISERROR(getgrade(Broadsheet!BB30,data!$H$4:$I$9)),"#",getgrade(Broadsheet!BB30,data!$H$4:$I$9))</f>
        <v/>
      </c>
      <c r="CB30" s="188" t="str">
        <f>IF(ISERROR(getgrade(Broadsheet!BC30,data!$H$4:$I$9)),"#",getgrade(Broadsheet!BC30,data!$H$4:$I$9))</f>
        <v/>
      </c>
      <c r="CC30" s="188" t="str">
        <f>IF(ISERROR(getgrade(Broadsheet!BD30,data!$H$4:$I$9)),"#",getgrade(Broadsheet!BD30,data!$H$4:$I$9))</f>
        <v/>
      </c>
      <c r="CD30" s="188" t="str">
        <f>IF(ISERROR(getgrade(Broadsheet!BE30,data!$H$4:$I$9)),"#",getgrade(Broadsheet!BE30,data!$H$4:$I$9))</f>
        <v/>
      </c>
      <c r="CE30" s="188" t="str">
        <f>IF(ISERROR(getgrade(Broadsheet!BF30,data!$H$4:$I$9)),"#",getgrade(Broadsheet!BF30,data!$H$4:$I$9))</f>
        <v/>
      </c>
      <c r="CF30" s="188" t="str">
        <f>IF(ISERROR(getgrade(Broadsheet!BG30,data!$H$4:$I$9)),"#",getgrade(Broadsheet!BG30,data!$H$4:$I$9))</f>
        <v/>
      </c>
      <c r="CG30" s="188" t="str">
        <f>IF(ISERROR(getgrade(Broadsheet!BH30,data!$H$4:$I$9)),"#",getgrade(Broadsheet!BH30,data!$H$4:$I$9))</f>
        <v/>
      </c>
      <c r="CH30" s="188" t="str">
        <f>IF(ISERROR(getgrade(Broadsheet!BI30,data!$H$4:$I$9)),"#",getgrade(Broadsheet!BI30,data!$H$4:$I$9))</f>
        <v/>
      </c>
      <c r="CI30" s="188" t="str">
        <f>IF(ISERROR(getgrade(Broadsheet!BJ30,data!$H$4:$I$9)),"#",getgrade(Broadsheet!BJ30,data!$H$4:$I$9))</f>
        <v/>
      </c>
      <c r="CJ30" s="188"/>
      <c r="CK30" s="188"/>
      <c r="CL30" s="188"/>
      <c r="CM30" s="188"/>
      <c r="CN30" s="188"/>
      <c r="CO30" s="188"/>
      <c r="CP30" s="188"/>
      <c r="CQ30" s="188"/>
      <c r="CR30" s="188"/>
      <c r="CS30" s="188"/>
      <c r="CT30" s="188"/>
      <c r="CU30" s="188"/>
      <c r="CV30" s="188"/>
      <c r="CW30" s="188"/>
      <c r="CX30" s="188"/>
      <c r="CY30" s="188"/>
      <c r="CZ30" s="188"/>
      <c r="DA30" s="188"/>
      <c r="DB30" s="188"/>
      <c r="DC30" s="188"/>
      <c r="DD30" s="188"/>
      <c r="DE30" s="188"/>
      <c r="DF30" s="188"/>
      <c r="DG30" s="188"/>
      <c r="DH30" s="188"/>
      <c r="DI30" s="188"/>
      <c r="DJ30" s="188"/>
      <c r="DK30" s="188"/>
      <c r="DL30" s="188"/>
      <c r="DM30" s="188"/>
      <c r="DN30" s="188"/>
      <c r="DO30" s="188"/>
      <c r="DP30" s="188"/>
      <c r="DQ30" s="188"/>
      <c r="DR30" s="188"/>
      <c r="DS30" s="188"/>
      <c r="DT30" s="188"/>
      <c r="DU30" s="188"/>
      <c r="DV30" s="188"/>
      <c r="DW30" s="188"/>
      <c r="DX30" s="188"/>
      <c r="DY30" s="188"/>
      <c r="DZ30" s="188"/>
      <c r="EA30" s="188"/>
      <c r="EB30" s="188"/>
      <c r="EC30" s="188"/>
      <c r="ED30" s="188"/>
      <c r="EE30" s="188"/>
      <c r="EF30" s="188"/>
      <c r="EG30" s="188"/>
      <c r="EH30" s="188"/>
      <c r="EI30" s="188"/>
      <c r="EJ30" s="188"/>
      <c r="EK30" s="188"/>
      <c r="EL30" s="188"/>
      <c r="EM30" s="188"/>
      <c r="EN30" s="188"/>
      <c r="EO30" s="188"/>
      <c r="EP30" s="188"/>
      <c r="EQ30" s="188"/>
      <c r="ER30" s="188"/>
      <c r="ES30" s="188"/>
      <c r="ET30" s="188"/>
      <c r="EU30" s="188"/>
      <c r="EV30" s="188"/>
      <c r="EW30" s="188"/>
      <c r="EX30" s="188"/>
      <c r="EY30" s="188"/>
      <c r="EZ30" s="188"/>
    </row>
    <row r="31" spans="1:156" ht="15.75" x14ac:dyDescent="0.25">
      <c r="A31" s="12">
        <v>22</v>
      </c>
      <c r="B31" s="16"/>
      <c r="C31" s="24"/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07"/>
      <c r="Y31" s="110"/>
      <c r="Z31" s="19"/>
      <c r="AA31" s="25"/>
      <c r="AB31" s="21"/>
      <c r="AC31" s="25"/>
      <c r="AD31" s="25"/>
      <c r="AE31" s="20"/>
      <c r="AG31" s="188" t="str">
        <f>IF(ISERROR(getgrade(Broadsheet!H31,data!$H$4:$I$9)),"#",getgrade(Broadsheet!H31,data!$H$4:$I$9))</f>
        <v/>
      </c>
      <c r="AH31" s="188" t="str">
        <f>IF(ISERROR(getgrade(Broadsheet!I31,data!$H$4:$I$9)),"#",getgrade(Broadsheet!I31,data!$H$4:$I$9))</f>
        <v/>
      </c>
      <c r="AI31" s="188" t="str">
        <f>IF(ISERROR(getgrade(Broadsheet!J31,data!$H$4:$I$9)),"#",getgrade(Broadsheet!J31,data!$H$4:$I$9))</f>
        <v/>
      </c>
      <c r="AJ31" s="188" t="str">
        <f>IF(ISERROR(getgrade(Broadsheet!K31,data!$H$4:$I$9)),"#",getgrade(Broadsheet!K31,data!$H$4:$I$9))</f>
        <v/>
      </c>
      <c r="AK31" s="188" t="str">
        <f>IF(ISERROR(getgrade(Broadsheet!L31,data!$H$4:$I$9)),"#",getgrade(Broadsheet!L31,data!$H$4:$I$9))</f>
        <v/>
      </c>
      <c r="AL31" s="188" t="str">
        <f>IF(ISERROR(getgrade(Broadsheet!M31,data!$H$4:$I$9)),"#",getgrade(Broadsheet!M31,data!$H$4:$I$9))</f>
        <v/>
      </c>
      <c r="AM31" s="188" t="str">
        <f>IF(ISERROR(getgrade(Broadsheet!N31,data!$H$4:$I$9)),"#",getgrade(Broadsheet!N31,data!$H$4:$I$9))</f>
        <v/>
      </c>
      <c r="AN31" s="188" t="str">
        <f>IF(ISERROR(getgrade(Broadsheet!O31,data!$H$4:$I$9)),"#",getgrade(Broadsheet!O31,data!$H$4:$I$9))</f>
        <v/>
      </c>
      <c r="AO31" s="188" t="str">
        <f>IF(ISERROR(getgrade(Broadsheet!P31,data!$H$4:$I$9)),"#",getgrade(Broadsheet!P31,data!$H$4:$I$9))</f>
        <v/>
      </c>
      <c r="AP31" s="188" t="str">
        <f>IF(ISERROR(getgrade(Broadsheet!Q31,data!$H$4:$I$9)),"#",getgrade(Broadsheet!Q31,data!$H$4:$I$9))</f>
        <v/>
      </c>
      <c r="AQ31" s="188" t="str">
        <f>IF(ISERROR(getgrade(Broadsheet!R31,data!$H$4:$I$9)),"#",getgrade(Broadsheet!R31,data!$H$4:$I$9))</f>
        <v/>
      </c>
      <c r="AR31" s="188" t="str">
        <f>IF(ISERROR(getgrade(Broadsheet!S31,data!$H$4:$I$9)),"#",getgrade(Broadsheet!S31,data!$H$4:$I$9))</f>
        <v/>
      </c>
      <c r="AS31" s="188" t="str">
        <f>IF(ISERROR(getgrade(Broadsheet!T31,data!$H$4:$I$9)),"#",getgrade(Broadsheet!T31,data!$H$4:$I$9))</f>
        <v/>
      </c>
      <c r="AT31" s="188" t="str">
        <f>IF(ISERROR(getgrade(Broadsheet!U31,data!$H$4:$I$9)),"#",getgrade(Broadsheet!U31,data!$H$4:$I$9))</f>
        <v/>
      </c>
      <c r="AU31" s="188" t="str">
        <f>IF(ISERROR(getgrade(Broadsheet!V31,data!$H$4:$I$9)),"#",getgrade(Broadsheet!V31,data!$H$4:$I$9))</f>
        <v/>
      </c>
      <c r="AV31" s="188" t="str">
        <f>IF(ISERROR(getgrade(Broadsheet!W31,data!$H$4:$I$9)),"#",getgrade(Broadsheet!W31,data!$H$4:$I$9))</f>
        <v/>
      </c>
      <c r="AW31" s="188" t="str">
        <f>IF(ISERROR(getgrade(Broadsheet!X31,data!$H$4:$I$9)),"#",getgrade(Broadsheet!X31,data!$H$4:$I$9))</f>
        <v/>
      </c>
      <c r="AX31" s="188" t="str">
        <f>IF(ISERROR(getgrade(Broadsheet!Y31,data!$H$4:$I$9)),"#",getgrade(Broadsheet!Y31,data!$H$4:$I$9))</f>
        <v/>
      </c>
      <c r="AY31" s="188" t="str">
        <f>IF(ISERROR(getgrade(Broadsheet!Z31,data!$H$4:$I$9)),"#",getgrade(Broadsheet!Z31,data!$H$4:$I$9))</f>
        <v/>
      </c>
      <c r="AZ31" s="188" t="str">
        <f>IF(ISERROR(getgrade(Broadsheet!AA31,data!$H$4:$I$9)),"#",getgrade(Broadsheet!AA31,data!$H$4:$I$9))</f>
        <v/>
      </c>
      <c r="BA31" s="188" t="str">
        <f>IF(ISERROR(getgrade(Broadsheet!AB31,data!$H$4:$I$9)),"#",getgrade(Broadsheet!AB31,data!$H$4:$I$9))</f>
        <v/>
      </c>
      <c r="BB31" s="188" t="str">
        <f>IF(ISERROR(getgrade(Broadsheet!AC31,data!$H$4:$I$9)),"#",getgrade(Broadsheet!AC31,data!$H$4:$I$9))</f>
        <v/>
      </c>
      <c r="BC31" s="188" t="str">
        <f>IF(ISERROR(getgrade(Broadsheet!AD31,data!$H$4:$I$9)),"#",getgrade(Broadsheet!AD31,data!$H$4:$I$9))</f>
        <v/>
      </c>
      <c r="BD31" s="188" t="str">
        <f>IF(ISERROR(getgrade(Broadsheet!AE31,data!$H$4:$I$9)),"#",getgrade(Broadsheet!AE31,data!$H$4:$I$9))</f>
        <v/>
      </c>
      <c r="BE31" s="188" t="str">
        <f>IF(ISERROR(getgrade(Broadsheet!AF31,data!$H$4:$I$9)),"#",getgrade(Broadsheet!AF31,data!$H$4:$I$9))</f>
        <v/>
      </c>
      <c r="BF31" s="188" t="str">
        <f>IF(ISERROR(getgrade(Broadsheet!AG31,data!$H$4:$I$9)),"#",getgrade(Broadsheet!AG31,data!$H$4:$I$9))</f>
        <v/>
      </c>
      <c r="BG31" s="188" t="str">
        <f>IF(ISERROR(getgrade(Broadsheet!AH31,data!$H$4:$I$9)),"#",getgrade(Broadsheet!AH31,data!$H$4:$I$9))</f>
        <v/>
      </c>
      <c r="BH31" s="188" t="str">
        <f>IF(ISERROR(getgrade(Broadsheet!AI31,data!$H$4:$I$9)),"#",getgrade(Broadsheet!AI31,data!$H$4:$I$9))</f>
        <v/>
      </c>
      <c r="BI31" s="188" t="str">
        <f>IF(ISERROR(getgrade(Broadsheet!AJ31,data!$H$4:$I$9)),"#",getgrade(Broadsheet!AJ31,data!$H$4:$I$9))</f>
        <v/>
      </c>
      <c r="BJ31" s="188" t="str">
        <f>IF(ISERROR(getgrade(Broadsheet!AK31,data!$H$4:$I$9)),"#",getgrade(Broadsheet!AK31,data!$H$4:$I$9))</f>
        <v/>
      </c>
      <c r="BK31" s="188" t="str">
        <f>IF(ISERROR(getgrade(Broadsheet!AL31,data!$H$4:$I$9)),"#",getgrade(Broadsheet!AL31,data!$H$4:$I$9))</f>
        <v/>
      </c>
      <c r="BL31" s="188" t="str">
        <f>IF(ISERROR(getgrade(Broadsheet!AM31,data!$H$4:$I$9)),"#",getgrade(Broadsheet!AM31,data!$H$4:$I$9))</f>
        <v/>
      </c>
      <c r="BM31" s="188" t="str">
        <f>IF(ISERROR(getgrade(Broadsheet!AN31,data!$H$4:$I$9)),"#",getgrade(Broadsheet!AN31,data!$H$4:$I$9))</f>
        <v/>
      </c>
      <c r="BN31" s="188" t="str">
        <f>IF(ISERROR(getgrade(Broadsheet!AO31,data!$H$4:$I$9)),"#",getgrade(Broadsheet!AO31,data!$H$4:$I$9))</f>
        <v/>
      </c>
      <c r="BO31" s="188" t="str">
        <f>IF(ISERROR(getgrade(Broadsheet!AP31,data!$H$4:$I$9)),"#",getgrade(Broadsheet!AP31,data!$H$4:$I$9))</f>
        <v/>
      </c>
      <c r="BP31" s="188" t="str">
        <f>IF(ISERROR(getgrade(Broadsheet!AQ31,data!$H$4:$I$9)),"#",getgrade(Broadsheet!AQ31,data!$H$4:$I$9))</f>
        <v/>
      </c>
      <c r="BQ31" s="188" t="str">
        <f>IF(ISERROR(getgrade(Broadsheet!AR31,data!$H$4:$I$9)),"#",getgrade(Broadsheet!AR31,data!$H$4:$I$9))</f>
        <v/>
      </c>
      <c r="BR31" s="188" t="str">
        <f>IF(ISERROR(getgrade(Broadsheet!AS31,data!$H$4:$I$9)),"#",getgrade(Broadsheet!AS31,data!$H$4:$I$9))</f>
        <v/>
      </c>
      <c r="BS31" s="188" t="str">
        <f>IF(ISERROR(getgrade(Broadsheet!AT31,data!$H$4:$I$9)),"#",getgrade(Broadsheet!AT31,data!$H$4:$I$9))</f>
        <v/>
      </c>
      <c r="BT31" s="188" t="str">
        <f>IF(ISERROR(getgrade(Broadsheet!AU31,data!$H$4:$I$9)),"#",getgrade(Broadsheet!AU31,data!$H$4:$I$9))</f>
        <v/>
      </c>
      <c r="BU31" s="188" t="str">
        <f>IF(ISERROR(getgrade(Broadsheet!AV31,data!$H$4:$I$9)),"#",getgrade(Broadsheet!AV31,data!$H$4:$I$9))</f>
        <v/>
      </c>
      <c r="BV31" s="188" t="str">
        <f>IF(ISERROR(getgrade(Broadsheet!AW31,data!$H$4:$I$9)),"#",getgrade(Broadsheet!AW31,data!$H$4:$I$9))</f>
        <v/>
      </c>
      <c r="BW31" s="188" t="str">
        <f>IF(ISERROR(getgrade(Broadsheet!AX31,data!$H$4:$I$9)),"#",getgrade(Broadsheet!AX31,data!$H$4:$I$9))</f>
        <v/>
      </c>
      <c r="BX31" s="188" t="str">
        <f>IF(ISERROR(getgrade(Broadsheet!AY31,data!$H$4:$I$9)),"#",getgrade(Broadsheet!AY31,data!$H$4:$I$9))</f>
        <v/>
      </c>
      <c r="BY31" s="188" t="str">
        <f>IF(ISERROR(getgrade(Broadsheet!AZ31,data!$H$4:$I$9)),"#",getgrade(Broadsheet!AZ31,data!$H$4:$I$9))</f>
        <v/>
      </c>
      <c r="BZ31" s="188" t="str">
        <f>IF(ISERROR(getgrade(Broadsheet!BA31,data!$H$4:$I$9)),"#",getgrade(Broadsheet!BA31,data!$H$4:$I$9))</f>
        <v/>
      </c>
      <c r="CA31" s="188" t="str">
        <f>IF(ISERROR(getgrade(Broadsheet!BB31,data!$H$4:$I$9)),"#",getgrade(Broadsheet!BB31,data!$H$4:$I$9))</f>
        <v/>
      </c>
      <c r="CB31" s="188" t="str">
        <f>IF(ISERROR(getgrade(Broadsheet!BC31,data!$H$4:$I$9)),"#",getgrade(Broadsheet!BC31,data!$H$4:$I$9))</f>
        <v/>
      </c>
      <c r="CC31" s="188" t="str">
        <f>IF(ISERROR(getgrade(Broadsheet!BD31,data!$H$4:$I$9)),"#",getgrade(Broadsheet!BD31,data!$H$4:$I$9))</f>
        <v/>
      </c>
      <c r="CD31" s="188" t="str">
        <f>IF(ISERROR(getgrade(Broadsheet!BE31,data!$H$4:$I$9)),"#",getgrade(Broadsheet!BE31,data!$H$4:$I$9))</f>
        <v/>
      </c>
      <c r="CE31" s="188" t="str">
        <f>IF(ISERROR(getgrade(Broadsheet!BF31,data!$H$4:$I$9)),"#",getgrade(Broadsheet!BF31,data!$H$4:$I$9))</f>
        <v/>
      </c>
      <c r="CF31" s="188" t="str">
        <f>IF(ISERROR(getgrade(Broadsheet!BG31,data!$H$4:$I$9)),"#",getgrade(Broadsheet!BG31,data!$H$4:$I$9))</f>
        <v/>
      </c>
      <c r="CG31" s="188" t="str">
        <f>IF(ISERROR(getgrade(Broadsheet!BH31,data!$H$4:$I$9)),"#",getgrade(Broadsheet!BH31,data!$H$4:$I$9))</f>
        <v/>
      </c>
      <c r="CH31" s="188" t="str">
        <f>IF(ISERROR(getgrade(Broadsheet!BI31,data!$H$4:$I$9)),"#",getgrade(Broadsheet!BI31,data!$H$4:$I$9))</f>
        <v/>
      </c>
      <c r="CI31" s="188" t="str">
        <f>IF(ISERROR(getgrade(Broadsheet!BJ31,data!$H$4:$I$9)),"#",getgrade(Broadsheet!BJ31,data!$H$4:$I$9))</f>
        <v/>
      </c>
      <c r="CJ31" s="188"/>
      <c r="CK31" s="188"/>
      <c r="CL31" s="188"/>
      <c r="CM31" s="188"/>
      <c r="CN31" s="188"/>
      <c r="CO31" s="188"/>
      <c r="CP31" s="188"/>
      <c r="CQ31" s="188"/>
      <c r="CR31" s="188"/>
      <c r="CS31" s="188"/>
      <c r="CT31" s="188"/>
      <c r="CU31" s="188"/>
      <c r="CV31" s="188"/>
      <c r="CW31" s="188"/>
      <c r="CX31" s="188"/>
      <c r="CY31" s="188"/>
      <c r="CZ31" s="188"/>
      <c r="DA31" s="188"/>
      <c r="DB31" s="188"/>
      <c r="DC31" s="188"/>
      <c r="DD31" s="188"/>
      <c r="DE31" s="188"/>
      <c r="DF31" s="188"/>
      <c r="DG31" s="188"/>
      <c r="DH31" s="188"/>
      <c r="DI31" s="188"/>
      <c r="DJ31" s="188"/>
      <c r="DK31" s="188"/>
      <c r="DL31" s="188"/>
      <c r="DM31" s="188"/>
      <c r="DN31" s="188"/>
      <c r="DO31" s="188"/>
      <c r="DP31" s="188"/>
      <c r="DQ31" s="188"/>
      <c r="DR31" s="188"/>
      <c r="DS31" s="188"/>
      <c r="DT31" s="188"/>
      <c r="DU31" s="188"/>
      <c r="DV31" s="188"/>
      <c r="DW31" s="188"/>
      <c r="DX31" s="188"/>
      <c r="DY31" s="188"/>
      <c r="DZ31" s="188"/>
      <c r="EA31" s="188"/>
      <c r="EB31" s="188"/>
      <c r="EC31" s="188"/>
      <c r="ED31" s="188"/>
      <c r="EE31" s="188"/>
      <c r="EF31" s="188"/>
      <c r="EG31" s="188"/>
      <c r="EH31" s="188"/>
      <c r="EI31" s="188"/>
      <c r="EJ31" s="188"/>
      <c r="EK31" s="188"/>
      <c r="EL31" s="188"/>
      <c r="EM31" s="188"/>
      <c r="EN31" s="188"/>
      <c r="EO31" s="188"/>
      <c r="EP31" s="188"/>
      <c r="EQ31" s="188"/>
      <c r="ER31" s="188"/>
      <c r="ES31" s="188"/>
      <c r="ET31" s="188"/>
      <c r="EU31" s="188"/>
      <c r="EV31" s="188"/>
      <c r="EW31" s="188"/>
      <c r="EX31" s="188"/>
      <c r="EY31" s="188"/>
      <c r="EZ31" s="188"/>
    </row>
    <row r="32" spans="1:156" ht="15.75" x14ac:dyDescent="0.25">
      <c r="A32" s="12">
        <v>23</v>
      </c>
      <c r="B32" s="16"/>
      <c r="C32" s="24"/>
      <c r="D32" s="110"/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07"/>
      <c r="Y32" s="110"/>
      <c r="Z32" s="19"/>
      <c r="AA32" s="25"/>
      <c r="AB32" s="21"/>
      <c r="AC32" s="25"/>
      <c r="AD32" s="25"/>
      <c r="AE32" s="20"/>
      <c r="AG32" s="188" t="str">
        <f>IF(ISERROR(getgrade(Broadsheet!H32,data!$H$4:$I$9)),"#",getgrade(Broadsheet!H32,data!$H$4:$I$9))</f>
        <v/>
      </c>
      <c r="AH32" s="188" t="str">
        <f>IF(ISERROR(getgrade(Broadsheet!I32,data!$H$4:$I$9)),"#",getgrade(Broadsheet!I32,data!$H$4:$I$9))</f>
        <v/>
      </c>
      <c r="AI32" s="188" t="str">
        <f>IF(ISERROR(getgrade(Broadsheet!J32,data!$H$4:$I$9)),"#",getgrade(Broadsheet!J32,data!$H$4:$I$9))</f>
        <v/>
      </c>
      <c r="AJ32" s="188" t="str">
        <f>IF(ISERROR(getgrade(Broadsheet!K32,data!$H$4:$I$9)),"#",getgrade(Broadsheet!K32,data!$H$4:$I$9))</f>
        <v/>
      </c>
      <c r="AK32" s="188" t="str">
        <f>IF(ISERROR(getgrade(Broadsheet!L32,data!$H$4:$I$9)),"#",getgrade(Broadsheet!L32,data!$H$4:$I$9))</f>
        <v/>
      </c>
      <c r="AL32" s="188" t="str">
        <f>IF(ISERROR(getgrade(Broadsheet!M32,data!$H$4:$I$9)),"#",getgrade(Broadsheet!M32,data!$H$4:$I$9))</f>
        <v/>
      </c>
      <c r="AM32" s="188" t="str">
        <f>IF(ISERROR(getgrade(Broadsheet!N32,data!$H$4:$I$9)),"#",getgrade(Broadsheet!N32,data!$H$4:$I$9))</f>
        <v/>
      </c>
      <c r="AN32" s="188" t="str">
        <f>IF(ISERROR(getgrade(Broadsheet!O32,data!$H$4:$I$9)),"#",getgrade(Broadsheet!O32,data!$H$4:$I$9))</f>
        <v/>
      </c>
      <c r="AO32" s="188" t="str">
        <f>IF(ISERROR(getgrade(Broadsheet!P32,data!$H$4:$I$9)),"#",getgrade(Broadsheet!P32,data!$H$4:$I$9))</f>
        <v/>
      </c>
      <c r="AP32" s="188" t="str">
        <f>IF(ISERROR(getgrade(Broadsheet!Q32,data!$H$4:$I$9)),"#",getgrade(Broadsheet!Q32,data!$H$4:$I$9))</f>
        <v/>
      </c>
      <c r="AQ32" s="188" t="str">
        <f>IF(ISERROR(getgrade(Broadsheet!R32,data!$H$4:$I$9)),"#",getgrade(Broadsheet!R32,data!$H$4:$I$9))</f>
        <v/>
      </c>
      <c r="AR32" s="188" t="str">
        <f>IF(ISERROR(getgrade(Broadsheet!S32,data!$H$4:$I$9)),"#",getgrade(Broadsheet!S32,data!$H$4:$I$9))</f>
        <v/>
      </c>
      <c r="AS32" s="188" t="str">
        <f>IF(ISERROR(getgrade(Broadsheet!T32,data!$H$4:$I$9)),"#",getgrade(Broadsheet!T32,data!$H$4:$I$9))</f>
        <v/>
      </c>
      <c r="AT32" s="188" t="str">
        <f>IF(ISERROR(getgrade(Broadsheet!U32,data!$H$4:$I$9)),"#",getgrade(Broadsheet!U32,data!$H$4:$I$9))</f>
        <v/>
      </c>
      <c r="AU32" s="188" t="str">
        <f>IF(ISERROR(getgrade(Broadsheet!V32,data!$H$4:$I$9)),"#",getgrade(Broadsheet!V32,data!$H$4:$I$9))</f>
        <v/>
      </c>
      <c r="AV32" s="188" t="str">
        <f>IF(ISERROR(getgrade(Broadsheet!W32,data!$H$4:$I$9)),"#",getgrade(Broadsheet!W32,data!$H$4:$I$9))</f>
        <v/>
      </c>
      <c r="AW32" s="188" t="str">
        <f>IF(ISERROR(getgrade(Broadsheet!X32,data!$H$4:$I$9)),"#",getgrade(Broadsheet!X32,data!$H$4:$I$9))</f>
        <v/>
      </c>
      <c r="AX32" s="188" t="str">
        <f>IF(ISERROR(getgrade(Broadsheet!Y32,data!$H$4:$I$9)),"#",getgrade(Broadsheet!Y32,data!$H$4:$I$9))</f>
        <v/>
      </c>
      <c r="AY32" s="188" t="str">
        <f>IF(ISERROR(getgrade(Broadsheet!Z32,data!$H$4:$I$9)),"#",getgrade(Broadsheet!Z32,data!$H$4:$I$9))</f>
        <v/>
      </c>
      <c r="AZ32" s="188" t="str">
        <f>IF(ISERROR(getgrade(Broadsheet!AA32,data!$H$4:$I$9)),"#",getgrade(Broadsheet!AA32,data!$H$4:$I$9))</f>
        <v/>
      </c>
      <c r="BA32" s="188" t="str">
        <f>IF(ISERROR(getgrade(Broadsheet!AB32,data!$H$4:$I$9)),"#",getgrade(Broadsheet!AB32,data!$H$4:$I$9))</f>
        <v/>
      </c>
      <c r="BB32" s="188" t="str">
        <f>IF(ISERROR(getgrade(Broadsheet!AC32,data!$H$4:$I$9)),"#",getgrade(Broadsheet!AC32,data!$H$4:$I$9))</f>
        <v/>
      </c>
      <c r="BC32" s="188" t="str">
        <f>IF(ISERROR(getgrade(Broadsheet!AD32,data!$H$4:$I$9)),"#",getgrade(Broadsheet!AD32,data!$H$4:$I$9))</f>
        <v/>
      </c>
      <c r="BD32" s="188" t="str">
        <f>IF(ISERROR(getgrade(Broadsheet!AE32,data!$H$4:$I$9)),"#",getgrade(Broadsheet!AE32,data!$H$4:$I$9))</f>
        <v/>
      </c>
      <c r="BE32" s="188" t="str">
        <f>IF(ISERROR(getgrade(Broadsheet!AF32,data!$H$4:$I$9)),"#",getgrade(Broadsheet!AF32,data!$H$4:$I$9))</f>
        <v/>
      </c>
      <c r="BF32" s="188" t="str">
        <f>IF(ISERROR(getgrade(Broadsheet!AG32,data!$H$4:$I$9)),"#",getgrade(Broadsheet!AG32,data!$H$4:$I$9))</f>
        <v/>
      </c>
      <c r="BG32" s="188" t="str">
        <f>IF(ISERROR(getgrade(Broadsheet!AH32,data!$H$4:$I$9)),"#",getgrade(Broadsheet!AH32,data!$H$4:$I$9))</f>
        <v/>
      </c>
      <c r="BH32" s="188" t="str">
        <f>IF(ISERROR(getgrade(Broadsheet!AI32,data!$H$4:$I$9)),"#",getgrade(Broadsheet!AI32,data!$H$4:$I$9))</f>
        <v/>
      </c>
      <c r="BI32" s="188" t="str">
        <f>IF(ISERROR(getgrade(Broadsheet!AJ32,data!$H$4:$I$9)),"#",getgrade(Broadsheet!AJ32,data!$H$4:$I$9))</f>
        <v/>
      </c>
      <c r="BJ32" s="188" t="str">
        <f>IF(ISERROR(getgrade(Broadsheet!AK32,data!$H$4:$I$9)),"#",getgrade(Broadsheet!AK32,data!$H$4:$I$9))</f>
        <v/>
      </c>
      <c r="BK32" s="188" t="str">
        <f>IF(ISERROR(getgrade(Broadsheet!AL32,data!$H$4:$I$9)),"#",getgrade(Broadsheet!AL32,data!$H$4:$I$9))</f>
        <v/>
      </c>
      <c r="BL32" s="188" t="str">
        <f>IF(ISERROR(getgrade(Broadsheet!AM32,data!$H$4:$I$9)),"#",getgrade(Broadsheet!AM32,data!$H$4:$I$9))</f>
        <v/>
      </c>
      <c r="BM32" s="188" t="str">
        <f>IF(ISERROR(getgrade(Broadsheet!AN32,data!$H$4:$I$9)),"#",getgrade(Broadsheet!AN32,data!$H$4:$I$9))</f>
        <v/>
      </c>
      <c r="BN32" s="188" t="str">
        <f>IF(ISERROR(getgrade(Broadsheet!AO32,data!$H$4:$I$9)),"#",getgrade(Broadsheet!AO32,data!$H$4:$I$9))</f>
        <v/>
      </c>
      <c r="BO32" s="188" t="str">
        <f>IF(ISERROR(getgrade(Broadsheet!AP32,data!$H$4:$I$9)),"#",getgrade(Broadsheet!AP32,data!$H$4:$I$9))</f>
        <v/>
      </c>
      <c r="BP32" s="188" t="str">
        <f>IF(ISERROR(getgrade(Broadsheet!AQ32,data!$H$4:$I$9)),"#",getgrade(Broadsheet!AQ32,data!$H$4:$I$9))</f>
        <v/>
      </c>
      <c r="BQ32" s="188" t="str">
        <f>IF(ISERROR(getgrade(Broadsheet!AR32,data!$H$4:$I$9)),"#",getgrade(Broadsheet!AR32,data!$H$4:$I$9))</f>
        <v/>
      </c>
      <c r="BR32" s="188" t="str">
        <f>IF(ISERROR(getgrade(Broadsheet!AS32,data!$H$4:$I$9)),"#",getgrade(Broadsheet!AS32,data!$H$4:$I$9))</f>
        <v/>
      </c>
      <c r="BS32" s="188" t="str">
        <f>IF(ISERROR(getgrade(Broadsheet!AT32,data!$H$4:$I$9)),"#",getgrade(Broadsheet!AT32,data!$H$4:$I$9))</f>
        <v/>
      </c>
      <c r="BT32" s="188" t="str">
        <f>IF(ISERROR(getgrade(Broadsheet!AU32,data!$H$4:$I$9)),"#",getgrade(Broadsheet!AU32,data!$H$4:$I$9))</f>
        <v/>
      </c>
      <c r="BU32" s="188" t="str">
        <f>IF(ISERROR(getgrade(Broadsheet!AV32,data!$H$4:$I$9)),"#",getgrade(Broadsheet!AV32,data!$H$4:$I$9))</f>
        <v/>
      </c>
      <c r="BV32" s="188" t="str">
        <f>IF(ISERROR(getgrade(Broadsheet!AW32,data!$H$4:$I$9)),"#",getgrade(Broadsheet!AW32,data!$H$4:$I$9))</f>
        <v/>
      </c>
      <c r="BW32" s="188" t="str">
        <f>IF(ISERROR(getgrade(Broadsheet!AX32,data!$H$4:$I$9)),"#",getgrade(Broadsheet!AX32,data!$H$4:$I$9))</f>
        <v/>
      </c>
      <c r="BX32" s="188" t="str">
        <f>IF(ISERROR(getgrade(Broadsheet!AY32,data!$H$4:$I$9)),"#",getgrade(Broadsheet!AY32,data!$H$4:$I$9))</f>
        <v/>
      </c>
      <c r="BY32" s="188" t="str">
        <f>IF(ISERROR(getgrade(Broadsheet!AZ32,data!$H$4:$I$9)),"#",getgrade(Broadsheet!AZ32,data!$H$4:$I$9))</f>
        <v/>
      </c>
      <c r="BZ32" s="188" t="str">
        <f>IF(ISERROR(getgrade(Broadsheet!BA32,data!$H$4:$I$9)),"#",getgrade(Broadsheet!BA32,data!$H$4:$I$9))</f>
        <v/>
      </c>
      <c r="CA32" s="188" t="str">
        <f>IF(ISERROR(getgrade(Broadsheet!BB32,data!$H$4:$I$9)),"#",getgrade(Broadsheet!BB32,data!$H$4:$I$9))</f>
        <v/>
      </c>
      <c r="CB32" s="188" t="str">
        <f>IF(ISERROR(getgrade(Broadsheet!BC32,data!$H$4:$I$9)),"#",getgrade(Broadsheet!BC32,data!$H$4:$I$9))</f>
        <v/>
      </c>
      <c r="CC32" s="188" t="str">
        <f>IF(ISERROR(getgrade(Broadsheet!BD32,data!$H$4:$I$9)),"#",getgrade(Broadsheet!BD32,data!$H$4:$I$9))</f>
        <v/>
      </c>
      <c r="CD32" s="188" t="str">
        <f>IF(ISERROR(getgrade(Broadsheet!BE32,data!$H$4:$I$9)),"#",getgrade(Broadsheet!BE32,data!$H$4:$I$9))</f>
        <v/>
      </c>
      <c r="CE32" s="188" t="str">
        <f>IF(ISERROR(getgrade(Broadsheet!BF32,data!$H$4:$I$9)),"#",getgrade(Broadsheet!BF32,data!$H$4:$I$9))</f>
        <v/>
      </c>
      <c r="CF32" s="188" t="str">
        <f>IF(ISERROR(getgrade(Broadsheet!BG32,data!$H$4:$I$9)),"#",getgrade(Broadsheet!BG32,data!$H$4:$I$9))</f>
        <v/>
      </c>
      <c r="CG32" s="188" t="str">
        <f>IF(ISERROR(getgrade(Broadsheet!BH32,data!$H$4:$I$9)),"#",getgrade(Broadsheet!BH32,data!$H$4:$I$9))</f>
        <v/>
      </c>
      <c r="CH32" s="188" t="str">
        <f>IF(ISERROR(getgrade(Broadsheet!BI32,data!$H$4:$I$9)),"#",getgrade(Broadsheet!BI32,data!$H$4:$I$9))</f>
        <v/>
      </c>
      <c r="CI32" s="188" t="str">
        <f>IF(ISERROR(getgrade(Broadsheet!BJ32,data!$H$4:$I$9)),"#",getgrade(Broadsheet!BJ32,data!$H$4:$I$9))</f>
        <v/>
      </c>
      <c r="CJ32" s="188"/>
      <c r="CK32" s="188"/>
      <c r="CL32" s="188"/>
      <c r="CM32" s="188"/>
      <c r="CN32" s="188"/>
      <c r="CO32" s="188"/>
      <c r="CP32" s="188"/>
      <c r="CQ32" s="188"/>
      <c r="CR32" s="188"/>
      <c r="CS32" s="188"/>
      <c r="CT32" s="188"/>
      <c r="CU32" s="188"/>
      <c r="CV32" s="188"/>
      <c r="CW32" s="188"/>
      <c r="CX32" s="188"/>
      <c r="CY32" s="188"/>
      <c r="CZ32" s="188"/>
      <c r="DA32" s="188"/>
      <c r="DB32" s="188"/>
      <c r="DC32" s="188"/>
      <c r="DD32" s="188"/>
      <c r="DE32" s="188"/>
      <c r="DF32" s="188"/>
      <c r="DG32" s="188"/>
      <c r="DH32" s="188"/>
      <c r="DI32" s="188"/>
      <c r="DJ32" s="188"/>
      <c r="DK32" s="188"/>
      <c r="DL32" s="188"/>
      <c r="DM32" s="188"/>
      <c r="DN32" s="188"/>
      <c r="DO32" s="188"/>
      <c r="DP32" s="188"/>
      <c r="DQ32" s="188"/>
      <c r="DR32" s="188"/>
      <c r="DS32" s="188"/>
      <c r="DT32" s="188"/>
      <c r="DU32" s="188"/>
      <c r="DV32" s="188"/>
      <c r="DW32" s="188"/>
      <c r="DX32" s="188"/>
      <c r="DY32" s="188"/>
      <c r="DZ32" s="188"/>
      <c r="EA32" s="188"/>
      <c r="EB32" s="188"/>
      <c r="EC32" s="188"/>
      <c r="ED32" s="188"/>
      <c r="EE32" s="188"/>
      <c r="EF32" s="188"/>
      <c r="EG32" s="188"/>
      <c r="EH32" s="188"/>
      <c r="EI32" s="188"/>
      <c r="EJ32" s="188"/>
      <c r="EK32" s="188"/>
      <c r="EL32" s="188"/>
      <c r="EM32" s="188"/>
      <c r="EN32" s="188"/>
      <c r="EO32" s="188"/>
      <c r="EP32" s="188"/>
      <c r="EQ32" s="188"/>
      <c r="ER32" s="188"/>
      <c r="ES32" s="188"/>
      <c r="ET32" s="188"/>
      <c r="EU32" s="188"/>
      <c r="EV32" s="188"/>
      <c r="EW32" s="188"/>
      <c r="EX32" s="188"/>
      <c r="EY32" s="188"/>
      <c r="EZ32" s="188"/>
    </row>
    <row r="33" spans="1:156" ht="15.75" x14ac:dyDescent="0.25">
      <c r="A33" s="12">
        <v>24</v>
      </c>
      <c r="B33" s="16"/>
      <c r="C33" s="24"/>
      <c r="D33" s="110"/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07"/>
      <c r="Y33" s="110"/>
      <c r="Z33" s="19"/>
      <c r="AA33" s="25"/>
      <c r="AB33" s="21"/>
      <c r="AC33" s="25"/>
      <c r="AD33" s="25"/>
      <c r="AE33" s="20"/>
      <c r="AG33" s="188" t="str">
        <f>IF(ISERROR(getgrade(Broadsheet!H33,data!$H$4:$I$9)),"#",getgrade(Broadsheet!H33,data!$H$4:$I$9))</f>
        <v/>
      </c>
      <c r="AH33" s="188" t="str">
        <f>IF(ISERROR(getgrade(Broadsheet!I33,data!$H$4:$I$9)),"#",getgrade(Broadsheet!I33,data!$H$4:$I$9))</f>
        <v/>
      </c>
      <c r="AI33" s="188" t="str">
        <f>IF(ISERROR(getgrade(Broadsheet!J33,data!$H$4:$I$9)),"#",getgrade(Broadsheet!J33,data!$H$4:$I$9))</f>
        <v/>
      </c>
      <c r="AJ33" s="188" t="str">
        <f>IF(ISERROR(getgrade(Broadsheet!K33,data!$H$4:$I$9)),"#",getgrade(Broadsheet!K33,data!$H$4:$I$9))</f>
        <v/>
      </c>
      <c r="AK33" s="188" t="str">
        <f>IF(ISERROR(getgrade(Broadsheet!L33,data!$H$4:$I$9)),"#",getgrade(Broadsheet!L33,data!$H$4:$I$9))</f>
        <v/>
      </c>
      <c r="AL33" s="188" t="str">
        <f>IF(ISERROR(getgrade(Broadsheet!M33,data!$H$4:$I$9)),"#",getgrade(Broadsheet!M33,data!$H$4:$I$9))</f>
        <v/>
      </c>
      <c r="AM33" s="188" t="str">
        <f>IF(ISERROR(getgrade(Broadsheet!N33,data!$H$4:$I$9)),"#",getgrade(Broadsheet!N33,data!$H$4:$I$9))</f>
        <v/>
      </c>
      <c r="AN33" s="188" t="str">
        <f>IF(ISERROR(getgrade(Broadsheet!O33,data!$H$4:$I$9)),"#",getgrade(Broadsheet!O33,data!$H$4:$I$9))</f>
        <v/>
      </c>
      <c r="AO33" s="188" t="str">
        <f>IF(ISERROR(getgrade(Broadsheet!P33,data!$H$4:$I$9)),"#",getgrade(Broadsheet!P33,data!$H$4:$I$9))</f>
        <v/>
      </c>
      <c r="AP33" s="188" t="str">
        <f>IF(ISERROR(getgrade(Broadsheet!Q33,data!$H$4:$I$9)),"#",getgrade(Broadsheet!Q33,data!$H$4:$I$9))</f>
        <v/>
      </c>
      <c r="AQ33" s="188" t="str">
        <f>IF(ISERROR(getgrade(Broadsheet!R33,data!$H$4:$I$9)),"#",getgrade(Broadsheet!R33,data!$H$4:$I$9))</f>
        <v/>
      </c>
      <c r="AR33" s="188" t="str">
        <f>IF(ISERROR(getgrade(Broadsheet!S33,data!$H$4:$I$9)),"#",getgrade(Broadsheet!S33,data!$H$4:$I$9))</f>
        <v/>
      </c>
      <c r="AS33" s="188" t="str">
        <f>IF(ISERROR(getgrade(Broadsheet!T33,data!$H$4:$I$9)),"#",getgrade(Broadsheet!T33,data!$H$4:$I$9))</f>
        <v/>
      </c>
      <c r="AT33" s="188" t="str">
        <f>IF(ISERROR(getgrade(Broadsheet!U33,data!$H$4:$I$9)),"#",getgrade(Broadsheet!U33,data!$H$4:$I$9))</f>
        <v/>
      </c>
      <c r="AU33" s="188" t="str">
        <f>IF(ISERROR(getgrade(Broadsheet!V33,data!$H$4:$I$9)),"#",getgrade(Broadsheet!V33,data!$H$4:$I$9))</f>
        <v/>
      </c>
      <c r="AV33" s="188" t="str">
        <f>IF(ISERROR(getgrade(Broadsheet!W33,data!$H$4:$I$9)),"#",getgrade(Broadsheet!W33,data!$H$4:$I$9))</f>
        <v/>
      </c>
      <c r="AW33" s="188" t="str">
        <f>IF(ISERROR(getgrade(Broadsheet!X33,data!$H$4:$I$9)),"#",getgrade(Broadsheet!X33,data!$H$4:$I$9))</f>
        <v/>
      </c>
      <c r="AX33" s="188" t="str">
        <f>IF(ISERROR(getgrade(Broadsheet!Y33,data!$H$4:$I$9)),"#",getgrade(Broadsheet!Y33,data!$H$4:$I$9))</f>
        <v/>
      </c>
      <c r="AY33" s="188" t="str">
        <f>IF(ISERROR(getgrade(Broadsheet!Z33,data!$H$4:$I$9)),"#",getgrade(Broadsheet!Z33,data!$H$4:$I$9))</f>
        <v/>
      </c>
      <c r="AZ33" s="188" t="str">
        <f>IF(ISERROR(getgrade(Broadsheet!AA33,data!$H$4:$I$9)),"#",getgrade(Broadsheet!AA33,data!$H$4:$I$9))</f>
        <v/>
      </c>
      <c r="BA33" s="188" t="str">
        <f>IF(ISERROR(getgrade(Broadsheet!AB33,data!$H$4:$I$9)),"#",getgrade(Broadsheet!AB33,data!$H$4:$I$9))</f>
        <v/>
      </c>
      <c r="BB33" s="188" t="str">
        <f>IF(ISERROR(getgrade(Broadsheet!AC33,data!$H$4:$I$9)),"#",getgrade(Broadsheet!AC33,data!$H$4:$I$9))</f>
        <v/>
      </c>
      <c r="BC33" s="188" t="str">
        <f>IF(ISERROR(getgrade(Broadsheet!AD33,data!$H$4:$I$9)),"#",getgrade(Broadsheet!AD33,data!$H$4:$I$9))</f>
        <v/>
      </c>
      <c r="BD33" s="188" t="str">
        <f>IF(ISERROR(getgrade(Broadsheet!AE33,data!$H$4:$I$9)),"#",getgrade(Broadsheet!AE33,data!$H$4:$I$9))</f>
        <v/>
      </c>
      <c r="BE33" s="188" t="str">
        <f>IF(ISERROR(getgrade(Broadsheet!AF33,data!$H$4:$I$9)),"#",getgrade(Broadsheet!AF33,data!$H$4:$I$9))</f>
        <v/>
      </c>
      <c r="BF33" s="188" t="str">
        <f>IF(ISERROR(getgrade(Broadsheet!AG33,data!$H$4:$I$9)),"#",getgrade(Broadsheet!AG33,data!$H$4:$I$9))</f>
        <v/>
      </c>
      <c r="BG33" s="188" t="str">
        <f>IF(ISERROR(getgrade(Broadsheet!AH33,data!$H$4:$I$9)),"#",getgrade(Broadsheet!AH33,data!$H$4:$I$9))</f>
        <v/>
      </c>
      <c r="BH33" s="188" t="str">
        <f>IF(ISERROR(getgrade(Broadsheet!AI33,data!$H$4:$I$9)),"#",getgrade(Broadsheet!AI33,data!$H$4:$I$9))</f>
        <v/>
      </c>
      <c r="BI33" s="188" t="str">
        <f>IF(ISERROR(getgrade(Broadsheet!AJ33,data!$H$4:$I$9)),"#",getgrade(Broadsheet!AJ33,data!$H$4:$I$9))</f>
        <v/>
      </c>
      <c r="BJ33" s="188" t="str">
        <f>IF(ISERROR(getgrade(Broadsheet!AK33,data!$H$4:$I$9)),"#",getgrade(Broadsheet!AK33,data!$H$4:$I$9))</f>
        <v/>
      </c>
      <c r="BK33" s="188" t="str">
        <f>IF(ISERROR(getgrade(Broadsheet!AL33,data!$H$4:$I$9)),"#",getgrade(Broadsheet!AL33,data!$H$4:$I$9))</f>
        <v/>
      </c>
      <c r="BL33" s="188" t="str">
        <f>IF(ISERROR(getgrade(Broadsheet!AM33,data!$H$4:$I$9)),"#",getgrade(Broadsheet!AM33,data!$H$4:$I$9))</f>
        <v/>
      </c>
      <c r="BM33" s="188" t="str">
        <f>IF(ISERROR(getgrade(Broadsheet!AN33,data!$H$4:$I$9)),"#",getgrade(Broadsheet!AN33,data!$H$4:$I$9))</f>
        <v/>
      </c>
      <c r="BN33" s="188" t="str">
        <f>IF(ISERROR(getgrade(Broadsheet!AO33,data!$H$4:$I$9)),"#",getgrade(Broadsheet!AO33,data!$H$4:$I$9))</f>
        <v/>
      </c>
      <c r="BO33" s="188" t="str">
        <f>IF(ISERROR(getgrade(Broadsheet!AP33,data!$H$4:$I$9)),"#",getgrade(Broadsheet!AP33,data!$H$4:$I$9))</f>
        <v/>
      </c>
      <c r="BP33" s="188" t="str">
        <f>IF(ISERROR(getgrade(Broadsheet!AQ33,data!$H$4:$I$9)),"#",getgrade(Broadsheet!AQ33,data!$H$4:$I$9))</f>
        <v/>
      </c>
      <c r="BQ33" s="188" t="str">
        <f>IF(ISERROR(getgrade(Broadsheet!AR33,data!$H$4:$I$9)),"#",getgrade(Broadsheet!AR33,data!$H$4:$I$9))</f>
        <v/>
      </c>
      <c r="BR33" s="188" t="str">
        <f>IF(ISERROR(getgrade(Broadsheet!AS33,data!$H$4:$I$9)),"#",getgrade(Broadsheet!AS33,data!$H$4:$I$9))</f>
        <v/>
      </c>
      <c r="BS33" s="188" t="str">
        <f>IF(ISERROR(getgrade(Broadsheet!AT33,data!$H$4:$I$9)),"#",getgrade(Broadsheet!AT33,data!$H$4:$I$9))</f>
        <v/>
      </c>
      <c r="BT33" s="188" t="str">
        <f>IF(ISERROR(getgrade(Broadsheet!AU33,data!$H$4:$I$9)),"#",getgrade(Broadsheet!AU33,data!$H$4:$I$9))</f>
        <v/>
      </c>
      <c r="BU33" s="188" t="str">
        <f>IF(ISERROR(getgrade(Broadsheet!AV33,data!$H$4:$I$9)),"#",getgrade(Broadsheet!AV33,data!$H$4:$I$9))</f>
        <v/>
      </c>
      <c r="BV33" s="188" t="str">
        <f>IF(ISERROR(getgrade(Broadsheet!AW33,data!$H$4:$I$9)),"#",getgrade(Broadsheet!AW33,data!$H$4:$I$9))</f>
        <v/>
      </c>
      <c r="BW33" s="188" t="str">
        <f>IF(ISERROR(getgrade(Broadsheet!AX33,data!$H$4:$I$9)),"#",getgrade(Broadsheet!AX33,data!$H$4:$I$9))</f>
        <v/>
      </c>
      <c r="BX33" s="188" t="str">
        <f>IF(ISERROR(getgrade(Broadsheet!AY33,data!$H$4:$I$9)),"#",getgrade(Broadsheet!AY33,data!$H$4:$I$9))</f>
        <v/>
      </c>
      <c r="BY33" s="188" t="str">
        <f>IF(ISERROR(getgrade(Broadsheet!AZ33,data!$H$4:$I$9)),"#",getgrade(Broadsheet!AZ33,data!$H$4:$I$9))</f>
        <v/>
      </c>
      <c r="BZ33" s="188" t="str">
        <f>IF(ISERROR(getgrade(Broadsheet!BA33,data!$H$4:$I$9)),"#",getgrade(Broadsheet!BA33,data!$H$4:$I$9))</f>
        <v/>
      </c>
      <c r="CA33" s="188" t="str">
        <f>IF(ISERROR(getgrade(Broadsheet!BB33,data!$H$4:$I$9)),"#",getgrade(Broadsheet!BB33,data!$H$4:$I$9))</f>
        <v/>
      </c>
      <c r="CB33" s="188" t="str">
        <f>IF(ISERROR(getgrade(Broadsheet!BC33,data!$H$4:$I$9)),"#",getgrade(Broadsheet!BC33,data!$H$4:$I$9))</f>
        <v/>
      </c>
      <c r="CC33" s="188" t="str">
        <f>IF(ISERROR(getgrade(Broadsheet!BD33,data!$H$4:$I$9)),"#",getgrade(Broadsheet!BD33,data!$H$4:$I$9))</f>
        <v/>
      </c>
      <c r="CD33" s="188" t="str">
        <f>IF(ISERROR(getgrade(Broadsheet!BE33,data!$H$4:$I$9)),"#",getgrade(Broadsheet!BE33,data!$H$4:$I$9))</f>
        <v/>
      </c>
      <c r="CE33" s="188" t="str">
        <f>IF(ISERROR(getgrade(Broadsheet!BF33,data!$H$4:$I$9)),"#",getgrade(Broadsheet!BF33,data!$H$4:$I$9))</f>
        <v/>
      </c>
      <c r="CF33" s="188" t="str">
        <f>IF(ISERROR(getgrade(Broadsheet!BG33,data!$H$4:$I$9)),"#",getgrade(Broadsheet!BG33,data!$H$4:$I$9))</f>
        <v/>
      </c>
      <c r="CG33" s="188" t="str">
        <f>IF(ISERROR(getgrade(Broadsheet!BH33,data!$H$4:$I$9)),"#",getgrade(Broadsheet!BH33,data!$H$4:$I$9))</f>
        <v/>
      </c>
      <c r="CH33" s="188" t="str">
        <f>IF(ISERROR(getgrade(Broadsheet!BI33,data!$H$4:$I$9)),"#",getgrade(Broadsheet!BI33,data!$H$4:$I$9))</f>
        <v/>
      </c>
      <c r="CI33" s="188" t="str">
        <f>IF(ISERROR(getgrade(Broadsheet!BJ33,data!$H$4:$I$9)),"#",getgrade(Broadsheet!BJ33,data!$H$4:$I$9))</f>
        <v/>
      </c>
      <c r="CJ33" s="188"/>
      <c r="CK33" s="188"/>
      <c r="CL33" s="188"/>
      <c r="CM33" s="188"/>
      <c r="CN33" s="188"/>
      <c r="CO33" s="188"/>
      <c r="CP33" s="188"/>
      <c r="CQ33" s="188"/>
      <c r="CR33" s="188"/>
      <c r="CS33" s="188"/>
      <c r="CT33" s="188"/>
      <c r="CU33" s="188"/>
      <c r="CV33" s="188"/>
      <c r="CW33" s="188"/>
      <c r="CX33" s="188"/>
      <c r="CY33" s="188"/>
      <c r="CZ33" s="188"/>
      <c r="DA33" s="188"/>
      <c r="DB33" s="188"/>
      <c r="DC33" s="188"/>
      <c r="DD33" s="188"/>
      <c r="DE33" s="188"/>
      <c r="DF33" s="188"/>
      <c r="DG33" s="188"/>
      <c r="DH33" s="188"/>
      <c r="DI33" s="188"/>
      <c r="DJ33" s="188"/>
      <c r="DK33" s="188"/>
      <c r="DL33" s="188"/>
      <c r="DM33" s="188"/>
      <c r="DN33" s="188"/>
      <c r="DO33" s="188"/>
      <c r="DP33" s="188"/>
      <c r="DQ33" s="188"/>
      <c r="DR33" s="188"/>
      <c r="DS33" s="188"/>
      <c r="DT33" s="188"/>
      <c r="DU33" s="188"/>
      <c r="DV33" s="188"/>
      <c r="DW33" s="188"/>
      <c r="DX33" s="188"/>
      <c r="DY33" s="188"/>
      <c r="DZ33" s="188"/>
      <c r="EA33" s="188"/>
      <c r="EB33" s="188"/>
      <c r="EC33" s="188"/>
      <c r="ED33" s="188"/>
      <c r="EE33" s="188"/>
      <c r="EF33" s="188"/>
      <c r="EG33" s="188"/>
      <c r="EH33" s="188"/>
      <c r="EI33" s="188"/>
      <c r="EJ33" s="188"/>
      <c r="EK33" s="188"/>
      <c r="EL33" s="188"/>
      <c r="EM33" s="188"/>
      <c r="EN33" s="188"/>
      <c r="EO33" s="188"/>
      <c r="EP33" s="188"/>
      <c r="EQ33" s="188"/>
      <c r="ER33" s="188"/>
      <c r="ES33" s="188"/>
      <c r="ET33" s="188"/>
      <c r="EU33" s="188"/>
      <c r="EV33" s="188"/>
      <c r="EW33" s="188"/>
      <c r="EX33" s="188"/>
      <c r="EY33" s="188"/>
      <c r="EZ33" s="188"/>
    </row>
    <row r="34" spans="1:156" ht="15.75" x14ac:dyDescent="0.25">
      <c r="A34" s="12">
        <v>25</v>
      </c>
      <c r="B34" s="16"/>
      <c r="C34" s="24"/>
      <c r="D34" s="110"/>
      <c r="E34" s="110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07"/>
      <c r="Y34" s="110"/>
      <c r="Z34" s="19"/>
      <c r="AA34" s="25"/>
      <c r="AB34" s="21"/>
      <c r="AC34" s="25"/>
      <c r="AD34" s="25"/>
      <c r="AE34" s="20"/>
      <c r="AG34" s="188" t="str">
        <f>IF(ISERROR(getgrade(Broadsheet!H34,data!$H$4:$I$9)),"#",getgrade(Broadsheet!H34,data!$H$4:$I$9))</f>
        <v/>
      </c>
      <c r="AH34" s="188" t="str">
        <f>IF(ISERROR(getgrade(Broadsheet!I34,data!$H$4:$I$9)),"#",getgrade(Broadsheet!I34,data!$H$4:$I$9))</f>
        <v/>
      </c>
      <c r="AI34" s="188" t="str">
        <f>IF(ISERROR(getgrade(Broadsheet!J34,data!$H$4:$I$9)),"#",getgrade(Broadsheet!J34,data!$H$4:$I$9))</f>
        <v/>
      </c>
      <c r="AJ34" s="188" t="str">
        <f>IF(ISERROR(getgrade(Broadsheet!K34,data!$H$4:$I$9)),"#",getgrade(Broadsheet!K34,data!$H$4:$I$9))</f>
        <v/>
      </c>
      <c r="AK34" s="188" t="str">
        <f>IF(ISERROR(getgrade(Broadsheet!L34,data!$H$4:$I$9)),"#",getgrade(Broadsheet!L34,data!$H$4:$I$9))</f>
        <v/>
      </c>
      <c r="AL34" s="188" t="str">
        <f>IF(ISERROR(getgrade(Broadsheet!M34,data!$H$4:$I$9)),"#",getgrade(Broadsheet!M34,data!$H$4:$I$9))</f>
        <v/>
      </c>
      <c r="AM34" s="188" t="str">
        <f>IF(ISERROR(getgrade(Broadsheet!N34,data!$H$4:$I$9)),"#",getgrade(Broadsheet!N34,data!$H$4:$I$9))</f>
        <v/>
      </c>
      <c r="AN34" s="188" t="str">
        <f>IF(ISERROR(getgrade(Broadsheet!O34,data!$H$4:$I$9)),"#",getgrade(Broadsheet!O34,data!$H$4:$I$9))</f>
        <v/>
      </c>
      <c r="AO34" s="188" t="str">
        <f>IF(ISERROR(getgrade(Broadsheet!P34,data!$H$4:$I$9)),"#",getgrade(Broadsheet!P34,data!$H$4:$I$9))</f>
        <v/>
      </c>
      <c r="AP34" s="188" t="str">
        <f>IF(ISERROR(getgrade(Broadsheet!Q34,data!$H$4:$I$9)),"#",getgrade(Broadsheet!Q34,data!$H$4:$I$9))</f>
        <v/>
      </c>
      <c r="AQ34" s="188" t="str">
        <f>IF(ISERROR(getgrade(Broadsheet!R34,data!$H$4:$I$9)),"#",getgrade(Broadsheet!R34,data!$H$4:$I$9))</f>
        <v/>
      </c>
      <c r="AR34" s="188" t="str">
        <f>IF(ISERROR(getgrade(Broadsheet!S34,data!$H$4:$I$9)),"#",getgrade(Broadsheet!S34,data!$H$4:$I$9))</f>
        <v/>
      </c>
      <c r="AS34" s="188" t="str">
        <f>IF(ISERROR(getgrade(Broadsheet!T34,data!$H$4:$I$9)),"#",getgrade(Broadsheet!T34,data!$H$4:$I$9))</f>
        <v/>
      </c>
      <c r="AT34" s="188" t="str">
        <f>IF(ISERROR(getgrade(Broadsheet!U34,data!$H$4:$I$9)),"#",getgrade(Broadsheet!U34,data!$H$4:$I$9))</f>
        <v/>
      </c>
      <c r="AU34" s="188" t="str">
        <f>IF(ISERROR(getgrade(Broadsheet!V34,data!$H$4:$I$9)),"#",getgrade(Broadsheet!V34,data!$H$4:$I$9))</f>
        <v/>
      </c>
      <c r="AV34" s="188" t="str">
        <f>IF(ISERROR(getgrade(Broadsheet!W34,data!$H$4:$I$9)),"#",getgrade(Broadsheet!W34,data!$H$4:$I$9))</f>
        <v/>
      </c>
      <c r="AW34" s="188" t="str">
        <f>IF(ISERROR(getgrade(Broadsheet!X34,data!$H$4:$I$9)),"#",getgrade(Broadsheet!X34,data!$H$4:$I$9))</f>
        <v/>
      </c>
      <c r="AX34" s="188" t="str">
        <f>IF(ISERROR(getgrade(Broadsheet!Y34,data!$H$4:$I$9)),"#",getgrade(Broadsheet!Y34,data!$H$4:$I$9))</f>
        <v/>
      </c>
      <c r="AY34" s="188" t="str">
        <f>IF(ISERROR(getgrade(Broadsheet!Z34,data!$H$4:$I$9)),"#",getgrade(Broadsheet!Z34,data!$H$4:$I$9))</f>
        <v/>
      </c>
      <c r="AZ34" s="188" t="str">
        <f>IF(ISERROR(getgrade(Broadsheet!AA34,data!$H$4:$I$9)),"#",getgrade(Broadsheet!AA34,data!$H$4:$I$9))</f>
        <v/>
      </c>
      <c r="BA34" s="188" t="str">
        <f>IF(ISERROR(getgrade(Broadsheet!AB34,data!$H$4:$I$9)),"#",getgrade(Broadsheet!AB34,data!$H$4:$I$9))</f>
        <v/>
      </c>
      <c r="BB34" s="188" t="str">
        <f>IF(ISERROR(getgrade(Broadsheet!AC34,data!$H$4:$I$9)),"#",getgrade(Broadsheet!AC34,data!$H$4:$I$9))</f>
        <v/>
      </c>
      <c r="BC34" s="188" t="str">
        <f>IF(ISERROR(getgrade(Broadsheet!AD34,data!$H$4:$I$9)),"#",getgrade(Broadsheet!AD34,data!$H$4:$I$9))</f>
        <v/>
      </c>
      <c r="BD34" s="188" t="str">
        <f>IF(ISERROR(getgrade(Broadsheet!AE34,data!$H$4:$I$9)),"#",getgrade(Broadsheet!AE34,data!$H$4:$I$9))</f>
        <v/>
      </c>
      <c r="BE34" s="188" t="str">
        <f>IF(ISERROR(getgrade(Broadsheet!AF34,data!$H$4:$I$9)),"#",getgrade(Broadsheet!AF34,data!$H$4:$I$9))</f>
        <v/>
      </c>
      <c r="BF34" s="188" t="str">
        <f>IF(ISERROR(getgrade(Broadsheet!AG34,data!$H$4:$I$9)),"#",getgrade(Broadsheet!AG34,data!$H$4:$I$9))</f>
        <v/>
      </c>
      <c r="BG34" s="188" t="str">
        <f>IF(ISERROR(getgrade(Broadsheet!AH34,data!$H$4:$I$9)),"#",getgrade(Broadsheet!AH34,data!$H$4:$I$9))</f>
        <v/>
      </c>
      <c r="BH34" s="188" t="str">
        <f>IF(ISERROR(getgrade(Broadsheet!AI34,data!$H$4:$I$9)),"#",getgrade(Broadsheet!AI34,data!$H$4:$I$9))</f>
        <v/>
      </c>
      <c r="BI34" s="188" t="str">
        <f>IF(ISERROR(getgrade(Broadsheet!AJ34,data!$H$4:$I$9)),"#",getgrade(Broadsheet!AJ34,data!$H$4:$I$9))</f>
        <v/>
      </c>
      <c r="BJ34" s="188" t="str">
        <f>IF(ISERROR(getgrade(Broadsheet!AK34,data!$H$4:$I$9)),"#",getgrade(Broadsheet!AK34,data!$H$4:$I$9))</f>
        <v/>
      </c>
      <c r="BK34" s="188" t="str">
        <f>IF(ISERROR(getgrade(Broadsheet!AL34,data!$H$4:$I$9)),"#",getgrade(Broadsheet!AL34,data!$H$4:$I$9))</f>
        <v/>
      </c>
      <c r="BL34" s="188" t="str">
        <f>IF(ISERROR(getgrade(Broadsheet!AM34,data!$H$4:$I$9)),"#",getgrade(Broadsheet!AM34,data!$H$4:$I$9))</f>
        <v/>
      </c>
      <c r="BM34" s="188" t="str">
        <f>IF(ISERROR(getgrade(Broadsheet!AN34,data!$H$4:$I$9)),"#",getgrade(Broadsheet!AN34,data!$H$4:$I$9))</f>
        <v/>
      </c>
      <c r="BN34" s="188" t="str">
        <f>IF(ISERROR(getgrade(Broadsheet!AO34,data!$H$4:$I$9)),"#",getgrade(Broadsheet!AO34,data!$H$4:$I$9))</f>
        <v/>
      </c>
      <c r="BO34" s="188" t="str">
        <f>IF(ISERROR(getgrade(Broadsheet!AP34,data!$H$4:$I$9)),"#",getgrade(Broadsheet!AP34,data!$H$4:$I$9))</f>
        <v/>
      </c>
      <c r="BP34" s="188" t="str">
        <f>IF(ISERROR(getgrade(Broadsheet!AQ34,data!$H$4:$I$9)),"#",getgrade(Broadsheet!AQ34,data!$H$4:$I$9))</f>
        <v/>
      </c>
      <c r="BQ34" s="188" t="str">
        <f>IF(ISERROR(getgrade(Broadsheet!AR34,data!$H$4:$I$9)),"#",getgrade(Broadsheet!AR34,data!$H$4:$I$9))</f>
        <v/>
      </c>
      <c r="BR34" s="188" t="str">
        <f>IF(ISERROR(getgrade(Broadsheet!AS34,data!$H$4:$I$9)),"#",getgrade(Broadsheet!AS34,data!$H$4:$I$9))</f>
        <v/>
      </c>
      <c r="BS34" s="188" t="str">
        <f>IF(ISERROR(getgrade(Broadsheet!AT34,data!$H$4:$I$9)),"#",getgrade(Broadsheet!AT34,data!$H$4:$I$9))</f>
        <v/>
      </c>
      <c r="BT34" s="188" t="str">
        <f>IF(ISERROR(getgrade(Broadsheet!AU34,data!$H$4:$I$9)),"#",getgrade(Broadsheet!AU34,data!$H$4:$I$9))</f>
        <v/>
      </c>
      <c r="BU34" s="188" t="str">
        <f>IF(ISERROR(getgrade(Broadsheet!AV34,data!$H$4:$I$9)),"#",getgrade(Broadsheet!AV34,data!$H$4:$I$9))</f>
        <v/>
      </c>
      <c r="BV34" s="188" t="str">
        <f>IF(ISERROR(getgrade(Broadsheet!AW34,data!$H$4:$I$9)),"#",getgrade(Broadsheet!AW34,data!$H$4:$I$9))</f>
        <v/>
      </c>
      <c r="BW34" s="188" t="str">
        <f>IF(ISERROR(getgrade(Broadsheet!AX34,data!$H$4:$I$9)),"#",getgrade(Broadsheet!AX34,data!$H$4:$I$9))</f>
        <v/>
      </c>
      <c r="BX34" s="188" t="str">
        <f>IF(ISERROR(getgrade(Broadsheet!AY34,data!$H$4:$I$9)),"#",getgrade(Broadsheet!AY34,data!$H$4:$I$9))</f>
        <v/>
      </c>
      <c r="BY34" s="188" t="str">
        <f>IF(ISERROR(getgrade(Broadsheet!AZ34,data!$H$4:$I$9)),"#",getgrade(Broadsheet!AZ34,data!$H$4:$I$9))</f>
        <v/>
      </c>
      <c r="BZ34" s="188" t="str">
        <f>IF(ISERROR(getgrade(Broadsheet!BA34,data!$H$4:$I$9)),"#",getgrade(Broadsheet!BA34,data!$H$4:$I$9))</f>
        <v/>
      </c>
      <c r="CA34" s="188" t="str">
        <f>IF(ISERROR(getgrade(Broadsheet!BB34,data!$H$4:$I$9)),"#",getgrade(Broadsheet!BB34,data!$H$4:$I$9))</f>
        <v/>
      </c>
      <c r="CB34" s="188" t="str">
        <f>IF(ISERROR(getgrade(Broadsheet!BC34,data!$H$4:$I$9)),"#",getgrade(Broadsheet!BC34,data!$H$4:$I$9))</f>
        <v/>
      </c>
      <c r="CC34" s="188" t="str">
        <f>IF(ISERROR(getgrade(Broadsheet!BD34,data!$H$4:$I$9)),"#",getgrade(Broadsheet!BD34,data!$H$4:$I$9))</f>
        <v/>
      </c>
      <c r="CD34" s="188" t="str">
        <f>IF(ISERROR(getgrade(Broadsheet!BE34,data!$H$4:$I$9)),"#",getgrade(Broadsheet!BE34,data!$H$4:$I$9))</f>
        <v/>
      </c>
      <c r="CE34" s="188" t="str">
        <f>IF(ISERROR(getgrade(Broadsheet!BF34,data!$H$4:$I$9)),"#",getgrade(Broadsheet!BF34,data!$H$4:$I$9))</f>
        <v/>
      </c>
      <c r="CF34" s="188" t="str">
        <f>IF(ISERROR(getgrade(Broadsheet!BG34,data!$H$4:$I$9)),"#",getgrade(Broadsheet!BG34,data!$H$4:$I$9))</f>
        <v/>
      </c>
      <c r="CG34" s="188" t="str">
        <f>IF(ISERROR(getgrade(Broadsheet!BH34,data!$H$4:$I$9)),"#",getgrade(Broadsheet!BH34,data!$H$4:$I$9))</f>
        <v/>
      </c>
      <c r="CH34" s="188" t="str">
        <f>IF(ISERROR(getgrade(Broadsheet!BI34,data!$H$4:$I$9)),"#",getgrade(Broadsheet!BI34,data!$H$4:$I$9))</f>
        <v/>
      </c>
      <c r="CI34" s="188" t="str">
        <f>IF(ISERROR(getgrade(Broadsheet!BJ34,data!$H$4:$I$9)),"#",getgrade(Broadsheet!BJ34,data!$H$4:$I$9))</f>
        <v/>
      </c>
      <c r="CJ34" s="188"/>
      <c r="CK34" s="188"/>
      <c r="CL34" s="188"/>
      <c r="CM34" s="188"/>
      <c r="CN34" s="188"/>
      <c r="CO34" s="188"/>
      <c r="CP34" s="188"/>
      <c r="CQ34" s="188"/>
      <c r="CR34" s="188"/>
      <c r="CS34" s="188"/>
      <c r="CT34" s="188"/>
      <c r="CU34" s="188"/>
      <c r="CV34" s="188"/>
      <c r="CW34" s="188"/>
      <c r="CX34" s="188"/>
      <c r="CY34" s="188"/>
      <c r="CZ34" s="188"/>
      <c r="DA34" s="188"/>
      <c r="DB34" s="188"/>
      <c r="DC34" s="188"/>
      <c r="DD34" s="188"/>
      <c r="DE34" s="188"/>
      <c r="DF34" s="188"/>
      <c r="DG34" s="188"/>
      <c r="DH34" s="188"/>
      <c r="DI34" s="188"/>
      <c r="DJ34" s="188"/>
      <c r="DK34" s="188"/>
      <c r="DL34" s="188"/>
      <c r="DM34" s="188"/>
      <c r="DN34" s="188"/>
      <c r="DO34" s="188"/>
      <c r="DP34" s="188"/>
      <c r="DQ34" s="188"/>
      <c r="DR34" s="188"/>
      <c r="DS34" s="188"/>
      <c r="DT34" s="188"/>
      <c r="DU34" s="188"/>
      <c r="DV34" s="188"/>
      <c r="DW34" s="188"/>
      <c r="DX34" s="188"/>
      <c r="DY34" s="188"/>
      <c r="DZ34" s="188"/>
      <c r="EA34" s="188"/>
      <c r="EB34" s="188"/>
      <c r="EC34" s="188"/>
      <c r="ED34" s="188"/>
      <c r="EE34" s="188"/>
      <c r="EF34" s="188"/>
      <c r="EG34" s="188"/>
      <c r="EH34" s="188"/>
      <c r="EI34" s="188"/>
      <c r="EJ34" s="188"/>
      <c r="EK34" s="188"/>
      <c r="EL34" s="188"/>
      <c r="EM34" s="188"/>
      <c r="EN34" s="188"/>
      <c r="EO34" s="188"/>
      <c r="EP34" s="188"/>
      <c r="EQ34" s="188"/>
      <c r="ER34" s="188"/>
      <c r="ES34" s="188"/>
      <c r="ET34" s="188"/>
      <c r="EU34" s="188"/>
      <c r="EV34" s="188"/>
      <c r="EW34" s="188"/>
      <c r="EX34" s="188"/>
      <c r="EY34" s="188"/>
      <c r="EZ34" s="188"/>
    </row>
    <row r="35" spans="1:156" ht="15.75" x14ac:dyDescent="0.25">
      <c r="A35" s="12">
        <v>26</v>
      </c>
      <c r="B35" s="16"/>
      <c r="C35" s="24"/>
      <c r="D35" s="110"/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07"/>
      <c r="Y35" s="110"/>
      <c r="Z35" s="19"/>
      <c r="AA35" s="25"/>
      <c r="AB35" s="21"/>
      <c r="AC35" s="25"/>
      <c r="AD35" s="25"/>
      <c r="AE35" s="20"/>
      <c r="AG35" s="188" t="str">
        <f>IF(ISERROR(getgrade(Broadsheet!H35,data!$H$4:$I$9)),"#",getgrade(Broadsheet!H35,data!$H$4:$I$9))</f>
        <v/>
      </c>
      <c r="AH35" s="188" t="str">
        <f>IF(ISERROR(getgrade(Broadsheet!I35,data!$H$4:$I$9)),"#",getgrade(Broadsheet!I35,data!$H$4:$I$9))</f>
        <v/>
      </c>
      <c r="AI35" s="188" t="str">
        <f>IF(ISERROR(getgrade(Broadsheet!J35,data!$H$4:$I$9)),"#",getgrade(Broadsheet!J35,data!$H$4:$I$9))</f>
        <v/>
      </c>
      <c r="AJ35" s="188" t="str">
        <f>IF(ISERROR(getgrade(Broadsheet!K35,data!$H$4:$I$9)),"#",getgrade(Broadsheet!K35,data!$H$4:$I$9))</f>
        <v/>
      </c>
      <c r="AK35" s="188" t="str">
        <f>IF(ISERROR(getgrade(Broadsheet!L35,data!$H$4:$I$9)),"#",getgrade(Broadsheet!L35,data!$H$4:$I$9))</f>
        <v/>
      </c>
      <c r="AL35" s="188" t="str">
        <f>IF(ISERROR(getgrade(Broadsheet!M35,data!$H$4:$I$9)),"#",getgrade(Broadsheet!M35,data!$H$4:$I$9))</f>
        <v/>
      </c>
      <c r="AM35" s="188" t="str">
        <f>IF(ISERROR(getgrade(Broadsheet!N35,data!$H$4:$I$9)),"#",getgrade(Broadsheet!N35,data!$H$4:$I$9))</f>
        <v/>
      </c>
      <c r="AN35" s="188" t="str">
        <f>IF(ISERROR(getgrade(Broadsheet!O35,data!$H$4:$I$9)),"#",getgrade(Broadsheet!O35,data!$H$4:$I$9))</f>
        <v/>
      </c>
      <c r="AO35" s="188" t="str">
        <f>IF(ISERROR(getgrade(Broadsheet!P35,data!$H$4:$I$9)),"#",getgrade(Broadsheet!P35,data!$H$4:$I$9))</f>
        <v/>
      </c>
      <c r="AP35" s="188" t="str">
        <f>IF(ISERROR(getgrade(Broadsheet!Q35,data!$H$4:$I$9)),"#",getgrade(Broadsheet!Q35,data!$H$4:$I$9))</f>
        <v/>
      </c>
      <c r="AQ35" s="188" t="str">
        <f>IF(ISERROR(getgrade(Broadsheet!R35,data!$H$4:$I$9)),"#",getgrade(Broadsheet!R35,data!$H$4:$I$9))</f>
        <v/>
      </c>
      <c r="AR35" s="188" t="str">
        <f>IF(ISERROR(getgrade(Broadsheet!S35,data!$H$4:$I$9)),"#",getgrade(Broadsheet!S35,data!$H$4:$I$9))</f>
        <v/>
      </c>
      <c r="AS35" s="188" t="str">
        <f>IF(ISERROR(getgrade(Broadsheet!T35,data!$H$4:$I$9)),"#",getgrade(Broadsheet!T35,data!$H$4:$I$9))</f>
        <v/>
      </c>
      <c r="AT35" s="188" t="str">
        <f>IF(ISERROR(getgrade(Broadsheet!U35,data!$H$4:$I$9)),"#",getgrade(Broadsheet!U35,data!$H$4:$I$9))</f>
        <v/>
      </c>
      <c r="AU35" s="188" t="str">
        <f>IF(ISERROR(getgrade(Broadsheet!V35,data!$H$4:$I$9)),"#",getgrade(Broadsheet!V35,data!$H$4:$I$9))</f>
        <v/>
      </c>
      <c r="AV35" s="188" t="str">
        <f>IF(ISERROR(getgrade(Broadsheet!W35,data!$H$4:$I$9)),"#",getgrade(Broadsheet!W35,data!$H$4:$I$9))</f>
        <v/>
      </c>
      <c r="AW35" s="188" t="str">
        <f>IF(ISERROR(getgrade(Broadsheet!X35,data!$H$4:$I$9)),"#",getgrade(Broadsheet!X35,data!$H$4:$I$9))</f>
        <v/>
      </c>
      <c r="AX35" s="188" t="str">
        <f>IF(ISERROR(getgrade(Broadsheet!Y35,data!$H$4:$I$9)),"#",getgrade(Broadsheet!Y35,data!$H$4:$I$9))</f>
        <v/>
      </c>
      <c r="AY35" s="188" t="str">
        <f>IF(ISERROR(getgrade(Broadsheet!Z35,data!$H$4:$I$9)),"#",getgrade(Broadsheet!Z35,data!$H$4:$I$9))</f>
        <v/>
      </c>
      <c r="AZ35" s="188" t="str">
        <f>IF(ISERROR(getgrade(Broadsheet!AA35,data!$H$4:$I$9)),"#",getgrade(Broadsheet!AA35,data!$H$4:$I$9))</f>
        <v/>
      </c>
      <c r="BA35" s="188" t="str">
        <f>IF(ISERROR(getgrade(Broadsheet!AB35,data!$H$4:$I$9)),"#",getgrade(Broadsheet!AB35,data!$H$4:$I$9))</f>
        <v/>
      </c>
      <c r="BB35" s="188" t="str">
        <f>IF(ISERROR(getgrade(Broadsheet!AC35,data!$H$4:$I$9)),"#",getgrade(Broadsheet!AC35,data!$H$4:$I$9))</f>
        <v/>
      </c>
      <c r="BC35" s="188" t="str">
        <f>IF(ISERROR(getgrade(Broadsheet!AD35,data!$H$4:$I$9)),"#",getgrade(Broadsheet!AD35,data!$H$4:$I$9))</f>
        <v/>
      </c>
      <c r="BD35" s="188" t="str">
        <f>IF(ISERROR(getgrade(Broadsheet!AE35,data!$H$4:$I$9)),"#",getgrade(Broadsheet!AE35,data!$H$4:$I$9))</f>
        <v/>
      </c>
      <c r="BE35" s="188" t="str">
        <f>IF(ISERROR(getgrade(Broadsheet!AF35,data!$H$4:$I$9)),"#",getgrade(Broadsheet!AF35,data!$H$4:$I$9))</f>
        <v/>
      </c>
      <c r="BF35" s="188" t="str">
        <f>IF(ISERROR(getgrade(Broadsheet!AG35,data!$H$4:$I$9)),"#",getgrade(Broadsheet!AG35,data!$H$4:$I$9))</f>
        <v/>
      </c>
      <c r="BG35" s="188" t="str">
        <f>IF(ISERROR(getgrade(Broadsheet!AH35,data!$H$4:$I$9)),"#",getgrade(Broadsheet!AH35,data!$H$4:$I$9))</f>
        <v/>
      </c>
      <c r="BH35" s="188" t="str">
        <f>IF(ISERROR(getgrade(Broadsheet!AI35,data!$H$4:$I$9)),"#",getgrade(Broadsheet!AI35,data!$H$4:$I$9))</f>
        <v/>
      </c>
      <c r="BI35" s="188" t="str">
        <f>IF(ISERROR(getgrade(Broadsheet!AJ35,data!$H$4:$I$9)),"#",getgrade(Broadsheet!AJ35,data!$H$4:$I$9))</f>
        <v/>
      </c>
      <c r="BJ35" s="188" t="str">
        <f>IF(ISERROR(getgrade(Broadsheet!AK35,data!$H$4:$I$9)),"#",getgrade(Broadsheet!AK35,data!$H$4:$I$9))</f>
        <v/>
      </c>
      <c r="BK35" s="188" t="str">
        <f>IF(ISERROR(getgrade(Broadsheet!AL35,data!$H$4:$I$9)),"#",getgrade(Broadsheet!AL35,data!$H$4:$I$9))</f>
        <v/>
      </c>
      <c r="BL35" s="188" t="str">
        <f>IF(ISERROR(getgrade(Broadsheet!AM35,data!$H$4:$I$9)),"#",getgrade(Broadsheet!AM35,data!$H$4:$I$9))</f>
        <v/>
      </c>
      <c r="BM35" s="188" t="str">
        <f>IF(ISERROR(getgrade(Broadsheet!AN35,data!$H$4:$I$9)),"#",getgrade(Broadsheet!AN35,data!$H$4:$I$9))</f>
        <v/>
      </c>
      <c r="BN35" s="188" t="str">
        <f>IF(ISERROR(getgrade(Broadsheet!AO35,data!$H$4:$I$9)),"#",getgrade(Broadsheet!AO35,data!$H$4:$I$9))</f>
        <v/>
      </c>
      <c r="BO35" s="188" t="str">
        <f>IF(ISERROR(getgrade(Broadsheet!AP35,data!$H$4:$I$9)),"#",getgrade(Broadsheet!AP35,data!$H$4:$I$9))</f>
        <v/>
      </c>
      <c r="BP35" s="188" t="str">
        <f>IF(ISERROR(getgrade(Broadsheet!AQ35,data!$H$4:$I$9)),"#",getgrade(Broadsheet!AQ35,data!$H$4:$I$9))</f>
        <v/>
      </c>
      <c r="BQ35" s="188" t="str">
        <f>IF(ISERROR(getgrade(Broadsheet!AR35,data!$H$4:$I$9)),"#",getgrade(Broadsheet!AR35,data!$H$4:$I$9))</f>
        <v/>
      </c>
      <c r="BR35" s="188" t="str">
        <f>IF(ISERROR(getgrade(Broadsheet!AS35,data!$H$4:$I$9)),"#",getgrade(Broadsheet!AS35,data!$H$4:$I$9))</f>
        <v/>
      </c>
      <c r="BS35" s="188" t="str">
        <f>IF(ISERROR(getgrade(Broadsheet!AT35,data!$H$4:$I$9)),"#",getgrade(Broadsheet!AT35,data!$H$4:$I$9))</f>
        <v/>
      </c>
      <c r="BT35" s="188" t="str">
        <f>IF(ISERROR(getgrade(Broadsheet!AU35,data!$H$4:$I$9)),"#",getgrade(Broadsheet!AU35,data!$H$4:$I$9))</f>
        <v/>
      </c>
      <c r="BU35" s="188" t="str">
        <f>IF(ISERROR(getgrade(Broadsheet!AV35,data!$H$4:$I$9)),"#",getgrade(Broadsheet!AV35,data!$H$4:$I$9))</f>
        <v/>
      </c>
      <c r="BV35" s="188" t="str">
        <f>IF(ISERROR(getgrade(Broadsheet!AW35,data!$H$4:$I$9)),"#",getgrade(Broadsheet!AW35,data!$H$4:$I$9))</f>
        <v/>
      </c>
      <c r="BW35" s="188" t="str">
        <f>IF(ISERROR(getgrade(Broadsheet!AX35,data!$H$4:$I$9)),"#",getgrade(Broadsheet!AX35,data!$H$4:$I$9))</f>
        <v/>
      </c>
      <c r="BX35" s="188" t="str">
        <f>IF(ISERROR(getgrade(Broadsheet!AY35,data!$H$4:$I$9)),"#",getgrade(Broadsheet!AY35,data!$H$4:$I$9))</f>
        <v/>
      </c>
      <c r="BY35" s="188" t="str">
        <f>IF(ISERROR(getgrade(Broadsheet!AZ35,data!$H$4:$I$9)),"#",getgrade(Broadsheet!AZ35,data!$H$4:$I$9))</f>
        <v/>
      </c>
      <c r="BZ35" s="188" t="str">
        <f>IF(ISERROR(getgrade(Broadsheet!BA35,data!$H$4:$I$9)),"#",getgrade(Broadsheet!BA35,data!$H$4:$I$9))</f>
        <v/>
      </c>
      <c r="CA35" s="188" t="str">
        <f>IF(ISERROR(getgrade(Broadsheet!BB35,data!$H$4:$I$9)),"#",getgrade(Broadsheet!BB35,data!$H$4:$I$9))</f>
        <v/>
      </c>
      <c r="CB35" s="188" t="str">
        <f>IF(ISERROR(getgrade(Broadsheet!BC35,data!$H$4:$I$9)),"#",getgrade(Broadsheet!BC35,data!$H$4:$I$9))</f>
        <v/>
      </c>
      <c r="CC35" s="188" t="str">
        <f>IF(ISERROR(getgrade(Broadsheet!BD35,data!$H$4:$I$9)),"#",getgrade(Broadsheet!BD35,data!$H$4:$I$9))</f>
        <v/>
      </c>
      <c r="CD35" s="188" t="str">
        <f>IF(ISERROR(getgrade(Broadsheet!BE35,data!$H$4:$I$9)),"#",getgrade(Broadsheet!BE35,data!$H$4:$I$9))</f>
        <v/>
      </c>
      <c r="CE35" s="188" t="str">
        <f>IF(ISERROR(getgrade(Broadsheet!BF35,data!$H$4:$I$9)),"#",getgrade(Broadsheet!BF35,data!$H$4:$I$9))</f>
        <v/>
      </c>
      <c r="CF35" s="188" t="str">
        <f>IF(ISERROR(getgrade(Broadsheet!BG35,data!$H$4:$I$9)),"#",getgrade(Broadsheet!BG35,data!$H$4:$I$9))</f>
        <v/>
      </c>
      <c r="CG35" s="188" t="str">
        <f>IF(ISERROR(getgrade(Broadsheet!BH35,data!$H$4:$I$9)),"#",getgrade(Broadsheet!BH35,data!$H$4:$I$9))</f>
        <v/>
      </c>
      <c r="CH35" s="188" t="str">
        <f>IF(ISERROR(getgrade(Broadsheet!BI35,data!$H$4:$I$9)),"#",getgrade(Broadsheet!BI35,data!$H$4:$I$9))</f>
        <v/>
      </c>
      <c r="CI35" s="188" t="str">
        <f>IF(ISERROR(getgrade(Broadsheet!BJ35,data!$H$4:$I$9)),"#",getgrade(Broadsheet!BJ35,data!$H$4:$I$9))</f>
        <v/>
      </c>
      <c r="CJ35" s="188"/>
      <c r="CK35" s="188"/>
      <c r="CL35" s="188"/>
      <c r="CM35" s="188"/>
      <c r="CN35" s="188"/>
      <c r="CO35" s="188"/>
      <c r="CP35" s="188"/>
      <c r="CQ35" s="188"/>
      <c r="CR35" s="188"/>
      <c r="CS35" s="188"/>
      <c r="CT35" s="188"/>
      <c r="CU35" s="188"/>
      <c r="CV35" s="188"/>
      <c r="CW35" s="188"/>
      <c r="CX35" s="188"/>
      <c r="CY35" s="188"/>
      <c r="CZ35" s="188"/>
      <c r="DA35" s="188"/>
      <c r="DB35" s="188"/>
      <c r="DC35" s="188"/>
      <c r="DD35" s="188"/>
      <c r="DE35" s="188"/>
      <c r="DF35" s="188"/>
      <c r="DG35" s="188"/>
      <c r="DH35" s="188"/>
      <c r="DI35" s="188"/>
      <c r="DJ35" s="188"/>
      <c r="DK35" s="188"/>
      <c r="DL35" s="188"/>
      <c r="DM35" s="188"/>
      <c r="DN35" s="188"/>
      <c r="DO35" s="188"/>
      <c r="DP35" s="188"/>
      <c r="DQ35" s="188"/>
      <c r="DR35" s="188"/>
      <c r="DS35" s="188"/>
      <c r="DT35" s="188"/>
      <c r="DU35" s="188"/>
      <c r="DV35" s="188"/>
      <c r="DW35" s="188"/>
      <c r="DX35" s="188"/>
      <c r="DY35" s="188"/>
      <c r="DZ35" s="188"/>
      <c r="EA35" s="188"/>
      <c r="EB35" s="188"/>
      <c r="EC35" s="188"/>
      <c r="ED35" s="188"/>
      <c r="EE35" s="188"/>
      <c r="EF35" s="188"/>
      <c r="EG35" s="188"/>
      <c r="EH35" s="188"/>
      <c r="EI35" s="188"/>
      <c r="EJ35" s="188"/>
      <c r="EK35" s="188"/>
      <c r="EL35" s="188"/>
      <c r="EM35" s="188"/>
      <c r="EN35" s="188"/>
      <c r="EO35" s="188"/>
      <c r="EP35" s="188"/>
      <c r="EQ35" s="188"/>
      <c r="ER35" s="188"/>
      <c r="ES35" s="188"/>
      <c r="ET35" s="188"/>
      <c r="EU35" s="188"/>
      <c r="EV35" s="188"/>
      <c r="EW35" s="188"/>
      <c r="EX35" s="188"/>
      <c r="EY35" s="188"/>
      <c r="EZ35" s="188"/>
    </row>
    <row r="36" spans="1:156" ht="15.75" x14ac:dyDescent="0.25">
      <c r="A36" s="12">
        <v>27</v>
      </c>
      <c r="B36" s="16"/>
      <c r="C36" s="24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07"/>
      <c r="Y36" s="110"/>
      <c r="Z36" s="19"/>
      <c r="AA36" s="25"/>
      <c r="AB36" s="21"/>
      <c r="AC36" s="25"/>
      <c r="AD36" s="25"/>
      <c r="AE36" s="20"/>
      <c r="AG36" s="188" t="str">
        <f>IF(ISERROR(getgrade(Broadsheet!H36,data!$H$4:$I$9)),"#",getgrade(Broadsheet!H36,data!$H$4:$I$9))</f>
        <v/>
      </c>
      <c r="AH36" s="188" t="str">
        <f>IF(ISERROR(getgrade(Broadsheet!I36,data!$H$4:$I$9)),"#",getgrade(Broadsheet!I36,data!$H$4:$I$9))</f>
        <v/>
      </c>
      <c r="AI36" s="188" t="str">
        <f>IF(ISERROR(getgrade(Broadsheet!J36,data!$H$4:$I$9)),"#",getgrade(Broadsheet!J36,data!$H$4:$I$9))</f>
        <v/>
      </c>
      <c r="AJ36" s="188" t="str">
        <f>IF(ISERROR(getgrade(Broadsheet!K36,data!$H$4:$I$9)),"#",getgrade(Broadsheet!K36,data!$H$4:$I$9))</f>
        <v/>
      </c>
      <c r="AK36" s="188" t="str">
        <f>IF(ISERROR(getgrade(Broadsheet!L36,data!$H$4:$I$9)),"#",getgrade(Broadsheet!L36,data!$H$4:$I$9))</f>
        <v/>
      </c>
      <c r="AL36" s="188" t="str">
        <f>IF(ISERROR(getgrade(Broadsheet!M36,data!$H$4:$I$9)),"#",getgrade(Broadsheet!M36,data!$H$4:$I$9))</f>
        <v/>
      </c>
      <c r="AM36" s="188" t="str">
        <f>IF(ISERROR(getgrade(Broadsheet!N36,data!$H$4:$I$9)),"#",getgrade(Broadsheet!N36,data!$H$4:$I$9))</f>
        <v/>
      </c>
      <c r="AN36" s="188" t="str">
        <f>IF(ISERROR(getgrade(Broadsheet!O36,data!$H$4:$I$9)),"#",getgrade(Broadsheet!O36,data!$H$4:$I$9))</f>
        <v/>
      </c>
      <c r="AO36" s="188" t="str">
        <f>IF(ISERROR(getgrade(Broadsheet!P36,data!$H$4:$I$9)),"#",getgrade(Broadsheet!P36,data!$H$4:$I$9))</f>
        <v/>
      </c>
      <c r="AP36" s="188" t="str">
        <f>IF(ISERROR(getgrade(Broadsheet!Q36,data!$H$4:$I$9)),"#",getgrade(Broadsheet!Q36,data!$H$4:$I$9))</f>
        <v/>
      </c>
      <c r="AQ36" s="188" t="str">
        <f>IF(ISERROR(getgrade(Broadsheet!R36,data!$H$4:$I$9)),"#",getgrade(Broadsheet!R36,data!$H$4:$I$9))</f>
        <v/>
      </c>
      <c r="AR36" s="188" t="str">
        <f>IF(ISERROR(getgrade(Broadsheet!S36,data!$H$4:$I$9)),"#",getgrade(Broadsheet!S36,data!$H$4:$I$9))</f>
        <v/>
      </c>
      <c r="AS36" s="188" t="str">
        <f>IF(ISERROR(getgrade(Broadsheet!T36,data!$H$4:$I$9)),"#",getgrade(Broadsheet!T36,data!$H$4:$I$9))</f>
        <v/>
      </c>
      <c r="AT36" s="188" t="str">
        <f>IF(ISERROR(getgrade(Broadsheet!U36,data!$H$4:$I$9)),"#",getgrade(Broadsheet!U36,data!$H$4:$I$9))</f>
        <v/>
      </c>
      <c r="AU36" s="188" t="str">
        <f>IF(ISERROR(getgrade(Broadsheet!V36,data!$H$4:$I$9)),"#",getgrade(Broadsheet!V36,data!$H$4:$I$9))</f>
        <v/>
      </c>
      <c r="AV36" s="188" t="str">
        <f>IF(ISERROR(getgrade(Broadsheet!W36,data!$H$4:$I$9)),"#",getgrade(Broadsheet!W36,data!$H$4:$I$9))</f>
        <v/>
      </c>
      <c r="AW36" s="188" t="str">
        <f>IF(ISERROR(getgrade(Broadsheet!X36,data!$H$4:$I$9)),"#",getgrade(Broadsheet!X36,data!$H$4:$I$9))</f>
        <v/>
      </c>
      <c r="AX36" s="188" t="str">
        <f>IF(ISERROR(getgrade(Broadsheet!Y36,data!$H$4:$I$9)),"#",getgrade(Broadsheet!Y36,data!$H$4:$I$9))</f>
        <v/>
      </c>
      <c r="AY36" s="188" t="str">
        <f>IF(ISERROR(getgrade(Broadsheet!Z36,data!$H$4:$I$9)),"#",getgrade(Broadsheet!Z36,data!$H$4:$I$9))</f>
        <v/>
      </c>
      <c r="AZ36" s="188" t="str">
        <f>IF(ISERROR(getgrade(Broadsheet!AA36,data!$H$4:$I$9)),"#",getgrade(Broadsheet!AA36,data!$H$4:$I$9))</f>
        <v/>
      </c>
      <c r="BA36" s="188" t="str">
        <f>IF(ISERROR(getgrade(Broadsheet!AB36,data!$H$4:$I$9)),"#",getgrade(Broadsheet!AB36,data!$H$4:$I$9))</f>
        <v/>
      </c>
      <c r="BB36" s="188" t="str">
        <f>IF(ISERROR(getgrade(Broadsheet!AC36,data!$H$4:$I$9)),"#",getgrade(Broadsheet!AC36,data!$H$4:$I$9))</f>
        <v/>
      </c>
      <c r="BC36" s="188" t="str">
        <f>IF(ISERROR(getgrade(Broadsheet!AD36,data!$H$4:$I$9)),"#",getgrade(Broadsheet!AD36,data!$H$4:$I$9))</f>
        <v/>
      </c>
      <c r="BD36" s="188" t="str">
        <f>IF(ISERROR(getgrade(Broadsheet!AE36,data!$H$4:$I$9)),"#",getgrade(Broadsheet!AE36,data!$H$4:$I$9))</f>
        <v/>
      </c>
      <c r="BE36" s="188" t="str">
        <f>IF(ISERROR(getgrade(Broadsheet!AF36,data!$H$4:$I$9)),"#",getgrade(Broadsheet!AF36,data!$H$4:$I$9))</f>
        <v/>
      </c>
      <c r="BF36" s="188" t="str">
        <f>IF(ISERROR(getgrade(Broadsheet!AG36,data!$H$4:$I$9)),"#",getgrade(Broadsheet!AG36,data!$H$4:$I$9))</f>
        <v/>
      </c>
      <c r="BG36" s="188" t="str">
        <f>IF(ISERROR(getgrade(Broadsheet!AH36,data!$H$4:$I$9)),"#",getgrade(Broadsheet!AH36,data!$H$4:$I$9))</f>
        <v/>
      </c>
      <c r="BH36" s="188" t="str">
        <f>IF(ISERROR(getgrade(Broadsheet!AI36,data!$H$4:$I$9)),"#",getgrade(Broadsheet!AI36,data!$H$4:$I$9))</f>
        <v/>
      </c>
      <c r="BI36" s="188" t="str">
        <f>IF(ISERROR(getgrade(Broadsheet!AJ36,data!$H$4:$I$9)),"#",getgrade(Broadsheet!AJ36,data!$H$4:$I$9))</f>
        <v/>
      </c>
      <c r="BJ36" s="188" t="str">
        <f>IF(ISERROR(getgrade(Broadsheet!AK36,data!$H$4:$I$9)),"#",getgrade(Broadsheet!AK36,data!$H$4:$I$9))</f>
        <v/>
      </c>
      <c r="BK36" s="188" t="str">
        <f>IF(ISERROR(getgrade(Broadsheet!AL36,data!$H$4:$I$9)),"#",getgrade(Broadsheet!AL36,data!$H$4:$I$9))</f>
        <v/>
      </c>
      <c r="BL36" s="188" t="str">
        <f>IF(ISERROR(getgrade(Broadsheet!AM36,data!$H$4:$I$9)),"#",getgrade(Broadsheet!AM36,data!$H$4:$I$9))</f>
        <v/>
      </c>
      <c r="BM36" s="188" t="str">
        <f>IF(ISERROR(getgrade(Broadsheet!AN36,data!$H$4:$I$9)),"#",getgrade(Broadsheet!AN36,data!$H$4:$I$9))</f>
        <v/>
      </c>
      <c r="BN36" s="188" t="str">
        <f>IF(ISERROR(getgrade(Broadsheet!AO36,data!$H$4:$I$9)),"#",getgrade(Broadsheet!AO36,data!$H$4:$I$9))</f>
        <v/>
      </c>
      <c r="BO36" s="188" t="str">
        <f>IF(ISERROR(getgrade(Broadsheet!AP36,data!$H$4:$I$9)),"#",getgrade(Broadsheet!AP36,data!$H$4:$I$9))</f>
        <v/>
      </c>
      <c r="BP36" s="188" t="str">
        <f>IF(ISERROR(getgrade(Broadsheet!AQ36,data!$H$4:$I$9)),"#",getgrade(Broadsheet!AQ36,data!$H$4:$I$9))</f>
        <v/>
      </c>
      <c r="BQ36" s="188" t="str">
        <f>IF(ISERROR(getgrade(Broadsheet!AR36,data!$H$4:$I$9)),"#",getgrade(Broadsheet!AR36,data!$H$4:$I$9))</f>
        <v/>
      </c>
      <c r="BR36" s="188" t="str">
        <f>IF(ISERROR(getgrade(Broadsheet!AS36,data!$H$4:$I$9)),"#",getgrade(Broadsheet!AS36,data!$H$4:$I$9))</f>
        <v/>
      </c>
      <c r="BS36" s="188" t="str">
        <f>IF(ISERROR(getgrade(Broadsheet!AT36,data!$H$4:$I$9)),"#",getgrade(Broadsheet!AT36,data!$H$4:$I$9))</f>
        <v/>
      </c>
      <c r="BT36" s="188" t="str">
        <f>IF(ISERROR(getgrade(Broadsheet!AU36,data!$H$4:$I$9)),"#",getgrade(Broadsheet!AU36,data!$H$4:$I$9))</f>
        <v/>
      </c>
      <c r="BU36" s="188" t="str">
        <f>IF(ISERROR(getgrade(Broadsheet!AV36,data!$H$4:$I$9)),"#",getgrade(Broadsheet!AV36,data!$H$4:$I$9))</f>
        <v/>
      </c>
      <c r="BV36" s="188" t="str">
        <f>IF(ISERROR(getgrade(Broadsheet!AW36,data!$H$4:$I$9)),"#",getgrade(Broadsheet!AW36,data!$H$4:$I$9))</f>
        <v/>
      </c>
      <c r="BW36" s="188" t="str">
        <f>IF(ISERROR(getgrade(Broadsheet!AX36,data!$H$4:$I$9)),"#",getgrade(Broadsheet!AX36,data!$H$4:$I$9))</f>
        <v/>
      </c>
      <c r="BX36" s="188" t="str">
        <f>IF(ISERROR(getgrade(Broadsheet!AY36,data!$H$4:$I$9)),"#",getgrade(Broadsheet!AY36,data!$H$4:$I$9))</f>
        <v/>
      </c>
      <c r="BY36" s="188" t="str">
        <f>IF(ISERROR(getgrade(Broadsheet!AZ36,data!$H$4:$I$9)),"#",getgrade(Broadsheet!AZ36,data!$H$4:$I$9))</f>
        <v/>
      </c>
      <c r="BZ36" s="188" t="str">
        <f>IF(ISERROR(getgrade(Broadsheet!BA36,data!$H$4:$I$9)),"#",getgrade(Broadsheet!BA36,data!$H$4:$I$9))</f>
        <v/>
      </c>
      <c r="CA36" s="188" t="str">
        <f>IF(ISERROR(getgrade(Broadsheet!BB36,data!$H$4:$I$9)),"#",getgrade(Broadsheet!BB36,data!$H$4:$I$9))</f>
        <v/>
      </c>
      <c r="CB36" s="188" t="str">
        <f>IF(ISERROR(getgrade(Broadsheet!BC36,data!$H$4:$I$9)),"#",getgrade(Broadsheet!BC36,data!$H$4:$I$9))</f>
        <v/>
      </c>
      <c r="CC36" s="188" t="str">
        <f>IF(ISERROR(getgrade(Broadsheet!BD36,data!$H$4:$I$9)),"#",getgrade(Broadsheet!BD36,data!$H$4:$I$9))</f>
        <v/>
      </c>
      <c r="CD36" s="188" t="str">
        <f>IF(ISERROR(getgrade(Broadsheet!BE36,data!$H$4:$I$9)),"#",getgrade(Broadsheet!BE36,data!$H$4:$I$9))</f>
        <v/>
      </c>
      <c r="CE36" s="188" t="str">
        <f>IF(ISERROR(getgrade(Broadsheet!BF36,data!$H$4:$I$9)),"#",getgrade(Broadsheet!BF36,data!$H$4:$I$9))</f>
        <v/>
      </c>
      <c r="CF36" s="188" t="str">
        <f>IF(ISERROR(getgrade(Broadsheet!BG36,data!$H$4:$I$9)),"#",getgrade(Broadsheet!BG36,data!$H$4:$I$9))</f>
        <v/>
      </c>
      <c r="CG36" s="188" t="str">
        <f>IF(ISERROR(getgrade(Broadsheet!BH36,data!$H$4:$I$9)),"#",getgrade(Broadsheet!BH36,data!$H$4:$I$9))</f>
        <v/>
      </c>
      <c r="CH36" s="188" t="str">
        <f>IF(ISERROR(getgrade(Broadsheet!BI36,data!$H$4:$I$9)),"#",getgrade(Broadsheet!BI36,data!$H$4:$I$9))</f>
        <v/>
      </c>
      <c r="CI36" s="188" t="str">
        <f>IF(ISERROR(getgrade(Broadsheet!BJ36,data!$H$4:$I$9)),"#",getgrade(Broadsheet!BJ36,data!$H$4:$I$9))</f>
        <v/>
      </c>
      <c r="CJ36" s="188"/>
      <c r="CK36" s="188"/>
      <c r="CL36" s="188"/>
      <c r="CM36" s="188"/>
      <c r="CN36" s="188"/>
      <c r="CO36" s="188"/>
      <c r="CP36" s="188"/>
      <c r="CQ36" s="188"/>
      <c r="CR36" s="188"/>
      <c r="CS36" s="188"/>
      <c r="CT36" s="188"/>
      <c r="CU36" s="188"/>
      <c r="CV36" s="188"/>
      <c r="CW36" s="188"/>
      <c r="CX36" s="188"/>
      <c r="CY36" s="188"/>
      <c r="CZ36" s="188"/>
      <c r="DA36" s="188"/>
      <c r="DB36" s="188"/>
      <c r="DC36" s="188"/>
      <c r="DD36" s="188"/>
      <c r="DE36" s="188"/>
      <c r="DF36" s="188"/>
      <c r="DG36" s="188"/>
      <c r="DH36" s="188"/>
      <c r="DI36" s="188"/>
      <c r="DJ36" s="188"/>
      <c r="DK36" s="188"/>
      <c r="DL36" s="188"/>
      <c r="DM36" s="188"/>
      <c r="DN36" s="188"/>
      <c r="DO36" s="188"/>
      <c r="DP36" s="188"/>
      <c r="DQ36" s="188"/>
      <c r="DR36" s="188"/>
      <c r="DS36" s="188"/>
      <c r="DT36" s="188"/>
      <c r="DU36" s="188"/>
      <c r="DV36" s="188"/>
      <c r="DW36" s="188"/>
      <c r="DX36" s="188"/>
      <c r="DY36" s="188"/>
      <c r="DZ36" s="188"/>
      <c r="EA36" s="188"/>
      <c r="EB36" s="188"/>
      <c r="EC36" s="188"/>
      <c r="ED36" s="188"/>
      <c r="EE36" s="188"/>
      <c r="EF36" s="188"/>
      <c r="EG36" s="188"/>
      <c r="EH36" s="188"/>
      <c r="EI36" s="188"/>
      <c r="EJ36" s="188"/>
      <c r="EK36" s="188"/>
      <c r="EL36" s="188"/>
      <c r="EM36" s="188"/>
      <c r="EN36" s="188"/>
      <c r="EO36" s="188"/>
      <c r="EP36" s="188"/>
      <c r="EQ36" s="188"/>
      <c r="ER36" s="188"/>
      <c r="ES36" s="188"/>
      <c r="ET36" s="188"/>
      <c r="EU36" s="188"/>
      <c r="EV36" s="188"/>
      <c r="EW36" s="188"/>
      <c r="EX36" s="188"/>
      <c r="EY36" s="188"/>
      <c r="EZ36" s="188"/>
    </row>
    <row r="37" spans="1:156" ht="15.75" x14ac:dyDescent="0.25">
      <c r="A37" s="12">
        <v>28</v>
      </c>
      <c r="B37" s="16"/>
      <c r="C37" s="24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07"/>
      <c r="Y37" s="110"/>
      <c r="Z37" s="19"/>
      <c r="AA37" s="25"/>
      <c r="AB37" s="21"/>
      <c r="AC37" s="25"/>
      <c r="AD37" s="25"/>
      <c r="AE37" s="20"/>
      <c r="AG37" s="188" t="str">
        <f>IF(ISERROR(getgrade(Broadsheet!H37,data!$H$4:$I$9)),"#",getgrade(Broadsheet!H37,data!$H$4:$I$9))</f>
        <v/>
      </c>
      <c r="AH37" s="188" t="str">
        <f>IF(ISERROR(getgrade(Broadsheet!I37,data!$H$4:$I$9)),"#",getgrade(Broadsheet!I37,data!$H$4:$I$9))</f>
        <v/>
      </c>
      <c r="AI37" s="188" t="str">
        <f>IF(ISERROR(getgrade(Broadsheet!J37,data!$H$4:$I$9)),"#",getgrade(Broadsheet!J37,data!$H$4:$I$9))</f>
        <v/>
      </c>
      <c r="AJ37" s="188" t="str">
        <f>IF(ISERROR(getgrade(Broadsheet!K37,data!$H$4:$I$9)),"#",getgrade(Broadsheet!K37,data!$H$4:$I$9))</f>
        <v/>
      </c>
      <c r="AK37" s="188" t="str">
        <f>IF(ISERROR(getgrade(Broadsheet!L37,data!$H$4:$I$9)),"#",getgrade(Broadsheet!L37,data!$H$4:$I$9))</f>
        <v/>
      </c>
      <c r="AL37" s="188" t="str">
        <f>IF(ISERROR(getgrade(Broadsheet!M37,data!$H$4:$I$9)),"#",getgrade(Broadsheet!M37,data!$H$4:$I$9))</f>
        <v/>
      </c>
      <c r="AM37" s="188" t="str">
        <f>IF(ISERROR(getgrade(Broadsheet!N37,data!$H$4:$I$9)),"#",getgrade(Broadsheet!N37,data!$H$4:$I$9))</f>
        <v/>
      </c>
      <c r="AN37" s="188" t="str">
        <f>IF(ISERROR(getgrade(Broadsheet!O37,data!$H$4:$I$9)),"#",getgrade(Broadsheet!O37,data!$H$4:$I$9))</f>
        <v/>
      </c>
      <c r="AO37" s="188" t="str">
        <f>IF(ISERROR(getgrade(Broadsheet!P37,data!$H$4:$I$9)),"#",getgrade(Broadsheet!P37,data!$H$4:$I$9))</f>
        <v/>
      </c>
      <c r="AP37" s="188" t="str">
        <f>IF(ISERROR(getgrade(Broadsheet!Q37,data!$H$4:$I$9)),"#",getgrade(Broadsheet!Q37,data!$H$4:$I$9))</f>
        <v/>
      </c>
      <c r="AQ37" s="188" t="str">
        <f>IF(ISERROR(getgrade(Broadsheet!R37,data!$H$4:$I$9)),"#",getgrade(Broadsheet!R37,data!$H$4:$I$9))</f>
        <v/>
      </c>
      <c r="AR37" s="188" t="str">
        <f>IF(ISERROR(getgrade(Broadsheet!S37,data!$H$4:$I$9)),"#",getgrade(Broadsheet!S37,data!$H$4:$I$9))</f>
        <v/>
      </c>
      <c r="AS37" s="188" t="str">
        <f>IF(ISERROR(getgrade(Broadsheet!T37,data!$H$4:$I$9)),"#",getgrade(Broadsheet!T37,data!$H$4:$I$9))</f>
        <v/>
      </c>
      <c r="AT37" s="188" t="str">
        <f>IF(ISERROR(getgrade(Broadsheet!U37,data!$H$4:$I$9)),"#",getgrade(Broadsheet!U37,data!$H$4:$I$9))</f>
        <v/>
      </c>
      <c r="AU37" s="188" t="str">
        <f>IF(ISERROR(getgrade(Broadsheet!V37,data!$H$4:$I$9)),"#",getgrade(Broadsheet!V37,data!$H$4:$I$9))</f>
        <v/>
      </c>
      <c r="AV37" s="188" t="str">
        <f>IF(ISERROR(getgrade(Broadsheet!W37,data!$H$4:$I$9)),"#",getgrade(Broadsheet!W37,data!$H$4:$I$9))</f>
        <v/>
      </c>
      <c r="AW37" s="188" t="str">
        <f>IF(ISERROR(getgrade(Broadsheet!X37,data!$H$4:$I$9)),"#",getgrade(Broadsheet!X37,data!$H$4:$I$9))</f>
        <v/>
      </c>
      <c r="AX37" s="188" t="str">
        <f>IF(ISERROR(getgrade(Broadsheet!Y37,data!$H$4:$I$9)),"#",getgrade(Broadsheet!Y37,data!$H$4:$I$9))</f>
        <v/>
      </c>
      <c r="AY37" s="188" t="str">
        <f>IF(ISERROR(getgrade(Broadsheet!Z37,data!$H$4:$I$9)),"#",getgrade(Broadsheet!Z37,data!$H$4:$I$9))</f>
        <v/>
      </c>
      <c r="AZ37" s="188" t="str">
        <f>IF(ISERROR(getgrade(Broadsheet!AA37,data!$H$4:$I$9)),"#",getgrade(Broadsheet!AA37,data!$H$4:$I$9))</f>
        <v/>
      </c>
      <c r="BA37" s="188" t="str">
        <f>IF(ISERROR(getgrade(Broadsheet!AB37,data!$H$4:$I$9)),"#",getgrade(Broadsheet!AB37,data!$H$4:$I$9))</f>
        <v/>
      </c>
      <c r="BB37" s="188" t="str">
        <f>IF(ISERROR(getgrade(Broadsheet!AC37,data!$H$4:$I$9)),"#",getgrade(Broadsheet!AC37,data!$H$4:$I$9))</f>
        <v/>
      </c>
      <c r="BC37" s="188" t="str">
        <f>IF(ISERROR(getgrade(Broadsheet!AD37,data!$H$4:$I$9)),"#",getgrade(Broadsheet!AD37,data!$H$4:$I$9))</f>
        <v/>
      </c>
      <c r="BD37" s="188" t="str">
        <f>IF(ISERROR(getgrade(Broadsheet!AE37,data!$H$4:$I$9)),"#",getgrade(Broadsheet!AE37,data!$H$4:$I$9))</f>
        <v/>
      </c>
      <c r="BE37" s="188" t="str">
        <f>IF(ISERROR(getgrade(Broadsheet!AF37,data!$H$4:$I$9)),"#",getgrade(Broadsheet!AF37,data!$H$4:$I$9))</f>
        <v/>
      </c>
      <c r="BF37" s="188" t="str">
        <f>IF(ISERROR(getgrade(Broadsheet!AG37,data!$H$4:$I$9)),"#",getgrade(Broadsheet!AG37,data!$H$4:$I$9))</f>
        <v/>
      </c>
      <c r="BG37" s="188" t="str">
        <f>IF(ISERROR(getgrade(Broadsheet!AH37,data!$H$4:$I$9)),"#",getgrade(Broadsheet!AH37,data!$H$4:$I$9))</f>
        <v/>
      </c>
      <c r="BH37" s="188" t="str">
        <f>IF(ISERROR(getgrade(Broadsheet!AI37,data!$H$4:$I$9)),"#",getgrade(Broadsheet!AI37,data!$H$4:$I$9))</f>
        <v/>
      </c>
      <c r="BI37" s="188" t="str">
        <f>IF(ISERROR(getgrade(Broadsheet!AJ37,data!$H$4:$I$9)),"#",getgrade(Broadsheet!AJ37,data!$H$4:$I$9))</f>
        <v/>
      </c>
      <c r="BJ37" s="188" t="str">
        <f>IF(ISERROR(getgrade(Broadsheet!AK37,data!$H$4:$I$9)),"#",getgrade(Broadsheet!AK37,data!$H$4:$I$9))</f>
        <v/>
      </c>
      <c r="BK37" s="188" t="str">
        <f>IF(ISERROR(getgrade(Broadsheet!AL37,data!$H$4:$I$9)),"#",getgrade(Broadsheet!AL37,data!$H$4:$I$9))</f>
        <v/>
      </c>
      <c r="BL37" s="188" t="str">
        <f>IF(ISERROR(getgrade(Broadsheet!AM37,data!$H$4:$I$9)),"#",getgrade(Broadsheet!AM37,data!$H$4:$I$9))</f>
        <v/>
      </c>
      <c r="BM37" s="188" t="str">
        <f>IF(ISERROR(getgrade(Broadsheet!AN37,data!$H$4:$I$9)),"#",getgrade(Broadsheet!AN37,data!$H$4:$I$9))</f>
        <v/>
      </c>
      <c r="BN37" s="188" t="str">
        <f>IF(ISERROR(getgrade(Broadsheet!AO37,data!$H$4:$I$9)),"#",getgrade(Broadsheet!AO37,data!$H$4:$I$9))</f>
        <v/>
      </c>
      <c r="BO37" s="188" t="str">
        <f>IF(ISERROR(getgrade(Broadsheet!AP37,data!$H$4:$I$9)),"#",getgrade(Broadsheet!AP37,data!$H$4:$I$9))</f>
        <v/>
      </c>
      <c r="BP37" s="188" t="str">
        <f>IF(ISERROR(getgrade(Broadsheet!AQ37,data!$H$4:$I$9)),"#",getgrade(Broadsheet!AQ37,data!$H$4:$I$9))</f>
        <v/>
      </c>
      <c r="BQ37" s="188" t="str">
        <f>IF(ISERROR(getgrade(Broadsheet!AR37,data!$H$4:$I$9)),"#",getgrade(Broadsheet!AR37,data!$H$4:$I$9))</f>
        <v/>
      </c>
      <c r="BR37" s="188" t="str">
        <f>IF(ISERROR(getgrade(Broadsheet!AS37,data!$H$4:$I$9)),"#",getgrade(Broadsheet!AS37,data!$H$4:$I$9))</f>
        <v/>
      </c>
      <c r="BS37" s="188" t="str">
        <f>IF(ISERROR(getgrade(Broadsheet!AT37,data!$H$4:$I$9)),"#",getgrade(Broadsheet!AT37,data!$H$4:$I$9))</f>
        <v/>
      </c>
      <c r="BT37" s="188" t="str">
        <f>IF(ISERROR(getgrade(Broadsheet!AU37,data!$H$4:$I$9)),"#",getgrade(Broadsheet!AU37,data!$H$4:$I$9))</f>
        <v/>
      </c>
      <c r="BU37" s="188" t="str">
        <f>IF(ISERROR(getgrade(Broadsheet!AV37,data!$H$4:$I$9)),"#",getgrade(Broadsheet!AV37,data!$H$4:$I$9))</f>
        <v/>
      </c>
      <c r="BV37" s="188" t="str">
        <f>IF(ISERROR(getgrade(Broadsheet!AW37,data!$H$4:$I$9)),"#",getgrade(Broadsheet!AW37,data!$H$4:$I$9))</f>
        <v/>
      </c>
      <c r="BW37" s="188" t="str">
        <f>IF(ISERROR(getgrade(Broadsheet!AX37,data!$H$4:$I$9)),"#",getgrade(Broadsheet!AX37,data!$H$4:$I$9))</f>
        <v/>
      </c>
      <c r="BX37" s="188" t="str">
        <f>IF(ISERROR(getgrade(Broadsheet!AY37,data!$H$4:$I$9)),"#",getgrade(Broadsheet!AY37,data!$H$4:$I$9))</f>
        <v/>
      </c>
      <c r="BY37" s="188" t="str">
        <f>IF(ISERROR(getgrade(Broadsheet!AZ37,data!$H$4:$I$9)),"#",getgrade(Broadsheet!AZ37,data!$H$4:$I$9))</f>
        <v/>
      </c>
      <c r="BZ37" s="188" t="str">
        <f>IF(ISERROR(getgrade(Broadsheet!BA37,data!$H$4:$I$9)),"#",getgrade(Broadsheet!BA37,data!$H$4:$I$9))</f>
        <v/>
      </c>
      <c r="CA37" s="188" t="str">
        <f>IF(ISERROR(getgrade(Broadsheet!BB37,data!$H$4:$I$9)),"#",getgrade(Broadsheet!BB37,data!$H$4:$I$9))</f>
        <v/>
      </c>
      <c r="CB37" s="188" t="str">
        <f>IF(ISERROR(getgrade(Broadsheet!BC37,data!$H$4:$I$9)),"#",getgrade(Broadsheet!BC37,data!$H$4:$I$9))</f>
        <v/>
      </c>
      <c r="CC37" s="188" t="str">
        <f>IF(ISERROR(getgrade(Broadsheet!BD37,data!$H$4:$I$9)),"#",getgrade(Broadsheet!BD37,data!$H$4:$I$9))</f>
        <v/>
      </c>
      <c r="CD37" s="188" t="str">
        <f>IF(ISERROR(getgrade(Broadsheet!BE37,data!$H$4:$I$9)),"#",getgrade(Broadsheet!BE37,data!$H$4:$I$9))</f>
        <v/>
      </c>
      <c r="CE37" s="188" t="str">
        <f>IF(ISERROR(getgrade(Broadsheet!BF37,data!$H$4:$I$9)),"#",getgrade(Broadsheet!BF37,data!$H$4:$I$9))</f>
        <v/>
      </c>
      <c r="CF37" s="188" t="str">
        <f>IF(ISERROR(getgrade(Broadsheet!BG37,data!$H$4:$I$9)),"#",getgrade(Broadsheet!BG37,data!$H$4:$I$9))</f>
        <v/>
      </c>
      <c r="CG37" s="188" t="str">
        <f>IF(ISERROR(getgrade(Broadsheet!BH37,data!$H$4:$I$9)),"#",getgrade(Broadsheet!BH37,data!$H$4:$I$9))</f>
        <v/>
      </c>
      <c r="CH37" s="188" t="str">
        <f>IF(ISERROR(getgrade(Broadsheet!BI37,data!$H$4:$I$9)),"#",getgrade(Broadsheet!BI37,data!$H$4:$I$9))</f>
        <v/>
      </c>
      <c r="CI37" s="188" t="str">
        <f>IF(ISERROR(getgrade(Broadsheet!BJ37,data!$H$4:$I$9)),"#",getgrade(Broadsheet!BJ37,data!$H$4:$I$9))</f>
        <v/>
      </c>
      <c r="CJ37" s="188"/>
      <c r="CK37" s="188"/>
      <c r="CL37" s="188"/>
      <c r="CM37" s="188"/>
      <c r="CN37" s="188"/>
      <c r="CO37" s="188"/>
      <c r="CP37" s="188"/>
      <c r="CQ37" s="188"/>
      <c r="CR37" s="188"/>
      <c r="CS37" s="188"/>
      <c r="CT37" s="188"/>
      <c r="CU37" s="188"/>
      <c r="CV37" s="188"/>
      <c r="CW37" s="188"/>
      <c r="CX37" s="188"/>
      <c r="CY37" s="188"/>
      <c r="CZ37" s="188"/>
      <c r="DA37" s="188"/>
      <c r="DB37" s="188"/>
      <c r="DC37" s="188"/>
      <c r="DD37" s="188"/>
      <c r="DE37" s="188"/>
      <c r="DF37" s="188"/>
      <c r="DG37" s="188"/>
      <c r="DH37" s="188"/>
      <c r="DI37" s="188"/>
      <c r="DJ37" s="188"/>
      <c r="DK37" s="188"/>
      <c r="DL37" s="188"/>
      <c r="DM37" s="188"/>
      <c r="DN37" s="188"/>
      <c r="DO37" s="188"/>
      <c r="DP37" s="188"/>
      <c r="DQ37" s="188"/>
      <c r="DR37" s="188"/>
      <c r="DS37" s="188"/>
      <c r="DT37" s="188"/>
      <c r="DU37" s="188"/>
      <c r="DV37" s="188"/>
      <c r="DW37" s="188"/>
      <c r="DX37" s="188"/>
      <c r="DY37" s="188"/>
      <c r="DZ37" s="188"/>
      <c r="EA37" s="188"/>
      <c r="EB37" s="188"/>
      <c r="EC37" s="188"/>
      <c r="ED37" s="188"/>
      <c r="EE37" s="188"/>
      <c r="EF37" s="188"/>
      <c r="EG37" s="188"/>
      <c r="EH37" s="188"/>
      <c r="EI37" s="188"/>
      <c r="EJ37" s="188"/>
      <c r="EK37" s="188"/>
      <c r="EL37" s="188"/>
      <c r="EM37" s="188"/>
      <c r="EN37" s="188"/>
      <c r="EO37" s="188"/>
      <c r="EP37" s="188"/>
      <c r="EQ37" s="188"/>
      <c r="ER37" s="188"/>
      <c r="ES37" s="188"/>
      <c r="ET37" s="188"/>
      <c r="EU37" s="188"/>
      <c r="EV37" s="188"/>
      <c r="EW37" s="188"/>
      <c r="EX37" s="188"/>
      <c r="EY37" s="188"/>
      <c r="EZ37" s="188"/>
    </row>
    <row r="38" spans="1:156" ht="15.75" x14ac:dyDescent="0.25">
      <c r="A38" s="12">
        <v>29</v>
      </c>
      <c r="B38" s="16"/>
      <c r="C38" s="24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07"/>
      <c r="Y38" s="110"/>
      <c r="Z38" s="19"/>
      <c r="AA38" s="25"/>
      <c r="AB38" s="21"/>
      <c r="AC38" s="25"/>
      <c r="AD38" s="25"/>
      <c r="AE38" s="20"/>
      <c r="AG38" s="188" t="str">
        <f>IF(ISERROR(getgrade(Broadsheet!H38,data!$H$4:$I$9)),"#",getgrade(Broadsheet!H38,data!$H$4:$I$9))</f>
        <v/>
      </c>
      <c r="AH38" s="188" t="str">
        <f>IF(ISERROR(getgrade(Broadsheet!I38,data!$H$4:$I$9)),"#",getgrade(Broadsheet!I38,data!$H$4:$I$9))</f>
        <v/>
      </c>
      <c r="AI38" s="188" t="str">
        <f>IF(ISERROR(getgrade(Broadsheet!J38,data!$H$4:$I$9)),"#",getgrade(Broadsheet!J38,data!$H$4:$I$9))</f>
        <v/>
      </c>
      <c r="AJ38" s="188" t="str">
        <f>IF(ISERROR(getgrade(Broadsheet!K38,data!$H$4:$I$9)),"#",getgrade(Broadsheet!K38,data!$H$4:$I$9))</f>
        <v/>
      </c>
      <c r="AK38" s="188" t="str">
        <f>IF(ISERROR(getgrade(Broadsheet!L38,data!$H$4:$I$9)),"#",getgrade(Broadsheet!L38,data!$H$4:$I$9))</f>
        <v/>
      </c>
      <c r="AL38" s="188" t="str">
        <f>IF(ISERROR(getgrade(Broadsheet!M38,data!$H$4:$I$9)),"#",getgrade(Broadsheet!M38,data!$H$4:$I$9))</f>
        <v/>
      </c>
      <c r="AM38" s="188" t="str">
        <f>IF(ISERROR(getgrade(Broadsheet!N38,data!$H$4:$I$9)),"#",getgrade(Broadsheet!N38,data!$H$4:$I$9))</f>
        <v/>
      </c>
      <c r="AN38" s="188" t="str">
        <f>IF(ISERROR(getgrade(Broadsheet!O38,data!$H$4:$I$9)),"#",getgrade(Broadsheet!O38,data!$H$4:$I$9))</f>
        <v/>
      </c>
      <c r="AO38" s="188" t="str">
        <f>IF(ISERROR(getgrade(Broadsheet!P38,data!$H$4:$I$9)),"#",getgrade(Broadsheet!P38,data!$H$4:$I$9))</f>
        <v/>
      </c>
      <c r="AP38" s="188" t="str">
        <f>IF(ISERROR(getgrade(Broadsheet!Q38,data!$H$4:$I$9)),"#",getgrade(Broadsheet!Q38,data!$H$4:$I$9))</f>
        <v/>
      </c>
      <c r="AQ38" s="188" t="str">
        <f>IF(ISERROR(getgrade(Broadsheet!R38,data!$H$4:$I$9)),"#",getgrade(Broadsheet!R38,data!$H$4:$I$9))</f>
        <v/>
      </c>
      <c r="AR38" s="188" t="str">
        <f>IF(ISERROR(getgrade(Broadsheet!S38,data!$H$4:$I$9)),"#",getgrade(Broadsheet!S38,data!$H$4:$I$9))</f>
        <v/>
      </c>
      <c r="AS38" s="188" t="str">
        <f>IF(ISERROR(getgrade(Broadsheet!T38,data!$H$4:$I$9)),"#",getgrade(Broadsheet!T38,data!$H$4:$I$9))</f>
        <v/>
      </c>
      <c r="AT38" s="188" t="str">
        <f>IF(ISERROR(getgrade(Broadsheet!U38,data!$H$4:$I$9)),"#",getgrade(Broadsheet!U38,data!$H$4:$I$9))</f>
        <v/>
      </c>
      <c r="AU38" s="188" t="str">
        <f>IF(ISERROR(getgrade(Broadsheet!V38,data!$H$4:$I$9)),"#",getgrade(Broadsheet!V38,data!$H$4:$I$9))</f>
        <v/>
      </c>
      <c r="AV38" s="188" t="str">
        <f>IF(ISERROR(getgrade(Broadsheet!W38,data!$H$4:$I$9)),"#",getgrade(Broadsheet!W38,data!$H$4:$I$9))</f>
        <v/>
      </c>
      <c r="AW38" s="188" t="str">
        <f>IF(ISERROR(getgrade(Broadsheet!X38,data!$H$4:$I$9)),"#",getgrade(Broadsheet!X38,data!$H$4:$I$9))</f>
        <v/>
      </c>
      <c r="AX38" s="188" t="str">
        <f>IF(ISERROR(getgrade(Broadsheet!Y38,data!$H$4:$I$9)),"#",getgrade(Broadsheet!Y38,data!$H$4:$I$9))</f>
        <v/>
      </c>
      <c r="AY38" s="188" t="str">
        <f>IF(ISERROR(getgrade(Broadsheet!Z38,data!$H$4:$I$9)),"#",getgrade(Broadsheet!Z38,data!$H$4:$I$9))</f>
        <v/>
      </c>
      <c r="AZ38" s="188" t="str">
        <f>IF(ISERROR(getgrade(Broadsheet!AA38,data!$H$4:$I$9)),"#",getgrade(Broadsheet!AA38,data!$H$4:$I$9))</f>
        <v/>
      </c>
      <c r="BA38" s="188" t="str">
        <f>IF(ISERROR(getgrade(Broadsheet!AB38,data!$H$4:$I$9)),"#",getgrade(Broadsheet!AB38,data!$H$4:$I$9))</f>
        <v/>
      </c>
      <c r="BB38" s="188" t="str">
        <f>IF(ISERROR(getgrade(Broadsheet!AC38,data!$H$4:$I$9)),"#",getgrade(Broadsheet!AC38,data!$H$4:$I$9))</f>
        <v/>
      </c>
      <c r="BC38" s="188" t="str">
        <f>IF(ISERROR(getgrade(Broadsheet!AD38,data!$H$4:$I$9)),"#",getgrade(Broadsheet!AD38,data!$H$4:$I$9))</f>
        <v/>
      </c>
      <c r="BD38" s="188" t="str">
        <f>IF(ISERROR(getgrade(Broadsheet!AE38,data!$H$4:$I$9)),"#",getgrade(Broadsheet!AE38,data!$H$4:$I$9))</f>
        <v/>
      </c>
      <c r="BE38" s="188" t="str">
        <f>IF(ISERROR(getgrade(Broadsheet!AF38,data!$H$4:$I$9)),"#",getgrade(Broadsheet!AF38,data!$H$4:$I$9))</f>
        <v/>
      </c>
      <c r="BF38" s="188" t="str">
        <f>IF(ISERROR(getgrade(Broadsheet!AG38,data!$H$4:$I$9)),"#",getgrade(Broadsheet!AG38,data!$H$4:$I$9))</f>
        <v/>
      </c>
      <c r="BG38" s="188" t="str">
        <f>IF(ISERROR(getgrade(Broadsheet!AH38,data!$H$4:$I$9)),"#",getgrade(Broadsheet!AH38,data!$H$4:$I$9))</f>
        <v/>
      </c>
      <c r="BH38" s="188" t="str">
        <f>IF(ISERROR(getgrade(Broadsheet!AI38,data!$H$4:$I$9)),"#",getgrade(Broadsheet!AI38,data!$H$4:$I$9))</f>
        <v/>
      </c>
      <c r="BI38" s="188" t="str">
        <f>IF(ISERROR(getgrade(Broadsheet!AJ38,data!$H$4:$I$9)),"#",getgrade(Broadsheet!AJ38,data!$H$4:$I$9))</f>
        <v/>
      </c>
      <c r="BJ38" s="188" t="str">
        <f>IF(ISERROR(getgrade(Broadsheet!AK38,data!$H$4:$I$9)),"#",getgrade(Broadsheet!AK38,data!$H$4:$I$9))</f>
        <v/>
      </c>
      <c r="BK38" s="188" t="str">
        <f>IF(ISERROR(getgrade(Broadsheet!AL38,data!$H$4:$I$9)),"#",getgrade(Broadsheet!AL38,data!$H$4:$I$9))</f>
        <v/>
      </c>
      <c r="BL38" s="188" t="str">
        <f>IF(ISERROR(getgrade(Broadsheet!AM38,data!$H$4:$I$9)),"#",getgrade(Broadsheet!AM38,data!$H$4:$I$9))</f>
        <v/>
      </c>
      <c r="BM38" s="188" t="str">
        <f>IF(ISERROR(getgrade(Broadsheet!AN38,data!$H$4:$I$9)),"#",getgrade(Broadsheet!AN38,data!$H$4:$I$9))</f>
        <v/>
      </c>
      <c r="BN38" s="188" t="str">
        <f>IF(ISERROR(getgrade(Broadsheet!AO38,data!$H$4:$I$9)),"#",getgrade(Broadsheet!AO38,data!$H$4:$I$9))</f>
        <v/>
      </c>
      <c r="BO38" s="188" t="str">
        <f>IF(ISERROR(getgrade(Broadsheet!AP38,data!$H$4:$I$9)),"#",getgrade(Broadsheet!AP38,data!$H$4:$I$9))</f>
        <v/>
      </c>
      <c r="BP38" s="188" t="str">
        <f>IF(ISERROR(getgrade(Broadsheet!AQ38,data!$H$4:$I$9)),"#",getgrade(Broadsheet!AQ38,data!$H$4:$I$9))</f>
        <v/>
      </c>
      <c r="BQ38" s="188" t="str">
        <f>IF(ISERROR(getgrade(Broadsheet!AR38,data!$H$4:$I$9)),"#",getgrade(Broadsheet!AR38,data!$H$4:$I$9))</f>
        <v/>
      </c>
      <c r="BR38" s="188" t="str">
        <f>IF(ISERROR(getgrade(Broadsheet!AS38,data!$H$4:$I$9)),"#",getgrade(Broadsheet!AS38,data!$H$4:$I$9))</f>
        <v/>
      </c>
      <c r="BS38" s="188" t="str">
        <f>IF(ISERROR(getgrade(Broadsheet!AT38,data!$H$4:$I$9)),"#",getgrade(Broadsheet!AT38,data!$H$4:$I$9))</f>
        <v/>
      </c>
      <c r="BT38" s="188" t="str">
        <f>IF(ISERROR(getgrade(Broadsheet!AU38,data!$H$4:$I$9)),"#",getgrade(Broadsheet!AU38,data!$H$4:$I$9))</f>
        <v/>
      </c>
      <c r="BU38" s="188" t="str">
        <f>IF(ISERROR(getgrade(Broadsheet!AV38,data!$H$4:$I$9)),"#",getgrade(Broadsheet!AV38,data!$H$4:$I$9))</f>
        <v/>
      </c>
      <c r="BV38" s="188" t="str">
        <f>IF(ISERROR(getgrade(Broadsheet!AW38,data!$H$4:$I$9)),"#",getgrade(Broadsheet!AW38,data!$H$4:$I$9))</f>
        <v/>
      </c>
      <c r="BW38" s="188" t="str">
        <f>IF(ISERROR(getgrade(Broadsheet!AX38,data!$H$4:$I$9)),"#",getgrade(Broadsheet!AX38,data!$H$4:$I$9))</f>
        <v/>
      </c>
      <c r="BX38" s="188" t="str">
        <f>IF(ISERROR(getgrade(Broadsheet!AY38,data!$H$4:$I$9)),"#",getgrade(Broadsheet!AY38,data!$H$4:$I$9))</f>
        <v/>
      </c>
      <c r="BY38" s="188" t="str">
        <f>IF(ISERROR(getgrade(Broadsheet!AZ38,data!$H$4:$I$9)),"#",getgrade(Broadsheet!AZ38,data!$H$4:$I$9))</f>
        <v/>
      </c>
      <c r="BZ38" s="188" t="str">
        <f>IF(ISERROR(getgrade(Broadsheet!BA38,data!$H$4:$I$9)),"#",getgrade(Broadsheet!BA38,data!$H$4:$I$9))</f>
        <v/>
      </c>
      <c r="CA38" s="188" t="str">
        <f>IF(ISERROR(getgrade(Broadsheet!BB38,data!$H$4:$I$9)),"#",getgrade(Broadsheet!BB38,data!$H$4:$I$9))</f>
        <v/>
      </c>
      <c r="CB38" s="188" t="str">
        <f>IF(ISERROR(getgrade(Broadsheet!BC38,data!$H$4:$I$9)),"#",getgrade(Broadsheet!BC38,data!$H$4:$I$9))</f>
        <v/>
      </c>
      <c r="CC38" s="188" t="str">
        <f>IF(ISERROR(getgrade(Broadsheet!BD38,data!$H$4:$I$9)),"#",getgrade(Broadsheet!BD38,data!$H$4:$I$9))</f>
        <v/>
      </c>
      <c r="CD38" s="188" t="str">
        <f>IF(ISERROR(getgrade(Broadsheet!BE38,data!$H$4:$I$9)),"#",getgrade(Broadsheet!BE38,data!$H$4:$I$9))</f>
        <v/>
      </c>
      <c r="CE38" s="188" t="str">
        <f>IF(ISERROR(getgrade(Broadsheet!BF38,data!$H$4:$I$9)),"#",getgrade(Broadsheet!BF38,data!$H$4:$I$9))</f>
        <v/>
      </c>
      <c r="CF38" s="188" t="str">
        <f>IF(ISERROR(getgrade(Broadsheet!BG38,data!$H$4:$I$9)),"#",getgrade(Broadsheet!BG38,data!$H$4:$I$9))</f>
        <v/>
      </c>
      <c r="CG38" s="188" t="str">
        <f>IF(ISERROR(getgrade(Broadsheet!BH38,data!$H$4:$I$9)),"#",getgrade(Broadsheet!BH38,data!$H$4:$I$9))</f>
        <v/>
      </c>
      <c r="CH38" s="188" t="str">
        <f>IF(ISERROR(getgrade(Broadsheet!BI38,data!$H$4:$I$9)),"#",getgrade(Broadsheet!BI38,data!$H$4:$I$9))</f>
        <v/>
      </c>
      <c r="CI38" s="188" t="str">
        <f>IF(ISERROR(getgrade(Broadsheet!BJ38,data!$H$4:$I$9)),"#",getgrade(Broadsheet!BJ38,data!$H$4:$I$9))</f>
        <v/>
      </c>
      <c r="CJ38" s="188"/>
      <c r="CK38" s="188"/>
      <c r="CL38" s="188"/>
      <c r="CM38" s="188"/>
      <c r="CN38" s="188"/>
      <c r="CO38" s="188"/>
      <c r="CP38" s="188"/>
      <c r="CQ38" s="188"/>
      <c r="CR38" s="188"/>
      <c r="CS38" s="188"/>
      <c r="CT38" s="188"/>
      <c r="CU38" s="188"/>
      <c r="CV38" s="188"/>
      <c r="CW38" s="188"/>
      <c r="CX38" s="188"/>
      <c r="CY38" s="188"/>
      <c r="CZ38" s="188"/>
      <c r="DA38" s="188"/>
      <c r="DB38" s="188"/>
      <c r="DC38" s="188"/>
      <c r="DD38" s="188"/>
      <c r="DE38" s="188"/>
      <c r="DF38" s="188"/>
      <c r="DG38" s="188"/>
      <c r="DH38" s="188"/>
      <c r="DI38" s="188"/>
      <c r="DJ38" s="188"/>
      <c r="DK38" s="188"/>
      <c r="DL38" s="188"/>
      <c r="DM38" s="188"/>
      <c r="DN38" s="188"/>
      <c r="DO38" s="188"/>
      <c r="DP38" s="188"/>
      <c r="DQ38" s="188"/>
      <c r="DR38" s="188"/>
      <c r="DS38" s="188"/>
      <c r="DT38" s="188"/>
      <c r="DU38" s="188"/>
      <c r="DV38" s="188"/>
      <c r="DW38" s="188"/>
      <c r="DX38" s="188"/>
      <c r="DY38" s="188"/>
      <c r="DZ38" s="188"/>
      <c r="EA38" s="188"/>
      <c r="EB38" s="188"/>
      <c r="EC38" s="188"/>
      <c r="ED38" s="188"/>
      <c r="EE38" s="188"/>
      <c r="EF38" s="188"/>
      <c r="EG38" s="188"/>
      <c r="EH38" s="188"/>
      <c r="EI38" s="188"/>
      <c r="EJ38" s="188"/>
      <c r="EK38" s="188"/>
      <c r="EL38" s="188"/>
      <c r="EM38" s="188"/>
      <c r="EN38" s="188"/>
      <c r="EO38" s="188"/>
      <c r="EP38" s="188"/>
      <c r="EQ38" s="188"/>
      <c r="ER38" s="188"/>
      <c r="ES38" s="188"/>
      <c r="ET38" s="188"/>
      <c r="EU38" s="188"/>
      <c r="EV38" s="188"/>
      <c r="EW38" s="188"/>
      <c r="EX38" s="188"/>
      <c r="EY38" s="188"/>
      <c r="EZ38" s="188"/>
    </row>
    <row r="39" spans="1:156" ht="15.75" x14ac:dyDescent="0.25">
      <c r="A39" s="12">
        <v>30</v>
      </c>
      <c r="B39" s="16"/>
      <c r="C39" s="24"/>
      <c r="D39" s="110"/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07"/>
      <c r="Y39" s="110"/>
      <c r="Z39" s="19"/>
      <c r="AA39" s="25"/>
      <c r="AB39" s="21"/>
      <c r="AC39" s="25"/>
      <c r="AD39" s="25"/>
      <c r="AE39" s="20"/>
      <c r="AG39" s="188" t="str">
        <f>IF(ISERROR(getgrade(Broadsheet!H39,data!$H$4:$I$9)),"#",getgrade(Broadsheet!H39,data!$H$4:$I$9))</f>
        <v/>
      </c>
      <c r="AH39" s="188" t="str">
        <f>IF(ISERROR(getgrade(Broadsheet!I39,data!$H$4:$I$9)),"#",getgrade(Broadsheet!I39,data!$H$4:$I$9))</f>
        <v/>
      </c>
      <c r="AI39" s="188" t="str">
        <f>IF(ISERROR(getgrade(Broadsheet!J39,data!$H$4:$I$9)),"#",getgrade(Broadsheet!J39,data!$H$4:$I$9))</f>
        <v/>
      </c>
      <c r="AJ39" s="188" t="str">
        <f>IF(ISERROR(getgrade(Broadsheet!K39,data!$H$4:$I$9)),"#",getgrade(Broadsheet!K39,data!$H$4:$I$9))</f>
        <v/>
      </c>
      <c r="AK39" s="188" t="str">
        <f>IF(ISERROR(getgrade(Broadsheet!L39,data!$H$4:$I$9)),"#",getgrade(Broadsheet!L39,data!$H$4:$I$9))</f>
        <v/>
      </c>
      <c r="AL39" s="188" t="str">
        <f>IF(ISERROR(getgrade(Broadsheet!M39,data!$H$4:$I$9)),"#",getgrade(Broadsheet!M39,data!$H$4:$I$9))</f>
        <v/>
      </c>
      <c r="AM39" s="188" t="str">
        <f>IF(ISERROR(getgrade(Broadsheet!N39,data!$H$4:$I$9)),"#",getgrade(Broadsheet!N39,data!$H$4:$I$9))</f>
        <v/>
      </c>
      <c r="AN39" s="188" t="str">
        <f>IF(ISERROR(getgrade(Broadsheet!O39,data!$H$4:$I$9)),"#",getgrade(Broadsheet!O39,data!$H$4:$I$9))</f>
        <v/>
      </c>
      <c r="AO39" s="188" t="str">
        <f>IF(ISERROR(getgrade(Broadsheet!P39,data!$H$4:$I$9)),"#",getgrade(Broadsheet!P39,data!$H$4:$I$9))</f>
        <v/>
      </c>
      <c r="AP39" s="188" t="str">
        <f>IF(ISERROR(getgrade(Broadsheet!Q39,data!$H$4:$I$9)),"#",getgrade(Broadsheet!Q39,data!$H$4:$I$9))</f>
        <v/>
      </c>
      <c r="AQ39" s="188" t="str">
        <f>IF(ISERROR(getgrade(Broadsheet!R39,data!$H$4:$I$9)),"#",getgrade(Broadsheet!R39,data!$H$4:$I$9))</f>
        <v/>
      </c>
      <c r="AR39" s="188" t="str">
        <f>IF(ISERROR(getgrade(Broadsheet!S39,data!$H$4:$I$9)),"#",getgrade(Broadsheet!S39,data!$H$4:$I$9))</f>
        <v/>
      </c>
      <c r="AS39" s="188" t="str">
        <f>IF(ISERROR(getgrade(Broadsheet!T39,data!$H$4:$I$9)),"#",getgrade(Broadsheet!T39,data!$H$4:$I$9))</f>
        <v/>
      </c>
      <c r="AT39" s="188" t="str">
        <f>IF(ISERROR(getgrade(Broadsheet!U39,data!$H$4:$I$9)),"#",getgrade(Broadsheet!U39,data!$H$4:$I$9))</f>
        <v/>
      </c>
      <c r="AU39" s="188" t="str">
        <f>IF(ISERROR(getgrade(Broadsheet!V39,data!$H$4:$I$9)),"#",getgrade(Broadsheet!V39,data!$H$4:$I$9))</f>
        <v/>
      </c>
      <c r="AV39" s="188" t="str">
        <f>IF(ISERROR(getgrade(Broadsheet!W39,data!$H$4:$I$9)),"#",getgrade(Broadsheet!W39,data!$H$4:$I$9))</f>
        <v/>
      </c>
      <c r="AW39" s="188" t="str">
        <f>IF(ISERROR(getgrade(Broadsheet!X39,data!$H$4:$I$9)),"#",getgrade(Broadsheet!X39,data!$H$4:$I$9))</f>
        <v/>
      </c>
      <c r="AX39" s="188" t="str">
        <f>IF(ISERROR(getgrade(Broadsheet!Y39,data!$H$4:$I$9)),"#",getgrade(Broadsheet!Y39,data!$H$4:$I$9))</f>
        <v/>
      </c>
      <c r="AY39" s="188" t="str">
        <f>IF(ISERROR(getgrade(Broadsheet!Z39,data!$H$4:$I$9)),"#",getgrade(Broadsheet!Z39,data!$H$4:$I$9))</f>
        <v/>
      </c>
      <c r="AZ39" s="188" t="str">
        <f>IF(ISERROR(getgrade(Broadsheet!AA39,data!$H$4:$I$9)),"#",getgrade(Broadsheet!AA39,data!$H$4:$I$9))</f>
        <v/>
      </c>
      <c r="BA39" s="188" t="str">
        <f>IF(ISERROR(getgrade(Broadsheet!AB39,data!$H$4:$I$9)),"#",getgrade(Broadsheet!AB39,data!$H$4:$I$9))</f>
        <v/>
      </c>
      <c r="BB39" s="188" t="str">
        <f>IF(ISERROR(getgrade(Broadsheet!AC39,data!$H$4:$I$9)),"#",getgrade(Broadsheet!AC39,data!$H$4:$I$9))</f>
        <v/>
      </c>
      <c r="BC39" s="188" t="str">
        <f>IF(ISERROR(getgrade(Broadsheet!AD39,data!$H$4:$I$9)),"#",getgrade(Broadsheet!AD39,data!$H$4:$I$9))</f>
        <v/>
      </c>
      <c r="BD39" s="188" t="str">
        <f>IF(ISERROR(getgrade(Broadsheet!AE39,data!$H$4:$I$9)),"#",getgrade(Broadsheet!AE39,data!$H$4:$I$9))</f>
        <v/>
      </c>
      <c r="BE39" s="188" t="str">
        <f>IF(ISERROR(getgrade(Broadsheet!AF39,data!$H$4:$I$9)),"#",getgrade(Broadsheet!AF39,data!$H$4:$I$9))</f>
        <v/>
      </c>
      <c r="BF39" s="188" t="str">
        <f>IF(ISERROR(getgrade(Broadsheet!AG39,data!$H$4:$I$9)),"#",getgrade(Broadsheet!AG39,data!$H$4:$I$9))</f>
        <v/>
      </c>
      <c r="BG39" s="188" t="str">
        <f>IF(ISERROR(getgrade(Broadsheet!AH39,data!$H$4:$I$9)),"#",getgrade(Broadsheet!AH39,data!$H$4:$I$9))</f>
        <v/>
      </c>
      <c r="BH39" s="188" t="str">
        <f>IF(ISERROR(getgrade(Broadsheet!AI39,data!$H$4:$I$9)),"#",getgrade(Broadsheet!AI39,data!$H$4:$I$9))</f>
        <v/>
      </c>
      <c r="BI39" s="188" t="str">
        <f>IF(ISERROR(getgrade(Broadsheet!AJ39,data!$H$4:$I$9)),"#",getgrade(Broadsheet!AJ39,data!$H$4:$I$9))</f>
        <v/>
      </c>
      <c r="BJ39" s="188" t="str">
        <f>IF(ISERROR(getgrade(Broadsheet!AK39,data!$H$4:$I$9)),"#",getgrade(Broadsheet!AK39,data!$H$4:$I$9))</f>
        <v/>
      </c>
      <c r="BK39" s="188" t="str">
        <f>IF(ISERROR(getgrade(Broadsheet!AL39,data!$H$4:$I$9)),"#",getgrade(Broadsheet!AL39,data!$H$4:$I$9))</f>
        <v/>
      </c>
      <c r="BL39" s="188" t="str">
        <f>IF(ISERROR(getgrade(Broadsheet!AM39,data!$H$4:$I$9)),"#",getgrade(Broadsheet!AM39,data!$H$4:$I$9))</f>
        <v/>
      </c>
      <c r="BM39" s="188" t="str">
        <f>IF(ISERROR(getgrade(Broadsheet!AN39,data!$H$4:$I$9)),"#",getgrade(Broadsheet!AN39,data!$H$4:$I$9))</f>
        <v/>
      </c>
      <c r="BN39" s="188" t="str">
        <f>IF(ISERROR(getgrade(Broadsheet!AO39,data!$H$4:$I$9)),"#",getgrade(Broadsheet!AO39,data!$H$4:$I$9))</f>
        <v/>
      </c>
      <c r="BO39" s="188" t="str">
        <f>IF(ISERROR(getgrade(Broadsheet!AP39,data!$H$4:$I$9)),"#",getgrade(Broadsheet!AP39,data!$H$4:$I$9))</f>
        <v/>
      </c>
      <c r="BP39" s="188" t="str">
        <f>IF(ISERROR(getgrade(Broadsheet!AQ39,data!$H$4:$I$9)),"#",getgrade(Broadsheet!AQ39,data!$H$4:$I$9))</f>
        <v/>
      </c>
      <c r="BQ39" s="188" t="str">
        <f>IF(ISERROR(getgrade(Broadsheet!AR39,data!$H$4:$I$9)),"#",getgrade(Broadsheet!AR39,data!$H$4:$I$9))</f>
        <v/>
      </c>
      <c r="BR39" s="188" t="str">
        <f>IF(ISERROR(getgrade(Broadsheet!AS39,data!$H$4:$I$9)),"#",getgrade(Broadsheet!AS39,data!$H$4:$I$9))</f>
        <v/>
      </c>
      <c r="BS39" s="188" t="str">
        <f>IF(ISERROR(getgrade(Broadsheet!AT39,data!$H$4:$I$9)),"#",getgrade(Broadsheet!AT39,data!$H$4:$I$9))</f>
        <v/>
      </c>
      <c r="BT39" s="188" t="str">
        <f>IF(ISERROR(getgrade(Broadsheet!AU39,data!$H$4:$I$9)),"#",getgrade(Broadsheet!AU39,data!$H$4:$I$9))</f>
        <v/>
      </c>
      <c r="BU39" s="188" t="str">
        <f>IF(ISERROR(getgrade(Broadsheet!AV39,data!$H$4:$I$9)),"#",getgrade(Broadsheet!AV39,data!$H$4:$I$9))</f>
        <v/>
      </c>
      <c r="BV39" s="188" t="str">
        <f>IF(ISERROR(getgrade(Broadsheet!AW39,data!$H$4:$I$9)),"#",getgrade(Broadsheet!AW39,data!$H$4:$I$9))</f>
        <v/>
      </c>
      <c r="BW39" s="188" t="str">
        <f>IF(ISERROR(getgrade(Broadsheet!AX39,data!$H$4:$I$9)),"#",getgrade(Broadsheet!AX39,data!$H$4:$I$9))</f>
        <v/>
      </c>
      <c r="BX39" s="188" t="str">
        <f>IF(ISERROR(getgrade(Broadsheet!AY39,data!$H$4:$I$9)),"#",getgrade(Broadsheet!AY39,data!$H$4:$I$9))</f>
        <v/>
      </c>
      <c r="BY39" s="188" t="str">
        <f>IF(ISERROR(getgrade(Broadsheet!AZ39,data!$H$4:$I$9)),"#",getgrade(Broadsheet!AZ39,data!$H$4:$I$9))</f>
        <v/>
      </c>
      <c r="BZ39" s="188" t="str">
        <f>IF(ISERROR(getgrade(Broadsheet!BA39,data!$H$4:$I$9)),"#",getgrade(Broadsheet!BA39,data!$H$4:$I$9))</f>
        <v/>
      </c>
      <c r="CA39" s="188" t="str">
        <f>IF(ISERROR(getgrade(Broadsheet!BB39,data!$H$4:$I$9)),"#",getgrade(Broadsheet!BB39,data!$H$4:$I$9))</f>
        <v/>
      </c>
      <c r="CB39" s="188" t="str">
        <f>IF(ISERROR(getgrade(Broadsheet!BC39,data!$H$4:$I$9)),"#",getgrade(Broadsheet!BC39,data!$H$4:$I$9))</f>
        <v/>
      </c>
      <c r="CC39" s="188" t="str">
        <f>IF(ISERROR(getgrade(Broadsheet!BD39,data!$H$4:$I$9)),"#",getgrade(Broadsheet!BD39,data!$H$4:$I$9))</f>
        <v/>
      </c>
      <c r="CD39" s="188" t="str">
        <f>IF(ISERROR(getgrade(Broadsheet!BE39,data!$H$4:$I$9)),"#",getgrade(Broadsheet!BE39,data!$H$4:$I$9))</f>
        <v/>
      </c>
      <c r="CE39" s="188" t="str">
        <f>IF(ISERROR(getgrade(Broadsheet!BF39,data!$H$4:$I$9)),"#",getgrade(Broadsheet!BF39,data!$H$4:$I$9))</f>
        <v/>
      </c>
      <c r="CF39" s="188" t="str">
        <f>IF(ISERROR(getgrade(Broadsheet!BG39,data!$H$4:$I$9)),"#",getgrade(Broadsheet!BG39,data!$H$4:$I$9))</f>
        <v/>
      </c>
      <c r="CG39" s="188" t="str">
        <f>IF(ISERROR(getgrade(Broadsheet!BH39,data!$H$4:$I$9)),"#",getgrade(Broadsheet!BH39,data!$H$4:$I$9))</f>
        <v/>
      </c>
      <c r="CH39" s="188" t="str">
        <f>IF(ISERROR(getgrade(Broadsheet!BI39,data!$H$4:$I$9)),"#",getgrade(Broadsheet!BI39,data!$H$4:$I$9))</f>
        <v/>
      </c>
      <c r="CI39" s="188" t="str">
        <f>IF(ISERROR(getgrade(Broadsheet!BJ39,data!$H$4:$I$9)),"#",getgrade(Broadsheet!BJ39,data!$H$4:$I$9))</f>
        <v/>
      </c>
      <c r="CJ39" s="188"/>
      <c r="CK39" s="188"/>
      <c r="CL39" s="188"/>
      <c r="CM39" s="188"/>
      <c r="CN39" s="188"/>
      <c r="CO39" s="188"/>
      <c r="CP39" s="188"/>
      <c r="CQ39" s="188"/>
      <c r="CR39" s="188"/>
      <c r="CS39" s="188"/>
      <c r="CT39" s="188"/>
      <c r="CU39" s="188"/>
      <c r="CV39" s="188"/>
      <c r="CW39" s="188"/>
      <c r="CX39" s="188"/>
      <c r="CY39" s="188"/>
      <c r="CZ39" s="188"/>
      <c r="DA39" s="188"/>
      <c r="DB39" s="188"/>
      <c r="DC39" s="188"/>
      <c r="DD39" s="188"/>
      <c r="DE39" s="188"/>
      <c r="DF39" s="188"/>
      <c r="DG39" s="188"/>
      <c r="DH39" s="188"/>
      <c r="DI39" s="188"/>
      <c r="DJ39" s="188"/>
      <c r="DK39" s="188"/>
      <c r="DL39" s="188"/>
      <c r="DM39" s="188"/>
      <c r="DN39" s="188"/>
      <c r="DO39" s="188"/>
      <c r="DP39" s="188"/>
      <c r="DQ39" s="188"/>
      <c r="DR39" s="188"/>
      <c r="DS39" s="188"/>
      <c r="DT39" s="188"/>
      <c r="DU39" s="188"/>
      <c r="DV39" s="188"/>
      <c r="DW39" s="188"/>
      <c r="DX39" s="188"/>
      <c r="DY39" s="188"/>
      <c r="DZ39" s="188"/>
      <c r="EA39" s="188"/>
      <c r="EB39" s="188"/>
      <c r="EC39" s="188"/>
      <c r="ED39" s="188"/>
      <c r="EE39" s="188"/>
      <c r="EF39" s="188"/>
      <c r="EG39" s="188"/>
      <c r="EH39" s="188"/>
      <c r="EI39" s="188"/>
      <c r="EJ39" s="188"/>
      <c r="EK39" s="188"/>
      <c r="EL39" s="188"/>
      <c r="EM39" s="188"/>
      <c r="EN39" s="188"/>
      <c r="EO39" s="188"/>
      <c r="EP39" s="188"/>
      <c r="EQ39" s="188"/>
      <c r="ER39" s="188"/>
      <c r="ES39" s="188"/>
      <c r="ET39" s="188"/>
      <c r="EU39" s="188"/>
      <c r="EV39" s="188"/>
      <c r="EW39" s="188"/>
      <c r="EX39" s="188"/>
      <c r="EY39" s="188"/>
      <c r="EZ39" s="188"/>
    </row>
    <row r="40" spans="1:156" ht="15.75" x14ac:dyDescent="0.25">
      <c r="A40" s="12">
        <v>31</v>
      </c>
      <c r="B40" s="16"/>
      <c r="C40" s="24"/>
      <c r="D40" s="110"/>
      <c r="E40" s="110"/>
      <c r="F40" s="110"/>
      <c r="G40" s="110"/>
      <c r="H40" s="110"/>
      <c r="I40" s="110"/>
      <c r="J40" s="110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07"/>
      <c r="Y40" s="110"/>
      <c r="Z40" s="19"/>
      <c r="AA40" s="25"/>
      <c r="AB40" s="21"/>
      <c r="AC40" s="25"/>
      <c r="AD40" s="25"/>
      <c r="AE40" s="20"/>
      <c r="AG40" s="188" t="str">
        <f>IF(ISERROR(getgrade(Broadsheet!H40,data!$H$4:$I$9)),"#",getgrade(Broadsheet!H40,data!$H$4:$I$9))</f>
        <v/>
      </c>
      <c r="AH40" s="188" t="str">
        <f>IF(ISERROR(getgrade(Broadsheet!I40,data!$H$4:$I$9)),"#",getgrade(Broadsheet!I40,data!$H$4:$I$9))</f>
        <v/>
      </c>
      <c r="AI40" s="188" t="str">
        <f>IF(ISERROR(getgrade(Broadsheet!J40,data!$H$4:$I$9)),"#",getgrade(Broadsheet!J40,data!$H$4:$I$9))</f>
        <v/>
      </c>
      <c r="AJ40" s="188" t="str">
        <f>IF(ISERROR(getgrade(Broadsheet!K40,data!$H$4:$I$9)),"#",getgrade(Broadsheet!K40,data!$H$4:$I$9))</f>
        <v/>
      </c>
      <c r="AK40" s="188" t="str">
        <f>IF(ISERROR(getgrade(Broadsheet!L40,data!$H$4:$I$9)),"#",getgrade(Broadsheet!L40,data!$H$4:$I$9))</f>
        <v/>
      </c>
      <c r="AL40" s="188" t="str">
        <f>IF(ISERROR(getgrade(Broadsheet!M40,data!$H$4:$I$9)),"#",getgrade(Broadsheet!M40,data!$H$4:$I$9))</f>
        <v/>
      </c>
      <c r="AM40" s="188" t="str">
        <f>IF(ISERROR(getgrade(Broadsheet!N40,data!$H$4:$I$9)),"#",getgrade(Broadsheet!N40,data!$H$4:$I$9))</f>
        <v/>
      </c>
      <c r="AN40" s="188" t="str">
        <f>IF(ISERROR(getgrade(Broadsheet!O40,data!$H$4:$I$9)),"#",getgrade(Broadsheet!O40,data!$H$4:$I$9))</f>
        <v/>
      </c>
      <c r="AO40" s="188" t="str">
        <f>IF(ISERROR(getgrade(Broadsheet!P40,data!$H$4:$I$9)),"#",getgrade(Broadsheet!P40,data!$H$4:$I$9))</f>
        <v/>
      </c>
      <c r="AP40" s="188" t="str">
        <f>IF(ISERROR(getgrade(Broadsheet!Q40,data!$H$4:$I$9)),"#",getgrade(Broadsheet!Q40,data!$H$4:$I$9))</f>
        <v/>
      </c>
      <c r="AQ40" s="188" t="str">
        <f>IF(ISERROR(getgrade(Broadsheet!R40,data!$H$4:$I$9)),"#",getgrade(Broadsheet!R40,data!$H$4:$I$9))</f>
        <v/>
      </c>
      <c r="AR40" s="188" t="str">
        <f>IF(ISERROR(getgrade(Broadsheet!S40,data!$H$4:$I$9)),"#",getgrade(Broadsheet!S40,data!$H$4:$I$9))</f>
        <v/>
      </c>
      <c r="AS40" s="188" t="str">
        <f>IF(ISERROR(getgrade(Broadsheet!T40,data!$H$4:$I$9)),"#",getgrade(Broadsheet!T40,data!$H$4:$I$9))</f>
        <v/>
      </c>
      <c r="AT40" s="188" t="str">
        <f>IF(ISERROR(getgrade(Broadsheet!U40,data!$H$4:$I$9)),"#",getgrade(Broadsheet!U40,data!$H$4:$I$9))</f>
        <v/>
      </c>
      <c r="AU40" s="188" t="str">
        <f>IF(ISERROR(getgrade(Broadsheet!V40,data!$H$4:$I$9)),"#",getgrade(Broadsheet!V40,data!$H$4:$I$9))</f>
        <v/>
      </c>
      <c r="AV40" s="188" t="str">
        <f>IF(ISERROR(getgrade(Broadsheet!W40,data!$H$4:$I$9)),"#",getgrade(Broadsheet!W40,data!$H$4:$I$9))</f>
        <v/>
      </c>
      <c r="AW40" s="188" t="str">
        <f>IF(ISERROR(getgrade(Broadsheet!X40,data!$H$4:$I$9)),"#",getgrade(Broadsheet!X40,data!$H$4:$I$9))</f>
        <v/>
      </c>
      <c r="AX40" s="188" t="str">
        <f>IF(ISERROR(getgrade(Broadsheet!Y40,data!$H$4:$I$9)),"#",getgrade(Broadsheet!Y40,data!$H$4:$I$9))</f>
        <v/>
      </c>
      <c r="AY40" s="188" t="str">
        <f>IF(ISERROR(getgrade(Broadsheet!Z40,data!$H$4:$I$9)),"#",getgrade(Broadsheet!Z40,data!$H$4:$I$9))</f>
        <v/>
      </c>
      <c r="AZ40" s="188" t="str">
        <f>IF(ISERROR(getgrade(Broadsheet!AA40,data!$H$4:$I$9)),"#",getgrade(Broadsheet!AA40,data!$H$4:$I$9))</f>
        <v/>
      </c>
      <c r="BA40" s="188" t="str">
        <f>IF(ISERROR(getgrade(Broadsheet!AB40,data!$H$4:$I$9)),"#",getgrade(Broadsheet!AB40,data!$H$4:$I$9))</f>
        <v/>
      </c>
      <c r="BB40" s="188" t="str">
        <f>IF(ISERROR(getgrade(Broadsheet!AC40,data!$H$4:$I$9)),"#",getgrade(Broadsheet!AC40,data!$H$4:$I$9))</f>
        <v/>
      </c>
      <c r="BC40" s="188" t="str">
        <f>IF(ISERROR(getgrade(Broadsheet!AD40,data!$H$4:$I$9)),"#",getgrade(Broadsheet!AD40,data!$H$4:$I$9))</f>
        <v/>
      </c>
      <c r="BD40" s="188" t="str">
        <f>IF(ISERROR(getgrade(Broadsheet!AE40,data!$H$4:$I$9)),"#",getgrade(Broadsheet!AE40,data!$H$4:$I$9))</f>
        <v/>
      </c>
      <c r="BE40" s="188" t="str">
        <f>IF(ISERROR(getgrade(Broadsheet!AF40,data!$H$4:$I$9)),"#",getgrade(Broadsheet!AF40,data!$H$4:$I$9))</f>
        <v/>
      </c>
      <c r="BF40" s="188" t="str">
        <f>IF(ISERROR(getgrade(Broadsheet!AG40,data!$H$4:$I$9)),"#",getgrade(Broadsheet!AG40,data!$H$4:$I$9))</f>
        <v/>
      </c>
      <c r="BG40" s="188" t="str">
        <f>IF(ISERROR(getgrade(Broadsheet!AH40,data!$H$4:$I$9)),"#",getgrade(Broadsheet!AH40,data!$H$4:$I$9))</f>
        <v/>
      </c>
      <c r="BH40" s="188" t="str">
        <f>IF(ISERROR(getgrade(Broadsheet!AI40,data!$H$4:$I$9)),"#",getgrade(Broadsheet!AI40,data!$H$4:$I$9))</f>
        <v/>
      </c>
      <c r="BI40" s="188" t="str">
        <f>IF(ISERROR(getgrade(Broadsheet!AJ40,data!$H$4:$I$9)),"#",getgrade(Broadsheet!AJ40,data!$H$4:$I$9))</f>
        <v/>
      </c>
      <c r="BJ40" s="188" t="str">
        <f>IF(ISERROR(getgrade(Broadsheet!AK40,data!$H$4:$I$9)),"#",getgrade(Broadsheet!AK40,data!$H$4:$I$9))</f>
        <v/>
      </c>
      <c r="BK40" s="188" t="str">
        <f>IF(ISERROR(getgrade(Broadsheet!AL40,data!$H$4:$I$9)),"#",getgrade(Broadsheet!AL40,data!$H$4:$I$9))</f>
        <v/>
      </c>
      <c r="BL40" s="188" t="str">
        <f>IF(ISERROR(getgrade(Broadsheet!AM40,data!$H$4:$I$9)),"#",getgrade(Broadsheet!AM40,data!$H$4:$I$9))</f>
        <v/>
      </c>
      <c r="BM40" s="188" t="str">
        <f>IF(ISERROR(getgrade(Broadsheet!AN40,data!$H$4:$I$9)),"#",getgrade(Broadsheet!AN40,data!$H$4:$I$9))</f>
        <v/>
      </c>
      <c r="BN40" s="188" t="str">
        <f>IF(ISERROR(getgrade(Broadsheet!AO40,data!$H$4:$I$9)),"#",getgrade(Broadsheet!AO40,data!$H$4:$I$9))</f>
        <v/>
      </c>
      <c r="BO40" s="188" t="str">
        <f>IF(ISERROR(getgrade(Broadsheet!AP40,data!$H$4:$I$9)),"#",getgrade(Broadsheet!AP40,data!$H$4:$I$9))</f>
        <v/>
      </c>
      <c r="BP40" s="188" t="str">
        <f>IF(ISERROR(getgrade(Broadsheet!AQ40,data!$H$4:$I$9)),"#",getgrade(Broadsheet!AQ40,data!$H$4:$I$9))</f>
        <v/>
      </c>
      <c r="BQ40" s="188" t="str">
        <f>IF(ISERROR(getgrade(Broadsheet!AR40,data!$H$4:$I$9)),"#",getgrade(Broadsheet!AR40,data!$H$4:$I$9))</f>
        <v/>
      </c>
      <c r="BR40" s="188" t="str">
        <f>IF(ISERROR(getgrade(Broadsheet!AS40,data!$H$4:$I$9)),"#",getgrade(Broadsheet!AS40,data!$H$4:$I$9))</f>
        <v/>
      </c>
      <c r="BS40" s="188" t="str">
        <f>IF(ISERROR(getgrade(Broadsheet!AT40,data!$H$4:$I$9)),"#",getgrade(Broadsheet!AT40,data!$H$4:$I$9))</f>
        <v/>
      </c>
      <c r="BT40" s="188" t="str">
        <f>IF(ISERROR(getgrade(Broadsheet!AU40,data!$H$4:$I$9)),"#",getgrade(Broadsheet!AU40,data!$H$4:$I$9))</f>
        <v/>
      </c>
      <c r="BU40" s="188" t="str">
        <f>IF(ISERROR(getgrade(Broadsheet!AV40,data!$H$4:$I$9)),"#",getgrade(Broadsheet!AV40,data!$H$4:$I$9))</f>
        <v/>
      </c>
      <c r="BV40" s="188" t="str">
        <f>IF(ISERROR(getgrade(Broadsheet!AW40,data!$H$4:$I$9)),"#",getgrade(Broadsheet!AW40,data!$H$4:$I$9))</f>
        <v/>
      </c>
      <c r="BW40" s="188" t="str">
        <f>IF(ISERROR(getgrade(Broadsheet!AX40,data!$H$4:$I$9)),"#",getgrade(Broadsheet!AX40,data!$H$4:$I$9))</f>
        <v/>
      </c>
      <c r="BX40" s="188" t="str">
        <f>IF(ISERROR(getgrade(Broadsheet!AY40,data!$H$4:$I$9)),"#",getgrade(Broadsheet!AY40,data!$H$4:$I$9))</f>
        <v/>
      </c>
      <c r="BY40" s="188" t="str">
        <f>IF(ISERROR(getgrade(Broadsheet!AZ40,data!$H$4:$I$9)),"#",getgrade(Broadsheet!AZ40,data!$H$4:$I$9))</f>
        <v/>
      </c>
      <c r="BZ40" s="188" t="str">
        <f>IF(ISERROR(getgrade(Broadsheet!BA40,data!$H$4:$I$9)),"#",getgrade(Broadsheet!BA40,data!$H$4:$I$9))</f>
        <v/>
      </c>
      <c r="CA40" s="188" t="str">
        <f>IF(ISERROR(getgrade(Broadsheet!BB40,data!$H$4:$I$9)),"#",getgrade(Broadsheet!BB40,data!$H$4:$I$9))</f>
        <v/>
      </c>
      <c r="CB40" s="188" t="str">
        <f>IF(ISERROR(getgrade(Broadsheet!BC40,data!$H$4:$I$9)),"#",getgrade(Broadsheet!BC40,data!$H$4:$I$9))</f>
        <v/>
      </c>
      <c r="CC40" s="188" t="str">
        <f>IF(ISERROR(getgrade(Broadsheet!BD40,data!$H$4:$I$9)),"#",getgrade(Broadsheet!BD40,data!$H$4:$I$9))</f>
        <v/>
      </c>
      <c r="CD40" s="188" t="str">
        <f>IF(ISERROR(getgrade(Broadsheet!BE40,data!$H$4:$I$9)),"#",getgrade(Broadsheet!BE40,data!$H$4:$I$9))</f>
        <v/>
      </c>
      <c r="CE40" s="188" t="str">
        <f>IF(ISERROR(getgrade(Broadsheet!BF40,data!$H$4:$I$9)),"#",getgrade(Broadsheet!BF40,data!$H$4:$I$9))</f>
        <v/>
      </c>
      <c r="CF40" s="188" t="str">
        <f>IF(ISERROR(getgrade(Broadsheet!BG40,data!$H$4:$I$9)),"#",getgrade(Broadsheet!BG40,data!$H$4:$I$9))</f>
        <v/>
      </c>
      <c r="CG40" s="188" t="str">
        <f>IF(ISERROR(getgrade(Broadsheet!BH40,data!$H$4:$I$9)),"#",getgrade(Broadsheet!BH40,data!$H$4:$I$9))</f>
        <v/>
      </c>
      <c r="CH40" s="188" t="str">
        <f>IF(ISERROR(getgrade(Broadsheet!BI40,data!$H$4:$I$9)),"#",getgrade(Broadsheet!BI40,data!$H$4:$I$9))</f>
        <v/>
      </c>
      <c r="CI40" s="188" t="str">
        <f>IF(ISERROR(getgrade(Broadsheet!BJ40,data!$H$4:$I$9)),"#",getgrade(Broadsheet!BJ40,data!$H$4:$I$9))</f>
        <v/>
      </c>
      <c r="CJ40" s="188"/>
      <c r="CK40" s="188"/>
      <c r="CL40" s="188"/>
      <c r="CM40" s="188"/>
      <c r="CN40" s="188"/>
      <c r="CO40" s="188"/>
      <c r="CP40" s="188"/>
      <c r="CQ40" s="188"/>
      <c r="CR40" s="188"/>
      <c r="CS40" s="188"/>
      <c r="CT40" s="188"/>
      <c r="CU40" s="188"/>
      <c r="CV40" s="188"/>
      <c r="CW40" s="188"/>
      <c r="CX40" s="188"/>
      <c r="CY40" s="188"/>
      <c r="CZ40" s="188"/>
      <c r="DA40" s="188"/>
      <c r="DB40" s="188"/>
      <c r="DC40" s="188"/>
      <c r="DD40" s="188"/>
      <c r="DE40" s="188"/>
      <c r="DF40" s="188"/>
      <c r="DG40" s="188"/>
      <c r="DH40" s="188"/>
      <c r="DI40" s="188"/>
      <c r="DJ40" s="188"/>
      <c r="DK40" s="188"/>
      <c r="DL40" s="188"/>
      <c r="DM40" s="188"/>
      <c r="DN40" s="188"/>
      <c r="DO40" s="188"/>
      <c r="DP40" s="188"/>
      <c r="DQ40" s="188"/>
      <c r="DR40" s="188"/>
      <c r="DS40" s="188"/>
      <c r="DT40" s="188"/>
      <c r="DU40" s="188"/>
      <c r="DV40" s="188"/>
      <c r="DW40" s="188"/>
      <c r="DX40" s="188"/>
      <c r="DY40" s="188"/>
      <c r="DZ40" s="188"/>
      <c r="EA40" s="188"/>
      <c r="EB40" s="188"/>
      <c r="EC40" s="188"/>
      <c r="ED40" s="188"/>
      <c r="EE40" s="188"/>
      <c r="EF40" s="188"/>
      <c r="EG40" s="188"/>
      <c r="EH40" s="188"/>
      <c r="EI40" s="188"/>
      <c r="EJ40" s="188"/>
      <c r="EK40" s="188"/>
      <c r="EL40" s="188"/>
      <c r="EM40" s="188"/>
      <c r="EN40" s="188"/>
      <c r="EO40" s="188"/>
      <c r="EP40" s="188"/>
      <c r="EQ40" s="188"/>
      <c r="ER40" s="188"/>
      <c r="ES40" s="188"/>
      <c r="ET40" s="188"/>
      <c r="EU40" s="188"/>
      <c r="EV40" s="188"/>
      <c r="EW40" s="188"/>
      <c r="EX40" s="188"/>
      <c r="EY40" s="188"/>
      <c r="EZ40" s="188"/>
    </row>
    <row r="41" spans="1:156" ht="15.75" x14ac:dyDescent="0.25">
      <c r="A41" s="12">
        <v>32</v>
      </c>
      <c r="B41" s="16"/>
      <c r="C41" s="24"/>
      <c r="D41" s="110"/>
      <c r="E41" s="110"/>
      <c r="F41" s="110"/>
      <c r="G41" s="110"/>
      <c r="H41" s="110"/>
      <c r="I41" s="110"/>
      <c r="J41" s="110"/>
      <c r="K41" s="110"/>
      <c r="L41" s="110"/>
      <c r="M41" s="110"/>
      <c r="N41" s="110"/>
      <c r="O41" s="110"/>
      <c r="P41" s="110"/>
      <c r="Q41" s="110"/>
      <c r="R41" s="110"/>
      <c r="S41" s="110"/>
      <c r="T41" s="110"/>
      <c r="U41" s="110"/>
      <c r="V41" s="110"/>
      <c r="W41" s="110"/>
      <c r="X41" s="107"/>
      <c r="Y41" s="110"/>
      <c r="Z41" s="19"/>
      <c r="AA41" s="25"/>
      <c r="AB41" s="21"/>
      <c r="AC41" s="25"/>
      <c r="AD41" s="25"/>
      <c r="AE41" s="20"/>
      <c r="AG41" s="188" t="str">
        <f>IF(ISERROR(getgrade(Broadsheet!H41,data!$H$4:$I$9)),"#",getgrade(Broadsheet!H41,data!$H$4:$I$9))</f>
        <v/>
      </c>
      <c r="AH41" s="188" t="str">
        <f>IF(ISERROR(getgrade(Broadsheet!I41,data!$H$4:$I$9)),"#",getgrade(Broadsheet!I41,data!$H$4:$I$9))</f>
        <v/>
      </c>
      <c r="AI41" s="188" t="str">
        <f>IF(ISERROR(getgrade(Broadsheet!J41,data!$H$4:$I$9)),"#",getgrade(Broadsheet!J41,data!$H$4:$I$9))</f>
        <v/>
      </c>
      <c r="AJ41" s="188" t="str">
        <f>IF(ISERROR(getgrade(Broadsheet!K41,data!$H$4:$I$9)),"#",getgrade(Broadsheet!K41,data!$H$4:$I$9))</f>
        <v/>
      </c>
      <c r="AK41" s="188" t="str">
        <f>IF(ISERROR(getgrade(Broadsheet!L41,data!$H$4:$I$9)),"#",getgrade(Broadsheet!L41,data!$H$4:$I$9))</f>
        <v/>
      </c>
      <c r="AL41" s="188" t="str">
        <f>IF(ISERROR(getgrade(Broadsheet!M41,data!$H$4:$I$9)),"#",getgrade(Broadsheet!M41,data!$H$4:$I$9))</f>
        <v/>
      </c>
      <c r="AM41" s="188" t="str">
        <f>IF(ISERROR(getgrade(Broadsheet!N41,data!$H$4:$I$9)),"#",getgrade(Broadsheet!N41,data!$H$4:$I$9))</f>
        <v/>
      </c>
      <c r="AN41" s="188" t="str">
        <f>IF(ISERROR(getgrade(Broadsheet!O41,data!$H$4:$I$9)),"#",getgrade(Broadsheet!O41,data!$H$4:$I$9))</f>
        <v/>
      </c>
      <c r="AO41" s="188" t="str">
        <f>IF(ISERROR(getgrade(Broadsheet!P41,data!$H$4:$I$9)),"#",getgrade(Broadsheet!P41,data!$H$4:$I$9))</f>
        <v/>
      </c>
      <c r="AP41" s="188" t="str">
        <f>IF(ISERROR(getgrade(Broadsheet!Q41,data!$H$4:$I$9)),"#",getgrade(Broadsheet!Q41,data!$H$4:$I$9))</f>
        <v/>
      </c>
      <c r="AQ41" s="188" t="str">
        <f>IF(ISERROR(getgrade(Broadsheet!R41,data!$H$4:$I$9)),"#",getgrade(Broadsheet!R41,data!$H$4:$I$9))</f>
        <v/>
      </c>
      <c r="AR41" s="188" t="str">
        <f>IF(ISERROR(getgrade(Broadsheet!S41,data!$H$4:$I$9)),"#",getgrade(Broadsheet!S41,data!$H$4:$I$9))</f>
        <v/>
      </c>
      <c r="AS41" s="188" t="str">
        <f>IF(ISERROR(getgrade(Broadsheet!T41,data!$H$4:$I$9)),"#",getgrade(Broadsheet!T41,data!$H$4:$I$9))</f>
        <v/>
      </c>
      <c r="AT41" s="188" t="str">
        <f>IF(ISERROR(getgrade(Broadsheet!U41,data!$H$4:$I$9)),"#",getgrade(Broadsheet!U41,data!$H$4:$I$9))</f>
        <v/>
      </c>
      <c r="AU41" s="188" t="str">
        <f>IF(ISERROR(getgrade(Broadsheet!V41,data!$H$4:$I$9)),"#",getgrade(Broadsheet!V41,data!$H$4:$I$9))</f>
        <v/>
      </c>
      <c r="AV41" s="188" t="str">
        <f>IF(ISERROR(getgrade(Broadsheet!W41,data!$H$4:$I$9)),"#",getgrade(Broadsheet!W41,data!$H$4:$I$9))</f>
        <v/>
      </c>
      <c r="AW41" s="188" t="str">
        <f>IF(ISERROR(getgrade(Broadsheet!X41,data!$H$4:$I$9)),"#",getgrade(Broadsheet!X41,data!$H$4:$I$9))</f>
        <v/>
      </c>
      <c r="AX41" s="188" t="str">
        <f>IF(ISERROR(getgrade(Broadsheet!Y41,data!$H$4:$I$9)),"#",getgrade(Broadsheet!Y41,data!$H$4:$I$9))</f>
        <v/>
      </c>
      <c r="AY41" s="188" t="str">
        <f>IF(ISERROR(getgrade(Broadsheet!Z41,data!$H$4:$I$9)),"#",getgrade(Broadsheet!Z41,data!$H$4:$I$9))</f>
        <v/>
      </c>
      <c r="AZ41" s="188" t="str">
        <f>IF(ISERROR(getgrade(Broadsheet!AA41,data!$H$4:$I$9)),"#",getgrade(Broadsheet!AA41,data!$H$4:$I$9))</f>
        <v/>
      </c>
      <c r="BA41" s="188" t="str">
        <f>IF(ISERROR(getgrade(Broadsheet!AB41,data!$H$4:$I$9)),"#",getgrade(Broadsheet!AB41,data!$H$4:$I$9))</f>
        <v/>
      </c>
      <c r="BB41" s="188" t="str">
        <f>IF(ISERROR(getgrade(Broadsheet!AC41,data!$H$4:$I$9)),"#",getgrade(Broadsheet!AC41,data!$H$4:$I$9))</f>
        <v/>
      </c>
      <c r="BC41" s="188" t="str">
        <f>IF(ISERROR(getgrade(Broadsheet!AD41,data!$H$4:$I$9)),"#",getgrade(Broadsheet!AD41,data!$H$4:$I$9))</f>
        <v/>
      </c>
      <c r="BD41" s="188" t="str">
        <f>IF(ISERROR(getgrade(Broadsheet!AE41,data!$H$4:$I$9)),"#",getgrade(Broadsheet!AE41,data!$H$4:$I$9))</f>
        <v/>
      </c>
      <c r="BE41" s="188" t="str">
        <f>IF(ISERROR(getgrade(Broadsheet!AF41,data!$H$4:$I$9)),"#",getgrade(Broadsheet!AF41,data!$H$4:$I$9))</f>
        <v/>
      </c>
      <c r="BF41" s="188" t="str">
        <f>IF(ISERROR(getgrade(Broadsheet!AG41,data!$H$4:$I$9)),"#",getgrade(Broadsheet!AG41,data!$H$4:$I$9))</f>
        <v/>
      </c>
      <c r="BG41" s="188" t="str">
        <f>IF(ISERROR(getgrade(Broadsheet!AH41,data!$H$4:$I$9)),"#",getgrade(Broadsheet!AH41,data!$H$4:$I$9))</f>
        <v/>
      </c>
      <c r="BH41" s="188" t="str">
        <f>IF(ISERROR(getgrade(Broadsheet!AI41,data!$H$4:$I$9)),"#",getgrade(Broadsheet!AI41,data!$H$4:$I$9))</f>
        <v/>
      </c>
      <c r="BI41" s="188" t="str">
        <f>IF(ISERROR(getgrade(Broadsheet!AJ41,data!$H$4:$I$9)),"#",getgrade(Broadsheet!AJ41,data!$H$4:$I$9))</f>
        <v/>
      </c>
      <c r="BJ41" s="188" t="str">
        <f>IF(ISERROR(getgrade(Broadsheet!AK41,data!$H$4:$I$9)),"#",getgrade(Broadsheet!AK41,data!$H$4:$I$9))</f>
        <v/>
      </c>
      <c r="BK41" s="188" t="str">
        <f>IF(ISERROR(getgrade(Broadsheet!AL41,data!$H$4:$I$9)),"#",getgrade(Broadsheet!AL41,data!$H$4:$I$9))</f>
        <v/>
      </c>
      <c r="BL41" s="188" t="str">
        <f>IF(ISERROR(getgrade(Broadsheet!AM41,data!$H$4:$I$9)),"#",getgrade(Broadsheet!AM41,data!$H$4:$I$9))</f>
        <v/>
      </c>
      <c r="BM41" s="188" t="str">
        <f>IF(ISERROR(getgrade(Broadsheet!AN41,data!$H$4:$I$9)),"#",getgrade(Broadsheet!AN41,data!$H$4:$I$9))</f>
        <v/>
      </c>
      <c r="BN41" s="188" t="str">
        <f>IF(ISERROR(getgrade(Broadsheet!AO41,data!$H$4:$I$9)),"#",getgrade(Broadsheet!AO41,data!$H$4:$I$9))</f>
        <v/>
      </c>
      <c r="BO41" s="188" t="str">
        <f>IF(ISERROR(getgrade(Broadsheet!AP41,data!$H$4:$I$9)),"#",getgrade(Broadsheet!AP41,data!$H$4:$I$9))</f>
        <v/>
      </c>
      <c r="BP41" s="188" t="str">
        <f>IF(ISERROR(getgrade(Broadsheet!AQ41,data!$H$4:$I$9)),"#",getgrade(Broadsheet!AQ41,data!$H$4:$I$9))</f>
        <v/>
      </c>
      <c r="BQ41" s="188" t="str">
        <f>IF(ISERROR(getgrade(Broadsheet!AR41,data!$H$4:$I$9)),"#",getgrade(Broadsheet!AR41,data!$H$4:$I$9))</f>
        <v/>
      </c>
      <c r="BR41" s="188" t="str">
        <f>IF(ISERROR(getgrade(Broadsheet!AS41,data!$H$4:$I$9)),"#",getgrade(Broadsheet!AS41,data!$H$4:$I$9))</f>
        <v/>
      </c>
      <c r="BS41" s="188" t="str">
        <f>IF(ISERROR(getgrade(Broadsheet!AT41,data!$H$4:$I$9)),"#",getgrade(Broadsheet!AT41,data!$H$4:$I$9))</f>
        <v/>
      </c>
      <c r="BT41" s="188" t="str">
        <f>IF(ISERROR(getgrade(Broadsheet!AU41,data!$H$4:$I$9)),"#",getgrade(Broadsheet!AU41,data!$H$4:$I$9))</f>
        <v/>
      </c>
      <c r="BU41" s="188" t="str">
        <f>IF(ISERROR(getgrade(Broadsheet!AV41,data!$H$4:$I$9)),"#",getgrade(Broadsheet!AV41,data!$H$4:$I$9))</f>
        <v/>
      </c>
      <c r="BV41" s="188" t="str">
        <f>IF(ISERROR(getgrade(Broadsheet!AW41,data!$H$4:$I$9)),"#",getgrade(Broadsheet!AW41,data!$H$4:$I$9))</f>
        <v/>
      </c>
      <c r="BW41" s="188" t="str">
        <f>IF(ISERROR(getgrade(Broadsheet!AX41,data!$H$4:$I$9)),"#",getgrade(Broadsheet!AX41,data!$H$4:$I$9))</f>
        <v/>
      </c>
      <c r="BX41" s="188" t="str">
        <f>IF(ISERROR(getgrade(Broadsheet!AY41,data!$H$4:$I$9)),"#",getgrade(Broadsheet!AY41,data!$H$4:$I$9))</f>
        <v/>
      </c>
      <c r="BY41" s="188" t="str">
        <f>IF(ISERROR(getgrade(Broadsheet!AZ41,data!$H$4:$I$9)),"#",getgrade(Broadsheet!AZ41,data!$H$4:$I$9))</f>
        <v/>
      </c>
      <c r="BZ41" s="188" t="str">
        <f>IF(ISERROR(getgrade(Broadsheet!BA41,data!$H$4:$I$9)),"#",getgrade(Broadsheet!BA41,data!$H$4:$I$9))</f>
        <v/>
      </c>
      <c r="CA41" s="188" t="str">
        <f>IF(ISERROR(getgrade(Broadsheet!BB41,data!$H$4:$I$9)),"#",getgrade(Broadsheet!BB41,data!$H$4:$I$9))</f>
        <v/>
      </c>
      <c r="CB41" s="188" t="str">
        <f>IF(ISERROR(getgrade(Broadsheet!BC41,data!$H$4:$I$9)),"#",getgrade(Broadsheet!BC41,data!$H$4:$I$9))</f>
        <v/>
      </c>
      <c r="CC41" s="188" t="str">
        <f>IF(ISERROR(getgrade(Broadsheet!BD41,data!$H$4:$I$9)),"#",getgrade(Broadsheet!BD41,data!$H$4:$I$9))</f>
        <v/>
      </c>
      <c r="CD41" s="188" t="str">
        <f>IF(ISERROR(getgrade(Broadsheet!BE41,data!$H$4:$I$9)),"#",getgrade(Broadsheet!BE41,data!$H$4:$I$9))</f>
        <v/>
      </c>
      <c r="CE41" s="188" t="str">
        <f>IF(ISERROR(getgrade(Broadsheet!BF41,data!$H$4:$I$9)),"#",getgrade(Broadsheet!BF41,data!$H$4:$I$9))</f>
        <v/>
      </c>
      <c r="CF41" s="188" t="str">
        <f>IF(ISERROR(getgrade(Broadsheet!BG41,data!$H$4:$I$9)),"#",getgrade(Broadsheet!BG41,data!$H$4:$I$9))</f>
        <v/>
      </c>
      <c r="CG41" s="188" t="str">
        <f>IF(ISERROR(getgrade(Broadsheet!BH41,data!$H$4:$I$9)),"#",getgrade(Broadsheet!BH41,data!$H$4:$I$9))</f>
        <v/>
      </c>
      <c r="CH41" s="188" t="str">
        <f>IF(ISERROR(getgrade(Broadsheet!BI41,data!$H$4:$I$9)),"#",getgrade(Broadsheet!BI41,data!$H$4:$I$9))</f>
        <v/>
      </c>
      <c r="CI41" s="188" t="str">
        <f>IF(ISERROR(getgrade(Broadsheet!BJ41,data!$H$4:$I$9)),"#",getgrade(Broadsheet!BJ41,data!$H$4:$I$9))</f>
        <v/>
      </c>
      <c r="CJ41" s="188"/>
      <c r="CK41" s="188"/>
      <c r="CL41" s="188"/>
      <c r="CM41" s="188"/>
      <c r="CN41" s="188"/>
      <c r="CO41" s="188"/>
      <c r="CP41" s="188"/>
      <c r="CQ41" s="188"/>
      <c r="CR41" s="188"/>
      <c r="CS41" s="188"/>
      <c r="CT41" s="188"/>
      <c r="CU41" s="188"/>
      <c r="CV41" s="188"/>
      <c r="CW41" s="188"/>
      <c r="CX41" s="188"/>
      <c r="CY41" s="188"/>
      <c r="CZ41" s="188"/>
      <c r="DA41" s="188"/>
      <c r="DB41" s="188"/>
      <c r="DC41" s="188"/>
      <c r="DD41" s="188"/>
      <c r="DE41" s="188"/>
      <c r="DF41" s="188"/>
      <c r="DG41" s="188"/>
      <c r="DH41" s="188"/>
      <c r="DI41" s="188"/>
      <c r="DJ41" s="188"/>
      <c r="DK41" s="188"/>
      <c r="DL41" s="188"/>
      <c r="DM41" s="188"/>
      <c r="DN41" s="188"/>
      <c r="DO41" s="188"/>
      <c r="DP41" s="188"/>
      <c r="DQ41" s="188"/>
      <c r="DR41" s="188"/>
      <c r="DS41" s="188"/>
      <c r="DT41" s="188"/>
      <c r="DU41" s="188"/>
      <c r="DV41" s="188"/>
      <c r="DW41" s="188"/>
      <c r="DX41" s="188"/>
      <c r="DY41" s="188"/>
      <c r="DZ41" s="188"/>
      <c r="EA41" s="188"/>
      <c r="EB41" s="188"/>
      <c r="EC41" s="188"/>
      <c r="ED41" s="188"/>
      <c r="EE41" s="188"/>
      <c r="EF41" s="188"/>
      <c r="EG41" s="188"/>
      <c r="EH41" s="188"/>
      <c r="EI41" s="188"/>
      <c r="EJ41" s="188"/>
      <c r="EK41" s="188"/>
      <c r="EL41" s="188"/>
      <c r="EM41" s="188"/>
      <c r="EN41" s="188"/>
      <c r="EO41" s="188"/>
      <c r="EP41" s="188"/>
      <c r="EQ41" s="188"/>
      <c r="ER41" s="188"/>
      <c r="ES41" s="188"/>
      <c r="ET41" s="188"/>
      <c r="EU41" s="188"/>
      <c r="EV41" s="188"/>
      <c r="EW41" s="188"/>
      <c r="EX41" s="188"/>
      <c r="EY41" s="188"/>
      <c r="EZ41" s="188"/>
    </row>
    <row r="42" spans="1:156" ht="15.75" x14ac:dyDescent="0.25">
      <c r="A42" s="12">
        <v>33</v>
      </c>
      <c r="B42" s="16"/>
      <c r="C42" s="24"/>
      <c r="D42" s="110"/>
      <c r="E42" s="110"/>
      <c r="F42" s="110"/>
      <c r="G42" s="110"/>
      <c r="H42" s="110"/>
      <c r="I42" s="110"/>
      <c r="J42" s="110"/>
      <c r="K42" s="110"/>
      <c r="L42" s="110"/>
      <c r="M42" s="110"/>
      <c r="N42" s="110"/>
      <c r="O42" s="110"/>
      <c r="P42" s="110"/>
      <c r="Q42" s="110"/>
      <c r="R42" s="110"/>
      <c r="S42" s="110"/>
      <c r="T42" s="110"/>
      <c r="U42" s="110"/>
      <c r="V42" s="110"/>
      <c r="W42" s="110"/>
      <c r="X42" s="107"/>
      <c r="Y42" s="110"/>
      <c r="Z42" s="19"/>
      <c r="AA42" s="25"/>
      <c r="AB42" s="21"/>
      <c r="AC42" s="25"/>
      <c r="AD42" s="25"/>
      <c r="AE42" s="20"/>
      <c r="AG42" s="188" t="str">
        <f>IF(ISERROR(getgrade(Broadsheet!H42,data!$H$4:$I$9)),"#",getgrade(Broadsheet!H42,data!$H$4:$I$9))</f>
        <v/>
      </c>
      <c r="AH42" s="188" t="str">
        <f>IF(ISERROR(getgrade(Broadsheet!I42,data!$H$4:$I$9)),"#",getgrade(Broadsheet!I42,data!$H$4:$I$9))</f>
        <v/>
      </c>
      <c r="AI42" s="188" t="str">
        <f>IF(ISERROR(getgrade(Broadsheet!J42,data!$H$4:$I$9)),"#",getgrade(Broadsheet!J42,data!$H$4:$I$9))</f>
        <v/>
      </c>
      <c r="AJ42" s="188" t="str">
        <f>IF(ISERROR(getgrade(Broadsheet!K42,data!$H$4:$I$9)),"#",getgrade(Broadsheet!K42,data!$H$4:$I$9))</f>
        <v/>
      </c>
      <c r="AK42" s="188" t="str">
        <f>IF(ISERROR(getgrade(Broadsheet!L42,data!$H$4:$I$9)),"#",getgrade(Broadsheet!L42,data!$H$4:$I$9))</f>
        <v/>
      </c>
      <c r="AL42" s="188" t="str">
        <f>IF(ISERROR(getgrade(Broadsheet!M42,data!$H$4:$I$9)),"#",getgrade(Broadsheet!M42,data!$H$4:$I$9))</f>
        <v/>
      </c>
      <c r="AM42" s="188" t="str">
        <f>IF(ISERROR(getgrade(Broadsheet!N42,data!$H$4:$I$9)),"#",getgrade(Broadsheet!N42,data!$H$4:$I$9))</f>
        <v/>
      </c>
      <c r="AN42" s="188" t="str">
        <f>IF(ISERROR(getgrade(Broadsheet!O42,data!$H$4:$I$9)),"#",getgrade(Broadsheet!O42,data!$H$4:$I$9))</f>
        <v/>
      </c>
      <c r="AO42" s="188" t="str">
        <f>IF(ISERROR(getgrade(Broadsheet!P42,data!$H$4:$I$9)),"#",getgrade(Broadsheet!P42,data!$H$4:$I$9))</f>
        <v/>
      </c>
      <c r="AP42" s="188" t="str">
        <f>IF(ISERROR(getgrade(Broadsheet!Q42,data!$H$4:$I$9)),"#",getgrade(Broadsheet!Q42,data!$H$4:$I$9))</f>
        <v/>
      </c>
      <c r="AQ42" s="188" t="str">
        <f>IF(ISERROR(getgrade(Broadsheet!R42,data!$H$4:$I$9)),"#",getgrade(Broadsheet!R42,data!$H$4:$I$9))</f>
        <v/>
      </c>
      <c r="AR42" s="188" t="str">
        <f>IF(ISERROR(getgrade(Broadsheet!S42,data!$H$4:$I$9)),"#",getgrade(Broadsheet!S42,data!$H$4:$I$9))</f>
        <v/>
      </c>
      <c r="AS42" s="188" t="str">
        <f>IF(ISERROR(getgrade(Broadsheet!T42,data!$H$4:$I$9)),"#",getgrade(Broadsheet!T42,data!$H$4:$I$9))</f>
        <v/>
      </c>
      <c r="AT42" s="188" t="str">
        <f>IF(ISERROR(getgrade(Broadsheet!U42,data!$H$4:$I$9)),"#",getgrade(Broadsheet!U42,data!$H$4:$I$9))</f>
        <v/>
      </c>
      <c r="AU42" s="188" t="str">
        <f>IF(ISERROR(getgrade(Broadsheet!V42,data!$H$4:$I$9)),"#",getgrade(Broadsheet!V42,data!$H$4:$I$9))</f>
        <v/>
      </c>
      <c r="AV42" s="188" t="str">
        <f>IF(ISERROR(getgrade(Broadsheet!W42,data!$H$4:$I$9)),"#",getgrade(Broadsheet!W42,data!$H$4:$I$9))</f>
        <v/>
      </c>
      <c r="AW42" s="188" t="str">
        <f>IF(ISERROR(getgrade(Broadsheet!X42,data!$H$4:$I$9)),"#",getgrade(Broadsheet!X42,data!$H$4:$I$9))</f>
        <v/>
      </c>
      <c r="AX42" s="188" t="str">
        <f>IF(ISERROR(getgrade(Broadsheet!Y42,data!$H$4:$I$9)),"#",getgrade(Broadsheet!Y42,data!$H$4:$I$9))</f>
        <v/>
      </c>
      <c r="AY42" s="188" t="str">
        <f>IF(ISERROR(getgrade(Broadsheet!Z42,data!$H$4:$I$9)),"#",getgrade(Broadsheet!Z42,data!$H$4:$I$9))</f>
        <v/>
      </c>
      <c r="AZ42" s="188" t="str">
        <f>IF(ISERROR(getgrade(Broadsheet!AA42,data!$H$4:$I$9)),"#",getgrade(Broadsheet!AA42,data!$H$4:$I$9))</f>
        <v/>
      </c>
      <c r="BA42" s="188" t="str">
        <f>IF(ISERROR(getgrade(Broadsheet!AB42,data!$H$4:$I$9)),"#",getgrade(Broadsheet!AB42,data!$H$4:$I$9))</f>
        <v/>
      </c>
      <c r="BB42" s="188" t="str">
        <f>IF(ISERROR(getgrade(Broadsheet!AC42,data!$H$4:$I$9)),"#",getgrade(Broadsheet!AC42,data!$H$4:$I$9))</f>
        <v/>
      </c>
      <c r="BC42" s="188" t="str">
        <f>IF(ISERROR(getgrade(Broadsheet!AD42,data!$H$4:$I$9)),"#",getgrade(Broadsheet!AD42,data!$H$4:$I$9))</f>
        <v/>
      </c>
      <c r="BD42" s="188" t="str">
        <f>IF(ISERROR(getgrade(Broadsheet!AE42,data!$H$4:$I$9)),"#",getgrade(Broadsheet!AE42,data!$H$4:$I$9))</f>
        <v/>
      </c>
      <c r="BE42" s="188" t="str">
        <f>IF(ISERROR(getgrade(Broadsheet!AF42,data!$H$4:$I$9)),"#",getgrade(Broadsheet!AF42,data!$H$4:$I$9))</f>
        <v/>
      </c>
      <c r="BF42" s="188" t="str">
        <f>IF(ISERROR(getgrade(Broadsheet!AG42,data!$H$4:$I$9)),"#",getgrade(Broadsheet!AG42,data!$H$4:$I$9))</f>
        <v/>
      </c>
      <c r="BG42" s="188" t="str">
        <f>IF(ISERROR(getgrade(Broadsheet!AH42,data!$H$4:$I$9)),"#",getgrade(Broadsheet!AH42,data!$H$4:$I$9))</f>
        <v/>
      </c>
      <c r="BH42" s="188" t="str">
        <f>IF(ISERROR(getgrade(Broadsheet!AI42,data!$H$4:$I$9)),"#",getgrade(Broadsheet!AI42,data!$H$4:$I$9))</f>
        <v/>
      </c>
      <c r="BI42" s="188" t="str">
        <f>IF(ISERROR(getgrade(Broadsheet!AJ42,data!$H$4:$I$9)),"#",getgrade(Broadsheet!AJ42,data!$H$4:$I$9))</f>
        <v/>
      </c>
      <c r="BJ42" s="188" t="str">
        <f>IF(ISERROR(getgrade(Broadsheet!AK42,data!$H$4:$I$9)),"#",getgrade(Broadsheet!AK42,data!$H$4:$I$9))</f>
        <v/>
      </c>
      <c r="BK42" s="188" t="str">
        <f>IF(ISERROR(getgrade(Broadsheet!AL42,data!$H$4:$I$9)),"#",getgrade(Broadsheet!AL42,data!$H$4:$I$9))</f>
        <v/>
      </c>
      <c r="BL42" s="188" t="str">
        <f>IF(ISERROR(getgrade(Broadsheet!AM42,data!$H$4:$I$9)),"#",getgrade(Broadsheet!AM42,data!$H$4:$I$9))</f>
        <v/>
      </c>
      <c r="BM42" s="188" t="str">
        <f>IF(ISERROR(getgrade(Broadsheet!AN42,data!$H$4:$I$9)),"#",getgrade(Broadsheet!AN42,data!$H$4:$I$9))</f>
        <v/>
      </c>
      <c r="BN42" s="188" t="str">
        <f>IF(ISERROR(getgrade(Broadsheet!AO42,data!$H$4:$I$9)),"#",getgrade(Broadsheet!AO42,data!$H$4:$I$9))</f>
        <v/>
      </c>
      <c r="BO42" s="188" t="str">
        <f>IF(ISERROR(getgrade(Broadsheet!AP42,data!$H$4:$I$9)),"#",getgrade(Broadsheet!AP42,data!$H$4:$I$9))</f>
        <v/>
      </c>
      <c r="BP42" s="188" t="str">
        <f>IF(ISERROR(getgrade(Broadsheet!AQ42,data!$H$4:$I$9)),"#",getgrade(Broadsheet!AQ42,data!$H$4:$I$9))</f>
        <v/>
      </c>
      <c r="BQ42" s="188" t="str">
        <f>IF(ISERROR(getgrade(Broadsheet!AR42,data!$H$4:$I$9)),"#",getgrade(Broadsheet!AR42,data!$H$4:$I$9))</f>
        <v/>
      </c>
      <c r="BR42" s="188" t="str">
        <f>IF(ISERROR(getgrade(Broadsheet!AS42,data!$H$4:$I$9)),"#",getgrade(Broadsheet!AS42,data!$H$4:$I$9))</f>
        <v/>
      </c>
      <c r="BS42" s="188" t="str">
        <f>IF(ISERROR(getgrade(Broadsheet!AT42,data!$H$4:$I$9)),"#",getgrade(Broadsheet!AT42,data!$H$4:$I$9))</f>
        <v/>
      </c>
      <c r="BT42" s="188" t="str">
        <f>IF(ISERROR(getgrade(Broadsheet!AU42,data!$H$4:$I$9)),"#",getgrade(Broadsheet!AU42,data!$H$4:$I$9))</f>
        <v/>
      </c>
      <c r="BU42" s="188" t="str">
        <f>IF(ISERROR(getgrade(Broadsheet!AV42,data!$H$4:$I$9)),"#",getgrade(Broadsheet!AV42,data!$H$4:$I$9))</f>
        <v/>
      </c>
      <c r="BV42" s="188" t="str">
        <f>IF(ISERROR(getgrade(Broadsheet!AW42,data!$H$4:$I$9)),"#",getgrade(Broadsheet!AW42,data!$H$4:$I$9))</f>
        <v/>
      </c>
      <c r="BW42" s="188" t="str">
        <f>IF(ISERROR(getgrade(Broadsheet!AX42,data!$H$4:$I$9)),"#",getgrade(Broadsheet!AX42,data!$H$4:$I$9))</f>
        <v/>
      </c>
      <c r="BX42" s="188" t="str">
        <f>IF(ISERROR(getgrade(Broadsheet!AY42,data!$H$4:$I$9)),"#",getgrade(Broadsheet!AY42,data!$H$4:$I$9))</f>
        <v/>
      </c>
      <c r="BY42" s="188" t="str">
        <f>IF(ISERROR(getgrade(Broadsheet!AZ42,data!$H$4:$I$9)),"#",getgrade(Broadsheet!AZ42,data!$H$4:$I$9))</f>
        <v/>
      </c>
      <c r="BZ42" s="188" t="str">
        <f>IF(ISERROR(getgrade(Broadsheet!BA42,data!$H$4:$I$9)),"#",getgrade(Broadsheet!BA42,data!$H$4:$I$9))</f>
        <v/>
      </c>
      <c r="CA42" s="188" t="str">
        <f>IF(ISERROR(getgrade(Broadsheet!BB42,data!$H$4:$I$9)),"#",getgrade(Broadsheet!BB42,data!$H$4:$I$9))</f>
        <v/>
      </c>
      <c r="CB42" s="188" t="str">
        <f>IF(ISERROR(getgrade(Broadsheet!BC42,data!$H$4:$I$9)),"#",getgrade(Broadsheet!BC42,data!$H$4:$I$9))</f>
        <v/>
      </c>
      <c r="CC42" s="188" t="str">
        <f>IF(ISERROR(getgrade(Broadsheet!BD42,data!$H$4:$I$9)),"#",getgrade(Broadsheet!BD42,data!$H$4:$I$9))</f>
        <v/>
      </c>
      <c r="CD42" s="188" t="str">
        <f>IF(ISERROR(getgrade(Broadsheet!BE42,data!$H$4:$I$9)),"#",getgrade(Broadsheet!BE42,data!$H$4:$I$9))</f>
        <v/>
      </c>
      <c r="CE42" s="188" t="str">
        <f>IF(ISERROR(getgrade(Broadsheet!BF42,data!$H$4:$I$9)),"#",getgrade(Broadsheet!BF42,data!$H$4:$I$9))</f>
        <v/>
      </c>
      <c r="CF42" s="188" t="str">
        <f>IF(ISERROR(getgrade(Broadsheet!BG42,data!$H$4:$I$9)),"#",getgrade(Broadsheet!BG42,data!$H$4:$I$9))</f>
        <v/>
      </c>
      <c r="CG42" s="188" t="str">
        <f>IF(ISERROR(getgrade(Broadsheet!BH42,data!$H$4:$I$9)),"#",getgrade(Broadsheet!BH42,data!$H$4:$I$9))</f>
        <v/>
      </c>
      <c r="CH42" s="188" t="str">
        <f>IF(ISERROR(getgrade(Broadsheet!BI42,data!$H$4:$I$9)),"#",getgrade(Broadsheet!BI42,data!$H$4:$I$9))</f>
        <v/>
      </c>
      <c r="CI42" s="188" t="str">
        <f>IF(ISERROR(getgrade(Broadsheet!BJ42,data!$H$4:$I$9)),"#",getgrade(Broadsheet!BJ42,data!$H$4:$I$9))</f>
        <v/>
      </c>
      <c r="CJ42" s="188"/>
      <c r="CK42" s="188"/>
      <c r="CL42" s="188"/>
      <c r="CM42" s="188"/>
      <c r="CN42" s="188"/>
      <c r="CO42" s="188"/>
      <c r="CP42" s="188"/>
      <c r="CQ42" s="188"/>
      <c r="CR42" s="188"/>
      <c r="CS42" s="188"/>
      <c r="CT42" s="188"/>
      <c r="CU42" s="188"/>
      <c r="CV42" s="188"/>
      <c r="CW42" s="188"/>
      <c r="CX42" s="188"/>
      <c r="CY42" s="188"/>
      <c r="CZ42" s="188"/>
      <c r="DA42" s="188"/>
      <c r="DB42" s="188"/>
      <c r="DC42" s="188"/>
      <c r="DD42" s="188"/>
      <c r="DE42" s="188"/>
      <c r="DF42" s="188"/>
      <c r="DG42" s="188"/>
      <c r="DH42" s="188"/>
      <c r="DI42" s="188"/>
      <c r="DJ42" s="188"/>
      <c r="DK42" s="188"/>
      <c r="DL42" s="188"/>
      <c r="DM42" s="188"/>
      <c r="DN42" s="188"/>
      <c r="DO42" s="188"/>
      <c r="DP42" s="188"/>
      <c r="DQ42" s="188"/>
      <c r="DR42" s="188"/>
      <c r="DS42" s="188"/>
      <c r="DT42" s="188"/>
      <c r="DU42" s="188"/>
      <c r="DV42" s="188"/>
      <c r="DW42" s="188"/>
      <c r="DX42" s="188"/>
      <c r="DY42" s="188"/>
      <c r="DZ42" s="188"/>
      <c r="EA42" s="188"/>
      <c r="EB42" s="188"/>
      <c r="EC42" s="188"/>
      <c r="ED42" s="188"/>
      <c r="EE42" s="188"/>
      <c r="EF42" s="188"/>
      <c r="EG42" s="188"/>
      <c r="EH42" s="188"/>
      <c r="EI42" s="188"/>
      <c r="EJ42" s="188"/>
      <c r="EK42" s="188"/>
      <c r="EL42" s="188"/>
      <c r="EM42" s="188"/>
      <c r="EN42" s="188"/>
      <c r="EO42" s="188"/>
      <c r="EP42" s="188"/>
      <c r="EQ42" s="188"/>
      <c r="ER42" s="188"/>
      <c r="ES42" s="188"/>
      <c r="ET42" s="188"/>
      <c r="EU42" s="188"/>
      <c r="EV42" s="188"/>
      <c r="EW42" s="188"/>
      <c r="EX42" s="188"/>
      <c r="EY42" s="188"/>
      <c r="EZ42" s="188"/>
    </row>
    <row r="43" spans="1:156" ht="15.75" x14ac:dyDescent="0.25">
      <c r="A43" s="12">
        <v>34</v>
      </c>
      <c r="B43" s="16"/>
      <c r="C43" s="24"/>
      <c r="D43" s="110"/>
      <c r="E43" s="110"/>
      <c r="F43" s="110"/>
      <c r="G43" s="110"/>
      <c r="H43" s="110"/>
      <c r="I43" s="110"/>
      <c r="J43" s="110"/>
      <c r="K43" s="110"/>
      <c r="L43" s="110"/>
      <c r="M43" s="110"/>
      <c r="N43" s="110"/>
      <c r="O43" s="110"/>
      <c r="P43" s="110"/>
      <c r="Q43" s="110"/>
      <c r="R43" s="110"/>
      <c r="S43" s="110"/>
      <c r="T43" s="110"/>
      <c r="U43" s="110"/>
      <c r="V43" s="110"/>
      <c r="W43" s="110"/>
      <c r="X43" s="107"/>
      <c r="Y43" s="110"/>
      <c r="Z43" s="19"/>
      <c r="AA43" s="25"/>
      <c r="AB43" s="21"/>
      <c r="AC43" s="25"/>
      <c r="AD43" s="25"/>
      <c r="AE43" s="20"/>
      <c r="AG43" s="188" t="str">
        <f>IF(ISERROR(getgrade(Broadsheet!H43,data!$H$4:$I$9)),"#",getgrade(Broadsheet!H43,data!$H$4:$I$9))</f>
        <v/>
      </c>
      <c r="AH43" s="188" t="str">
        <f>IF(ISERROR(getgrade(Broadsheet!I43,data!$H$4:$I$9)),"#",getgrade(Broadsheet!I43,data!$H$4:$I$9))</f>
        <v/>
      </c>
      <c r="AI43" s="188" t="str">
        <f>IF(ISERROR(getgrade(Broadsheet!J43,data!$H$4:$I$9)),"#",getgrade(Broadsheet!J43,data!$H$4:$I$9))</f>
        <v/>
      </c>
      <c r="AJ43" s="188" t="str">
        <f>IF(ISERROR(getgrade(Broadsheet!K43,data!$H$4:$I$9)),"#",getgrade(Broadsheet!K43,data!$H$4:$I$9))</f>
        <v/>
      </c>
      <c r="AK43" s="188" t="str">
        <f>IF(ISERROR(getgrade(Broadsheet!L43,data!$H$4:$I$9)),"#",getgrade(Broadsheet!L43,data!$H$4:$I$9))</f>
        <v/>
      </c>
      <c r="AL43" s="188" t="str">
        <f>IF(ISERROR(getgrade(Broadsheet!M43,data!$H$4:$I$9)),"#",getgrade(Broadsheet!M43,data!$H$4:$I$9))</f>
        <v/>
      </c>
      <c r="AM43" s="188" t="str">
        <f>IF(ISERROR(getgrade(Broadsheet!N43,data!$H$4:$I$9)),"#",getgrade(Broadsheet!N43,data!$H$4:$I$9))</f>
        <v/>
      </c>
      <c r="AN43" s="188" t="str">
        <f>IF(ISERROR(getgrade(Broadsheet!O43,data!$H$4:$I$9)),"#",getgrade(Broadsheet!O43,data!$H$4:$I$9))</f>
        <v/>
      </c>
      <c r="AO43" s="188" t="str">
        <f>IF(ISERROR(getgrade(Broadsheet!P43,data!$H$4:$I$9)),"#",getgrade(Broadsheet!P43,data!$H$4:$I$9))</f>
        <v/>
      </c>
      <c r="AP43" s="188" t="str">
        <f>IF(ISERROR(getgrade(Broadsheet!Q43,data!$H$4:$I$9)),"#",getgrade(Broadsheet!Q43,data!$H$4:$I$9))</f>
        <v/>
      </c>
      <c r="AQ43" s="188" t="str">
        <f>IF(ISERROR(getgrade(Broadsheet!R43,data!$H$4:$I$9)),"#",getgrade(Broadsheet!R43,data!$H$4:$I$9))</f>
        <v/>
      </c>
      <c r="AR43" s="188" t="str">
        <f>IF(ISERROR(getgrade(Broadsheet!S43,data!$H$4:$I$9)),"#",getgrade(Broadsheet!S43,data!$H$4:$I$9))</f>
        <v/>
      </c>
      <c r="AS43" s="188" t="str">
        <f>IF(ISERROR(getgrade(Broadsheet!T43,data!$H$4:$I$9)),"#",getgrade(Broadsheet!T43,data!$H$4:$I$9))</f>
        <v/>
      </c>
      <c r="AT43" s="188" t="str">
        <f>IF(ISERROR(getgrade(Broadsheet!U43,data!$H$4:$I$9)),"#",getgrade(Broadsheet!U43,data!$H$4:$I$9))</f>
        <v/>
      </c>
      <c r="AU43" s="188" t="str">
        <f>IF(ISERROR(getgrade(Broadsheet!V43,data!$H$4:$I$9)),"#",getgrade(Broadsheet!V43,data!$H$4:$I$9))</f>
        <v/>
      </c>
      <c r="AV43" s="188" t="str">
        <f>IF(ISERROR(getgrade(Broadsheet!W43,data!$H$4:$I$9)),"#",getgrade(Broadsheet!W43,data!$H$4:$I$9))</f>
        <v/>
      </c>
      <c r="AW43" s="188" t="str">
        <f>IF(ISERROR(getgrade(Broadsheet!X43,data!$H$4:$I$9)),"#",getgrade(Broadsheet!X43,data!$H$4:$I$9))</f>
        <v/>
      </c>
      <c r="AX43" s="188" t="str">
        <f>IF(ISERROR(getgrade(Broadsheet!Y43,data!$H$4:$I$9)),"#",getgrade(Broadsheet!Y43,data!$H$4:$I$9))</f>
        <v/>
      </c>
      <c r="AY43" s="188" t="str">
        <f>IF(ISERROR(getgrade(Broadsheet!Z43,data!$H$4:$I$9)),"#",getgrade(Broadsheet!Z43,data!$H$4:$I$9))</f>
        <v/>
      </c>
      <c r="AZ43" s="188" t="str">
        <f>IF(ISERROR(getgrade(Broadsheet!AA43,data!$H$4:$I$9)),"#",getgrade(Broadsheet!AA43,data!$H$4:$I$9))</f>
        <v/>
      </c>
      <c r="BA43" s="188" t="str">
        <f>IF(ISERROR(getgrade(Broadsheet!AB43,data!$H$4:$I$9)),"#",getgrade(Broadsheet!AB43,data!$H$4:$I$9))</f>
        <v/>
      </c>
      <c r="BB43" s="188" t="str">
        <f>IF(ISERROR(getgrade(Broadsheet!AC43,data!$H$4:$I$9)),"#",getgrade(Broadsheet!AC43,data!$H$4:$I$9))</f>
        <v/>
      </c>
      <c r="BC43" s="188" t="str">
        <f>IF(ISERROR(getgrade(Broadsheet!AD43,data!$H$4:$I$9)),"#",getgrade(Broadsheet!AD43,data!$H$4:$I$9))</f>
        <v/>
      </c>
      <c r="BD43" s="188" t="str">
        <f>IF(ISERROR(getgrade(Broadsheet!AE43,data!$H$4:$I$9)),"#",getgrade(Broadsheet!AE43,data!$H$4:$I$9))</f>
        <v/>
      </c>
      <c r="BE43" s="188" t="str">
        <f>IF(ISERROR(getgrade(Broadsheet!AF43,data!$H$4:$I$9)),"#",getgrade(Broadsheet!AF43,data!$H$4:$I$9))</f>
        <v/>
      </c>
      <c r="BF43" s="188" t="str">
        <f>IF(ISERROR(getgrade(Broadsheet!AG43,data!$H$4:$I$9)),"#",getgrade(Broadsheet!AG43,data!$H$4:$I$9))</f>
        <v/>
      </c>
      <c r="BG43" s="188" t="str">
        <f>IF(ISERROR(getgrade(Broadsheet!AH43,data!$H$4:$I$9)),"#",getgrade(Broadsheet!AH43,data!$H$4:$I$9))</f>
        <v/>
      </c>
      <c r="BH43" s="188" t="str">
        <f>IF(ISERROR(getgrade(Broadsheet!AI43,data!$H$4:$I$9)),"#",getgrade(Broadsheet!AI43,data!$H$4:$I$9))</f>
        <v/>
      </c>
      <c r="BI43" s="188" t="str">
        <f>IF(ISERROR(getgrade(Broadsheet!AJ43,data!$H$4:$I$9)),"#",getgrade(Broadsheet!AJ43,data!$H$4:$I$9))</f>
        <v/>
      </c>
      <c r="BJ43" s="188" t="str">
        <f>IF(ISERROR(getgrade(Broadsheet!AK43,data!$H$4:$I$9)),"#",getgrade(Broadsheet!AK43,data!$H$4:$I$9))</f>
        <v/>
      </c>
      <c r="BK43" s="188" t="str">
        <f>IF(ISERROR(getgrade(Broadsheet!AL43,data!$H$4:$I$9)),"#",getgrade(Broadsheet!AL43,data!$H$4:$I$9))</f>
        <v/>
      </c>
      <c r="BL43" s="188" t="str">
        <f>IF(ISERROR(getgrade(Broadsheet!AM43,data!$H$4:$I$9)),"#",getgrade(Broadsheet!AM43,data!$H$4:$I$9))</f>
        <v/>
      </c>
      <c r="BM43" s="188" t="str">
        <f>IF(ISERROR(getgrade(Broadsheet!AN43,data!$H$4:$I$9)),"#",getgrade(Broadsheet!AN43,data!$H$4:$I$9))</f>
        <v/>
      </c>
      <c r="BN43" s="188" t="str">
        <f>IF(ISERROR(getgrade(Broadsheet!AO43,data!$H$4:$I$9)),"#",getgrade(Broadsheet!AO43,data!$H$4:$I$9))</f>
        <v/>
      </c>
      <c r="BO43" s="188" t="str">
        <f>IF(ISERROR(getgrade(Broadsheet!AP43,data!$H$4:$I$9)),"#",getgrade(Broadsheet!AP43,data!$H$4:$I$9))</f>
        <v/>
      </c>
      <c r="BP43" s="188" t="str">
        <f>IF(ISERROR(getgrade(Broadsheet!AQ43,data!$H$4:$I$9)),"#",getgrade(Broadsheet!AQ43,data!$H$4:$I$9))</f>
        <v/>
      </c>
      <c r="BQ43" s="188" t="str">
        <f>IF(ISERROR(getgrade(Broadsheet!AR43,data!$H$4:$I$9)),"#",getgrade(Broadsheet!AR43,data!$H$4:$I$9))</f>
        <v/>
      </c>
      <c r="BR43" s="188" t="str">
        <f>IF(ISERROR(getgrade(Broadsheet!AS43,data!$H$4:$I$9)),"#",getgrade(Broadsheet!AS43,data!$H$4:$I$9))</f>
        <v/>
      </c>
      <c r="BS43" s="188" t="str">
        <f>IF(ISERROR(getgrade(Broadsheet!AT43,data!$H$4:$I$9)),"#",getgrade(Broadsheet!AT43,data!$H$4:$I$9))</f>
        <v/>
      </c>
      <c r="BT43" s="188" t="str">
        <f>IF(ISERROR(getgrade(Broadsheet!AU43,data!$H$4:$I$9)),"#",getgrade(Broadsheet!AU43,data!$H$4:$I$9))</f>
        <v/>
      </c>
      <c r="BU43" s="188" t="str">
        <f>IF(ISERROR(getgrade(Broadsheet!AV43,data!$H$4:$I$9)),"#",getgrade(Broadsheet!AV43,data!$H$4:$I$9))</f>
        <v/>
      </c>
      <c r="BV43" s="188" t="str">
        <f>IF(ISERROR(getgrade(Broadsheet!AW43,data!$H$4:$I$9)),"#",getgrade(Broadsheet!AW43,data!$H$4:$I$9))</f>
        <v/>
      </c>
      <c r="BW43" s="188" t="str">
        <f>IF(ISERROR(getgrade(Broadsheet!AX43,data!$H$4:$I$9)),"#",getgrade(Broadsheet!AX43,data!$H$4:$I$9))</f>
        <v/>
      </c>
      <c r="BX43" s="188" t="str">
        <f>IF(ISERROR(getgrade(Broadsheet!AY43,data!$H$4:$I$9)),"#",getgrade(Broadsheet!AY43,data!$H$4:$I$9))</f>
        <v/>
      </c>
      <c r="BY43" s="188" t="str">
        <f>IF(ISERROR(getgrade(Broadsheet!AZ43,data!$H$4:$I$9)),"#",getgrade(Broadsheet!AZ43,data!$H$4:$I$9))</f>
        <v/>
      </c>
      <c r="BZ43" s="188" t="str">
        <f>IF(ISERROR(getgrade(Broadsheet!BA43,data!$H$4:$I$9)),"#",getgrade(Broadsheet!BA43,data!$H$4:$I$9))</f>
        <v/>
      </c>
      <c r="CA43" s="188" t="str">
        <f>IF(ISERROR(getgrade(Broadsheet!BB43,data!$H$4:$I$9)),"#",getgrade(Broadsheet!BB43,data!$H$4:$I$9))</f>
        <v/>
      </c>
      <c r="CB43" s="188" t="str">
        <f>IF(ISERROR(getgrade(Broadsheet!BC43,data!$H$4:$I$9)),"#",getgrade(Broadsheet!BC43,data!$H$4:$I$9))</f>
        <v/>
      </c>
      <c r="CC43" s="188" t="str">
        <f>IF(ISERROR(getgrade(Broadsheet!BD43,data!$H$4:$I$9)),"#",getgrade(Broadsheet!BD43,data!$H$4:$I$9))</f>
        <v/>
      </c>
      <c r="CD43" s="188" t="str">
        <f>IF(ISERROR(getgrade(Broadsheet!BE43,data!$H$4:$I$9)),"#",getgrade(Broadsheet!BE43,data!$H$4:$I$9))</f>
        <v/>
      </c>
      <c r="CE43" s="188" t="str">
        <f>IF(ISERROR(getgrade(Broadsheet!BF43,data!$H$4:$I$9)),"#",getgrade(Broadsheet!BF43,data!$H$4:$I$9))</f>
        <v/>
      </c>
      <c r="CF43" s="188" t="str">
        <f>IF(ISERROR(getgrade(Broadsheet!BG43,data!$H$4:$I$9)),"#",getgrade(Broadsheet!BG43,data!$H$4:$I$9))</f>
        <v/>
      </c>
      <c r="CG43" s="188" t="str">
        <f>IF(ISERROR(getgrade(Broadsheet!BH43,data!$H$4:$I$9)),"#",getgrade(Broadsheet!BH43,data!$H$4:$I$9))</f>
        <v/>
      </c>
      <c r="CH43" s="188" t="str">
        <f>IF(ISERROR(getgrade(Broadsheet!BI43,data!$H$4:$I$9)),"#",getgrade(Broadsheet!BI43,data!$H$4:$I$9))</f>
        <v/>
      </c>
      <c r="CI43" s="188" t="str">
        <f>IF(ISERROR(getgrade(Broadsheet!BJ43,data!$H$4:$I$9)),"#",getgrade(Broadsheet!BJ43,data!$H$4:$I$9))</f>
        <v/>
      </c>
      <c r="CJ43" s="188"/>
      <c r="CK43" s="188"/>
      <c r="CL43" s="188"/>
      <c r="CM43" s="188"/>
      <c r="CN43" s="188"/>
      <c r="CO43" s="188"/>
      <c r="CP43" s="188"/>
      <c r="CQ43" s="188"/>
      <c r="CR43" s="188"/>
      <c r="CS43" s="188"/>
      <c r="CT43" s="188"/>
      <c r="CU43" s="188"/>
      <c r="CV43" s="188"/>
      <c r="CW43" s="188"/>
      <c r="CX43" s="188"/>
      <c r="CY43" s="188"/>
      <c r="CZ43" s="188"/>
      <c r="DA43" s="188"/>
      <c r="DB43" s="188"/>
      <c r="DC43" s="188"/>
      <c r="DD43" s="188"/>
      <c r="DE43" s="188"/>
      <c r="DF43" s="188"/>
      <c r="DG43" s="188"/>
      <c r="DH43" s="188"/>
      <c r="DI43" s="188"/>
      <c r="DJ43" s="188"/>
      <c r="DK43" s="188"/>
      <c r="DL43" s="188"/>
      <c r="DM43" s="188"/>
      <c r="DN43" s="188"/>
      <c r="DO43" s="188"/>
      <c r="DP43" s="188"/>
      <c r="DQ43" s="188"/>
      <c r="DR43" s="188"/>
      <c r="DS43" s="188"/>
      <c r="DT43" s="188"/>
      <c r="DU43" s="188"/>
      <c r="DV43" s="188"/>
      <c r="DW43" s="188"/>
      <c r="DX43" s="188"/>
      <c r="DY43" s="188"/>
      <c r="DZ43" s="188"/>
      <c r="EA43" s="188"/>
      <c r="EB43" s="188"/>
      <c r="EC43" s="188"/>
      <c r="ED43" s="188"/>
      <c r="EE43" s="188"/>
      <c r="EF43" s="188"/>
      <c r="EG43" s="188"/>
      <c r="EH43" s="188"/>
      <c r="EI43" s="188"/>
      <c r="EJ43" s="188"/>
      <c r="EK43" s="188"/>
      <c r="EL43" s="188"/>
      <c r="EM43" s="188"/>
      <c r="EN43" s="188"/>
      <c r="EO43" s="188"/>
      <c r="EP43" s="188"/>
      <c r="EQ43" s="188"/>
      <c r="ER43" s="188"/>
      <c r="ES43" s="188"/>
      <c r="ET43" s="188"/>
      <c r="EU43" s="188"/>
      <c r="EV43" s="188"/>
      <c r="EW43" s="188"/>
      <c r="EX43" s="188"/>
      <c r="EY43" s="188"/>
      <c r="EZ43" s="188"/>
    </row>
    <row r="44" spans="1:156" ht="15.75" x14ac:dyDescent="0.25">
      <c r="A44" s="12">
        <v>35</v>
      </c>
      <c r="B44" s="16"/>
      <c r="C44" s="24"/>
      <c r="D44" s="110"/>
      <c r="E44" s="110"/>
      <c r="F44" s="110"/>
      <c r="G44" s="110"/>
      <c r="H44" s="110"/>
      <c r="I44" s="110"/>
      <c r="J44" s="110"/>
      <c r="K44" s="110"/>
      <c r="L44" s="110"/>
      <c r="M44" s="110"/>
      <c r="N44" s="110"/>
      <c r="O44" s="110"/>
      <c r="P44" s="110"/>
      <c r="Q44" s="110"/>
      <c r="R44" s="110"/>
      <c r="S44" s="110"/>
      <c r="T44" s="110"/>
      <c r="U44" s="110"/>
      <c r="V44" s="110"/>
      <c r="W44" s="110"/>
      <c r="X44" s="107"/>
      <c r="Y44" s="110"/>
      <c r="Z44" s="19"/>
      <c r="AA44" s="25"/>
      <c r="AB44" s="21"/>
      <c r="AC44" s="25"/>
      <c r="AD44" s="25"/>
      <c r="AE44" s="20"/>
      <c r="AG44" s="188" t="str">
        <f>IF(ISERROR(getgrade(Broadsheet!H44,data!$H$4:$I$9)),"#",getgrade(Broadsheet!H44,data!$H$4:$I$9))</f>
        <v/>
      </c>
      <c r="AH44" s="188" t="str">
        <f>IF(ISERROR(getgrade(Broadsheet!I44,data!$H$4:$I$9)),"#",getgrade(Broadsheet!I44,data!$H$4:$I$9))</f>
        <v/>
      </c>
      <c r="AI44" s="188" t="str">
        <f>IF(ISERROR(getgrade(Broadsheet!J44,data!$H$4:$I$9)),"#",getgrade(Broadsheet!J44,data!$H$4:$I$9))</f>
        <v/>
      </c>
      <c r="AJ44" s="188" t="str">
        <f>IF(ISERROR(getgrade(Broadsheet!K44,data!$H$4:$I$9)),"#",getgrade(Broadsheet!K44,data!$H$4:$I$9))</f>
        <v/>
      </c>
      <c r="AK44" s="188" t="str">
        <f>IF(ISERROR(getgrade(Broadsheet!L44,data!$H$4:$I$9)),"#",getgrade(Broadsheet!L44,data!$H$4:$I$9))</f>
        <v/>
      </c>
      <c r="AL44" s="188" t="str">
        <f>IF(ISERROR(getgrade(Broadsheet!M44,data!$H$4:$I$9)),"#",getgrade(Broadsheet!M44,data!$H$4:$I$9))</f>
        <v/>
      </c>
      <c r="AM44" s="188" t="str">
        <f>IF(ISERROR(getgrade(Broadsheet!N44,data!$H$4:$I$9)),"#",getgrade(Broadsheet!N44,data!$H$4:$I$9))</f>
        <v/>
      </c>
      <c r="AN44" s="188" t="str">
        <f>IF(ISERROR(getgrade(Broadsheet!O44,data!$H$4:$I$9)),"#",getgrade(Broadsheet!O44,data!$H$4:$I$9))</f>
        <v/>
      </c>
      <c r="AO44" s="188" t="str">
        <f>IF(ISERROR(getgrade(Broadsheet!P44,data!$H$4:$I$9)),"#",getgrade(Broadsheet!P44,data!$H$4:$I$9))</f>
        <v/>
      </c>
      <c r="AP44" s="188" t="str">
        <f>IF(ISERROR(getgrade(Broadsheet!Q44,data!$H$4:$I$9)),"#",getgrade(Broadsheet!Q44,data!$H$4:$I$9))</f>
        <v/>
      </c>
      <c r="AQ44" s="188" t="str">
        <f>IF(ISERROR(getgrade(Broadsheet!R44,data!$H$4:$I$9)),"#",getgrade(Broadsheet!R44,data!$H$4:$I$9))</f>
        <v/>
      </c>
      <c r="AR44" s="188" t="str">
        <f>IF(ISERROR(getgrade(Broadsheet!S44,data!$H$4:$I$9)),"#",getgrade(Broadsheet!S44,data!$H$4:$I$9))</f>
        <v/>
      </c>
      <c r="AS44" s="188" t="str">
        <f>IF(ISERROR(getgrade(Broadsheet!T44,data!$H$4:$I$9)),"#",getgrade(Broadsheet!T44,data!$H$4:$I$9))</f>
        <v/>
      </c>
      <c r="AT44" s="188" t="str">
        <f>IF(ISERROR(getgrade(Broadsheet!U44,data!$H$4:$I$9)),"#",getgrade(Broadsheet!U44,data!$H$4:$I$9))</f>
        <v/>
      </c>
      <c r="AU44" s="188" t="str">
        <f>IF(ISERROR(getgrade(Broadsheet!V44,data!$H$4:$I$9)),"#",getgrade(Broadsheet!V44,data!$H$4:$I$9))</f>
        <v/>
      </c>
      <c r="AV44" s="188" t="str">
        <f>IF(ISERROR(getgrade(Broadsheet!W44,data!$H$4:$I$9)),"#",getgrade(Broadsheet!W44,data!$H$4:$I$9))</f>
        <v/>
      </c>
      <c r="AW44" s="188" t="str">
        <f>IF(ISERROR(getgrade(Broadsheet!X44,data!$H$4:$I$9)),"#",getgrade(Broadsheet!X44,data!$H$4:$I$9))</f>
        <v/>
      </c>
      <c r="AX44" s="188" t="str">
        <f>IF(ISERROR(getgrade(Broadsheet!Y44,data!$H$4:$I$9)),"#",getgrade(Broadsheet!Y44,data!$H$4:$I$9))</f>
        <v/>
      </c>
      <c r="AY44" s="188" t="str">
        <f>IF(ISERROR(getgrade(Broadsheet!Z44,data!$H$4:$I$9)),"#",getgrade(Broadsheet!Z44,data!$H$4:$I$9))</f>
        <v/>
      </c>
      <c r="AZ44" s="188" t="str">
        <f>IF(ISERROR(getgrade(Broadsheet!AA44,data!$H$4:$I$9)),"#",getgrade(Broadsheet!AA44,data!$H$4:$I$9))</f>
        <v/>
      </c>
      <c r="BA44" s="188" t="str">
        <f>IF(ISERROR(getgrade(Broadsheet!AB44,data!$H$4:$I$9)),"#",getgrade(Broadsheet!AB44,data!$H$4:$I$9))</f>
        <v/>
      </c>
      <c r="BB44" s="188" t="str">
        <f>IF(ISERROR(getgrade(Broadsheet!AC44,data!$H$4:$I$9)),"#",getgrade(Broadsheet!AC44,data!$H$4:$I$9))</f>
        <v/>
      </c>
      <c r="BC44" s="188" t="str">
        <f>IF(ISERROR(getgrade(Broadsheet!AD44,data!$H$4:$I$9)),"#",getgrade(Broadsheet!AD44,data!$H$4:$I$9))</f>
        <v/>
      </c>
      <c r="BD44" s="188" t="str">
        <f>IF(ISERROR(getgrade(Broadsheet!AE44,data!$H$4:$I$9)),"#",getgrade(Broadsheet!AE44,data!$H$4:$I$9))</f>
        <v/>
      </c>
      <c r="BE44" s="188" t="str">
        <f>IF(ISERROR(getgrade(Broadsheet!AF44,data!$H$4:$I$9)),"#",getgrade(Broadsheet!AF44,data!$H$4:$I$9))</f>
        <v/>
      </c>
      <c r="BF44" s="188" t="str">
        <f>IF(ISERROR(getgrade(Broadsheet!AG44,data!$H$4:$I$9)),"#",getgrade(Broadsheet!AG44,data!$H$4:$I$9))</f>
        <v/>
      </c>
      <c r="BG44" s="188" t="str">
        <f>IF(ISERROR(getgrade(Broadsheet!AH44,data!$H$4:$I$9)),"#",getgrade(Broadsheet!AH44,data!$H$4:$I$9))</f>
        <v/>
      </c>
      <c r="BH44" s="188" t="str">
        <f>IF(ISERROR(getgrade(Broadsheet!AI44,data!$H$4:$I$9)),"#",getgrade(Broadsheet!AI44,data!$H$4:$I$9))</f>
        <v/>
      </c>
      <c r="BI44" s="188" t="str">
        <f>IF(ISERROR(getgrade(Broadsheet!AJ44,data!$H$4:$I$9)),"#",getgrade(Broadsheet!AJ44,data!$H$4:$I$9))</f>
        <v/>
      </c>
      <c r="BJ44" s="188" t="str">
        <f>IF(ISERROR(getgrade(Broadsheet!AK44,data!$H$4:$I$9)),"#",getgrade(Broadsheet!AK44,data!$H$4:$I$9))</f>
        <v/>
      </c>
      <c r="BK44" s="188" t="str">
        <f>IF(ISERROR(getgrade(Broadsheet!AL44,data!$H$4:$I$9)),"#",getgrade(Broadsheet!AL44,data!$H$4:$I$9))</f>
        <v/>
      </c>
      <c r="BL44" s="188" t="str">
        <f>IF(ISERROR(getgrade(Broadsheet!AM44,data!$H$4:$I$9)),"#",getgrade(Broadsheet!AM44,data!$H$4:$I$9))</f>
        <v/>
      </c>
      <c r="BM44" s="188" t="str">
        <f>IF(ISERROR(getgrade(Broadsheet!AN44,data!$H$4:$I$9)),"#",getgrade(Broadsheet!AN44,data!$H$4:$I$9))</f>
        <v/>
      </c>
      <c r="BN44" s="188" t="str">
        <f>IF(ISERROR(getgrade(Broadsheet!AO44,data!$H$4:$I$9)),"#",getgrade(Broadsheet!AO44,data!$H$4:$I$9))</f>
        <v/>
      </c>
      <c r="BO44" s="188" t="str">
        <f>IF(ISERROR(getgrade(Broadsheet!AP44,data!$H$4:$I$9)),"#",getgrade(Broadsheet!AP44,data!$H$4:$I$9))</f>
        <v/>
      </c>
      <c r="BP44" s="188" t="str">
        <f>IF(ISERROR(getgrade(Broadsheet!AQ44,data!$H$4:$I$9)),"#",getgrade(Broadsheet!AQ44,data!$H$4:$I$9))</f>
        <v/>
      </c>
      <c r="BQ44" s="188" t="str">
        <f>IF(ISERROR(getgrade(Broadsheet!AR44,data!$H$4:$I$9)),"#",getgrade(Broadsheet!AR44,data!$H$4:$I$9))</f>
        <v/>
      </c>
      <c r="BR44" s="188" t="str">
        <f>IF(ISERROR(getgrade(Broadsheet!AS44,data!$H$4:$I$9)),"#",getgrade(Broadsheet!AS44,data!$H$4:$I$9))</f>
        <v/>
      </c>
      <c r="BS44" s="188" t="str">
        <f>IF(ISERROR(getgrade(Broadsheet!AT44,data!$H$4:$I$9)),"#",getgrade(Broadsheet!AT44,data!$H$4:$I$9))</f>
        <v/>
      </c>
      <c r="BT44" s="188" t="str">
        <f>IF(ISERROR(getgrade(Broadsheet!AU44,data!$H$4:$I$9)),"#",getgrade(Broadsheet!AU44,data!$H$4:$I$9))</f>
        <v/>
      </c>
      <c r="BU44" s="188" t="str">
        <f>IF(ISERROR(getgrade(Broadsheet!AV44,data!$H$4:$I$9)),"#",getgrade(Broadsheet!AV44,data!$H$4:$I$9))</f>
        <v/>
      </c>
      <c r="BV44" s="188" t="str">
        <f>IF(ISERROR(getgrade(Broadsheet!AW44,data!$H$4:$I$9)),"#",getgrade(Broadsheet!AW44,data!$H$4:$I$9))</f>
        <v/>
      </c>
      <c r="BW44" s="188" t="str">
        <f>IF(ISERROR(getgrade(Broadsheet!AX44,data!$H$4:$I$9)),"#",getgrade(Broadsheet!AX44,data!$H$4:$I$9))</f>
        <v/>
      </c>
      <c r="BX44" s="188" t="str">
        <f>IF(ISERROR(getgrade(Broadsheet!AY44,data!$H$4:$I$9)),"#",getgrade(Broadsheet!AY44,data!$H$4:$I$9))</f>
        <v/>
      </c>
      <c r="BY44" s="188" t="str">
        <f>IF(ISERROR(getgrade(Broadsheet!AZ44,data!$H$4:$I$9)),"#",getgrade(Broadsheet!AZ44,data!$H$4:$I$9))</f>
        <v/>
      </c>
      <c r="BZ44" s="188" t="str">
        <f>IF(ISERROR(getgrade(Broadsheet!BA44,data!$H$4:$I$9)),"#",getgrade(Broadsheet!BA44,data!$H$4:$I$9))</f>
        <v/>
      </c>
      <c r="CA44" s="188" t="str">
        <f>IF(ISERROR(getgrade(Broadsheet!BB44,data!$H$4:$I$9)),"#",getgrade(Broadsheet!BB44,data!$H$4:$I$9))</f>
        <v/>
      </c>
      <c r="CB44" s="188" t="str">
        <f>IF(ISERROR(getgrade(Broadsheet!BC44,data!$H$4:$I$9)),"#",getgrade(Broadsheet!BC44,data!$H$4:$I$9))</f>
        <v/>
      </c>
      <c r="CC44" s="188" t="str">
        <f>IF(ISERROR(getgrade(Broadsheet!BD44,data!$H$4:$I$9)),"#",getgrade(Broadsheet!BD44,data!$H$4:$I$9))</f>
        <v/>
      </c>
      <c r="CD44" s="188" t="str">
        <f>IF(ISERROR(getgrade(Broadsheet!BE44,data!$H$4:$I$9)),"#",getgrade(Broadsheet!BE44,data!$H$4:$I$9))</f>
        <v/>
      </c>
      <c r="CE44" s="188" t="str">
        <f>IF(ISERROR(getgrade(Broadsheet!BF44,data!$H$4:$I$9)),"#",getgrade(Broadsheet!BF44,data!$H$4:$I$9))</f>
        <v/>
      </c>
      <c r="CF44" s="188" t="str">
        <f>IF(ISERROR(getgrade(Broadsheet!BG44,data!$H$4:$I$9)),"#",getgrade(Broadsheet!BG44,data!$H$4:$I$9))</f>
        <v/>
      </c>
      <c r="CG44" s="188" t="str">
        <f>IF(ISERROR(getgrade(Broadsheet!BH44,data!$H$4:$I$9)),"#",getgrade(Broadsheet!BH44,data!$H$4:$I$9))</f>
        <v/>
      </c>
      <c r="CH44" s="188" t="str">
        <f>IF(ISERROR(getgrade(Broadsheet!BI44,data!$H$4:$I$9)),"#",getgrade(Broadsheet!BI44,data!$H$4:$I$9))</f>
        <v/>
      </c>
      <c r="CI44" s="188" t="str">
        <f>IF(ISERROR(getgrade(Broadsheet!BJ44,data!$H$4:$I$9)),"#",getgrade(Broadsheet!BJ44,data!$H$4:$I$9))</f>
        <v/>
      </c>
      <c r="CJ44" s="188"/>
      <c r="CK44" s="188"/>
      <c r="CL44" s="188"/>
      <c r="CM44" s="188"/>
      <c r="CN44" s="188"/>
      <c r="CO44" s="188"/>
      <c r="CP44" s="188"/>
      <c r="CQ44" s="188"/>
      <c r="CR44" s="188"/>
      <c r="CS44" s="188"/>
      <c r="CT44" s="188"/>
      <c r="CU44" s="188"/>
      <c r="CV44" s="188"/>
      <c r="CW44" s="188"/>
      <c r="CX44" s="188"/>
      <c r="CY44" s="188"/>
      <c r="CZ44" s="188"/>
      <c r="DA44" s="188"/>
      <c r="DB44" s="188"/>
      <c r="DC44" s="188"/>
      <c r="DD44" s="188"/>
      <c r="DE44" s="188"/>
      <c r="DF44" s="188"/>
      <c r="DG44" s="188"/>
      <c r="DH44" s="188"/>
      <c r="DI44" s="188"/>
      <c r="DJ44" s="188"/>
      <c r="DK44" s="188"/>
      <c r="DL44" s="188"/>
      <c r="DM44" s="188"/>
      <c r="DN44" s="188"/>
      <c r="DO44" s="188"/>
      <c r="DP44" s="188"/>
      <c r="DQ44" s="188"/>
      <c r="DR44" s="188"/>
      <c r="DS44" s="188"/>
      <c r="DT44" s="188"/>
      <c r="DU44" s="188"/>
      <c r="DV44" s="188"/>
      <c r="DW44" s="188"/>
      <c r="DX44" s="188"/>
      <c r="DY44" s="188"/>
      <c r="DZ44" s="188"/>
      <c r="EA44" s="188"/>
      <c r="EB44" s="188"/>
      <c r="EC44" s="188"/>
      <c r="ED44" s="188"/>
      <c r="EE44" s="188"/>
      <c r="EF44" s="188"/>
      <c r="EG44" s="188"/>
      <c r="EH44" s="188"/>
      <c r="EI44" s="188"/>
      <c r="EJ44" s="188"/>
      <c r="EK44" s="188"/>
      <c r="EL44" s="188"/>
      <c r="EM44" s="188"/>
      <c r="EN44" s="188"/>
      <c r="EO44" s="188"/>
      <c r="EP44" s="188"/>
      <c r="EQ44" s="188"/>
      <c r="ER44" s="188"/>
      <c r="ES44" s="188"/>
      <c r="ET44" s="188"/>
      <c r="EU44" s="188"/>
      <c r="EV44" s="188"/>
      <c r="EW44" s="188"/>
      <c r="EX44" s="188"/>
      <c r="EY44" s="188"/>
      <c r="EZ44" s="188"/>
    </row>
    <row r="45" spans="1:156" ht="15.75" x14ac:dyDescent="0.25">
      <c r="A45" s="12">
        <v>36</v>
      </c>
      <c r="B45" s="16"/>
      <c r="C45" s="24"/>
      <c r="D45" s="110"/>
      <c r="E45" s="110"/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07"/>
      <c r="Y45" s="110"/>
      <c r="Z45" s="19"/>
      <c r="AA45" s="25"/>
      <c r="AB45" s="21"/>
      <c r="AC45" s="25"/>
      <c r="AD45" s="25"/>
      <c r="AE45" s="20"/>
      <c r="AG45" s="188" t="str">
        <f>IF(ISERROR(getgrade(Broadsheet!H45,data!$H$4:$I$9)),"#",getgrade(Broadsheet!H45,data!$H$4:$I$9))</f>
        <v/>
      </c>
      <c r="AH45" s="188" t="str">
        <f>IF(ISERROR(getgrade(Broadsheet!I45,data!$H$4:$I$9)),"#",getgrade(Broadsheet!I45,data!$H$4:$I$9))</f>
        <v/>
      </c>
      <c r="AI45" s="188" t="str">
        <f>IF(ISERROR(getgrade(Broadsheet!J45,data!$H$4:$I$9)),"#",getgrade(Broadsheet!J45,data!$H$4:$I$9))</f>
        <v/>
      </c>
      <c r="AJ45" s="188" t="str">
        <f>IF(ISERROR(getgrade(Broadsheet!K45,data!$H$4:$I$9)),"#",getgrade(Broadsheet!K45,data!$H$4:$I$9))</f>
        <v/>
      </c>
      <c r="AK45" s="188" t="str">
        <f>IF(ISERROR(getgrade(Broadsheet!L45,data!$H$4:$I$9)),"#",getgrade(Broadsheet!L45,data!$H$4:$I$9))</f>
        <v/>
      </c>
      <c r="AL45" s="188" t="str">
        <f>IF(ISERROR(getgrade(Broadsheet!M45,data!$H$4:$I$9)),"#",getgrade(Broadsheet!M45,data!$H$4:$I$9))</f>
        <v/>
      </c>
      <c r="AM45" s="188" t="str">
        <f>IF(ISERROR(getgrade(Broadsheet!N45,data!$H$4:$I$9)),"#",getgrade(Broadsheet!N45,data!$H$4:$I$9))</f>
        <v/>
      </c>
      <c r="AN45" s="188" t="str">
        <f>IF(ISERROR(getgrade(Broadsheet!O45,data!$H$4:$I$9)),"#",getgrade(Broadsheet!O45,data!$H$4:$I$9))</f>
        <v/>
      </c>
      <c r="AO45" s="188" t="str">
        <f>IF(ISERROR(getgrade(Broadsheet!P45,data!$H$4:$I$9)),"#",getgrade(Broadsheet!P45,data!$H$4:$I$9))</f>
        <v/>
      </c>
      <c r="AP45" s="188" t="str">
        <f>IF(ISERROR(getgrade(Broadsheet!Q45,data!$H$4:$I$9)),"#",getgrade(Broadsheet!Q45,data!$H$4:$I$9))</f>
        <v/>
      </c>
      <c r="AQ45" s="188" t="str">
        <f>IF(ISERROR(getgrade(Broadsheet!R45,data!$H$4:$I$9)),"#",getgrade(Broadsheet!R45,data!$H$4:$I$9))</f>
        <v/>
      </c>
      <c r="AR45" s="188" t="str">
        <f>IF(ISERROR(getgrade(Broadsheet!S45,data!$H$4:$I$9)),"#",getgrade(Broadsheet!S45,data!$H$4:$I$9))</f>
        <v/>
      </c>
      <c r="AS45" s="188" t="str">
        <f>IF(ISERROR(getgrade(Broadsheet!T45,data!$H$4:$I$9)),"#",getgrade(Broadsheet!T45,data!$H$4:$I$9))</f>
        <v/>
      </c>
      <c r="AT45" s="188" t="str">
        <f>IF(ISERROR(getgrade(Broadsheet!U45,data!$H$4:$I$9)),"#",getgrade(Broadsheet!U45,data!$H$4:$I$9))</f>
        <v/>
      </c>
      <c r="AU45" s="188" t="str">
        <f>IF(ISERROR(getgrade(Broadsheet!V45,data!$H$4:$I$9)),"#",getgrade(Broadsheet!V45,data!$H$4:$I$9))</f>
        <v/>
      </c>
      <c r="AV45" s="188" t="str">
        <f>IF(ISERROR(getgrade(Broadsheet!W45,data!$H$4:$I$9)),"#",getgrade(Broadsheet!W45,data!$H$4:$I$9))</f>
        <v/>
      </c>
      <c r="AW45" s="188" t="str">
        <f>IF(ISERROR(getgrade(Broadsheet!X45,data!$H$4:$I$9)),"#",getgrade(Broadsheet!X45,data!$H$4:$I$9))</f>
        <v/>
      </c>
      <c r="AX45" s="188" t="str">
        <f>IF(ISERROR(getgrade(Broadsheet!Y45,data!$H$4:$I$9)),"#",getgrade(Broadsheet!Y45,data!$H$4:$I$9))</f>
        <v/>
      </c>
      <c r="AY45" s="188" t="str">
        <f>IF(ISERROR(getgrade(Broadsheet!Z45,data!$H$4:$I$9)),"#",getgrade(Broadsheet!Z45,data!$H$4:$I$9))</f>
        <v/>
      </c>
      <c r="AZ45" s="188" t="str">
        <f>IF(ISERROR(getgrade(Broadsheet!AA45,data!$H$4:$I$9)),"#",getgrade(Broadsheet!AA45,data!$H$4:$I$9))</f>
        <v/>
      </c>
      <c r="BA45" s="188" t="str">
        <f>IF(ISERROR(getgrade(Broadsheet!AB45,data!$H$4:$I$9)),"#",getgrade(Broadsheet!AB45,data!$H$4:$I$9))</f>
        <v/>
      </c>
      <c r="BB45" s="188" t="str">
        <f>IF(ISERROR(getgrade(Broadsheet!AC45,data!$H$4:$I$9)),"#",getgrade(Broadsheet!AC45,data!$H$4:$I$9))</f>
        <v/>
      </c>
      <c r="BC45" s="188" t="str">
        <f>IF(ISERROR(getgrade(Broadsheet!AD45,data!$H$4:$I$9)),"#",getgrade(Broadsheet!AD45,data!$H$4:$I$9))</f>
        <v/>
      </c>
      <c r="BD45" s="188" t="str">
        <f>IF(ISERROR(getgrade(Broadsheet!AE45,data!$H$4:$I$9)),"#",getgrade(Broadsheet!AE45,data!$H$4:$I$9))</f>
        <v/>
      </c>
      <c r="BE45" s="188" t="str">
        <f>IF(ISERROR(getgrade(Broadsheet!AF45,data!$H$4:$I$9)),"#",getgrade(Broadsheet!AF45,data!$H$4:$I$9))</f>
        <v/>
      </c>
      <c r="BF45" s="188" t="str">
        <f>IF(ISERROR(getgrade(Broadsheet!AG45,data!$H$4:$I$9)),"#",getgrade(Broadsheet!AG45,data!$H$4:$I$9))</f>
        <v/>
      </c>
      <c r="BG45" s="188" t="str">
        <f>IF(ISERROR(getgrade(Broadsheet!AH45,data!$H$4:$I$9)),"#",getgrade(Broadsheet!AH45,data!$H$4:$I$9))</f>
        <v/>
      </c>
      <c r="BH45" s="188" t="str">
        <f>IF(ISERROR(getgrade(Broadsheet!AI45,data!$H$4:$I$9)),"#",getgrade(Broadsheet!AI45,data!$H$4:$I$9))</f>
        <v/>
      </c>
      <c r="BI45" s="188" t="str">
        <f>IF(ISERROR(getgrade(Broadsheet!AJ45,data!$H$4:$I$9)),"#",getgrade(Broadsheet!AJ45,data!$H$4:$I$9))</f>
        <v/>
      </c>
      <c r="BJ45" s="188" t="str">
        <f>IF(ISERROR(getgrade(Broadsheet!AK45,data!$H$4:$I$9)),"#",getgrade(Broadsheet!AK45,data!$H$4:$I$9))</f>
        <v/>
      </c>
      <c r="BK45" s="188" t="str">
        <f>IF(ISERROR(getgrade(Broadsheet!AL45,data!$H$4:$I$9)),"#",getgrade(Broadsheet!AL45,data!$H$4:$I$9))</f>
        <v/>
      </c>
      <c r="BL45" s="188" t="str">
        <f>IF(ISERROR(getgrade(Broadsheet!AM45,data!$H$4:$I$9)),"#",getgrade(Broadsheet!AM45,data!$H$4:$I$9))</f>
        <v/>
      </c>
      <c r="BM45" s="188" t="str">
        <f>IF(ISERROR(getgrade(Broadsheet!AN45,data!$H$4:$I$9)),"#",getgrade(Broadsheet!AN45,data!$H$4:$I$9))</f>
        <v/>
      </c>
      <c r="BN45" s="188" t="str">
        <f>IF(ISERROR(getgrade(Broadsheet!AO45,data!$H$4:$I$9)),"#",getgrade(Broadsheet!AO45,data!$H$4:$I$9))</f>
        <v/>
      </c>
      <c r="BO45" s="188" t="str">
        <f>IF(ISERROR(getgrade(Broadsheet!AP45,data!$H$4:$I$9)),"#",getgrade(Broadsheet!AP45,data!$H$4:$I$9))</f>
        <v/>
      </c>
      <c r="BP45" s="188" t="str">
        <f>IF(ISERROR(getgrade(Broadsheet!AQ45,data!$H$4:$I$9)),"#",getgrade(Broadsheet!AQ45,data!$H$4:$I$9))</f>
        <v/>
      </c>
      <c r="BQ45" s="188" t="str">
        <f>IF(ISERROR(getgrade(Broadsheet!AR45,data!$H$4:$I$9)),"#",getgrade(Broadsheet!AR45,data!$H$4:$I$9))</f>
        <v/>
      </c>
      <c r="BR45" s="188" t="str">
        <f>IF(ISERROR(getgrade(Broadsheet!AS45,data!$H$4:$I$9)),"#",getgrade(Broadsheet!AS45,data!$H$4:$I$9))</f>
        <v/>
      </c>
      <c r="BS45" s="188" t="str">
        <f>IF(ISERROR(getgrade(Broadsheet!AT45,data!$H$4:$I$9)),"#",getgrade(Broadsheet!AT45,data!$H$4:$I$9))</f>
        <v/>
      </c>
      <c r="BT45" s="188" t="str">
        <f>IF(ISERROR(getgrade(Broadsheet!AU45,data!$H$4:$I$9)),"#",getgrade(Broadsheet!AU45,data!$H$4:$I$9))</f>
        <v/>
      </c>
      <c r="BU45" s="188" t="str">
        <f>IF(ISERROR(getgrade(Broadsheet!AV45,data!$H$4:$I$9)),"#",getgrade(Broadsheet!AV45,data!$H$4:$I$9))</f>
        <v/>
      </c>
      <c r="BV45" s="188" t="str">
        <f>IF(ISERROR(getgrade(Broadsheet!AW45,data!$H$4:$I$9)),"#",getgrade(Broadsheet!AW45,data!$H$4:$I$9))</f>
        <v/>
      </c>
      <c r="BW45" s="188" t="str">
        <f>IF(ISERROR(getgrade(Broadsheet!AX45,data!$H$4:$I$9)),"#",getgrade(Broadsheet!AX45,data!$H$4:$I$9))</f>
        <v/>
      </c>
      <c r="BX45" s="188" t="str">
        <f>IF(ISERROR(getgrade(Broadsheet!AY45,data!$H$4:$I$9)),"#",getgrade(Broadsheet!AY45,data!$H$4:$I$9))</f>
        <v/>
      </c>
      <c r="BY45" s="188" t="str">
        <f>IF(ISERROR(getgrade(Broadsheet!AZ45,data!$H$4:$I$9)),"#",getgrade(Broadsheet!AZ45,data!$H$4:$I$9))</f>
        <v/>
      </c>
      <c r="BZ45" s="188" t="str">
        <f>IF(ISERROR(getgrade(Broadsheet!BA45,data!$H$4:$I$9)),"#",getgrade(Broadsheet!BA45,data!$H$4:$I$9))</f>
        <v/>
      </c>
      <c r="CA45" s="188" t="str">
        <f>IF(ISERROR(getgrade(Broadsheet!BB45,data!$H$4:$I$9)),"#",getgrade(Broadsheet!BB45,data!$H$4:$I$9))</f>
        <v/>
      </c>
      <c r="CB45" s="188" t="str">
        <f>IF(ISERROR(getgrade(Broadsheet!BC45,data!$H$4:$I$9)),"#",getgrade(Broadsheet!BC45,data!$H$4:$I$9))</f>
        <v/>
      </c>
      <c r="CC45" s="188" t="str">
        <f>IF(ISERROR(getgrade(Broadsheet!BD45,data!$H$4:$I$9)),"#",getgrade(Broadsheet!BD45,data!$H$4:$I$9))</f>
        <v/>
      </c>
      <c r="CD45" s="188" t="str">
        <f>IF(ISERROR(getgrade(Broadsheet!BE45,data!$H$4:$I$9)),"#",getgrade(Broadsheet!BE45,data!$H$4:$I$9))</f>
        <v/>
      </c>
      <c r="CE45" s="188" t="str">
        <f>IF(ISERROR(getgrade(Broadsheet!BF45,data!$H$4:$I$9)),"#",getgrade(Broadsheet!BF45,data!$H$4:$I$9))</f>
        <v/>
      </c>
      <c r="CF45" s="188" t="str">
        <f>IF(ISERROR(getgrade(Broadsheet!BG45,data!$H$4:$I$9)),"#",getgrade(Broadsheet!BG45,data!$H$4:$I$9))</f>
        <v/>
      </c>
      <c r="CG45" s="188" t="str">
        <f>IF(ISERROR(getgrade(Broadsheet!BH45,data!$H$4:$I$9)),"#",getgrade(Broadsheet!BH45,data!$H$4:$I$9))</f>
        <v/>
      </c>
      <c r="CH45" s="188" t="str">
        <f>IF(ISERROR(getgrade(Broadsheet!BI45,data!$H$4:$I$9)),"#",getgrade(Broadsheet!BI45,data!$H$4:$I$9))</f>
        <v/>
      </c>
      <c r="CI45" s="188" t="str">
        <f>IF(ISERROR(getgrade(Broadsheet!BJ45,data!$H$4:$I$9)),"#",getgrade(Broadsheet!BJ45,data!$H$4:$I$9))</f>
        <v/>
      </c>
      <c r="CJ45" s="188"/>
      <c r="CK45" s="188"/>
      <c r="CL45" s="188"/>
      <c r="CM45" s="188"/>
      <c r="CN45" s="188"/>
      <c r="CO45" s="188"/>
      <c r="CP45" s="188"/>
      <c r="CQ45" s="188"/>
      <c r="CR45" s="188"/>
      <c r="CS45" s="188"/>
      <c r="CT45" s="188"/>
      <c r="CU45" s="188"/>
      <c r="CV45" s="188"/>
      <c r="CW45" s="188"/>
      <c r="CX45" s="188"/>
      <c r="CY45" s="188"/>
      <c r="CZ45" s="188"/>
      <c r="DA45" s="188"/>
      <c r="DB45" s="188"/>
      <c r="DC45" s="188"/>
      <c r="DD45" s="188"/>
      <c r="DE45" s="188"/>
      <c r="DF45" s="188"/>
      <c r="DG45" s="188"/>
      <c r="DH45" s="188"/>
      <c r="DI45" s="188"/>
      <c r="DJ45" s="188"/>
      <c r="DK45" s="188"/>
      <c r="DL45" s="188"/>
      <c r="DM45" s="188"/>
      <c r="DN45" s="188"/>
      <c r="DO45" s="188"/>
      <c r="DP45" s="188"/>
      <c r="DQ45" s="188"/>
      <c r="DR45" s="188"/>
      <c r="DS45" s="188"/>
      <c r="DT45" s="188"/>
      <c r="DU45" s="188"/>
      <c r="DV45" s="188"/>
      <c r="DW45" s="188"/>
      <c r="DX45" s="188"/>
      <c r="DY45" s="188"/>
      <c r="DZ45" s="188"/>
      <c r="EA45" s="188"/>
      <c r="EB45" s="188"/>
      <c r="EC45" s="188"/>
      <c r="ED45" s="188"/>
      <c r="EE45" s="188"/>
      <c r="EF45" s="188"/>
      <c r="EG45" s="188"/>
      <c r="EH45" s="188"/>
      <c r="EI45" s="188"/>
      <c r="EJ45" s="188"/>
      <c r="EK45" s="188"/>
      <c r="EL45" s="188"/>
      <c r="EM45" s="188"/>
      <c r="EN45" s="188"/>
      <c r="EO45" s="188"/>
      <c r="EP45" s="188"/>
      <c r="EQ45" s="188"/>
      <c r="ER45" s="188"/>
      <c r="ES45" s="188"/>
      <c r="ET45" s="188"/>
      <c r="EU45" s="188"/>
      <c r="EV45" s="188"/>
      <c r="EW45" s="188"/>
      <c r="EX45" s="188"/>
      <c r="EY45" s="188"/>
      <c r="EZ45" s="188"/>
    </row>
    <row r="46" spans="1:156" ht="15.75" x14ac:dyDescent="0.25">
      <c r="A46" s="12">
        <v>37</v>
      </c>
      <c r="B46" s="16"/>
      <c r="C46" s="24"/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07"/>
      <c r="Y46" s="110"/>
      <c r="Z46" s="19"/>
      <c r="AA46" s="25"/>
      <c r="AB46" s="21"/>
      <c r="AC46" s="25"/>
      <c r="AD46" s="25"/>
      <c r="AE46" s="20"/>
      <c r="AG46" s="188" t="str">
        <f>IF(ISERROR(getgrade(Broadsheet!H46,data!$H$4:$I$9)),"#",getgrade(Broadsheet!H46,data!$H$4:$I$9))</f>
        <v/>
      </c>
      <c r="AH46" s="188" t="str">
        <f>IF(ISERROR(getgrade(Broadsheet!I46,data!$H$4:$I$9)),"#",getgrade(Broadsheet!I46,data!$H$4:$I$9))</f>
        <v/>
      </c>
      <c r="AI46" s="188" t="str">
        <f>IF(ISERROR(getgrade(Broadsheet!J46,data!$H$4:$I$9)),"#",getgrade(Broadsheet!J46,data!$H$4:$I$9))</f>
        <v/>
      </c>
      <c r="AJ46" s="188" t="str">
        <f>IF(ISERROR(getgrade(Broadsheet!K46,data!$H$4:$I$9)),"#",getgrade(Broadsheet!K46,data!$H$4:$I$9))</f>
        <v/>
      </c>
      <c r="AK46" s="188" t="str">
        <f>IF(ISERROR(getgrade(Broadsheet!L46,data!$H$4:$I$9)),"#",getgrade(Broadsheet!L46,data!$H$4:$I$9))</f>
        <v/>
      </c>
      <c r="AL46" s="188" t="str">
        <f>IF(ISERROR(getgrade(Broadsheet!M46,data!$H$4:$I$9)),"#",getgrade(Broadsheet!M46,data!$H$4:$I$9))</f>
        <v/>
      </c>
      <c r="AM46" s="188" t="str">
        <f>IF(ISERROR(getgrade(Broadsheet!N46,data!$H$4:$I$9)),"#",getgrade(Broadsheet!N46,data!$H$4:$I$9))</f>
        <v/>
      </c>
      <c r="AN46" s="188" t="str">
        <f>IF(ISERROR(getgrade(Broadsheet!O46,data!$H$4:$I$9)),"#",getgrade(Broadsheet!O46,data!$H$4:$I$9))</f>
        <v/>
      </c>
      <c r="AO46" s="188" t="str">
        <f>IF(ISERROR(getgrade(Broadsheet!P46,data!$H$4:$I$9)),"#",getgrade(Broadsheet!P46,data!$H$4:$I$9))</f>
        <v/>
      </c>
      <c r="AP46" s="188" t="str">
        <f>IF(ISERROR(getgrade(Broadsheet!Q46,data!$H$4:$I$9)),"#",getgrade(Broadsheet!Q46,data!$H$4:$I$9))</f>
        <v/>
      </c>
      <c r="AQ46" s="188" t="str">
        <f>IF(ISERROR(getgrade(Broadsheet!R46,data!$H$4:$I$9)),"#",getgrade(Broadsheet!R46,data!$H$4:$I$9))</f>
        <v/>
      </c>
      <c r="AR46" s="188" t="str">
        <f>IF(ISERROR(getgrade(Broadsheet!S46,data!$H$4:$I$9)),"#",getgrade(Broadsheet!S46,data!$H$4:$I$9))</f>
        <v/>
      </c>
      <c r="AS46" s="188" t="str">
        <f>IF(ISERROR(getgrade(Broadsheet!T46,data!$H$4:$I$9)),"#",getgrade(Broadsheet!T46,data!$H$4:$I$9))</f>
        <v/>
      </c>
      <c r="AT46" s="188" t="str">
        <f>IF(ISERROR(getgrade(Broadsheet!U46,data!$H$4:$I$9)),"#",getgrade(Broadsheet!U46,data!$H$4:$I$9))</f>
        <v/>
      </c>
      <c r="AU46" s="188" t="str">
        <f>IF(ISERROR(getgrade(Broadsheet!V46,data!$H$4:$I$9)),"#",getgrade(Broadsheet!V46,data!$H$4:$I$9))</f>
        <v/>
      </c>
      <c r="AV46" s="188" t="str">
        <f>IF(ISERROR(getgrade(Broadsheet!W46,data!$H$4:$I$9)),"#",getgrade(Broadsheet!W46,data!$H$4:$I$9))</f>
        <v/>
      </c>
      <c r="AW46" s="188" t="str">
        <f>IF(ISERROR(getgrade(Broadsheet!X46,data!$H$4:$I$9)),"#",getgrade(Broadsheet!X46,data!$H$4:$I$9))</f>
        <v/>
      </c>
      <c r="AX46" s="188" t="str">
        <f>IF(ISERROR(getgrade(Broadsheet!Y46,data!$H$4:$I$9)),"#",getgrade(Broadsheet!Y46,data!$H$4:$I$9))</f>
        <v/>
      </c>
      <c r="AY46" s="188" t="str">
        <f>IF(ISERROR(getgrade(Broadsheet!Z46,data!$H$4:$I$9)),"#",getgrade(Broadsheet!Z46,data!$H$4:$I$9))</f>
        <v/>
      </c>
      <c r="AZ46" s="188" t="str">
        <f>IF(ISERROR(getgrade(Broadsheet!AA46,data!$H$4:$I$9)),"#",getgrade(Broadsheet!AA46,data!$H$4:$I$9))</f>
        <v/>
      </c>
      <c r="BA46" s="188" t="str">
        <f>IF(ISERROR(getgrade(Broadsheet!AB46,data!$H$4:$I$9)),"#",getgrade(Broadsheet!AB46,data!$H$4:$I$9))</f>
        <v/>
      </c>
      <c r="BB46" s="188" t="str">
        <f>IF(ISERROR(getgrade(Broadsheet!AC46,data!$H$4:$I$9)),"#",getgrade(Broadsheet!AC46,data!$H$4:$I$9))</f>
        <v/>
      </c>
      <c r="BC46" s="188" t="str">
        <f>IF(ISERROR(getgrade(Broadsheet!AD46,data!$H$4:$I$9)),"#",getgrade(Broadsheet!AD46,data!$H$4:$I$9))</f>
        <v/>
      </c>
      <c r="BD46" s="188" t="str">
        <f>IF(ISERROR(getgrade(Broadsheet!AE46,data!$H$4:$I$9)),"#",getgrade(Broadsheet!AE46,data!$H$4:$I$9))</f>
        <v/>
      </c>
      <c r="BE46" s="188" t="str">
        <f>IF(ISERROR(getgrade(Broadsheet!AF46,data!$H$4:$I$9)),"#",getgrade(Broadsheet!AF46,data!$H$4:$I$9))</f>
        <v/>
      </c>
      <c r="BF46" s="188" t="str">
        <f>IF(ISERROR(getgrade(Broadsheet!AG46,data!$H$4:$I$9)),"#",getgrade(Broadsheet!AG46,data!$H$4:$I$9))</f>
        <v/>
      </c>
      <c r="BG46" s="188" t="str">
        <f>IF(ISERROR(getgrade(Broadsheet!AH46,data!$H$4:$I$9)),"#",getgrade(Broadsheet!AH46,data!$H$4:$I$9))</f>
        <v/>
      </c>
      <c r="BH46" s="188" t="str">
        <f>IF(ISERROR(getgrade(Broadsheet!AI46,data!$H$4:$I$9)),"#",getgrade(Broadsheet!AI46,data!$H$4:$I$9))</f>
        <v/>
      </c>
      <c r="BI46" s="188" t="str">
        <f>IF(ISERROR(getgrade(Broadsheet!AJ46,data!$H$4:$I$9)),"#",getgrade(Broadsheet!AJ46,data!$H$4:$I$9))</f>
        <v/>
      </c>
      <c r="BJ46" s="188" t="str">
        <f>IF(ISERROR(getgrade(Broadsheet!AK46,data!$H$4:$I$9)),"#",getgrade(Broadsheet!AK46,data!$H$4:$I$9))</f>
        <v/>
      </c>
      <c r="BK46" s="188" t="str">
        <f>IF(ISERROR(getgrade(Broadsheet!AL46,data!$H$4:$I$9)),"#",getgrade(Broadsheet!AL46,data!$H$4:$I$9))</f>
        <v/>
      </c>
      <c r="BL46" s="188" t="str">
        <f>IF(ISERROR(getgrade(Broadsheet!AM46,data!$H$4:$I$9)),"#",getgrade(Broadsheet!AM46,data!$H$4:$I$9))</f>
        <v/>
      </c>
      <c r="BM46" s="188" t="str">
        <f>IF(ISERROR(getgrade(Broadsheet!AN46,data!$H$4:$I$9)),"#",getgrade(Broadsheet!AN46,data!$H$4:$I$9))</f>
        <v/>
      </c>
      <c r="BN46" s="188" t="str">
        <f>IF(ISERROR(getgrade(Broadsheet!AO46,data!$H$4:$I$9)),"#",getgrade(Broadsheet!AO46,data!$H$4:$I$9))</f>
        <v/>
      </c>
      <c r="BO46" s="188" t="str">
        <f>IF(ISERROR(getgrade(Broadsheet!AP46,data!$H$4:$I$9)),"#",getgrade(Broadsheet!AP46,data!$H$4:$I$9))</f>
        <v/>
      </c>
      <c r="BP46" s="188" t="str">
        <f>IF(ISERROR(getgrade(Broadsheet!AQ46,data!$H$4:$I$9)),"#",getgrade(Broadsheet!AQ46,data!$H$4:$I$9))</f>
        <v/>
      </c>
      <c r="BQ46" s="188" t="str">
        <f>IF(ISERROR(getgrade(Broadsheet!AR46,data!$H$4:$I$9)),"#",getgrade(Broadsheet!AR46,data!$H$4:$I$9))</f>
        <v/>
      </c>
      <c r="BR46" s="188" t="str">
        <f>IF(ISERROR(getgrade(Broadsheet!AS46,data!$H$4:$I$9)),"#",getgrade(Broadsheet!AS46,data!$H$4:$I$9))</f>
        <v/>
      </c>
      <c r="BS46" s="188" t="str">
        <f>IF(ISERROR(getgrade(Broadsheet!AT46,data!$H$4:$I$9)),"#",getgrade(Broadsheet!AT46,data!$H$4:$I$9))</f>
        <v/>
      </c>
      <c r="BT46" s="188" t="str">
        <f>IF(ISERROR(getgrade(Broadsheet!AU46,data!$H$4:$I$9)),"#",getgrade(Broadsheet!AU46,data!$H$4:$I$9))</f>
        <v/>
      </c>
      <c r="BU46" s="188" t="str">
        <f>IF(ISERROR(getgrade(Broadsheet!AV46,data!$H$4:$I$9)),"#",getgrade(Broadsheet!AV46,data!$H$4:$I$9))</f>
        <v/>
      </c>
      <c r="BV46" s="188" t="str">
        <f>IF(ISERROR(getgrade(Broadsheet!AW46,data!$H$4:$I$9)),"#",getgrade(Broadsheet!AW46,data!$H$4:$I$9))</f>
        <v/>
      </c>
      <c r="BW46" s="188" t="str">
        <f>IF(ISERROR(getgrade(Broadsheet!AX46,data!$H$4:$I$9)),"#",getgrade(Broadsheet!AX46,data!$H$4:$I$9))</f>
        <v/>
      </c>
      <c r="BX46" s="188" t="str">
        <f>IF(ISERROR(getgrade(Broadsheet!AY46,data!$H$4:$I$9)),"#",getgrade(Broadsheet!AY46,data!$H$4:$I$9))</f>
        <v/>
      </c>
      <c r="BY46" s="188" t="str">
        <f>IF(ISERROR(getgrade(Broadsheet!AZ46,data!$H$4:$I$9)),"#",getgrade(Broadsheet!AZ46,data!$H$4:$I$9))</f>
        <v/>
      </c>
      <c r="BZ46" s="188" t="str">
        <f>IF(ISERROR(getgrade(Broadsheet!BA46,data!$H$4:$I$9)),"#",getgrade(Broadsheet!BA46,data!$H$4:$I$9))</f>
        <v/>
      </c>
      <c r="CA46" s="188" t="str">
        <f>IF(ISERROR(getgrade(Broadsheet!BB46,data!$H$4:$I$9)),"#",getgrade(Broadsheet!BB46,data!$H$4:$I$9))</f>
        <v/>
      </c>
      <c r="CB46" s="188" t="str">
        <f>IF(ISERROR(getgrade(Broadsheet!BC46,data!$H$4:$I$9)),"#",getgrade(Broadsheet!BC46,data!$H$4:$I$9))</f>
        <v/>
      </c>
      <c r="CC46" s="188" t="str">
        <f>IF(ISERROR(getgrade(Broadsheet!BD46,data!$H$4:$I$9)),"#",getgrade(Broadsheet!BD46,data!$H$4:$I$9))</f>
        <v/>
      </c>
      <c r="CD46" s="188" t="str">
        <f>IF(ISERROR(getgrade(Broadsheet!BE46,data!$H$4:$I$9)),"#",getgrade(Broadsheet!BE46,data!$H$4:$I$9))</f>
        <v/>
      </c>
      <c r="CE46" s="188" t="str">
        <f>IF(ISERROR(getgrade(Broadsheet!BF46,data!$H$4:$I$9)),"#",getgrade(Broadsheet!BF46,data!$H$4:$I$9))</f>
        <v/>
      </c>
      <c r="CF46" s="188" t="str">
        <f>IF(ISERROR(getgrade(Broadsheet!BG46,data!$H$4:$I$9)),"#",getgrade(Broadsheet!BG46,data!$H$4:$I$9))</f>
        <v/>
      </c>
      <c r="CG46" s="188" t="str">
        <f>IF(ISERROR(getgrade(Broadsheet!BH46,data!$H$4:$I$9)),"#",getgrade(Broadsheet!BH46,data!$H$4:$I$9))</f>
        <v/>
      </c>
      <c r="CH46" s="188" t="str">
        <f>IF(ISERROR(getgrade(Broadsheet!BI46,data!$H$4:$I$9)),"#",getgrade(Broadsheet!BI46,data!$H$4:$I$9))</f>
        <v/>
      </c>
      <c r="CI46" s="188" t="str">
        <f>IF(ISERROR(getgrade(Broadsheet!BJ46,data!$H$4:$I$9)),"#",getgrade(Broadsheet!BJ46,data!$H$4:$I$9))</f>
        <v/>
      </c>
      <c r="CJ46" s="188"/>
      <c r="CK46" s="188"/>
      <c r="CL46" s="188"/>
      <c r="CM46" s="188"/>
      <c r="CN46" s="188"/>
      <c r="CO46" s="188"/>
      <c r="CP46" s="188"/>
      <c r="CQ46" s="188"/>
      <c r="CR46" s="188"/>
      <c r="CS46" s="188"/>
      <c r="CT46" s="188"/>
      <c r="CU46" s="188"/>
      <c r="CV46" s="188"/>
      <c r="CW46" s="188"/>
      <c r="CX46" s="188"/>
      <c r="CY46" s="188"/>
      <c r="CZ46" s="188"/>
      <c r="DA46" s="188"/>
      <c r="DB46" s="188"/>
      <c r="DC46" s="188"/>
      <c r="DD46" s="188"/>
      <c r="DE46" s="188"/>
      <c r="DF46" s="188"/>
      <c r="DG46" s="188"/>
      <c r="DH46" s="188"/>
      <c r="DI46" s="188"/>
      <c r="DJ46" s="188"/>
      <c r="DK46" s="188"/>
      <c r="DL46" s="188"/>
      <c r="DM46" s="188"/>
      <c r="DN46" s="188"/>
      <c r="DO46" s="188"/>
      <c r="DP46" s="188"/>
      <c r="DQ46" s="188"/>
      <c r="DR46" s="188"/>
      <c r="DS46" s="188"/>
      <c r="DT46" s="188"/>
      <c r="DU46" s="188"/>
      <c r="DV46" s="188"/>
      <c r="DW46" s="188"/>
      <c r="DX46" s="188"/>
      <c r="DY46" s="188"/>
      <c r="DZ46" s="188"/>
      <c r="EA46" s="188"/>
      <c r="EB46" s="188"/>
      <c r="EC46" s="188"/>
      <c r="ED46" s="188"/>
      <c r="EE46" s="188"/>
      <c r="EF46" s="188"/>
      <c r="EG46" s="188"/>
      <c r="EH46" s="188"/>
      <c r="EI46" s="188"/>
      <c r="EJ46" s="188"/>
      <c r="EK46" s="188"/>
      <c r="EL46" s="188"/>
      <c r="EM46" s="188"/>
      <c r="EN46" s="188"/>
      <c r="EO46" s="188"/>
      <c r="EP46" s="188"/>
      <c r="EQ46" s="188"/>
      <c r="ER46" s="188"/>
      <c r="ES46" s="188"/>
      <c r="ET46" s="188"/>
      <c r="EU46" s="188"/>
      <c r="EV46" s="188"/>
      <c r="EW46" s="188"/>
      <c r="EX46" s="188"/>
      <c r="EY46" s="188"/>
      <c r="EZ46" s="188"/>
    </row>
    <row r="47" spans="1:156" ht="15.75" x14ac:dyDescent="0.25">
      <c r="A47" s="12">
        <v>38</v>
      </c>
      <c r="B47" s="16"/>
      <c r="C47" s="24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07"/>
      <c r="Y47" s="110"/>
      <c r="Z47" s="19"/>
      <c r="AA47" s="25"/>
      <c r="AB47" s="21"/>
      <c r="AC47" s="25"/>
      <c r="AD47" s="25"/>
      <c r="AE47" s="20"/>
      <c r="AG47" s="188" t="str">
        <f>IF(ISERROR(getgrade(Broadsheet!H47,data!$H$4:$I$9)),"#",getgrade(Broadsheet!H47,data!$H$4:$I$9))</f>
        <v/>
      </c>
      <c r="AH47" s="188" t="str">
        <f>IF(ISERROR(getgrade(Broadsheet!I47,data!$H$4:$I$9)),"#",getgrade(Broadsheet!I47,data!$H$4:$I$9))</f>
        <v/>
      </c>
      <c r="AI47" s="188" t="str">
        <f>IF(ISERROR(getgrade(Broadsheet!J47,data!$H$4:$I$9)),"#",getgrade(Broadsheet!J47,data!$H$4:$I$9))</f>
        <v/>
      </c>
      <c r="AJ47" s="188" t="str">
        <f>IF(ISERROR(getgrade(Broadsheet!K47,data!$H$4:$I$9)),"#",getgrade(Broadsheet!K47,data!$H$4:$I$9))</f>
        <v/>
      </c>
      <c r="AK47" s="188" t="str">
        <f>IF(ISERROR(getgrade(Broadsheet!L47,data!$H$4:$I$9)),"#",getgrade(Broadsheet!L47,data!$H$4:$I$9))</f>
        <v/>
      </c>
      <c r="AL47" s="188" t="str">
        <f>IF(ISERROR(getgrade(Broadsheet!M47,data!$H$4:$I$9)),"#",getgrade(Broadsheet!M47,data!$H$4:$I$9))</f>
        <v/>
      </c>
      <c r="AM47" s="188" t="str">
        <f>IF(ISERROR(getgrade(Broadsheet!N47,data!$H$4:$I$9)),"#",getgrade(Broadsheet!N47,data!$H$4:$I$9))</f>
        <v/>
      </c>
      <c r="AN47" s="188" t="str">
        <f>IF(ISERROR(getgrade(Broadsheet!O47,data!$H$4:$I$9)),"#",getgrade(Broadsheet!O47,data!$H$4:$I$9))</f>
        <v/>
      </c>
      <c r="AO47" s="188" t="str">
        <f>IF(ISERROR(getgrade(Broadsheet!P47,data!$H$4:$I$9)),"#",getgrade(Broadsheet!P47,data!$H$4:$I$9))</f>
        <v/>
      </c>
      <c r="AP47" s="188" t="str">
        <f>IF(ISERROR(getgrade(Broadsheet!Q47,data!$H$4:$I$9)),"#",getgrade(Broadsheet!Q47,data!$H$4:$I$9))</f>
        <v/>
      </c>
      <c r="AQ47" s="188" t="str">
        <f>IF(ISERROR(getgrade(Broadsheet!R47,data!$H$4:$I$9)),"#",getgrade(Broadsheet!R47,data!$H$4:$I$9))</f>
        <v/>
      </c>
      <c r="AR47" s="188" t="str">
        <f>IF(ISERROR(getgrade(Broadsheet!S47,data!$H$4:$I$9)),"#",getgrade(Broadsheet!S47,data!$H$4:$I$9))</f>
        <v/>
      </c>
      <c r="AS47" s="188" t="str">
        <f>IF(ISERROR(getgrade(Broadsheet!T47,data!$H$4:$I$9)),"#",getgrade(Broadsheet!T47,data!$H$4:$I$9))</f>
        <v/>
      </c>
      <c r="AT47" s="188" t="str">
        <f>IF(ISERROR(getgrade(Broadsheet!U47,data!$H$4:$I$9)),"#",getgrade(Broadsheet!U47,data!$H$4:$I$9))</f>
        <v/>
      </c>
      <c r="AU47" s="188" t="str">
        <f>IF(ISERROR(getgrade(Broadsheet!V47,data!$H$4:$I$9)),"#",getgrade(Broadsheet!V47,data!$H$4:$I$9))</f>
        <v/>
      </c>
      <c r="AV47" s="188" t="str">
        <f>IF(ISERROR(getgrade(Broadsheet!W47,data!$H$4:$I$9)),"#",getgrade(Broadsheet!W47,data!$H$4:$I$9))</f>
        <v/>
      </c>
      <c r="AW47" s="188" t="str">
        <f>IF(ISERROR(getgrade(Broadsheet!X47,data!$H$4:$I$9)),"#",getgrade(Broadsheet!X47,data!$H$4:$I$9))</f>
        <v/>
      </c>
      <c r="AX47" s="188" t="str">
        <f>IF(ISERROR(getgrade(Broadsheet!Y47,data!$H$4:$I$9)),"#",getgrade(Broadsheet!Y47,data!$H$4:$I$9))</f>
        <v/>
      </c>
      <c r="AY47" s="188" t="str">
        <f>IF(ISERROR(getgrade(Broadsheet!Z47,data!$H$4:$I$9)),"#",getgrade(Broadsheet!Z47,data!$H$4:$I$9))</f>
        <v/>
      </c>
      <c r="AZ47" s="188" t="str">
        <f>IF(ISERROR(getgrade(Broadsheet!AA47,data!$H$4:$I$9)),"#",getgrade(Broadsheet!AA47,data!$H$4:$I$9))</f>
        <v/>
      </c>
      <c r="BA47" s="188" t="str">
        <f>IF(ISERROR(getgrade(Broadsheet!AB47,data!$H$4:$I$9)),"#",getgrade(Broadsheet!AB47,data!$H$4:$I$9))</f>
        <v/>
      </c>
      <c r="BB47" s="188" t="str">
        <f>IF(ISERROR(getgrade(Broadsheet!AC47,data!$H$4:$I$9)),"#",getgrade(Broadsheet!AC47,data!$H$4:$I$9))</f>
        <v/>
      </c>
      <c r="BC47" s="188" t="str">
        <f>IF(ISERROR(getgrade(Broadsheet!AD47,data!$H$4:$I$9)),"#",getgrade(Broadsheet!AD47,data!$H$4:$I$9))</f>
        <v/>
      </c>
      <c r="BD47" s="188" t="str">
        <f>IF(ISERROR(getgrade(Broadsheet!AE47,data!$H$4:$I$9)),"#",getgrade(Broadsheet!AE47,data!$H$4:$I$9))</f>
        <v/>
      </c>
      <c r="BE47" s="188" t="str">
        <f>IF(ISERROR(getgrade(Broadsheet!AF47,data!$H$4:$I$9)),"#",getgrade(Broadsheet!AF47,data!$H$4:$I$9))</f>
        <v/>
      </c>
      <c r="BF47" s="188" t="str">
        <f>IF(ISERROR(getgrade(Broadsheet!AG47,data!$H$4:$I$9)),"#",getgrade(Broadsheet!AG47,data!$H$4:$I$9))</f>
        <v/>
      </c>
      <c r="BG47" s="188" t="str">
        <f>IF(ISERROR(getgrade(Broadsheet!AH47,data!$H$4:$I$9)),"#",getgrade(Broadsheet!AH47,data!$H$4:$I$9))</f>
        <v/>
      </c>
      <c r="BH47" s="188" t="str">
        <f>IF(ISERROR(getgrade(Broadsheet!AI47,data!$H$4:$I$9)),"#",getgrade(Broadsheet!AI47,data!$H$4:$I$9))</f>
        <v/>
      </c>
      <c r="BI47" s="188" t="str">
        <f>IF(ISERROR(getgrade(Broadsheet!AJ47,data!$H$4:$I$9)),"#",getgrade(Broadsheet!AJ47,data!$H$4:$I$9))</f>
        <v/>
      </c>
      <c r="BJ47" s="188" t="str">
        <f>IF(ISERROR(getgrade(Broadsheet!AK47,data!$H$4:$I$9)),"#",getgrade(Broadsheet!AK47,data!$H$4:$I$9))</f>
        <v/>
      </c>
      <c r="BK47" s="188" t="str">
        <f>IF(ISERROR(getgrade(Broadsheet!AL47,data!$H$4:$I$9)),"#",getgrade(Broadsheet!AL47,data!$H$4:$I$9))</f>
        <v/>
      </c>
      <c r="BL47" s="188" t="str">
        <f>IF(ISERROR(getgrade(Broadsheet!AM47,data!$H$4:$I$9)),"#",getgrade(Broadsheet!AM47,data!$H$4:$I$9))</f>
        <v/>
      </c>
      <c r="BM47" s="188" t="str">
        <f>IF(ISERROR(getgrade(Broadsheet!AN47,data!$H$4:$I$9)),"#",getgrade(Broadsheet!AN47,data!$H$4:$I$9))</f>
        <v/>
      </c>
      <c r="BN47" s="188" t="str">
        <f>IF(ISERROR(getgrade(Broadsheet!AO47,data!$H$4:$I$9)),"#",getgrade(Broadsheet!AO47,data!$H$4:$I$9))</f>
        <v/>
      </c>
      <c r="BO47" s="188" t="str">
        <f>IF(ISERROR(getgrade(Broadsheet!AP47,data!$H$4:$I$9)),"#",getgrade(Broadsheet!AP47,data!$H$4:$I$9))</f>
        <v/>
      </c>
      <c r="BP47" s="188" t="str">
        <f>IF(ISERROR(getgrade(Broadsheet!AQ47,data!$H$4:$I$9)),"#",getgrade(Broadsheet!AQ47,data!$H$4:$I$9))</f>
        <v/>
      </c>
      <c r="BQ47" s="188" t="str">
        <f>IF(ISERROR(getgrade(Broadsheet!AR47,data!$H$4:$I$9)),"#",getgrade(Broadsheet!AR47,data!$H$4:$I$9))</f>
        <v/>
      </c>
      <c r="BR47" s="188" t="str">
        <f>IF(ISERROR(getgrade(Broadsheet!AS47,data!$H$4:$I$9)),"#",getgrade(Broadsheet!AS47,data!$H$4:$I$9))</f>
        <v/>
      </c>
      <c r="BS47" s="188" t="str">
        <f>IF(ISERROR(getgrade(Broadsheet!AT47,data!$H$4:$I$9)),"#",getgrade(Broadsheet!AT47,data!$H$4:$I$9))</f>
        <v/>
      </c>
      <c r="BT47" s="188" t="str">
        <f>IF(ISERROR(getgrade(Broadsheet!AU47,data!$H$4:$I$9)),"#",getgrade(Broadsheet!AU47,data!$H$4:$I$9))</f>
        <v/>
      </c>
      <c r="BU47" s="188" t="str">
        <f>IF(ISERROR(getgrade(Broadsheet!AV47,data!$H$4:$I$9)),"#",getgrade(Broadsheet!AV47,data!$H$4:$I$9))</f>
        <v/>
      </c>
      <c r="BV47" s="188" t="str">
        <f>IF(ISERROR(getgrade(Broadsheet!AW47,data!$H$4:$I$9)),"#",getgrade(Broadsheet!AW47,data!$H$4:$I$9))</f>
        <v/>
      </c>
      <c r="BW47" s="188" t="str">
        <f>IF(ISERROR(getgrade(Broadsheet!AX47,data!$H$4:$I$9)),"#",getgrade(Broadsheet!AX47,data!$H$4:$I$9))</f>
        <v/>
      </c>
      <c r="BX47" s="188" t="str">
        <f>IF(ISERROR(getgrade(Broadsheet!AY47,data!$H$4:$I$9)),"#",getgrade(Broadsheet!AY47,data!$H$4:$I$9))</f>
        <v/>
      </c>
      <c r="BY47" s="188" t="str">
        <f>IF(ISERROR(getgrade(Broadsheet!AZ47,data!$H$4:$I$9)),"#",getgrade(Broadsheet!AZ47,data!$H$4:$I$9))</f>
        <v/>
      </c>
      <c r="BZ47" s="188" t="str">
        <f>IF(ISERROR(getgrade(Broadsheet!BA47,data!$H$4:$I$9)),"#",getgrade(Broadsheet!BA47,data!$H$4:$I$9))</f>
        <v/>
      </c>
      <c r="CA47" s="188" t="str">
        <f>IF(ISERROR(getgrade(Broadsheet!BB47,data!$H$4:$I$9)),"#",getgrade(Broadsheet!BB47,data!$H$4:$I$9))</f>
        <v/>
      </c>
      <c r="CB47" s="188" t="str">
        <f>IF(ISERROR(getgrade(Broadsheet!BC47,data!$H$4:$I$9)),"#",getgrade(Broadsheet!BC47,data!$H$4:$I$9))</f>
        <v/>
      </c>
      <c r="CC47" s="188" t="str">
        <f>IF(ISERROR(getgrade(Broadsheet!BD47,data!$H$4:$I$9)),"#",getgrade(Broadsheet!BD47,data!$H$4:$I$9))</f>
        <v/>
      </c>
      <c r="CD47" s="188" t="str">
        <f>IF(ISERROR(getgrade(Broadsheet!BE47,data!$H$4:$I$9)),"#",getgrade(Broadsheet!BE47,data!$H$4:$I$9))</f>
        <v/>
      </c>
      <c r="CE47" s="188" t="str">
        <f>IF(ISERROR(getgrade(Broadsheet!BF47,data!$H$4:$I$9)),"#",getgrade(Broadsheet!BF47,data!$H$4:$I$9))</f>
        <v/>
      </c>
      <c r="CF47" s="188" t="str">
        <f>IF(ISERROR(getgrade(Broadsheet!BG47,data!$H$4:$I$9)),"#",getgrade(Broadsheet!BG47,data!$H$4:$I$9))</f>
        <v/>
      </c>
      <c r="CG47" s="188" t="str">
        <f>IF(ISERROR(getgrade(Broadsheet!BH47,data!$H$4:$I$9)),"#",getgrade(Broadsheet!BH47,data!$H$4:$I$9))</f>
        <v/>
      </c>
      <c r="CH47" s="188" t="str">
        <f>IF(ISERROR(getgrade(Broadsheet!BI47,data!$H$4:$I$9)),"#",getgrade(Broadsheet!BI47,data!$H$4:$I$9))</f>
        <v/>
      </c>
      <c r="CI47" s="188" t="str">
        <f>IF(ISERROR(getgrade(Broadsheet!BJ47,data!$H$4:$I$9)),"#",getgrade(Broadsheet!BJ47,data!$H$4:$I$9))</f>
        <v/>
      </c>
      <c r="CJ47" s="188"/>
      <c r="CK47" s="188"/>
      <c r="CL47" s="188"/>
      <c r="CM47" s="188"/>
      <c r="CN47" s="188"/>
      <c r="CO47" s="188"/>
      <c r="CP47" s="188"/>
      <c r="CQ47" s="188"/>
      <c r="CR47" s="188"/>
      <c r="CS47" s="188"/>
      <c r="CT47" s="188"/>
      <c r="CU47" s="188"/>
      <c r="CV47" s="188"/>
      <c r="CW47" s="188"/>
      <c r="CX47" s="188"/>
      <c r="CY47" s="188"/>
      <c r="CZ47" s="188"/>
      <c r="DA47" s="188"/>
      <c r="DB47" s="188"/>
      <c r="DC47" s="188"/>
      <c r="DD47" s="188"/>
      <c r="DE47" s="188"/>
      <c r="DF47" s="188"/>
      <c r="DG47" s="188"/>
      <c r="DH47" s="188"/>
      <c r="DI47" s="188"/>
      <c r="DJ47" s="188"/>
      <c r="DK47" s="188"/>
      <c r="DL47" s="188"/>
      <c r="DM47" s="188"/>
      <c r="DN47" s="188"/>
      <c r="DO47" s="188"/>
      <c r="DP47" s="188"/>
      <c r="DQ47" s="188"/>
      <c r="DR47" s="188"/>
      <c r="DS47" s="188"/>
      <c r="DT47" s="188"/>
      <c r="DU47" s="188"/>
      <c r="DV47" s="188"/>
      <c r="DW47" s="188"/>
      <c r="DX47" s="188"/>
      <c r="DY47" s="188"/>
      <c r="DZ47" s="188"/>
      <c r="EA47" s="188"/>
      <c r="EB47" s="188"/>
      <c r="EC47" s="188"/>
      <c r="ED47" s="188"/>
      <c r="EE47" s="188"/>
      <c r="EF47" s="188"/>
      <c r="EG47" s="188"/>
      <c r="EH47" s="188"/>
      <c r="EI47" s="188"/>
      <c r="EJ47" s="188"/>
      <c r="EK47" s="188"/>
      <c r="EL47" s="188"/>
      <c r="EM47" s="188"/>
      <c r="EN47" s="188"/>
      <c r="EO47" s="188"/>
      <c r="EP47" s="188"/>
      <c r="EQ47" s="188"/>
      <c r="ER47" s="188"/>
      <c r="ES47" s="188"/>
      <c r="ET47" s="188"/>
      <c r="EU47" s="188"/>
      <c r="EV47" s="188"/>
      <c r="EW47" s="188"/>
      <c r="EX47" s="188"/>
      <c r="EY47" s="188"/>
      <c r="EZ47" s="188"/>
    </row>
    <row r="48" spans="1:156" ht="15.75" x14ac:dyDescent="0.25">
      <c r="A48" s="12">
        <v>39</v>
      </c>
      <c r="B48" s="16"/>
      <c r="C48" s="24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07"/>
      <c r="Y48" s="110"/>
      <c r="Z48" s="19"/>
      <c r="AA48" s="25"/>
      <c r="AB48" s="21"/>
      <c r="AC48" s="25"/>
      <c r="AD48" s="25"/>
      <c r="AE48" s="20"/>
      <c r="AG48" s="188" t="str">
        <f>IF(ISERROR(getgrade(Broadsheet!H48,data!$H$4:$I$9)),"#",getgrade(Broadsheet!H48,data!$H$4:$I$9))</f>
        <v/>
      </c>
      <c r="AH48" s="188" t="str">
        <f>IF(ISERROR(getgrade(Broadsheet!I48,data!$H$4:$I$9)),"#",getgrade(Broadsheet!I48,data!$H$4:$I$9))</f>
        <v/>
      </c>
      <c r="AI48" s="188" t="str">
        <f>IF(ISERROR(getgrade(Broadsheet!J48,data!$H$4:$I$9)),"#",getgrade(Broadsheet!J48,data!$H$4:$I$9))</f>
        <v/>
      </c>
      <c r="AJ48" s="188" t="str">
        <f>IF(ISERROR(getgrade(Broadsheet!K48,data!$H$4:$I$9)),"#",getgrade(Broadsheet!K48,data!$H$4:$I$9))</f>
        <v/>
      </c>
      <c r="AK48" s="188" t="str">
        <f>IF(ISERROR(getgrade(Broadsheet!L48,data!$H$4:$I$9)),"#",getgrade(Broadsheet!L48,data!$H$4:$I$9))</f>
        <v/>
      </c>
      <c r="AL48" s="188" t="str">
        <f>IF(ISERROR(getgrade(Broadsheet!M48,data!$H$4:$I$9)),"#",getgrade(Broadsheet!M48,data!$H$4:$I$9))</f>
        <v/>
      </c>
      <c r="AM48" s="188" t="str">
        <f>IF(ISERROR(getgrade(Broadsheet!N48,data!$H$4:$I$9)),"#",getgrade(Broadsheet!N48,data!$H$4:$I$9))</f>
        <v/>
      </c>
      <c r="AN48" s="188" t="str">
        <f>IF(ISERROR(getgrade(Broadsheet!O48,data!$H$4:$I$9)),"#",getgrade(Broadsheet!O48,data!$H$4:$I$9))</f>
        <v/>
      </c>
      <c r="AO48" s="188" t="str">
        <f>IF(ISERROR(getgrade(Broadsheet!P48,data!$H$4:$I$9)),"#",getgrade(Broadsheet!P48,data!$H$4:$I$9))</f>
        <v/>
      </c>
      <c r="AP48" s="188" t="str">
        <f>IF(ISERROR(getgrade(Broadsheet!Q48,data!$H$4:$I$9)),"#",getgrade(Broadsheet!Q48,data!$H$4:$I$9))</f>
        <v/>
      </c>
      <c r="AQ48" s="188" t="str">
        <f>IF(ISERROR(getgrade(Broadsheet!R48,data!$H$4:$I$9)),"#",getgrade(Broadsheet!R48,data!$H$4:$I$9))</f>
        <v/>
      </c>
      <c r="AR48" s="188" t="str">
        <f>IF(ISERROR(getgrade(Broadsheet!S48,data!$H$4:$I$9)),"#",getgrade(Broadsheet!S48,data!$H$4:$I$9))</f>
        <v/>
      </c>
      <c r="AS48" s="188" t="str">
        <f>IF(ISERROR(getgrade(Broadsheet!T48,data!$H$4:$I$9)),"#",getgrade(Broadsheet!T48,data!$H$4:$I$9))</f>
        <v/>
      </c>
      <c r="AT48" s="188" t="str">
        <f>IF(ISERROR(getgrade(Broadsheet!U48,data!$H$4:$I$9)),"#",getgrade(Broadsheet!U48,data!$H$4:$I$9))</f>
        <v/>
      </c>
      <c r="AU48" s="188" t="str">
        <f>IF(ISERROR(getgrade(Broadsheet!V48,data!$H$4:$I$9)),"#",getgrade(Broadsheet!V48,data!$H$4:$I$9))</f>
        <v/>
      </c>
      <c r="AV48" s="188" t="str">
        <f>IF(ISERROR(getgrade(Broadsheet!W48,data!$H$4:$I$9)),"#",getgrade(Broadsheet!W48,data!$H$4:$I$9))</f>
        <v/>
      </c>
      <c r="AW48" s="188" t="str">
        <f>IF(ISERROR(getgrade(Broadsheet!X48,data!$H$4:$I$9)),"#",getgrade(Broadsheet!X48,data!$H$4:$I$9))</f>
        <v/>
      </c>
      <c r="AX48" s="188" t="str">
        <f>IF(ISERROR(getgrade(Broadsheet!Y48,data!$H$4:$I$9)),"#",getgrade(Broadsheet!Y48,data!$H$4:$I$9))</f>
        <v/>
      </c>
      <c r="AY48" s="188" t="str">
        <f>IF(ISERROR(getgrade(Broadsheet!Z48,data!$H$4:$I$9)),"#",getgrade(Broadsheet!Z48,data!$H$4:$I$9))</f>
        <v/>
      </c>
      <c r="AZ48" s="188" t="str">
        <f>IF(ISERROR(getgrade(Broadsheet!AA48,data!$H$4:$I$9)),"#",getgrade(Broadsheet!AA48,data!$H$4:$I$9))</f>
        <v/>
      </c>
      <c r="BA48" s="188" t="str">
        <f>IF(ISERROR(getgrade(Broadsheet!AB48,data!$H$4:$I$9)),"#",getgrade(Broadsheet!AB48,data!$H$4:$I$9))</f>
        <v/>
      </c>
      <c r="BB48" s="188" t="str">
        <f>IF(ISERROR(getgrade(Broadsheet!AC48,data!$H$4:$I$9)),"#",getgrade(Broadsheet!AC48,data!$H$4:$I$9))</f>
        <v/>
      </c>
      <c r="BC48" s="188" t="str">
        <f>IF(ISERROR(getgrade(Broadsheet!AD48,data!$H$4:$I$9)),"#",getgrade(Broadsheet!AD48,data!$H$4:$I$9))</f>
        <v/>
      </c>
      <c r="BD48" s="188" t="str">
        <f>IF(ISERROR(getgrade(Broadsheet!AE48,data!$H$4:$I$9)),"#",getgrade(Broadsheet!AE48,data!$H$4:$I$9))</f>
        <v/>
      </c>
      <c r="BE48" s="188" t="str">
        <f>IF(ISERROR(getgrade(Broadsheet!AF48,data!$H$4:$I$9)),"#",getgrade(Broadsheet!AF48,data!$H$4:$I$9))</f>
        <v/>
      </c>
      <c r="BF48" s="188" t="str">
        <f>IF(ISERROR(getgrade(Broadsheet!AG48,data!$H$4:$I$9)),"#",getgrade(Broadsheet!AG48,data!$H$4:$I$9))</f>
        <v/>
      </c>
      <c r="BG48" s="188" t="str">
        <f>IF(ISERROR(getgrade(Broadsheet!AH48,data!$H$4:$I$9)),"#",getgrade(Broadsheet!AH48,data!$H$4:$I$9))</f>
        <v/>
      </c>
      <c r="BH48" s="188" t="str">
        <f>IF(ISERROR(getgrade(Broadsheet!AI48,data!$H$4:$I$9)),"#",getgrade(Broadsheet!AI48,data!$H$4:$I$9))</f>
        <v/>
      </c>
      <c r="BI48" s="188" t="str">
        <f>IF(ISERROR(getgrade(Broadsheet!AJ48,data!$H$4:$I$9)),"#",getgrade(Broadsheet!AJ48,data!$H$4:$I$9))</f>
        <v/>
      </c>
      <c r="BJ48" s="188" t="str">
        <f>IF(ISERROR(getgrade(Broadsheet!AK48,data!$H$4:$I$9)),"#",getgrade(Broadsheet!AK48,data!$H$4:$I$9))</f>
        <v/>
      </c>
      <c r="BK48" s="188" t="str">
        <f>IF(ISERROR(getgrade(Broadsheet!AL48,data!$H$4:$I$9)),"#",getgrade(Broadsheet!AL48,data!$H$4:$I$9))</f>
        <v/>
      </c>
      <c r="BL48" s="188" t="str">
        <f>IF(ISERROR(getgrade(Broadsheet!AM48,data!$H$4:$I$9)),"#",getgrade(Broadsheet!AM48,data!$H$4:$I$9))</f>
        <v/>
      </c>
      <c r="BM48" s="188" t="str">
        <f>IF(ISERROR(getgrade(Broadsheet!AN48,data!$H$4:$I$9)),"#",getgrade(Broadsheet!AN48,data!$H$4:$I$9))</f>
        <v/>
      </c>
      <c r="BN48" s="188" t="str">
        <f>IF(ISERROR(getgrade(Broadsheet!AO48,data!$H$4:$I$9)),"#",getgrade(Broadsheet!AO48,data!$H$4:$I$9))</f>
        <v/>
      </c>
      <c r="BO48" s="188" t="str">
        <f>IF(ISERROR(getgrade(Broadsheet!AP48,data!$H$4:$I$9)),"#",getgrade(Broadsheet!AP48,data!$H$4:$I$9))</f>
        <v/>
      </c>
      <c r="BP48" s="188" t="str">
        <f>IF(ISERROR(getgrade(Broadsheet!AQ48,data!$H$4:$I$9)),"#",getgrade(Broadsheet!AQ48,data!$H$4:$I$9))</f>
        <v/>
      </c>
      <c r="BQ48" s="188" t="str">
        <f>IF(ISERROR(getgrade(Broadsheet!AR48,data!$H$4:$I$9)),"#",getgrade(Broadsheet!AR48,data!$H$4:$I$9))</f>
        <v/>
      </c>
      <c r="BR48" s="188" t="str">
        <f>IF(ISERROR(getgrade(Broadsheet!AS48,data!$H$4:$I$9)),"#",getgrade(Broadsheet!AS48,data!$H$4:$I$9))</f>
        <v/>
      </c>
      <c r="BS48" s="188" t="str">
        <f>IF(ISERROR(getgrade(Broadsheet!AT48,data!$H$4:$I$9)),"#",getgrade(Broadsheet!AT48,data!$H$4:$I$9))</f>
        <v/>
      </c>
      <c r="BT48" s="188" t="str">
        <f>IF(ISERROR(getgrade(Broadsheet!AU48,data!$H$4:$I$9)),"#",getgrade(Broadsheet!AU48,data!$H$4:$I$9))</f>
        <v/>
      </c>
      <c r="BU48" s="188" t="str">
        <f>IF(ISERROR(getgrade(Broadsheet!AV48,data!$H$4:$I$9)),"#",getgrade(Broadsheet!AV48,data!$H$4:$I$9))</f>
        <v/>
      </c>
      <c r="BV48" s="188" t="str">
        <f>IF(ISERROR(getgrade(Broadsheet!AW48,data!$H$4:$I$9)),"#",getgrade(Broadsheet!AW48,data!$H$4:$I$9))</f>
        <v/>
      </c>
      <c r="BW48" s="188" t="str">
        <f>IF(ISERROR(getgrade(Broadsheet!AX48,data!$H$4:$I$9)),"#",getgrade(Broadsheet!AX48,data!$H$4:$I$9))</f>
        <v/>
      </c>
      <c r="BX48" s="188" t="str">
        <f>IF(ISERROR(getgrade(Broadsheet!AY48,data!$H$4:$I$9)),"#",getgrade(Broadsheet!AY48,data!$H$4:$I$9))</f>
        <v/>
      </c>
      <c r="BY48" s="188" t="str">
        <f>IF(ISERROR(getgrade(Broadsheet!AZ48,data!$H$4:$I$9)),"#",getgrade(Broadsheet!AZ48,data!$H$4:$I$9))</f>
        <v/>
      </c>
      <c r="BZ48" s="188" t="str">
        <f>IF(ISERROR(getgrade(Broadsheet!BA48,data!$H$4:$I$9)),"#",getgrade(Broadsheet!BA48,data!$H$4:$I$9))</f>
        <v/>
      </c>
      <c r="CA48" s="188" t="str">
        <f>IF(ISERROR(getgrade(Broadsheet!BB48,data!$H$4:$I$9)),"#",getgrade(Broadsheet!BB48,data!$H$4:$I$9))</f>
        <v/>
      </c>
      <c r="CB48" s="188" t="str">
        <f>IF(ISERROR(getgrade(Broadsheet!BC48,data!$H$4:$I$9)),"#",getgrade(Broadsheet!BC48,data!$H$4:$I$9))</f>
        <v/>
      </c>
      <c r="CC48" s="188" t="str">
        <f>IF(ISERROR(getgrade(Broadsheet!BD48,data!$H$4:$I$9)),"#",getgrade(Broadsheet!BD48,data!$H$4:$I$9))</f>
        <v/>
      </c>
      <c r="CD48" s="188" t="str">
        <f>IF(ISERROR(getgrade(Broadsheet!BE48,data!$H$4:$I$9)),"#",getgrade(Broadsheet!BE48,data!$H$4:$I$9))</f>
        <v/>
      </c>
      <c r="CE48" s="188" t="str">
        <f>IF(ISERROR(getgrade(Broadsheet!BF48,data!$H$4:$I$9)),"#",getgrade(Broadsheet!BF48,data!$H$4:$I$9))</f>
        <v/>
      </c>
      <c r="CF48" s="188" t="str">
        <f>IF(ISERROR(getgrade(Broadsheet!BG48,data!$H$4:$I$9)),"#",getgrade(Broadsheet!BG48,data!$H$4:$I$9))</f>
        <v/>
      </c>
      <c r="CG48" s="188" t="str">
        <f>IF(ISERROR(getgrade(Broadsheet!BH48,data!$H$4:$I$9)),"#",getgrade(Broadsheet!BH48,data!$H$4:$I$9))</f>
        <v/>
      </c>
      <c r="CH48" s="188" t="str">
        <f>IF(ISERROR(getgrade(Broadsheet!BI48,data!$H$4:$I$9)),"#",getgrade(Broadsheet!BI48,data!$H$4:$I$9))</f>
        <v/>
      </c>
      <c r="CI48" s="188" t="str">
        <f>IF(ISERROR(getgrade(Broadsheet!BJ48,data!$H$4:$I$9)),"#",getgrade(Broadsheet!BJ48,data!$H$4:$I$9))</f>
        <v/>
      </c>
      <c r="CJ48" s="188"/>
      <c r="CK48" s="188"/>
      <c r="CL48" s="188"/>
      <c r="CM48" s="188"/>
      <c r="CN48" s="188"/>
      <c r="CO48" s="188"/>
      <c r="CP48" s="188"/>
      <c r="CQ48" s="188"/>
      <c r="CR48" s="188"/>
      <c r="CS48" s="188"/>
      <c r="CT48" s="188"/>
      <c r="CU48" s="188"/>
      <c r="CV48" s="188"/>
      <c r="CW48" s="188"/>
      <c r="CX48" s="188"/>
      <c r="CY48" s="188"/>
      <c r="CZ48" s="188"/>
      <c r="DA48" s="188"/>
      <c r="DB48" s="188"/>
      <c r="DC48" s="188"/>
      <c r="DD48" s="188"/>
      <c r="DE48" s="188"/>
      <c r="DF48" s="188"/>
      <c r="DG48" s="188"/>
      <c r="DH48" s="188"/>
      <c r="DI48" s="188"/>
      <c r="DJ48" s="188"/>
      <c r="DK48" s="188"/>
      <c r="DL48" s="188"/>
      <c r="DM48" s="188"/>
      <c r="DN48" s="188"/>
      <c r="DO48" s="188"/>
      <c r="DP48" s="188"/>
      <c r="DQ48" s="188"/>
      <c r="DR48" s="188"/>
      <c r="DS48" s="188"/>
      <c r="DT48" s="188"/>
      <c r="DU48" s="188"/>
      <c r="DV48" s="188"/>
      <c r="DW48" s="188"/>
      <c r="DX48" s="188"/>
      <c r="DY48" s="188"/>
      <c r="DZ48" s="188"/>
      <c r="EA48" s="188"/>
      <c r="EB48" s="188"/>
      <c r="EC48" s="188"/>
      <c r="ED48" s="188"/>
      <c r="EE48" s="188"/>
      <c r="EF48" s="188"/>
      <c r="EG48" s="188"/>
      <c r="EH48" s="188"/>
      <c r="EI48" s="188"/>
      <c r="EJ48" s="188"/>
      <c r="EK48" s="188"/>
      <c r="EL48" s="188"/>
      <c r="EM48" s="188"/>
      <c r="EN48" s="188"/>
      <c r="EO48" s="188"/>
      <c r="EP48" s="188"/>
      <c r="EQ48" s="188"/>
      <c r="ER48" s="188"/>
      <c r="ES48" s="188"/>
      <c r="ET48" s="188"/>
      <c r="EU48" s="188"/>
      <c r="EV48" s="188"/>
      <c r="EW48" s="188"/>
      <c r="EX48" s="188"/>
      <c r="EY48" s="188"/>
      <c r="EZ48" s="188"/>
    </row>
    <row r="49" spans="1:156" ht="15.75" x14ac:dyDescent="0.25">
      <c r="A49" s="12">
        <v>40</v>
      </c>
      <c r="B49" s="16"/>
      <c r="C49" s="24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07"/>
      <c r="Y49" s="110"/>
      <c r="Z49" s="19"/>
      <c r="AA49" s="25"/>
      <c r="AB49" s="21"/>
      <c r="AC49" s="25"/>
      <c r="AD49" s="25"/>
      <c r="AE49" s="20"/>
      <c r="AG49" s="188" t="str">
        <f>IF(ISERROR(getgrade(Broadsheet!H49,data!$H$4:$I$9)),"#",getgrade(Broadsheet!H49,data!$H$4:$I$9))</f>
        <v/>
      </c>
      <c r="AH49" s="188" t="str">
        <f>IF(ISERROR(getgrade(Broadsheet!I49,data!$H$4:$I$9)),"#",getgrade(Broadsheet!I49,data!$H$4:$I$9))</f>
        <v/>
      </c>
      <c r="AI49" s="188" t="str">
        <f>IF(ISERROR(getgrade(Broadsheet!J49,data!$H$4:$I$9)),"#",getgrade(Broadsheet!J49,data!$H$4:$I$9))</f>
        <v/>
      </c>
      <c r="AJ49" s="188" t="str">
        <f>IF(ISERROR(getgrade(Broadsheet!K49,data!$H$4:$I$9)),"#",getgrade(Broadsheet!K49,data!$H$4:$I$9))</f>
        <v/>
      </c>
      <c r="AK49" s="188" t="str">
        <f>IF(ISERROR(getgrade(Broadsheet!L49,data!$H$4:$I$9)),"#",getgrade(Broadsheet!L49,data!$H$4:$I$9))</f>
        <v/>
      </c>
      <c r="AL49" s="188" t="str">
        <f>IF(ISERROR(getgrade(Broadsheet!M49,data!$H$4:$I$9)),"#",getgrade(Broadsheet!M49,data!$H$4:$I$9))</f>
        <v/>
      </c>
      <c r="AM49" s="188" t="str">
        <f>IF(ISERROR(getgrade(Broadsheet!N49,data!$H$4:$I$9)),"#",getgrade(Broadsheet!N49,data!$H$4:$I$9))</f>
        <v/>
      </c>
      <c r="AN49" s="188" t="str">
        <f>IF(ISERROR(getgrade(Broadsheet!O49,data!$H$4:$I$9)),"#",getgrade(Broadsheet!O49,data!$H$4:$I$9))</f>
        <v/>
      </c>
      <c r="AO49" s="188" t="str">
        <f>IF(ISERROR(getgrade(Broadsheet!P49,data!$H$4:$I$9)),"#",getgrade(Broadsheet!P49,data!$H$4:$I$9))</f>
        <v/>
      </c>
      <c r="AP49" s="188" t="str">
        <f>IF(ISERROR(getgrade(Broadsheet!Q49,data!$H$4:$I$9)),"#",getgrade(Broadsheet!Q49,data!$H$4:$I$9))</f>
        <v/>
      </c>
      <c r="AQ49" s="188" t="str">
        <f>IF(ISERROR(getgrade(Broadsheet!R49,data!$H$4:$I$9)),"#",getgrade(Broadsheet!R49,data!$H$4:$I$9))</f>
        <v/>
      </c>
      <c r="AR49" s="188" t="str">
        <f>IF(ISERROR(getgrade(Broadsheet!S49,data!$H$4:$I$9)),"#",getgrade(Broadsheet!S49,data!$H$4:$I$9))</f>
        <v/>
      </c>
      <c r="AS49" s="188" t="str">
        <f>IF(ISERROR(getgrade(Broadsheet!T49,data!$H$4:$I$9)),"#",getgrade(Broadsheet!T49,data!$H$4:$I$9))</f>
        <v/>
      </c>
      <c r="AT49" s="188" t="str">
        <f>IF(ISERROR(getgrade(Broadsheet!U49,data!$H$4:$I$9)),"#",getgrade(Broadsheet!U49,data!$H$4:$I$9))</f>
        <v/>
      </c>
      <c r="AU49" s="188" t="str">
        <f>IF(ISERROR(getgrade(Broadsheet!V49,data!$H$4:$I$9)),"#",getgrade(Broadsheet!V49,data!$H$4:$I$9))</f>
        <v/>
      </c>
      <c r="AV49" s="188" t="str">
        <f>IF(ISERROR(getgrade(Broadsheet!W49,data!$H$4:$I$9)),"#",getgrade(Broadsheet!W49,data!$H$4:$I$9))</f>
        <v/>
      </c>
      <c r="AW49" s="188" t="str">
        <f>IF(ISERROR(getgrade(Broadsheet!X49,data!$H$4:$I$9)),"#",getgrade(Broadsheet!X49,data!$H$4:$I$9))</f>
        <v/>
      </c>
      <c r="AX49" s="188" t="str">
        <f>IF(ISERROR(getgrade(Broadsheet!Y49,data!$H$4:$I$9)),"#",getgrade(Broadsheet!Y49,data!$H$4:$I$9))</f>
        <v/>
      </c>
      <c r="AY49" s="188" t="str">
        <f>IF(ISERROR(getgrade(Broadsheet!Z49,data!$H$4:$I$9)),"#",getgrade(Broadsheet!Z49,data!$H$4:$I$9))</f>
        <v/>
      </c>
      <c r="AZ49" s="188" t="str">
        <f>IF(ISERROR(getgrade(Broadsheet!AA49,data!$H$4:$I$9)),"#",getgrade(Broadsheet!AA49,data!$H$4:$I$9))</f>
        <v/>
      </c>
      <c r="BA49" s="188" t="str">
        <f>IF(ISERROR(getgrade(Broadsheet!AB49,data!$H$4:$I$9)),"#",getgrade(Broadsheet!AB49,data!$H$4:$I$9))</f>
        <v/>
      </c>
      <c r="BB49" s="188" t="str">
        <f>IF(ISERROR(getgrade(Broadsheet!AC49,data!$H$4:$I$9)),"#",getgrade(Broadsheet!AC49,data!$H$4:$I$9))</f>
        <v/>
      </c>
      <c r="BC49" s="188" t="str">
        <f>IF(ISERROR(getgrade(Broadsheet!AD49,data!$H$4:$I$9)),"#",getgrade(Broadsheet!AD49,data!$H$4:$I$9))</f>
        <v/>
      </c>
      <c r="BD49" s="188" t="str">
        <f>IF(ISERROR(getgrade(Broadsheet!AE49,data!$H$4:$I$9)),"#",getgrade(Broadsheet!AE49,data!$H$4:$I$9))</f>
        <v/>
      </c>
      <c r="BE49" s="188" t="str">
        <f>IF(ISERROR(getgrade(Broadsheet!AF49,data!$H$4:$I$9)),"#",getgrade(Broadsheet!AF49,data!$H$4:$I$9))</f>
        <v/>
      </c>
      <c r="BF49" s="188" t="str">
        <f>IF(ISERROR(getgrade(Broadsheet!AG49,data!$H$4:$I$9)),"#",getgrade(Broadsheet!AG49,data!$H$4:$I$9))</f>
        <v/>
      </c>
      <c r="BG49" s="188" t="str">
        <f>IF(ISERROR(getgrade(Broadsheet!AH49,data!$H$4:$I$9)),"#",getgrade(Broadsheet!AH49,data!$H$4:$I$9))</f>
        <v/>
      </c>
      <c r="BH49" s="188" t="str">
        <f>IF(ISERROR(getgrade(Broadsheet!AI49,data!$H$4:$I$9)),"#",getgrade(Broadsheet!AI49,data!$H$4:$I$9))</f>
        <v/>
      </c>
      <c r="BI49" s="188" t="str">
        <f>IF(ISERROR(getgrade(Broadsheet!AJ49,data!$H$4:$I$9)),"#",getgrade(Broadsheet!AJ49,data!$H$4:$I$9))</f>
        <v/>
      </c>
      <c r="BJ49" s="188" t="str">
        <f>IF(ISERROR(getgrade(Broadsheet!AK49,data!$H$4:$I$9)),"#",getgrade(Broadsheet!AK49,data!$H$4:$I$9))</f>
        <v/>
      </c>
      <c r="BK49" s="188" t="str">
        <f>IF(ISERROR(getgrade(Broadsheet!AL49,data!$H$4:$I$9)),"#",getgrade(Broadsheet!AL49,data!$H$4:$I$9))</f>
        <v/>
      </c>
      <c r="BL49" s="188" t="str">
        <f>IF(ISERROR(getgrade(Broadsheet!AM49,data!$H$4:$I$9)),"#",getgrade(Broadsheet!AM49,data!$H$4:$I$9))</f>
        <v/>
      </c>
      <c r="BM49" s="188" t="str">
        <f>IF(ISERROR(getgrade(Broadsheet!AN49,data!$H$4:$I$9)),"#",getgrade(Broadsheet!AN49,data!$H$4:$I$9))</f>
        <v/>
      </c>
      <c r="BN49" s="188" t="str">
        <f>IF(ISERROR(getgrade(Broadsheet!AO49,data!$H$4:$I$9)),"#",getgrade(Broadsheet!AO49,data!$H$4:$I$9))</f>
        <v/>
      </c>
      <c r="BO49" s="188" t="str">
        <f>IF(ISERROR(getgrade(Broadsheet!AP49,data!$H$4:$I$9)),"#",getgrade(Broadsheet!AP49,data!$H$4:$I$9))</f>
        <v/>
      </c>
      <c r="BP49" s="188" t="str">
        <f>IF(ISERROR(getgrade(Broadsheet!AQ49,data!$H$4:$I$9)),"#",getgrade(Broadsheet!AQ49,data!$H$4:$I$9))</f>
        <v/>
      </c>
      <c r="BQ49" s="188" t="str">
        <f>IF(ISERROR(getgrade(Broadsheet!AR49,data!$H$4:$I$9)),"#",getgrade(Broadsheet!AR49,data!$H$4:$I$9))</f>
        <v/>
      </c>
      <c r="BR49" s="188" t="str">
        <f>IF(ISERROR(getgrade(Broadsheet!AS49,data!$H$4:$I$9)),"#",getgrade(Broadsheet!AS49,data!$H$4:$I$9))</f>
        <v/>
      </c>
      <c r="BS49" s="188" t="str">
        <f>IF(ISERROR(getgrade(Broadsheet!AT49,data!$H$4:$I$9)),"#",getgrade(Broadsheet!AT49,data!$H$4:$I$9))</f>
        <v/>
      </c>
      <c r="BT49" s="188" t="str">
        <f>IF(ISERROR(getgrade(Broadsheet!AU49,data!$H$4:$I$9)),"#",getgrade(Broadsheet!AU49,data!$H$4:$I$9))</f>
        <v/>
      </c>
      <c r="BU49" s="188" t="str">
        <f>IF(ISERROR(getgrade(Broadsheet!AV49,data!$H$4:$I$9)),"#",getgrade(Broadsheet!AV49,data!$H$4:$I$9))</f>
        <v/>
      </c>
      <c r="BV49" s="188" t="str">
        <f>IF(ISERROR(getgrade(Broadsheet!AW49,data!$H$4:$I$9)),"#",getgrade(Broadsheet!AW49,data!$H$4:$I$9))</f>
        <v/>
      </c>
      <c r="BW49" s="188" t="str">
        <f>IF(ISERROR(getgrade(Broadsheet!AX49,data!$H$4:$I$9)),"#",getgrade(Broadsheet!AX49,data!$H$4:$I$9))</f>
        <v/>
      </c>
      <c r="BX49" s="188" t="str">
        <f>IF(ISERROR(getgrade(Broadsheet!AY49,data!$H$4:$I$9)),"#",getgrade(Broadsheet!AY49,data!$H$4:$I$9))</f>
        <v/>
      </c>
      <c r="BY49" s="188" t="str">
        <f>IF(ISERROR(getgrade(Broadsheet!AZ49,data!$H$4:$I$9)),"#",getgrade(Broadsheet!AZ49,data!$H$4:$I$9))</f>
        <v/>
      </c>
      <c r="BZ49" s="188" t="str">
        <f>IF(ISERROR(getgrade(Broadsheet!BA49,data!$H$4:$I$9)),"#",getgrade(Broadsheet!BA49,data!$H$4:$I$9))</f>
        <v/>
      </c>
      <c r="CA49" s="188" t="str">
        <f>IF(ISERROR(getgrade(Broadsheet!BB49,data!$H$4:$I$9)),"#",getgrade(Broadsheet!BB49,data!$H$4:$I$9))</f>
        <v/>
      </c>
      <c r="CB49" s="188" t="str">
        <f>IF(ISERROR(getgrade(Broadsheet!BC49,data!$H$4:$I$9)),"#",getgrade(Broadsheet!BC49,data!$H$4:$I$9))</f>
        <v/>
      </c>
      <c r="CC49" s="188" t="str">
        <f>IF(ISERROR(getgrade(Broadsheet!BD49,data!$H$4:$I$9)),"#",getgrade(Broadsheet!BD49,data!$H$4:$I$9))</f>
        <v/>
      </c>
      <c r="CD49" s="188" t="str">
        <f>IF(ISERROR(getgrade(Broadsheet!BE49,data!$H$4:$I$9)),"#",getgrade(Broadsheet!BE49,data!$H$4:$I$9))</f>
        <v/>
      </c>
      <c r="CE49" s="188" t="str">
        <f>IF(ISERROR(getgrade(Broadsheet!BF49,data!$H$4:$I$9)),"#",getgrade(Broadsheet!BF49,data!$H$4:$I$9))</f>
        <v/>
      </c>
      <c r="CF49" s="188" t="str">
        <f>IF(ISERROR(getgrade(Broadsheet!BG49,data!$H$4:$I$9)),"#",getgrade(Broadsheet!BG49,data!$H$4:$I$9))</f>
        <v/>
      </c>
      <c r="CG49" s="188" t="str">
        <f>IF(ISERROR(getgrade(Broadsheet!BH49,data!$H$4:$I$9)),"#",getgrade(Broadsheet!BH49,data!$H$4:$I$9))</f>
        <v/>
      </c>
      <c r="CH49" s="188" t="str">
        <f>IF(ISERROR(getgrade(Broadsheet!BI49,data!$H$4:$I$9)),"#",getgrade(Broadsheet!BI49,data!$H$4:$I$9))</f>
        <v/>
      </c>
      <c r="CI49" s="188" t="str">
        <f>IF(ISERROR(getgrade(Broadsheet!BJ49,data!$H$4:$I$9)),"#",getgrade(Broadsheet!BJ49,data!$H$4:$I$9))</f>
        <v/>
      </c>
      <c r="CJ49" s="188"/>
      <c r="CK49" s="188"/>
      <c r="CL49" s="188"/>
      <c r="CM49" s="188"/>
      <c r="CN49" s="188"/>
      <c r="CO49" s="188"/>
      <c r="CP49" s="188"/>
      <c r="CQ49" s="188"/>
      <c r="CR49" s="188"/>
      <c r="CS49" s="188"/>
      <c r="CT49" s="188"/>
      <c r="CU49" s="188"/>
      <c r="CV49" s="188"/>
      <c r="CW49" s="188"/>
      <c r="CX49" s="188"/>
      <c r="CY49" s="188"/>
      <c r="CZ49" s="188"/>
      <c r="DA49" s="188"/>
      <c r="DB49" s="188"/>
      <c r="DC49" s="188"/>
      <c r="DD49" s="188"/>
      <c r="DE49" s="188"/>
      <c r="DF49" s="188"/>
      <c r="DG49" s="188"/>
      <c r="DH49" s="188"/>
      <c r="DI49" s="188"/>
      <c r="DJ49" s="188"/>
      <c r="DK49" s="188"/>
      <c r="DL49" s="188"/>
      <c r="DM49" s="188"/>
      <c r="DN49" s="188"/>
      <c r="DO49" s="188"/>
      <c r="DP49" s="188"/>
      <c r="DQ49" s="188"/>
      <c r="DR49" s="188"/>
      <c r="DS49" s="188"/>
      <c r="DT49" s="188"/>
      <c r="DU49" s="188"/>
      <c r="DV49" s="188"/>
      <c r="DW49" s="188"/>
      <c r="DX49" s="188"/>
      <c r="DY49" s="188"/>
      <c r="DZ49" s="188"/>
      <c r="EA49" s="188"/>
      <c r="EB49" s="188"/>
      <c r="EC49" s="188"/>
      <c r="ED49" s="188"/>
      <c r="EE49" s="188"/>
      <c r="EF49" s="188"/>
      <c r="EG49" s="188"/>
      <c r="EH49" s="188"/>
      <c r="EI49" s="188"/>
      <c r="EJ49" s="188"/>
      <c r="EK49" s="188"/>
      <c r="EL49" s="188"/>
      <c r="EM49" s="188"/>
      <c r="EN49" s="188"/>
      <c r="EO49" s="188"/>
      <c r="EP49" s="188"/>
      <c r="EQ49" s="188"/>
      <c r="ER49" s="188"/>
      <c r="ES49" s="188"/>
      <c r="ET49" s="188"/>
      <c r="EU49" s="188"/>
      <c r="EV49" s="188"/>
      <c r="EW49" s="188"/>
      <c r="EX49" s="188"/>
      <c r="EY49" s="188"/>
      <c r="EZ49" s="188"/>
    </row>
    <row r="50" spans="1:156" ht="15.75" x14ac:dyDescent="0.25">
      <c r="A50" s="12">
        <v>41</v>
      </c>
      <c r="B50" s="16"/>
      <c r="C50" s="24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07"/>
      <c r="Y50" s="110"/>
      <c r="Z50" s="19"/>
      <c r="AA50" s="25"/>
      <c r="AB50" s="21"/>
      <c r="AC50" s="25"/>
      <c r="AD50" s="25"/>
      <c r="AE50" s="20"/>
      <c r="AG50" s="188" t="str">
        <f>IF(ISERROR(getgrade(Broadsheet!H50,data!$H$4:$I$9)),"#",getgrade(Broadsheet!H50,data!$H$4:$I$9))</f>
        <v/>
      </c>
      <c r="AH50" s="188" t="str">
        <f>IF(ISERROR(getgrade(Broadsheet!I50,data!$H$4:$I$9)),"#",getgrade(Broadsheet!I50,data!$H$4:$I$9))</f>
        <v/>
      </c>
      <c r="AI50" s="188" t="str">
        <f>IF(ISERROR(getgrade(Broadsheet!J50,data!$H$4:$I$9)),"#",getgrade(Broadsheet!J50,data!$H$4:$I$9))</f>
        <v/>
      </c>
      <c r="AJ50" s="188" t="str">
        <f>IF(ISERROR(getgrade(Broadsheet!K50,data!$H$4:$I$9)),"#",getgrade(Broadsheet!K50,data!$H$4:$I$9))</f>
        <v/>
      </c>
      <c r="AK50" s="188" t="str">
        <f>IF(ISERROR(getgrade(Broadsheet!L50,data!$H$4:$I$9)),"#",getgrade(Broadsheet!L50,data!$H$4:$I$9))</f>
        <v/>
      </c>
      <c r="AL50" s="188" t="str">
        <f>IF(ISERROR(getgrade(Broadsheet!M50,data!$H$4:$I$9)),"#",getgrade(Broadsheet!M50,data!$H$4:$I$9))</f>
        <v/>
      </c>
      <c r="AM50" s="188" t="str">
        <f>IF(ISERROR(getgrade(Broadsheet!N50,data!$H$4:$I$9)),"#",getgrade(Broadsheet!N50,data!$H$4:$I$9))</f>
        <v/>
      </c>
      <c r="AN50" s="188" t="str">
        <f>IF(ISERROR(getgrade(Broadsheet!O50,data!$H$4:$I$9)),"#",getgrade(Broadsheet!O50,data!$H$4:$I$9))</f>
        <v/>
      </c>
      <c r="AO50" s="188" t="str">
        <f>IF(ISERROR(getgrade(Broadsheet!P50,data!$H$4:$I$9)),"#",getgrade(Broadsheet!P50,data!$H$4:$I$9))</f>
        <v/>
      </c>
      <c r="AP50" s="188" t="str">
        <f>IF(ISERROR(getgrade(Broadsheet!Q50,data!$H$4:$I$9)),"#",getgrade(Broadsheet!Q50,data!$H$4:$I$9))</f>
        <v/>
      </c>
      <c r="AQ50" s="188" t="str">
        <f>IF(ISERROR(getgrade(Broadsheet!R50,data!$H$4:$I$9)),"#",getgrade(Broadsheet!R50,data!$H$4:$I$9))</f>
        <v/>
      </c>
      <c r="AR50" s="188" t="str">
        <f>IF(ISERROR(getgrade(Broadsheet!S50,data!$H$4:$I$9)),"#",getgrade(Broadsheet!S50,data!$H$4:$I$9))</f>
        <v/>
      </c>
      <c r="AS50" s="188" t="str">
        <f>IF(ISERROR(getgrade(Broadsheet!T50,data!$H$4:$I$9)),"#",getgrade(Broadsheet!T50,data!$H$4:$I$9))</f>
        <v/>
      </c>
      <c r="AT50" s="188" t="str">
        <f>IF(ISERROR(getgrade(Broadsheet!U50,data!$H$4:$I$9)),"#",getgrade(Broadsheet!U50,data!$H$4:$I$9))</f>
        <v/>
      </c>
      <c r="AU50" s="188" t="str">
        <f>IF(ISERROR(getgrade(Broadsheet!V50,data!$H$4:$I$9)),"#",getgrade(Broadsheet!V50,data!$H$4:$I$9))</f>
        <v/>
      </c>
      <c r="AV50" s="188" t="str">
        <f>IF(ISERROR(getgrade(Broadsheet!W50,data!$H$4:$I$9)),"#",getgrade(Broadsheet!W50,data!$H$4:$I$9))</f>
        <v/>
      </c>
      <c r="AW50" s="188" t="str">
        <f>IF(ISERROR(getgrade(Broadsheet!X50,data!$H$4:$I$9)),"#",getgrade(Broadsheet!X50,data!$H$4:$I$9))</f>
        <v/>
      </c>
      <c r="AX50" s="188" t="str">
        <f>IF(ISERROR(getgrade(Broadsheet!Y50,data!$H$4:$I$9)),"#",getgrade(Broadsheet!Y50,data!$H$4:$I$9))</f>
        <v/>
      </c>
      <c r="AY50" s="188" t="str">
        <f>IF(ISERROR(getgrade(Broadsheet!Z50,data!$H$4:$I$9)),"#",getgrade(Broadsheet!Z50,data!$H$4:$I$9))</f>
        <v/>
      </c>
      <c r="AZ50" s="188" t="str">
        <f>IF(ISERROR(getgrade(Broadsheet!AA50,data!$H$4:$I$9)),"#",getgrade(Broadsheet!AA50,data!$H$4:$I$9))</f>
        <v/>
      </c>
      <c r="BA50" s="188" t="str">
        <f>IF(ISERROR(getgrade(Broadsheet!AB50,data!$H$4:$I$9)),"#",getgrade(Broadsheet!AB50,data!$H$4:$I$9))</f>
        <v/>
      </c>
      <c r="BB50" s="188" t="str">
        <f>IF(ISERROR(getgrade(Broadsheet!AC50,data!$H$4:$I$9)),"#",getgrade(Broadsheet!AC50,data!$H$4:$I$9))</f>
        <v/>
      </c>
      <c r="BC50" s="188" t="str">
        <f>IF(ISERROR(getgrade(Broadsheet!AD50,data!$H$4:$I$9)),"#",getgrade(Broadsheet!AD50,data!$H$4:$I$9))</f>
        <v/>
      </c>
      <c r="BD50" s="188" t="str">
        <f>IF(ISERROR(getgrade(Broadsheet!AE50,data!$H$4:$I$9)),"#",getgrade(Broadsheet!AE50,data!$H$4:$I$9))</f>
        <v/>
      </c>
      <c r="BE50" s="188" t="str">
        <f>IF(ISERROR(getgrade(Broadsheet!AF50,data!$H$4:$I$9)),"#",getgrade(Broadsheet!AF50,data!$H$4:$I$9))</f>
        <v/>
      </c>
      <c r="BF50" s="188" t="str">
        <f>IF(ISERROR(getgrade(Broadsheet!AG50,data!$H$4:$I$9)),"#",getgrade(Broadsheet!AG50,data!$H$4:$I$9))</f>
        <v/>
      </c>
      <c r="BG50" s="188" t="str">
        <f>IF(ISERROR(getgrade(Broadsheet!AH50,data!$H$4:$I$9)),"#",getgrade(Broadsheet!AH50,data!$H$4:$I$9))</f>
        <v/>
      </c>
      <c r="BH50" s="188" t="str">
        <f>IF(ISERROR(getgrade(Broadsheet!AI50,data!$H$4:$I$9)),"#",getgrade(Broadsheet!AI50,data!$H$4:$I$9))</f>
        <v/>
      </c>
      <c r="BI50" s="188" t="str">
        <f>IF(ISERROR(getgrade(Broadsheet!AJ50,data!$H$4:$I$9)),"#",getgrade(Broadsheet!AJ50,data!$H$4:$I$9))</f>
        <v/>
      </c>
      <c r="BJ50" s="188" t="str">
        <f>IF(ISERROR(getgrade(Broadsheet!AK50,data!$H$4:$I$9)),"#",getgrade(Broadsheet!AK50,data!$H$4:$I$9))</f>
        <v/>
      </c>
      <c r="BK50" s="188" t="str">
        <f>IF(ISERROR(getgrade(Broadsheet!AL50,data!$H$4:$I$9)),"#",getgrade(Broadsheet!AL50,data!$H$4:$I$9))</f>
        <v/>
      </c>
      <c r="BL50" s="188" t="str">
        <f>IF(ISERROR(getgrade(Broadsheet!AM50,data!$H$4:$I$9)),"#",getgrade(Broadsheet!AM50,data!$H$4:$I$9))</f>
        <v/>
      </c>
      <c r="BM50" s="188" t="str">
        <f>IF(ISERROR(getgrade(Broadsheet!AN50,data!$H$4:$I$9)),"#",getgrade(Broadsheet!AN50,data!$H$4:$I$9))</f>
        <v/>
      </c>
      <c r="BN50" s="188" t="str">
        <f>IF(ISERROR(getgrade(Broadsheet!AO50,data!$H$4:$I$9)),"#",getgrade(Broadsheet!AO50,data!$H$4:$I$9))</f>
        <v/>
      </c>
      <c r="BO50" s="188" t="str">
        <f>IF(ISERROR(getgrade(Broadsheet!AP50,data!$H$4:$I$9)),"#",getgrade(Broadsheet!AP50,data!$H$4:$I$9))</f>
        <v/>
      </c>
      <c r="BP50" s="188" t="str">
        <f>IF(ISERROR(getgrade(Broadsheet!AQ50,data!$H$4:$I$9)),"#",getgrade(Broadsheet!AQ50,data!$H$4:$I$9))</f>
        <v/>
      </c>
      <c r="BQ50" s="188" t="str">
        <f>IF(ISERROR(getgrade(Broadsheet!AR50,data!$H$4:$I$9)),"#",getgrade(Broadsheet!AR50,data!$H$4:$I$9))</f>
        <v/>
      </c>
      <c r="BR50" s="188" t="str">
        <f>IF(ISERROR(getgrade(Broadsheet!AS50,data!$H$4:$I$9)),"#",getgrade(Broadsheet!AS50,data!$H$4:$I$9))</f>
        <v/>
      </c>
      <c r="BS50" s="188" t="str">
        <f>IF(ISERROR(getgrade(Broadsheet!AT50,data!$H$4:$I$9)),"#",getgrade(Broadsheet!AT50,data!$H$4:$I$9))</f>
        <v/>
      </c>
      <c r="BT50" s="188" t="str">
        <f>IF(ISERROR(getgrade(Broadsheet!AU50,data!$H$4:$I$9)),"#",getgrade(Broadsheet!AU50,data!$H$4:$I$9))</f>
        <v/>
      </c>
      <c r="BU50" s="188" t="str">
        <f>IF(ISERROR(getgrade(Broadsheet!AV50,data!$H$4:$I$9)),"#",getgrade(Broadsheet!AV50,data!$H$4:$I$9))</f>
        <v/>
      </c>
      <c r="BV50" s="188" t="str">
        <f>IF(ISERROR(getgrade(Broadsheet!AW50,data!$H$4:$I$9)),"#",getgrade(Broadsheet!AW50,data!$H$4:$I$9))</f>
        <v/>
      </c>
      <c r="BW50" s="188" t="str">
        <f>IF(ISERROR(getgrade(Broadsheet!AX50,data!$H$4:$I$9)),"#",getgrade(Broadsheet!AX50,data!$H$4:$I$9))</f>
        <v/>
      </c>
      <c r="BX50" s="188" t="str">
        <f>IF(ISERROR(getgrade(Broadsheet!AY50,data!$H$4:$I$9)),"#",getgrade(Broadsheet!AY50,data!$H$4:$I$9))</f>
        <v/>
      </c>
      <c r="BY50" s="188" t="str">
        <f>IF(ISERROR(getgrade(Broadsheet!AZ50,data!$H$4:$I$9)),"#",getgrade(Broadsheet!AZ50,data!$H$4:$I$9))</f>
        <v/>
      </c>
      <c r="BZ50" s="188" t="str">
        <f>IF(ISERROR(getgrade(Broadsheet!BA50,data!$H$4:$I$9)),"#",getgrade(Broadsheet!BA50,data!$H$4:$I$9))</f>
        <v/>
      </c>
      <c r="CA50" s="188" t="str">
        <f>IF(ISERROR(getgrade(Broadsheet!BB50,data!$H$4:$I$9)),"#",getgrade(Broadsheet!BB50,data!$H$4:$I$9))</f>
        <v/>
      </c>
      <c r="CB50" s="188" t="str">
        <f>IF(ISERROR(getgrade(Broadsheet!BC50,data!$H$4:$I$9)),"#",getgrade(Broadsheet!BC50,data!$H$4:$I$9))</f>
        <v/>
      </c>
      <c r="CC50" s="188" t="str">
        <f>IF(ISERROR(getgrade(Broadsheet!BD50,data!$H$4:$I$9)),"#",getgrade(Broadsheet!BD50,data!$H$4:$I$9))</f>
        <v/>
      </c>
      <c r="CD50" s="188" t="str">
        <f>IF(ISERROR(getgrade(Broadsheet!BE50,data!$H$4:$I$9)),"#",getgrade(Broadsheet!BE50,data!$H$4:$I$9))</f>
        <v/>
      </c>
      <c r="CE50" s="188" t="str">
        <f>IF(ISERROR(getgrade(Broadsheet!BF50,data!$H$4:$I$9)),"#",getgrade(Broadsheet!BF50,data!$H$4:$I$9))</f>
        <v/>
      </c>
      <c r="CF50" s="188" t="str">
        <f>IF(ISERROR(getgrade(Broadsheet!BG50,data!$H$4:$I$9)),"#",getgrade(Broadsheet!BG50,data!$H$4:$I$9))</f>
        <v/>
      </c>
      <c r="CG50" s="188" t="str">
        <f>IF(ISERROR(getgrade(Broadsheet!BH50,data!$H$4:$I$9)),"#",getgrade(Broadsheet!BH50,data!$H$4:$I$9))</f>
        <v/>
      </c>
      <c r="CH50" s="188" t="str">
        <f>IF(ISERROR(getgrade(Broadsheet!BI50,data!$H$4:$I$9)),"#",getgrade(Broadsheet!BI50,data!$H$4:$I$9))</f>
        <v/>
      </c>
      <c r="CI50" s="188" t="str">
        <f>IF(ISERROR(getgrade(Broadsheet!BJ50,data!$H$4:$I$9)),"#",getgrade(Broadsheet!BJ50,data!$H$4:$I$9))</f>
        <v/>
      </c>
      <c r="CJ50" s="188"/>
      <c r="CK50" s="188"/>
      <c r="CL50" s="188"/>
      <c r="CM50" s="188"/>
      <c r="CN50" s="188"/>
      <c r="CO50" s="188"/>
      <c r="CP50" s="188"/>
      <c r="CQ50" s="188"/>
      <c r="CR50" s="188"/>
      <c r="CS50" s="188"/>
      <c r="CT50" s="188"/>
      <c r="CU50" s="188"/>
      <c r="CV50" s="188"/>
      <c r="CW50" s="188"/>
      <c r="CX50" s="188"/>
      <c r="CY50" s="188"/>
      <c r="CZ50" s="188"/>
      <c r="DA50" s="188"/>
      <c r="DB50" s="188"/>
      <c r="DC50" s="188"/>
      <c r="DD50" s="188"/>
      <c r="DE50" s="188"/>
      <c r="DF50" s="188"/>
      <c r="DG50" s="188"/>
      <c r="DH50" s="188"/>
      <c r="DI50" s="188"/>
      <c r="DJ50" s="188"/>
      <c r="DK50" s="188"/>
      <c r="DL50" s="188"/>
      <c r="DM50" s="188"/>
      <c r="DN50" s="188"/>
      <c r="DO50" s="188"/>
      <c r="DP50" s="188"/>
      <c r="DQ50" s="188"/>
      <c r="DR50" s="188"/>
      <c r="DS50" s="188"/>
      <c r="DT50" s="188"/>
      <c r="DU50" s="188"/>
      <c r="DV50" s="188"/>
      <c r="DW50" s="188"/>
      <c r="DX50" s="188"/>
      <c r="DY50" s="188"/>
      <c r="DZ50" s="188"/>
      <c r="EA50" s="188"/>
      <c r="EB50" s="188"/>
      <c r="EC50" s="188"/>
      <c r="ED50" s="188"/>
      <c r="EE50" s="188"/>
      <c r="EF50" s="188"/>
      <c r="EG50" s="188"/>
      <c r="EH50" s="188"/>
      <c r="EI50" s="188"/>
      <c r="EJ50" s="188"/>
      <c r="EK50" s="188"/>
      <c r="EL50" s="188"/>
      <c r="EM50" s="188"/>
      <c r="EN50" s="188"/>
      <c r="EO50" s="188"/>
      <c r="EP50" s="188"/>
      <c r="EQ50" s="188"/>
      <c r="ER50" s="188"/>
      <c r="ES50" s="188"/>
      <c r="ET50" s="188"/>
      <c r="EU50" s="188"/>
      <c r="EV50" s="188"/>
      <c r="EW50" s="188"/>
      <c r="EX50" s="188"/>
      <c r="EY50" s="188"/>
      <c r="EZ50" s="188"/>
    </row>
    <row r="51" spans="1:156" ht="15.75" x14ac:dyDescent="0.25">
      <c r="A51" s="12">
        <v>42</v>
      </c>
      <c r="B51" s="16"/>
      <c r="C51" s="24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07"/>
      <c r="Y51" s="110"/>
      <c r="Z51" s="19"/>
      <c r="AA51" s="25"/>
      <c r="AB51" s="21"/>
      <c r="AC51" s="25"/>
      <c r="AD51" s="25"/>
      <c r="AE51" s="20"/>
      <c r="AG51" s="188" t="str">
        <f>IF(ISERROR(getgrade(Broadsheet!H51,data!$H$4:$I$9)),"#",getgrade(Broadsheet!H51,data!$H$4:$I$9))</f>
        <v/>
      </c>
      <c r="AH51" s="188" t="str">
        <f>IF(ISERROR(getgrade(Broadsheet!I51,data!$H$4:$I$9)),"#",getgrade(Broadsheet!I51,data!$H$4:$I$9))</f>
        <v/>
      </c>
      <c r="AI51" s="188" t="str">
        <f>IF(ISERROR(getgrade(Broadsheet!J51,data!$H$4:$I$9)),"#",getgrade(Broadsheet!J51,data!$H$4:$I$9))</f>
        <v/>
      </c>
      <c r="AJ51" s="188" t="str">
        <f>IF(ISERROR(getgrade(Broadsheet!K51,data!$H$4:$I$9)),"#",getgrade(Broadsheet!K51,data!$H$4:$I$9))</f>
        <v/>
      </c>
      <c r="AK51" s="188" t="str">
        <f>IF(ISERROR(getgrade(Broadsheet!L51,data!$H$4:$I$9)),"#",getgrade(Broadsheet!L51,data!$H$4:$I$9))</f>
        <v/>
      </c>
      <c r="AL51" s="188" t="str">
        <f>IF(ISERROR(getgrade(Broadsheet!M51,data!$H$4:$I$9)),"#",getgrade(Broadsheet!M51,data!$H$4:$I$9))</f>
        <v/>
      </c>
      <c r="AM51" s="188" t="str">
        <f>IF(ISERROR(getgrade(Broadsheet!N51,data!$H$4:$I$9)),"#",getgrade(Broadsheet!N51,data!$H$4:$I$9))</f>
        <v/>
      </c>
      <c r="AN51" s="188" t="str">
        <f>IF(ISERROR(getgrade(Broadsheet!O51,data!$H$4:$I$9)),"#",getgrade(Broadsheet!O51,data!$H$4:$I$9))</f>
        <v/>
      </c>
      <c r="AO51" s="188" t="str">
        <f>IF(ISERROR(getgrade(Broadsheet!P51,data!$H$4:$I$9)),"#",getgrade(Broadsheet!P51,data!$H$4:$I$9))</f>
        <v/>
      </c>
      <c r="AP51" s="188" t="str">
        <f>IF(ISERROR(getgrade(Broadsheet!Q51,data!$H$4:$I$9)),"#",getgrade(Broadsheet!Q51,data!$H$4:$I$9))</f>
        <v/>
      </c>
      <c r="AQ51" s="188" t="str">
        <f>IF(ISERROR(getgrade(Broadsheet!R51,data!$H$4:$I$9)),"#",getgrade(Broadsheet!R51,data!$H$4:$I$9))</f>
        <v/>
      </c>
      <c r="AR51" s="188" t="str">
        <f>IF(ISERROR(getgrade(Broadsheet!S51,data!$H$4:$I$9)),"#",getgrade(Broadsheet!S51,data!$H$4:$I$9))</f>
        <v/>
      </c>
      <c r="AS51" s="188" t="str">
        <f>IF(ISERROR(getgrade(Broadsheet!T51,data!$H$4:$I$9)),"#",getgrade(Broadsheet!T51,data!$H$4:$I$9))</f>
        <v/>
      </c>
      <c r="AT51" s="188" t="str">
        <f>IF(ISERROR(getgrade(Broadsheet!U51,data!$H$4:$I$9)),"#",getgrade(Broadsheet!U51,data!$H$4:$I$9))</f>
        <v/>
      </c>
      <c r="AU51" s="188" t="str">
        <f>IF(ISERROR(getgrade(Broadsheet!V51,data!$H$4:$I$9)),"#",getgrade(Broadsheet!V51,data!$H$4:$I$9))</f>
        <v/>
      </c>
      <c r="AV51" s="188" t="str">
        <f>IF(ISERROR(getgrade(Broadsheet!W51,data!$H$4:$I$9)),"#",getgrade(Broadsheet!W51,data!$H$4:$I$9))</f>
        <v/>
      </c>
      <c r="AW51" s="188" t="str">
        <f>IF(ISERROR(getgrade(Broadsheet!X51,data!$H$4:$I$9)),"#",getgrade(Broadsheet!X51,data!$H$4:$I$9))</f>
        <v/>
      </c>
      <c r="AX51" s="188" t="str">
        <f>IF(ISERROR(getgrade(Broadsheet!Y51,data!$H$4:$I$9)),"#",getgrade(Broadsheet!Y51,data!$H$4:$I$9))</f>
        <v/>
      </c>
      <c r="AY51" s="188" t="str">
        <f>IF(ISERROR(getgrade(Broadsheet!Z51,data!$H$4:$I$9)),"#",getgrade(Broadsheet!Z51,data!$H$4:$I$9))</f>
        <v/>
      </c>
      <c r="AZ51" s="188" t="str">
        <f>IF(ISERROR(getgrade(Broadsheet!AA51,data!$H$4:$I$9)),"#",getgrade(Broadsheet!AA51,data!$H$4:$I$9))</f>
        <v/>
      </c>
      <c r="BA51" s="188" t="str">
        <f>IF(ISERROR(getgrade(Broadsheet!AB51,data!$H$4:$I$9)),"#",getgrade(Broadsheet!AB51,data!$H$4:$I$9))</f>
        <v/>
      </c>
      <c r="BB51" s="188" t="str">
        <f>IF(ISERROR(getgrade(Broadsheet!AC51,data!$H$4:$I$9)),"#",getgrade(Broadsheet!AC51,data!$H$4:$I$9))</f>
        <v/>
      </c>
      <c r="BC51" s="188" t="str">
        <f>IF(ISERROR(getgrade(Broadsheet!AD51,data!$H$4:$I$9)),"#",getgrade(Broadsheet!AD51,data!$H$4:$I$9))</f>
        <v/>
      </c>
      <c r="BD51" s="188" t="str">
        <f>IF(ISERROR(getgrade(Broadsheet!AE51,data!$H$4:$I$9)),"#",getgrade(Broadsheet!AE51,data!$H$4:$I$9))</f>
        <v/>
      </c>
      <c r="BE51" s="188" t="str">
        <f>IF(ISERROR(getgrade(Broadsheet!AF51,data!$H$4:$I$9)),"#",getgrade(Broadsheet!AF51,data!$H$4:$I$9))</f>
        <v/>
      </c>
      <c r="BF51" s="188" t="str">
        <f>IF(ISERROR(getgrade(Broadsheet!AG51,data!$H$4:$I$9)),"#",getgrade(Broadsheet!AG51,data!$H$4:$I$9))</f>
        <v/>
      </c>
      <c r="BG51" s="188" t="str">
        <f>IF(ISERROR(getgrade(Broadsheet!AH51,data!$H$4:$I$9)),"#",getgrade(Broadsheet!AH51,data!$H$4:$I$9))</f>
        <v/>
      </c>
      <c r="BH51" s="188" t="str">
        <f>IF(ISERROR(getgrade(Broadsheet!AI51,data!$H$4:$I$9)),"#",getgrade(Broadsheet!AI51,data!$H$4:$I$9))</f>
        <v/>
      </c>
      <c r="BI51" s="188" t="str">
        <f>IF(ISERROR(getgrade(Broadsheet!AJ51,data!$H$4:$I$9)),"#",getgrade(Broadsheet!AJ51,data!$H$4:$I$9))</f>
        <v/>
      </c>
      <c r="BJ51" s="188" t="str">
        <f>IF(ISERROR(getgrade(Broadsheet!AK51,data!$H$4:$I$9)),"#",getgrade(Broadsheet!AK51,data!$H$4:$I$9))</f>
        <v/>
      </c>
      <c r="BK51" s="188" t="str">
        <f>IF(ISERROR(getgrade(Broadsheet!AL51,data!$H$4:$I$9)),"#",getgrade(Broadsheet!AL51,data!$H$4:$I$9))</f>
        <v/>
      </c>
      <c r="BL51" s="188" t="str">
        <f>IF(ISERROR(getgrade(Broadsheet!AM51,data!$H$4:$I$9)),"#",getgrade(Broadsheet!AM51,data!$H$4:$I$9))</f>
        <v/>
      </c>
      <c r="BM51" s="188" t="str">
        <f>IF(ISERROR(getgrade(Broadsheet!AN51,data!$H$4:$I$9)),"#",getgrade(Broadsheet!AN51,data!$H$4:$I$9))</f>
        <v/>
      </c>
      <c r="BN51" s="188" t="str">
        <f>IF(ISERROR(getgrade(Broadsheet!AO51,data!$H$4:$I$9)),"#",getgrade(Broadsheet!AO51,data!$H$4:$I$9))</f>
        <v/>
      </c>
      <c r="BO51" s="188" t="str">
        <f>IF(ISERROR(getgrade(Broadsheet!AP51,data!$H$4:$I$9)),"#",getgrade(Broadsheet!AP51,data!$H$4:$I$9))</f>
        <v/>
      </c>
      <c r="BP51" s="188" t="str">
        <f>IF(ISERROR(getgrade(Broadsheet!AQ51,data!$H$4:$I$9)),"#",getgrade(Broadsheet!AQ51,data!$H$4:$I$9))</f>
        <v/>
      </c>
      <c r="BQ51" s="188" t="str">
        <f>IF(ISERROR(getgrade(Broadsheet!AR51,data!$H$4:$I$9)),"#",getgrade(Broadsheet!AR51,data!$H$4:$I$9))</f>
        <v/>
      </c>
      <c r="BR51" s="188" t="str">
        <f>IF(ISERROR(getgrade(Broadsheet!AS51,data!$H$4:$I$9)),"#",getgrade(Broadsheet!AS51,data!$H$4:$I$9))</f>
        <v/>
      </c>
      <c r="BS51" s="188" t="str">
        <f>IF(ISERROR(getgrade(Broadsheet!AT51,data!$H$4:$I$9)),"#",getgrade(Broadsheet!AT51,data!$H$4:$I$9))</f>
        <v/>
      </c>
      <c r="BT51" s="188" t="str">
        <f>IF(ISERROR(getgrade(Broadsheet!AU51,data!$H$4:$I$9)),"#",getgrade(Broadsheet!AU51,data!$H$4:$I$9))</f>
        <v/>
      </c>
      <c r="BU51" s="188" t="str">
        <f>IF(ISERROR(getgrade(Broadsheet!AV51,data!$H$4:$I$9)),"#",getgrade(Broadsheet!AV51,data!$H$4:$I$9))</f>
        <v/>
      </c>
      <c r="BV51" s="188" t="str">
        <f>IF(ISERROR(getgrade(Broadsheet!AW51,data!$H$4:$I$9)),"#",getgrade(Broadsheet!AW51,data!$H$4:$I$9))</f>
        <v/>
      </c>
      <c r="BW51" s="188" t="str">
        <f>IF(ISERROR(getgrade(Broadsheet!AX51,data!$H$4:$I$9)),"#",getgrade(Broadsheet!AX51,data!$H$4:$I$9))</f>
        <v/>
      </c>
      <c r="BX51" s="188" t="str">
        <f>IF(ISERROR(getgrade(Broadsheet!AY51,data!$H$4:$I$9)),"#",getgrade(Broadsheet!AY51,data!$H$4:$I$9))</f>
        <v/>
      </c>
      <c r="BY51" s="188" t="str">
        <f>IF(ISERROR(getgrade(Broadsheet!AZ51,data!$H$4:$I$9)),"#",getgrade(Broadsheet!AZ51,data!$H$4:$I$9))</f>
        <v/>
      </c>
      <c r="BZ51" s="188" t="str">
        <f>IF(ISERROR(getgrade(Broadsheet!BA51,data!$H$4:$I$9)),"#",getgrade(Broadsheet!BA51,data!$H$4:$I$9))</f>
        <v/>
      </c>
      <c r="CA51" s="188" t="str">
        <f>IF(ISERROR(getgrade(Broadsheet!BB51,data!$H$4:$I$9)),"#",getgrade(Broadsheet!BB51,data!$H$4:$I$9))</f>
        <v/>
      </c>
      <c r="CB51" s="188" t="str">
        <f>IF(ISERROR(getgrade(Broadsheet!BC51,data!$H$4:$I$9)),"#",getgrade(Broadsheet!BC51,data!$H$4:$I$9))</f>
        <v/>
      </c>
      <c r="CC51" s="188" t="str">
        <f>IF(ISERROR(getgrade(Broadsheet!BD51,data!$H$4:$I$9)),"#",getgrade(Broadsheet!BD51,data!$H$4:$I$9))</f>
        <v/>
      </c>
      <c r="CD51" s="188" t="str">
        <f>IF(ISERROR(getgrade(Broadsheet!BE51,data!$H$4:$I$9)),"#",getgrade(Broadsheet!BE51,data!$H$4:$I$9))</f>
        <v/>
      </c>
      <c r="CE51" s="188" t="str">
        <f>IF(ISERROR(getgrade(Broadsheet!BF51,data!$H$4:$I$9)),"#",getgrade(Broadsheet!BF51,data!$H$4:$I$9))</f>
        <v/>
      </c>
      <c r="CF51" s="188" t="str">
        <f>IF(ISERROR(getgrade(Broadsheet!BG51,data!$H$4:$I$9)),"#",getgrade(Broadsheet!BG51,data!$H$4:$I$9))</f>
        <v/>
      </c>
      <c r="CG51" s="188" t="str">
        <f>IF(ISERROR(getgrade(Broadsheet!BH51,data!$H$4:$I$9)),"#",getgrade(Broadsheet!BH51,data!$H$4:$I$9))</f>
        <v/>
      </c>
      <c r="CH51" s="188" t="str">
        <f>IF(ISERROR(getgrade(Broadsheet!BI51,data!$H$4:$I$9)),"#",getgrade(Broadsheet!BI51,data!$H$4:$I$9))</f>
        <v/>
      </c>
      <c r="CI51" s="188" t="str">
        <f>IF(ISERROR(getgrade(Broadsheet!BJ51,data!$H$4:$I$9)),"#",getgrade(Broadsheet!BJ51,data!$H$4:$I$9))</f>
        <v/>
      </c>
      <c r="CJ51" s="188"/>
      <c r="CK51" s="188"/>
      <c r="CL51" s="188"/>
      <c r="CM51" s="188"/>
      <c r="CN51" s="188"/>
      <c r="CO51" s="188"/>
      <c r="CP51" s="188"/>
      <c r="CQ51" s="188"/>
      <c r="CR51" s="188"/>
      <c r="CS51" s="188"/>
      <c r="CT51" s="188"/>
      <c r="CU51" s="188"/>
      <c r="CV51" s="188"/>
      <c r="CW51" s="188"/>
      <c r="CX51" s="188"/>
      <c r="CY51" s="188"/>
      <c r="CZ51" s="188"/>
      <c r="DA51" s="188"/>
      <c r="DB51" s="188"/>
      <c r="DC51" s="188"/>
      <c r="DD51" s="188"/>
      <c r="DE51" s="188"/>
      <c r="DF51" s="188"/>
      <c r="DG51" s="188"/>
      <c r="DH51" s="188"/>
      <c r="DI51" s="188"/>
      <c r="DJ51" s="188"/>
      <c r="DK51" s="188"/>
      <c r="DL51" s="188"/>
      <c r="DM51" s="188"/>
      <c r="DN51" s="188"/>
      <c r="DO51" s="188"/>
      <c r="DP51" s="188"/>
      <c r="DQ51" s="188"/>
      <c r="DR51" s="188"/>
      <c r="DS51" s="188"/>
      <c r="DT51" s="188"/>
      <c r="DU51" s="188"/>
      <c r="DV51" s="188"/>
      <c r="DW51" s="188"/>
      <c r="DX51" s="188"/>
      <c r="DY51" s="188"/>
      <c r="DZ51" s="188"/>
      <c r="EA51" s="188"/>
      <c r="EB51" s="188"/>
      <c r="EC51" s="188"/>
      <c r="ED51" s="188"/>
      <c r="EE51" s="188"/>
      <c r="EF51" s="188"/>
      <c r="EG51" s="188"/>
      <c r="EH51" s="188"/>
      <c r="EI51" s="188"/>
      <c r="EJ51" s="188"/>
      <c r="EK51" s="188"/>
      <c r="EL51" s="188"/>
      <c r="EM51" s="188"/>
      <c r="EN51" s="188"/>
      <c r="EO51" s="188"/>
      <c r="EP51" s="188"/>
      <c r="EQ51" s="188"/>
      <c r="ER51" s="188"/>
      <c r="ES51" s="188"/>
      <c r="ET51" s="188"/>
      <c r="EU51" s="188"/>
      <c r="EV51" s="188"/>
      <c r="EW51" s="188"/>
      <c r="EX51" s="188"/>
      <c r="EY51" s="188"/>
      <c r="EZ51" s="188"/>
    </row>
    <row r="52" spans="1:156" ht="15.75" x14ac:dyDescent="0.25">
      <c r="A52" s="12">
        <v>43</v>
      </c>
      <c r="B52" s="16"/>
      <c r="C52" s="24"/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07"/>
      <c r="Y52" s="110"/>
      <c r="Z52" s="19"/>
      <c r="AA52" s="25"/>
      <c r="AB52" s="21"/>
      <c r="AC52" s="25"/>
      <c r="AD52" s="25"/>
      <c r="AE52" s="20"/>
      <c r="AG52" s="188" t="str">
        <f>IF(ISERROR(getgrade(Broadsheet!H52,data!$H$4:$I$9)),"#",getgrade(Broadsheet!H52,data!$H$4:$I$9))</f>
        <v/>
      </c>
      <c r="AH52" s="188" t="str">
        <f>IF(ISERROR(getgrade(Broadsheet!I52,data!$H$4:$I$9)),"#",getgrade(Broadsheet!I52,data!$H$4:$I$9))</f>
        <v/>
      </c>
      <c r="AI52" s="188" t="str">
        <f>IF(ISERROR(getgrade(Broadsheet!J52,data!$H$4:$I$9)),"#",getgrade(Broadsheet!J52,data!$H$4:$I$9))</f>
        <v/>
      </c>
      <c r="AJ52" s="188" t="str">
        <f>IF(ISERROR(getgrade(Broadsheet!K52,data!$H$4:$I$9)),"#",getgrade(Broadsheet!K52,data!$H$4:$I$9))</f>
        <v/>
      </c>
      <c r="AK52" s="188" t="str">
        <f>IF(ISERROR(getgrade(Broadsheet!L52,data!$H$4:$I$9)),"#",getgrade(Broadsheet!L52,data!$H$4:$I$9))</f>
        <v/>
      </c>
      <c r="AL52" s="188" t="str">
        <f>IF(ISERROR(getgrade(Broadsheet!M52,data!$H$4:$I$9)),"#",getgrade(Broadsheet!M52,data!$H$4:$I$9))</f>
        <v/>
      </c>
      <c r="AM52" s="188" t="str">
        <f>IF(ISERROR(getgrade(Broadsheet!N52,data!$H$4:$I$9)),"#",getgrade(Broadsheet!N52,data!$H$4:$I$9))</f>
        <v/>
      </c>
      <c r="AN52" s="188" t="str">
        <f>IF(ISERROR(getgrade(Broadsheet!O52,data!$H$4:$I$9)),"#",getgrade(Broadsheet!O52,data!$H$4:$I$9))</f>
        <v/>
      </c>
      <c r="AO52" s="188" t="str">
        <f>IF(ISERROR(getgrade(Broadsheet!P52,data!$H$4:$I$9)),"#",getgrade(Broadsheet!P52,data!$H$4:$I$9))</f>
        <v/>
      </c>
      <c r="AP52" s="188" t="str">
        <f>IF(ISERROR(getgrade(Broadsheet!Q52,data!$H$4:$I$9)),"#",getgrade(Broadsheet!Q52,data!$H$4:$I$9))</f>
        <v/>
      </c>
      <c r="AQ52" s="188" t="str">
        <f>IF(ISERROR(getgrade(Broadsheet!R52,data!$H$4:$I$9)),"#",getgrade(Broadsheet!R52,data!$H$4:$I$9))</f>
        <v/>
      </c>
      <c r="AR52" s="188" t="str">
        <f>IF(ISERROR(getgrade(Broadsheet!S52,data!$H$4:$I$9)),"#",getgrade(Broadsheet!S52,data!$H$4:$I$9))</f>
        <v/>
      </c>
      <c r="AS52" s="188" t="str">
        <f>IF(ISERROR(getgrade(Broadsheet!T52,data!$H$4:$I$9)),"#",getgrade(Broadsheet!T52,data!$H$4:$I$9))</f>
        <v/>
      </c>
      <c r="AT52" s="188" t="str">
        <f>IF(ISERROR(getgrade(Broadsheet!U52,data!$H$4:$I$9)),"#",getgrade(Broadsheet!U52,data!$H$4:$I$9))</f>
        <v/>
      </c>
      <c r="AU52" s="188" t="str">
        <f>IF(ISERROR(getgrade(Broadsheet!V52,data!$H$4:$I$9)),"#",getgrade(Broadsheet!V52,data!$H$4:$I$9))</f>
        <v/>
      </c>
      <c r="AV52" s="188" t="str">
        <f>IF(ISERROR(getgrade(Broadsheet!W52,data!$H$4:$I$9)),"#",getgrade(Broadsheet!W52,data!$H$4:$I$9))</f>
        <v/>
      </c>
      <c r="AW52" s="188" t="str">
        <f>IF(ISERROR(getgrade(Broadsheet!X52,data!$H$4:$I$9)),"#",getgrade(Broadsheet!X52,data!$H$4:$I$9))</f>
        <v/>
      </c>
      <c r="AX52" s="188" t="str">
        <f>IF(ISERROR(getgrade(Broadsheet!Y52,data!$H$4:$I$9)),"#",getgrade(Broadsheet!Y52,data!$H$4:$I$9))</f>
        <v/>
      </c>
      <c r="AY52" s="188" t="str">
        <f>IF(ISERROR(getgrade(Broadsheet!Z52,data!$H$4:$I$9)),"#",getgrade(Broadsheet!Z52,data!$H$4:$I$9))</f>
        <v/>
      </c>
      <c r="AZ52" s="188" t="str">
        <f>IF(ISERROR(getgrade(Broadsheet!AA52,data!$H$4:$I$9)),"#",getgrade(Broadsheet!AA52,data!$H$4:$I$9))</f>
        <v/>
      </c>
      <c r="BA52" s="188" t="str">
        <f>IF(ISERROR(getgrade(Broadsheet!AB52,data!$H$4:$I$9)),"#",getgrade(Broadsheet!AB52,data!$H$4:$I$9))</f>
        <v/>
      </c>
      <c r="BB52" s="188" t="str">
        <f>IF(ISERROR(getgrade(Broadsheet!AC52,data!$H$4:$I$9)),"#",getgrade(Broadsheet!AC52,data!$H$4:$I$9))</f>
        <v/>
      </c>
      <c r="BC52" s="188" t="str">
        <f>IF(ISERROR(getgrade(Broadsheet!AD52,data!$H$4:$I$9)),"#",getgrade(Broadsheet!AD52,data!$H$4:$I$9))</f>
        <v/>
      </c>
      <c r="BD52" s="188" t="str">
        <f>IF(ISERROR(getgrade(Broadsheet!AE52,data!$H$4:$I$9)),"#",getgrade(Broadsheet!AE52,data!$H$4:$I$9))</f>
        <v/>
      </c>
      <c r="BE52" s="188" t="str">
        <f>IF(ISERROR(getgrade(Broadsheet!AF52,data!$H$4:$I$9)),"#",getgrade(Broadsheet!AF52,data!$H$4:$I$9))</f>
        <v/>
      </c>
      <c r="BF52" s="188" t="str">
        <f>IF(ISERROR(getgrade(Broadsheet!AG52,data!$H$4:$I$9)),"#",getgrade(Broadsheet!AG52,data!$H$4:$I$9))</f>
        <v/>
      </c>
      <c r="BG52" s="188" t="str">
        <f>IF(ISERROR(getgrade(Broadsheet!AH52,data!$H$4:$I$9)),"#",getgrade(Broadsheet!AH52,data!$H$4:$I$9))</f>
        <v/>
      </c>
      <c r="BH52" s="188" t="str">
        <f>IF(ISERROR(getgrade(Broadsheet!AI52,data!$H$4:$I$9)),"#",getgrade(Broadsheet!AI52,data!$H$4:$I$9))</f>
        <v/>
      </c>
      <c r="BI52" s="188" t="str">
        <f>IF(ISERROR(getgrade(Broadsheet!AJ52,data!$H$4:$I$9)),"#",getgrade(Broadsheet!AJ52,data!$H$4:$I$9))</f>
        <v/>
      </c>
      <c r="BJ52" s="188" t="str">
        <f>IF(ISERROR(getgrade(Broadsheet!AK52,data!$H$4:$I$9)),"#",getgrade(Broadsheet!AK52,data!$H$4:$I$9))</f>
        <v/>
      </c>
      <c r="BK52" s="188" t="str">
        <f>IF(ISERROR(getgrade(Broadsheet!AL52,data!$H$4:$I$9)),"#",getgrade(Broadsheet!AL52,data!$H$4:$I$9))</f>
        <v/>
      </c>
      <c r="BL52" s="188" t="str">
        <f>IF(ISERROR(getgrade(Broadsheet!AM52,data!$H$4:$I$9)),"#",getgrade(Broadsheet!AM52,data!$H$4:$I$9))</f>
        <v/>
      </c>
      <c r="BM52" s="188" t="str">
        <f>IF(ISERROR(getgrade(Broadsheet!AN52,data!$H$4:$I$9)),"#",getgrade(Broadsheet!AN52,data!$H$4:$I$9))</f>
        <v/>
      </c>
      <c r="BN52" s="188" t="str">
        <f>IF(ISERROR(getgrade(Broadsheet!AO52,data!$H$4:$I$9)),"#",getgrade(Broadsheet!AO52,data!$H$4:$I$9))</f>
        <v/>
      </c>
      <c r="BO52" s="188" t="str">
        <f>IF(ISERROR(getgrade(Broadsheet!AP52,data!$H$4:$I$9)),"#",getgrade(Broadsheet!AP52,data!$H$4:$I$9))</f>
        <v/>
      </c>
      <c r="BP52" s="188" t="str">
        <f>IF(ISERROR(getgrade(Broadsheet!AQ52,data!$H$4:$I$9)),"#",getgrade(Broadsheet!AQ52,data!$H$4:$I$9))</f>
        <v/>
      </c>
      <c r="BQ52" s="188" t="str">
        <f>IF(ISERROR(getgrade(Broadsheet!AR52,data!$H$4:$I$9)),"#",getgrade(Broadsheet!AR52,data!$H$4:$I$9))</f>
        <v/>
      </c>
      <c r="BR52" s="188" t="str">
        <f>IF(ISERROR(getgrade(Broadsheet!AS52,data!$H$4:$I$9)),"#",getgrade(Broadsheet!AS52,data!$H$4:$I$9))</f>
        <v/>
      </c>
      <c r="BS52" s="188" t="str">
        <f>IF(ISERROR(getgrade(Broadsheet!AT52,data!$H$4:$I$9)),"#",getgrade(Broadsheet!AT52,data!$H$4:$I$9))</f>
        <v/>
      </c>
      <c r="BT52" s="188" t="str">
        <f>IF(ISERROR(getgrade(Broadsheet!AU52,data!$H$4:$I$9)),"#",getgrade(Broadsheet!AU52,data!$H$4:$I$9))</f>
        <v/>
      </c>
      <c r="BU52" s="188" t="str">
        <f>IF(ISERROR(getgrade(Broadsheet!AV52,data!$H$4:$I$9)),"#",getgrade(Broadsheet!AV52,data!$H$4:$I$9))</f>
        <v/>
      </c>
      <c r="BV52" s="188" t="str">
        <f>IF(ISERROR(getgrade(Broadsheet!AW52,data!$H$4:$I$9)),"#",getgrade(Broadsheet!AW52,data!$H$4:$I$9))</f>
        <v/>
      </c>
      <c r="BW52" s="188" t="str">
        <f>IF(ISERROR(getgrade(Broadsheet!AX52,data!$H$4:$I$9)),"#",getgrade(Broadsheet!AX52,data!$H$4:$I$9))</f>
        <v/>
      </c>
      <c r="BX52" s="188" t="str">
        <f>IF(ISERROR(getgrade(Broadsheet!AY52,data!$H$4:$I$9)),"#",getgrade(Broadsheet!AY52,data!$H$4:$I$9))</f>
        <v/>
      </c>
      <c r="BY52" s="188" t="str">
        <f>IF(ISERROR(getgrade(Broadsheet!AZ52,data!$H$4:$I$9)),"#",getgrade(Broadsheet!AZ52,data!$H$4:$I$9))</f>
        <v/>
      </c>
      <c r="BZ52" s="188" t="str">
        <f>IF(ISERROR(getgrade(Broadsheet!BA52,data!$H$4:$I$9)),"#",getgrade(Broadsheet!BA52,data!$H$4:$I$9))</f>
        <v/>
      </c>
      <c r="CA52" s="188" t="str">
        <f>IF(ISERROR(getgrade(Broadsheet!BB52,data!$H$4:$I$9)),"#",getgrade(Broadsheet!BB52,data!$H$4:$I$9))</f>
        <v/>
      </c>
      <c r="CB52" s="188" t="str">
        <f>IF(ISERROR(getgrade(Broadsheet!BC52,data!$H$4:$I$9)),"#",getgrade(Broadsheet!BC52,data!$H$4:$I$9))</f>
        <v/>
      </c>
      <c r="CC52" s="188" t="str">
        <f>IF(ISERROR(getgrade(Broadsheet!BD52,data!$H$4:$I$9)),"#",getgrade(Broadsheet!BD52,data!$H$4:$I$9))</f>
        <v/>
      </c>
      <c r="CD52" s="188" t="str">
        <f>IF(ISERROR(getgrade(Broadsheet!BE52,data!$H$4:$I$9)),"#",getgrade(Broadsheet!BE52,data!$H$4:$I$9))</f>
        <v/>
      </c>
      <c r="CE52" s="188" t="str">
        <f>IF(ISERROR(getgrade(Broadsheet!BF52,data!$H$4:$I$9)),"#",getgrade(Broadsheet!BF52,data!$H$4:$I$9))</f>
        <v/>
      </c>
      <c r="CF52" s="188" t="str">
        <f>IF(ISERROR(getgrade(Broadsheet!BG52,data!$H$4:$I$9)),"#",getgrade(Broadsheet!BG52,data!$H$4:$I$9))</f>
        <v/>
      </c>
      <c r="CG52" s="188" t="str">
        <f>IF(ISERROR(getgrade(Broadsheet!BH52,data!$H$4:$I$9)),"#",getgrade(Broadsheet!BH52,data!$H$4:$I$9))</f>
        <v/>
      </c>
      <c r="CH52" s="188" t="str">
        <f>IF(ISERROR(getgrade(Broadsheet!BI52,data!$H$4:$I$9)),"#",getgrade(Broadsheet!BI52,data!$H$4:$I$9))</f>
        <v/>
      </c>
      <c r="CI52" s="188" t="str">
        <f>IF(ISERROR(getgrade(Broadsheet!BJ52,data!$H$4:$I$9)),"#",getgrade(Broadsheet!BJ52,data!$H$4:$I$9))</f>
        <v/>
      </c>
      <c r="CJ52" s="188"/>
      <c r="CK52" s="188"/>
      <c r="CL52" s="188"/>
      <c r="CM52" s="188"/>
      <c r="CN52" s="188"/>
      <c r="CO52" s="188"/>
      <c r="CP52" s="188"/>
      <c r="CQ52" s="188"/>
      <c r="CR52" s="188"/>
      <c r="CS52" s="188"/>
      <c r="CT52" s="188"/>
      <c r="CU52" s="188"/>
      <c r="CV52" s="188"/>
      <c r="CW52" s="188"/>
      <c r="CX52" s="188"/>
      <c r="CY52" s="188"/>
      <c r="CZ52" s="188"/>
      <c r="DA52" s="188"/>
      <c r="DB52" s="188"/>
      <c r="DC52" s="188"/>
      <c r="DD52" s="188"/>
      <c r="DE52" s="188"/>
      <c r="DF52" s="188"/>
      <c r="DG52" s="188"/>
      <c r="DH52" s="188"/>
      <c r="DI52" s="188"/>
      <c r="DJ52" s="188"/>
      <c r="DK52" s="188"/>
      <c r="DL52" s="188"/>
      <c r="DM52" s="188"/>
      <c r="DN52" s="188"/>
      <c r="DO52" s="188"/>
      <c r="DP52" s="188"/>
      <c r="DQ52" s="188"/>
      <c r="DR52" s="188"/>
      <c r="DS52" s="188"/>
      <c r="DT52" s="188"/>
      <c r="DU52" s="188"/>
      <c r="DV52" s="188"/>
      <c r="DW52" s="188"/>
      <c r="DX52" s="188"/>
      <c r="DY52" s="188"/>
      <c r="DZ52" s="188"/>
      <c r="EA52" s="188"/>
      <c r="EB52" s="188"/>
      <c r="EC52" s="188"/>
      <c r="ED52" s="188"/>
      <c r="EE52" s="188"/>
      <c r="EF52" s="188"/>
      <c r="EG52" s="188"/>
      <c r="EH52" s="188"/>
      <c r="EI52" s="188"/>
      <c r="EJ52" s="188"/>
      <c r="EK52" s="188"/>
      <c r="EL52" s="188"/>
      <c r="EM52" s="188"/>
      <c r="EN52" s="188"/>
      <c r="EO52" s="188"/>
      <c r="EP52" s="188"/>
      <c r="EQ52" s="188"/>
      <c r="ER52" s="188"/>
      <c r="ES52" s="188"/>
      <c r="ET52" s="188"/>
      <c r="EU52" s="188"/>
      <c r="EV52" s="188"/>
      <c r="EW52" s="188"/>
      <c r="EX52" s="188"/>
      <c r="EY52" s="188"/>
      <c r="EZ52" s="188"/>
    </row>
    <row r="53" spans="1:156" ht="15.75" x14ac:dyDescent="0.25">
      <c r="A53" s="12">
        <v>44</v>
      </c>
      <c r="B53" s="16"/>
      <c r="C53" s="24"/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07"/>
      <c r="Y53" s="110"/>
      <c r="Z53" s="19"/>
      <c r="AA53" s="25"/>
      <c r="AB53" s="21"/>
      <c r="AC53" s="25"/>
      <c r="AD53" s="25"/>
      <c r="AE53" s="20"/>
      <c r="AG53" s="188" t="str">
        <f>IF(ISERROR(getgrade(Broadsheet!H53,data!$H$4:$I$9)),"#",getgrade(Broadsheet!H53,data!$H$4:$I$9))</f>
        <v/>
      </c>
      <c r="AH53" s="188" t="str">
        <f>IF(ISERROR(getgrade(Broadsheet!I53,data!$H$4:$I$9)),"#",getgrade(Broadsheet!I53,data!$H$4:$I$9))</f>
        <v/>
      </c>
      <c r="AI53" s="188" t="str">
        <f>IF(ISERROR(getgrade(Broadsheet!J53,data!$H$4:$I$9)),"#",getgrade(Broadsheet!J53,data!$H$4:$I$9))</f>
        <v/>
      </c>
      <c r="AJ53" s="188" t="str">
        <f>IF(ISERROR(getgrade(Broadsheet!K53,data!$H$4:$I$9)),"#",getgrade(Broadsheet!K53,data!$H$4:$I$9))</f>
        <v/>
      </c>
      <c r="AK53" s="188" t="str">
        <f>IF(ISERROR(getgrade(Broadsheet!L53,data!$H$4:$I$9)),"#",getgrade(Broadsheet!L53,data!$H$4:$I$9))</f>
        <v/>
      </c>
      <c r="AL53" s="188" t="str">
        <f>IF(ISERROR(getgrade(Broadsheet!M53,data!$H$4:$I$9)),"#",getgrade(Broadsheet!M53,data!$H$4:$I$9))</f>
        <v/>
      </c>
      <c r="AM53" s="188" t="str">
        <f>IF(ISERROR(getgrade(Broadsheet!N53,data!$H$4:$I$9)),"#",getgrade(Broadsheet!N53,data!$H$4:$I$9))</f>
        <v/>
      </c>
      <c r="AN53" s="188" t="str">
        <f>IF(ISERROR(getgrade(Broadsheet!O53,data!$H$4:$I$9)),"#",getgrade(Broadsheet!O53,data!$H$4:$I$9))</f>
        <v/>
      </c>
      <c r="AO53" s="188" t="str">
        <f>IF(ISERROR(getgrade(Broadsheet!P53,data!$H$4:$I$9)),"#",getgrade(Broadsheet!P53,data!$H$4:$I$9))</f>
        <v/>
      </c>
      <c r="AP53" s="188" t="str">
        <f>IF(ISERROR(getgrade(Broadsheet!Q53,data!$H$4:$I$9)),"#",getgrade(Broadsheet!Q53,data!$H$4:$I$9))</f>
        <v/>
      </c>
      <c r="AQ53" s="188" t="str">
        <f>IF(ISERROR(getgrade(Broadsheet!R53,data!$H$4:$I$9)),"#",getgrade(Broadsheet!R53,data!$H$4:$I$9))</f>
        <v/>
      </c>
      <c r="AR53" s="188" t="str">
        <f>IF(ISERROR(getgrade(Broadsheet!S53,data!$H$4:$I$9)),"#",getgrade(Broadsheet!S53,data!$H$4:$I$9))</f>
        <v/>
      </c>
      <c r="AS53" s="188" t="str">
        <f>IF(ISERROR(getgrade(Broadsheet!T53,data!$H$4:$I$9)),"#",getgrade(Broadsheet!T53,data!$H$4:$I$9))</f>
        <v/>
      </c>
      <c r="AT53" s="188" t="str">
        <f>IF(ISERROR(getgrade(Broadsheet!U53,data!$H$4:$I$9)),"#",getgrade(Broadsheet!U53,data!$H$4:$I$9))</f>
        <v/>
      </c>
      <c r="AU53" s="188" t="str">
        <f>IF(ISERROR(getgrade(Broadsheet!V53,data!$H$4:$I$9)),"#",getgrade(Broadsheet!V53,data!$H$4:$I$9))</f>
        <v/>
      </c>
      <c r="AV53" s="188" t="str">
        <f>IF(ISERROR(getgrade(Broadsheet!W53,data!$H$4:$I$9)),"#",getgrade(Broadsheet!W53,data!$H$4:$I$9))</f>
        <v/>
      </c>
      <c r="AW53" s="188" t="str">
        <f>IF(ISERROR(getgrade(Broadsheet!X53,data!$H$4:$I$9)),"#",getgrade(Broadsheet!X53,data!$H$4:$I$9))</f>
        <v/>
      </c>
      <c r="AX53" s="188" t="str">
        <f>IF(ISERROR(getgrade(Broadsheet!Y53,data!$H$4:$I$9)),"#",getgrade(Broadsheet!Y53,data!$H$4:$I$9))</f>
        <v/>
      </c>
      <c r="AY53" s="188" t="str">
        <f>IF(ISERROR(getgrade(Broadsheet!Z53,data!$H$4:$I$9)),"#",getgrade(Broadsheet!Z53,data!$H$4:$I$9))</f>
        <v/>
      </c>
      <c r="AZ53" s="188" t="str">
        <f>IF(ISERROR(getgrade(Broadsheet!AA53,data!$H$4:$I$9)),"#",getgrade(Broadsheet!AA53,data!$H$4:$I$9))</f>
        <v/>
      </c>
      <c r="BA53" s="188" t="str">
        <f>IF(ISERROR(getgrade(Broadsheet!AB53,data!$H$4:$I$9)),"#",getgrade(Broadsheet!AB53,data!$H$4:$I$9))</f>
        <v/>
      </c>
      <c r="BB53" s="188" t="str">
        <f>IF(ISERROR(getgrade(Broadsheet!AC53,data!$H$4:$I$9)),"#",getgrade(Broadsheet!AC53,data!$H$4:$I$9))</f>
        <v/>
      </c>
      <c r="BC53" s="188" t="str">
        <f>IF(ISERROR(getgrade(Broadsheet!AD53,data!$H$4:$I$9)),"#",getgrade(Broadsheet!AD53,data!$H$4:$I$9))</f>
        <v/>
      </c>
      <c r="BD53" s="188" t="str">
        <f>IF(ISERROR(getgrade(Broadsheet!AE53,data!$H$4:$I$9)),"#",getgrade(Broadsheet!AE53,data!$H$4:$I$9))</f>
        <v/>
      </c>
      <c r="BE53" s="188" t="str">
        <f>IF(ISERROR(getgrade(Broadsheet!AF53,data!$H$4:$I$9)),"#",getgrade(Broadsheet!AF53,data!$H$4:$I$9))</f>
        <v/>
      </c>
      <c r="BF53" s="188" t="str">
        <f>IF(ISERROR(getgrade(Broadsheet!AG53,data!$H$4:$I$9)),"#",getgrade(Broadsheet!AG53,data!$H$4:$I$9))</f>
        <v/>
      </c>
      <c r="BG53" s="188" t="str">
        <f>IF(ISERROR(getgrade(Broadsheet!AH53,data!$H$4:$I$9)),"#",getgrade(Broadsheet!AH53,data!$H$4:$I$9))</f>
        <v/>
      </c>
      <c r="BH53" s="188" t="str">
        <f>IF(ISERROR(getgrade(Broadsheet!AI53,data!$H$4:$I$9)),"#",getgrade(Broadsheet!AI53,data!$H$4:$I$9))</f>
        <v/>
      </c>
      <c r="BI53" s="188" t="str">
        <f>IF(ISERROR(getgrade(Broadsheet!AJ53,data!$H$4:$I$9)),"#",getgrade(Broadsheet!AJ53,data!$H$4:$I$9))</f>
        <v/>
      </c>
      <c r="BJ53" s="188" t="str">
        <f>IF(ISERROR(getgrade(Broadsheet!AK53,data!$H$4:$I$9)),"#",getgrade(Broadsheet!AK53,data!$H$4:$I$9))</f>
        <v/>
      </c>
      <c r="BK53" s="188" t="str">
        <f>IF(ISERROR(getgrade(Broadsheet!AL53,data!$H$4:$I$9)),"#",getgrade(Broadsheet!AL53,data!$H$4:$I$9))</f>
        <v/>
      </c>
      <c r="BL53" s="188" t="str">
        <f>IF(ISERROR(getgrade(Broadsheet!AM53,data!$H$4:$I$9)),"#",getgrade(Broadsheet!AM53,data!$H$4:$I$9))</f>
        <v/>
      </c>
      <c r="BM53" s="188" t="str">
        <f>IF(ISERROR(getgrade(Broadsheet!AN53,data!$H$4:$I$9)),"#",getgrade(Broadsheet!AN53,data!$H$4:$I$9))</f>
        <v/>
      </c>
      <c r="BN53" s="188" t="str">
        <f>IF(ISERROR(getgrade(Broadsheet!AO53,data!$H$4:$I$9)),"#",getgrade(Broadsheet!AO53,data!$H$4:$I$9))</f>
        <v/>
      </c>
      <c r="BO53" s="188" t="str">
        <f>IF(ISERROR(getgrade(Broadsheet!AP53,data!$H$4:$I$9)),"#",getgrade(Broadsheet!AP53,data!$H$4:$I$9))</f>
        <v/>
      </c>
      <c r="BP53" s="188" t="str">
        <f>IF(ISERROR(getgrade(Broadsheet!AQ53,data!$H$4:$I$9)),"#",getgrade(Broadsheet!AQ53,data!$H$4:$I$9))</f>
        <v/>
      </c>
      <c r="BQ53" s="188" t="str">
        <f>IF(ISERROR(getgrade(Broadsheet!AR53,data!$H$4:$I$9)),"#",getgrade(Broadsheet!AR53,data!$H$4:$I$9))</f>
        <v/>
      </c>
      <c r="BR53" s="188" t="str">
        <f>IF(ISERROR(getgrade(Broadsheet!AS53,data!$H$4:$I$9)),"#",getgrade(Broadsheet!AS53,data!$H$4:$I$9))</f>
        <v/>
      </c>
      <c r="BS53" s="188" t="str">
        <f>IF(ISERROR(getgrade(Broadsheet!AT53,data!$H$4:$I$9)),"#",getgrade(Broadsheet!AT53,data!$H$4:$I$9))</f>
        <v/>
      </c>
      <c r="BT53" s="188" t="str">
        <f>IF(ISERROR(getgrade(Broadsheet!AU53,data!$H$4:$I$9)),"#",getgrade(Broadsheet!AU53,data!$H$4:$I$9))</f>
        <v/>
      </c>
      <c r="BU53" s="188" t="str">
        <f>IF(ISERROR(getgrade(Broadsheet!AV53,data!$H$4:$I$9)),"#",getgrade(Broadsheet!AV53,data!$H$4:$I$9))</f>
        <v/>
      </c>
      <c r="BV53" s="188" t="str">
        <f>IF(ISERROR(getgrade(Broadsheet!AW53,data!$H$4:$I$9)),"#",getgrade(Broadsheet!AW53,data!$H$4:$I$9))</f>
        <v/>
      </c>
      <c r="BW53" s="188" t="str">
        <f>IF(ISERROR(getgrade(Broadsheet!AX53,data!$H$4:$I$9)),"#",getgrade(Broadsheet!AX53,data!$H$4:$I$9))</f>
        <v/>
      </c>
      <c r="BX53" s="188" t="str">
        <f>IF(ISERROR(getgrade(Broadsheet!AY53,data!$H$4:$I$9)),"#",getgrade(Broadsheet!AY53,data!$H$4:$I$9))</f>
        <v/>
      </c>
      <c r="BY53" s="188" t="str">
        <f>IF(ISERROR(getgrade(Broadsheet!AZ53,data!$H$4:$I$9)),"#",getgrade(Broadsheet!AZ53,data!$H$4:$I$9))</f>
        <v/>
      </c>
      <c r="BZ53" s="188" t="str">
        <f>IF(ISERROR(getgrade(Broadsheet!BA53,data!$H$4:$I$9)),"#",getgrade(Broadsheet!BA53,data!$H$4:$I$9))</f>
        <v/>
      </c>
      <c r="CA53" s="188" t="str">
        <f>IF(ISERROR(getgrade(Broadsheet!BB53,data!$H$4:$I$9)),"#",getgrade(Broadsheet!BB53,data!$H$4:$I$9))</f>
        <v/>
      </c>
      <c r="CB53" s="188" t="str">
        <f>IF(ISERROR(getgrade(Broadsheet!BC53,data!$H$4:$I$9)),"#",getgrade(Broadsheet!BC53,data!$H$4:$I$9))</f>
        <v/>
      </c>
      <c r="CC53" s="188" t="str">
        <f>IF(ISERROR(getgrade(Broadsheet!BD53,data!$H$4:$I$9)),"#",getgrade(Broadsheet!BD53,data!$H$4:$I$9))</f>
        <v/>
      </c>
      <c r="CD53" s="188" t="str">
        <f>IF(ISERROR(getgrade(Broadsheet!BE53,data!$H$4:$I$9)),"#",getgrade(Broadsheet!BE53,data!$H$4:$I$9))</f>
        <v/>
      </c>
      <c r="CE53" s="188" t="str">
        <f>IF(ISERROR(getgrade(Broadsheet!BF53,data!$H$4:$I$9)),"#",getgrade(Broadsheet!BF53,data!$H$4:$I$9))</f>
        <v/>
      </c>
      <c r="CF53" s="188" t="str">
        <f>IF(ISERROR(getgrade(Broadsheet!BG53,data!$H$4:$I$9)),"#",getgrade(Broadsheet!BG53,data!$H$4:$I$9))</f>
        <v/>
      </c>
      <c r="CG53" s="188" t="str">
        <f>IF(ISERROR(getgrade(Broadsheet!BH53,data!$H$4:$I$9)),"#",getgrade(Broadsheet!BH53,data!$H$4:$I$9))</f>
        <v/>
      </c>
      <c r="CH53" s="188" t="str">
        <f>IF(ISERROR(getgrade(Broadsheet!BI53,data!$H$4:$I$9)),"#",getgrade(Broadsheet!BI53,data!$H$4:$I$9))</f>
        <v/>
      </c>
      <c r="CI53" s="188" t="str">
        <f>IF(ISERROR(getgrade(Broadsheet!BJ53,data!$H$4:$I$9)),"#",getgrade(Broadsheet!BJ53,data!$H$4:$I$9))</f>
        <v/>
      </c>
      <c r="CJ53" s="188"/>
      <c r="CK53" s="188"/>
      <c r="CL53" s="188"/>
      <c r="CM53" s="188"/>
      <c r="CN53" s="188"/>
      <c r="CO53" s="188"/>
      <c r="CP53" s="188"/>
      <c r="CQ53" s="188"/>
      <c r="CR53" s="188"/>
      <c r="CS53" s="188"/>
      <c r="CT53" s="188"/>
      <c r="CU53" s="188"/>
      <c r="CV53" s="188"/>
      <c r="CW53" s="188"/>
      <c r="CX53" s="188"/>
      <c r="CY53" s="188"/>
      <c r="CZ53" s="188"/>
      <c r="DA53" s="188"/>
      <c r="DB53" s="188"/>
      <c r="DC53" s="188"/>
      <c r="DD53" s="188"/>
      <c r="DE53" s="188"/>
      <c r="DF53" s="188"/>
      <c r="DG53" s="188"/>
      <c r="DH53" s="188"/>
      <c r="DI53" s="188"/>
      <c r="DJ53" s="188"/>
      <c r="DK53" s="188"/>
      <c r="DL53" s="188"/>
      <c r="DM53" s="188"/>
      <c r="DN53" s="188"/>
      <c r="DO53" s="188"/>
      <c r="DP53" s="188"/>
      <c r="DQ53" s="188"/>
      <c r="DR53" s="188"/>
      <c r="DS53" s="188"/>
      <c r="DT53" s="188"/>
      <c r="DU53" s="188"/>
      <c r="DV53" s="188"/>
      <c r="DW53" s="188"/>
      <c r="DX53" s="188"/>
      <c r="DY53" s="188"/>
      <c r="DZ53" s="188"/>
      <c r="EA53" s="188"/>
      <c r="EB53" s="188"/>
      <c r="EC53" s="188"/>
      <c r="ED53" s="188"/>
      <c r="EE53" s="188"/>
      <c r="EF53" s="188"/>
      <c r="EG53" s="188"/>
      <c r="EH53" s="188"/>
      <c r="EI53" s="188"/>
      <c r="EJ53" s="188"/>
      <c r="EK53" s="188"/>
      <c r="EL53" s="188"/>
      <c r="EM53" s="188"/>
      <c r="EN53" s="188"/>
      <c r="EO53" s="188"/>
      <c r="EP53" s="188"/>
      <c r="EQ53" s="188"/>
      <c r="ER53" s="188"/>
      <c r="ES53" s="188"/>
      <c r="ET53" s="188"/>
      <c r="EU53" s="188"/>
      <c r="EV53" s="188"/>
      <c r="EW53" s="188"/>
      <c r="EX53" s="188"/>
      <c r="EY53" s="188"/>
      <c r="EZ53" s="188"/>
    </row>
    <row r="54" spans="1:156" ht="15.75" x14ac:dyDescent="0.25">
      <c r="A54" s="12">
        <v>45</v>
      </c>
      <c r="B54" s="16"/>
      <c r="C54" s="24"/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07"/>
      <c r="Y54" s="110"/>
      <c r="Z54" s="19"/>
      <c r="AA54" s="25"/>
      <c r="AB54" s="21"/>
      <c r="AC54" s="25"/>
      <c r="AD54" s="25"/>
      <c r="AE54" s="20"/>
      <c r="AG54" s="188" t="str">
        <f>IF(ISERROR(getgrade(Broadsheet!H54,data!$H$4:$I$9)),"#",getgrade(Broadsheet!H54,data!$H$4:$I$9))</f>
        <v/>
      </c>
      <c r="AH54" s="188" t="str">
        <f>IF(ISERROR(getgrade(Broadsheet!I54,data!$H$4:$I$9)),"#",getgrade(Broadsheet!I54,data!$H$4:$I$9))</f>
        <v/>
      </c>
      <c r="AI54" s="188" t="str">
        <f>IF(ISERROR(getgrade(Broadsheet!J54,data!$H$4:$I$9)),"#",getgrade(Broadsheet!J54,data!$H$4:$I$9))</f>
        <v/>
      </c>
      <c r="AJ54" s="188" t="str">
        <f>IF(ISERROR(getgrade(Broadsheet!K54,data!$H$4:$I$9)),"#",getgrade(Broadsheet!K54,data!$H$4:$I$9))</f>
        <v/>
      </c>
      <c r="AK54" s="188" t="str">
        <f>IF(ISERROR(getgrade(Broadsheet!L54,data!$H$4:$I$9)),"#",getgrade(Broadsheet!L54,data!$H$4:$I$9))</f>
        <v/>
      </c>
      <c r="AL54" s="188" t="str">
        <f>IF(ISERROR(getgrade(Broadsheet!M54,data!$H$4:$I$9)),"#",getgrade(Broadsheet!M54,data!$H$4:$I$9))</f>
        <v/>
      </c>
      <c r="AM54" s="188" t="str">
        <f>IF(ISERROR(getgrade(Broadsheet!N54,data!$H$4:$I$9)),"#",getgrade(Broadsheet!N54,data!$H$4:$I$9))</f>
        <v/>
      </c>
      <c r="AN54" s="188" t="str">
        <f>IF(ISERROR(getgrade(Broadsheet!O54,data!$H$4:$I$9)),"#",getgrade(Broadsheet!O54,data!$H$4:$I$9))</f>
        <v/>
      </c>
      <c r="AO54" s="188" t="str">
        <f>IF(ISERROR(getgrade(Broadsheet!P54,data!$H$4:$I$9)),"#",getgrade(Broadsheet!P54,data!$H$4:$I$9))</f>
        <v/>
      </c>
      <c r="AP54" s="188" t="str">
        <f>IF(ISERROR(getgrade(Broadsheet!Q54,data!$H$4:$I$9)),"#",getgrade(Broadsheet!Q54,data!$H$4:$I$9))</f>
        <v/>
      </c>
      <c r="AQ54" s="188" t="str">
        <f>IF(ISERROR(getgrade(Broadsheet!R54,data!$H$4:$I$9)),"#",getgrade(Broadsheet!R54,data!$H$4:$I$9))</f>
        <v/>
      </c>
      <c r="AR54" s="188" t="str">
        <f>IF(ISERROR(getgrade(Broadsheet!S54,data!$H$4:$I$9)),"#",getgrade(Broadsheet!S54,data!$H$4:$I$9))</f>
        <v/>
      </c>
      <c r="AS54" s="188" t="str">
        <f>IF(ISERROR(getgrade(Broadsheet!T54,data!$H$4:$I$9)),"#",getgrade(Broadsheet!T54,data!$H$4:$I$9))</f>
        <v/>
      </c>
      <c r="AT54" s="188" t="str">
        <f>IF(ISERROR(getgrade(Broadsheet!U54,data!$H$4:$I$9)),"#",getgrade(Broadsheet!U54,data!$H$4:$I$9))</f>
        <v/>
      </c>
      <c r="AU54" s="188" t="str">
        <f>IF(ISERROR(getgrade(Broadsheet!V54,data!$H$4:$I$9)),"#",getgrade(Broadsheet!V54,data!$H$4:$I$9))</f>
        <v/>
      </c>
      <c r="AV54" s="188" t="str">
        <f>IF(ISERROR(getgrade(Broadsheet!W54,data!$H$4:$I$9)),"#",getgrade(Broadsheet!W54,data!$H$4:$I$9))</f>
        <v/>
      </c>
      <c r="AW54" s="188" t="str">
        <f>IF(ISERROR(getgrade(Broadsheet!X54,data!$H$4:$I$9)),"#",getgrade(Broadsheet!X54,data!$H$4:$I$9))</f>
        <v/>
      </c>
      <c r="AX54" s="188" t="str">
        <f>IF(ISERROR(getgrade(Broadsheet!Y54,data!$H$4:$I$9)),"#",getgrade(Broadsheet!Y54,data!$H$4:$I$9))</f>
        <v/>
      </c>
      <c r="AY54" s="188" t="str">
        <f>IF(ISERROR(getgrade(Broadsheet!Z54,data!$H$4:$I$9)),"#",getgrade(Broadsheet!Z54,data!$H$4:$I$9))</f>
        <v/>
      </c>
      <c r="AZ54" s="188" t="str">
        <f>IF(ISERROR(getgrade(Broadsheet!AA54,data!$H$4:$I$9)),"#",getgrade(Broadsheet!AA54,data!$H$4:$I$9))</f>
        <v/>
      </c>
      <c r="BA54" s="188" t="str">
        <f>IF(ISERROR(getgrade(Broadsheet!AB54,data!$H$4:$I$9)),"#",getgrade(Broadsheet!AB54,data!$H$4:$I$9))</f>
        <v/>
      </c>
      <c r="BB54" s="188" t="str">
        <f>IF(ISERROR(getgrade(Broadsheet!AC54,data!$H$4:$I$9)),"#",getgrade(Broadsheet!AC54,data!$H$4:$I$9))</f>
        <v/>
      </c>
      <c r="BC54" s="188" t="str">
        <f>IF(ISERROR(getgrade(Broadsheet!AD54,data!$H$4:$I$9)),"#",getgrade(Broadsheet!AD54,data!$H$4:$I$9))</f>
        <v/>
      </c>
      <c r="BD54" s="188" t="str">
        <f>IF(ISERROR(getgrade(Broadsheet!AE54,data!$H$4:$I$9)),"#",getgrade(Broadsheet!AE54,data!$H$4:$I$9))</f>
        <v/>
      </c>
      <c r="BE54" s="188" t="str">
        <f>IF(ISERROR(getgrade(Broadsheet!AF54,data!$H$4:$I$9)),"#",getgrade(Broadsheet!AF54,data!$H$4:$I$9))</f>
        <v/>
      </c>
      <c r="BF54" s="188" t="str">
        <f>IF(ISERROR(getgrade(Broadsheet!AG54,data!$H$4:$I$9)),"#",getgrade(Broadsheet!AG54,data!$H$4:$I$9))</f>
        <v/>
      </c>
      <c r="BG54" s="188" t="str">
        <f>IF(ISERROR(getgrade(Broadsheet!AH54,data!$H$4:$I$9)),"#",getgrade(Broadsheet!AH54,data!$H$4:$I$9))</f>
        <v/>
      </c>
      <c r="BH54" s="188" t="str">
        <f>IF(ISERROR(getgrade(Broadsheet!AI54,data!$H$4:$I$9)),"#",getgrade(Broadsheet!AI54,data!$H$4:$I$9))</f>
        <v/>
      </c>
      <c r="BI54" s="188" t="str">
        <f>IF(ISERROR(getgrade(Broadsheet!AJ54,data!$H$4:$I$9)),"#",getgrade(Broadsheet!AJ54,data!$H$4:$I$9))</f>
        <v/>
      </c>
      <c r="BJ54" s="188" t="str">
        <f>IF(ISERROR(getgrade(Broadsheet!AK54,data!$H$4:$I$9)),"#",getgrade(Broadsheet!AK54,data!$H$4:$I$9))</f>
        <v/>
      </c>
      <c r="BK54" s="188" t="str">
        <f>IF(ISERROR(getgrade(Broadsheet!AL54,data!$H$4:$I$9)),"#",getgrade(Broadsheet!AL54,data!$H$4:$I$9))</f>
        <v/>
      </c>
      <c r="BL54" s="188" t="str">
        <f>IF(ISERROR(getgrade(Broadsheet!AM54,data!$H$4:$I$9)),"#",getgrade(Broadsheet!AM54,data!$H$4:$I$9))</f>
        <v/>
      </c>
      <c r="BM54" s="188" t="str">
        <f>IF(ISERROR(getgrade(Broadsheet!AN54,data!$H$4:$I$9)),"#",getgrade(Broadsheet!AN54,data!$H$4:$I$9))</f>
        <v/>
      </c>
      <c r="BN54" s="188" t="str">
        <f>IF(ISERROR(getgrade(Broadsheet!AO54,data!$H$4:$I$9)),"#",getgrade(Broadsheet!AO54,data!$H$4:$I$9))</f>
        <v/>
      </c>
      <c r="BO54" s="188" t="str">
        <f>IF(ISERROR(getgrade(Broadsheet!AP54,data!$H$4:$I$9)),"#",getgrade(Broadsheet!AP54,data!$H$4:$I$9))</f>
        <v/>
      </c>
      <c r="BP54" s="188" t="str">
        <f>IF(ISERROR(getgrade(Broadsheet!AQ54,data!$H$4:$I$9)),"#",getgrade(Broadsheet!AQ54,data!$H$4:$I$9))</f>
        <v/>
      </c>
      <c r="BQ54" s="188" t="str">
        <f>IF(ISERROR(getgrade(Broadsheet!AR54,data!$H$4:$I$9)),"#",getgrade(Broadsheet!AR54,data!$H$4:$I$9))</f>
        <v/>
      </c>
      <c r="BR54" s="188" t="str">
        <f>IF(ISERROR(getgrade(Broadsheet!AS54,data!$H$4:$I$9)),"#",getgrade(Broadsheet!AS54,data!$H$4:$I$9))</f>
        <v/>
      </c>
      <c r="BS54" s="188" t="str">
        <f>IF(ISERROR(getgrade(Broadsheet!AT54,data!$H$4:$I$9)),"#",getgrade(Broadsheet!AT54,data!$H$4:$I$9))</f>
        <v/>
      </c>
      <c r="BT54" s="188" t="str">
        <f>IF(ISERROR(getgrade(Broadsheet!AU54,data!$H$4:$I$9)),"#",getgrade(Broadsheet!AU54,data!$H$4:$I$9))</f>
        <v/>
      </c>
      <c r="BU54" s="188" t="str">
        <f>IF(ISERROR(getgrade(Broadsheet!AV54,data!$H$4:$I$9)),"#",getgrade(Broadsheet!AV54,data!$H$4:$I$9))</f>
        <v/>
      </c>
      <c r="BV54" s="188" t="str">
        <f>IF(ISERROR(getgrade(Broadsheet!AW54,data!$H$4:$I$9)),"#",getgrade(Broadsheet!AW54,data!$H$4:$I$9))</f>
        <v/>
      </c>
      <c r="BW54" s="188" t="str">
        <f>IF(ISERROR(getgrade(Broadsheet!AX54,data!$H$4:$I$9)),"#",getgrade(Broadsheet!AX54,data!$H$4:$I$9))</f>
        <v/>
      </c>
      <c r="BX54" s="188" t="str">
        <f>IF(ISERROR(getgrade(Broadsheet!AY54,data!$H$4:$I$9)),"#",getgrade(Broadsheet!AY54,data!$H$4:$I$9))</f>
        <v/>
      </c>
      <c r="BY54" s="188" t="str">
        <f>IF(ISERROR(getgrade(Broadsheet!AZ54,data!$H$4:$I$9)),"#",getgrade(Broadsheet!AZ54,data!$H$4:$I$9))</f>
        <v/>
      </c>
      <c r="BZ54" s="188" t="str">
        <f>IF(ISERROR(getgrade(Broadsheet!BA54,data!$H$4:$I$9)),"#",getgrade(Broadsheet!BA54,data!$H$4:$I$9))</f>
        <v/>
      </c>
      <c r="CA54" s="188" t="str">
        <f>IF(ISERROR(getgrade(Broadsheet!BB54,data!$H$4:$I$9)),"#",getgrade(Broadsheet!BB54,data!$H$4:$I$9))</f>
        <v/>
      </c>
      <c r="CB54" s="188" t="str">
        <f>IF(ISERROR(getgrade(Broadsheet!BC54,data!$H$4:$I$9)),"#",getgrade(Broadsheet!BC54,data!$H$4:$I$9))</f>
        <v/>
      </c>
      <c r="CC54" s="188" t="str">
        <f>IF(ISERROR(getgrade(Broadsheet!BD54,data!$H$4:$I$9)),"#",getgrade(Broadsheet!BD54,data!$H$4:$I$9))</f>
        <v/>
      </c>
      <c r="CD54" s="188" t="str">
        <f>IF(ISERROR(getgrade(Broadsheet!BE54,data!$H$4:$I$9)),"#",getgrade(Broadsheet!BE54,data!$H$4:$I$9))</f>
        <v/>
      </c>
      <c r="CE54" s="188" t="str">
        <f>IF(ISERROR(getgrade(Broadsheet!BF54,data!$H$4:$I$9)),"#",getgrade(Broadsheet!BF54,data!$H$4:$I$9))</f>
        <v/>
      </c>
      <c r="CF54" s="188" t="str">
        <f>IF(ISERROR(getgrade(Broadsheet!BG54,data!$H$4:$I$9)),"#",getgrade(Broadsheet!BG54,data!$H$4:$I$9))</f>
        <v/>
      </c>
      <c r="CG54" s="188" t="str">
        <f>IF(ISERROR(getgrade(Broadsheet!BH54,data!$H$4:$I$9)),"#",getgrade(Broadsheet!BH54,data!$H$4:$I$9))</f>
        <v/>
      </c>
      <c r="CH54" s="188" t="str">
        <f>IF(ISERROR(getgrade(Broadsheet!BI54,data!$H$4:$I$9)),"#",getgrade(Broadsheet!BI54,data!$H$4:$I$9))</f>
        <v/>
      </c>
      <c r="CI54" s="188" t="str">
        <f>IF(ISERROR(getgrade(Broadsheet!BJ54,data!$H$4:$I$9)),"#",getgrade(Broadsheet!BJ54,data!$H$4:$I$9))</f>
        <v/>
      </c>
      <c r="CJ54" s="188"/>
      <c r="CK54" s="188"/>
      <c r="CL54" s="188"/>
      <c r="CM54" s="188"/>
      <c r="CN54" s="188"/>
      <c r="CO54" s="188"/>
      <c r="CP54" s="188"/>
      <c r="CQ54" s="188"/>
      <c r="CR54" s="188"/>
      <c r="CS54" s="188"/>
      <c r="CT54" s="188"/>
      <c r="CU54" s="188"/>
      <c r="CV54" s="188"/>
      <c r="CW54" s="188"/>
      <c r="CX54" s="188"/>
      <c r="CY54" s="188"/>
      <c r="CZ54" s="188"/>
      <c r="DA54" s="188"/>
      <c r="DB54" s="188"/>
      <c r="DC54" s="188"/>
      <c r="DD54" s="188"/>
      <c r="DE54" s="188"/>
      <c r="DF54" s="188"/>
      <c r="DG54" s="188"/>
      <c r="DH54" s="188"/>
      <c r="DI54" s="188"/>
      <c r="DJ54" s="188"/>
      <c r="DK54" s="188"/>
      <c r="DL54" s="188"/>
      <c r="DM54" s="188"/>
      <c r="DN54" s="188"/>
      <c r="DO54" s="188"/>
      <c r="DP54" s="188"/>
      <c r="DQ54" s="188"/>
      <c r="DR54" s="188"/>
      <c r="DS54" s="188"/>
      <c r="DT54" s="188"/>
      <c r="DU54" s="188"/>
      <c r="DV54" s="188"/>
      <c r="DW54" s="188"/>
      <c r="DX54" s="188"/>
      <c r="DY54" s="188"/>
      <c r="DZ54" s="188"/>
      <c r="EA54" s="188"/>
      <c r="EB54" s="188"/>
      <c r="EC54" s="188"/>
      <c r="ED54" s="188"/>
      <c r="EE54" s="188"/>
      <c r="EF54" s="188"/>
      <c r="EG54" s="188"/>
      <c r="EH54" s="188"/>
      <c r="EI54" s="188"/>
      <c r="EJ54" s="188"/>
      <c r="EK54" s="188"/>
      <c r="EL54" s="188"/>
      <c r="EM54" s="188"/>
      <c r="EN54" s="188"/>
      <c r="EO54" s="188"/>
      <c r="EP54" s="188"/>
      <c r="EQ54" s="188"/>
      <c r="ER54" s="188"/>
      <c r="ES54" s="188"/>
      <c r="ET54" s="188"/>
      <c r="EU54" s="188"/>
      <c r="EV54" s="188"/>
      <c r="EW54" s="188"/>
      <c r="EX54" s="188"/>
      <c r="EY54" s="188"/>
      <c r="EZ54" s="188"/>
    </row>
    <row r="55" spans="1:156" ht="15.75" x14ac:dyDescent="0.25">
      <c r="A55" s="12">
        <v>46</v>
      </c>
      <c r="B55" s="16"/>
      <c r="C55" s="24"/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07"/>
      <c r="Y55" s="110"/>
      <c r="Z55" s="19"/>
      <c r="AA55" s="25"/>
      <c r="AB55" s="21"/>
      <c r="AC55" s="25"/>
      <c r="AD55" s="25"/>
      <c r="AE55" s="20"/>
      <c r="AG55" s="188" t="str">
        <f>IF(ISERROR(getgrade(Broadsheet!H55,data!$H$4:$I$9)),"#",getgrade(Broadsheet!H55,data!$H$4:$I$9))</f>
        <v/>
      </c>
      <c r="AH55" s="188" t="str">
        <f>IF(ISERROR(getgrade(Broadsheet!I55,data!$H$4:$I$9)),"#",getgrade(Broadsheet!I55,data!$H$4:$I$9))</f>
        <v/>
      </c>
      <c r="AI55" s="188" t="str">
        <f>IF(ISERROR(getgrade(Broadsheet!J55,data!$H$4:$I$9)),"#",getgrade(Broadsheet!J55,data!$H$4:$I$9))</f>
        <v/>
      </c>
      <c r="AJ55" s="188" t="str">
        <f>IF(ISERROR(getgrade(Broadsheet!K55,data!$H$4:$I$9)),"#",getgrade(Broadsheet!K55,data!$H$4:$I$9))</f>
        <v/>
      </c>
      <c r="AK55" s="188" t="str">
        <f>IF(ISERROR(getgrade(Broadsheet!L55,data!$H$4:$I$9)),"#",getgrade(Broadsheet!L55,data!$H$4:$I$9))</f>
        <v/>
      </c>
      <c r="AL55" s="188" t="str">
        <f>IF(ISERROR(getgrade(Broadsheet!M55,data!$H$4:$I$9)),"#",getgrade(Broadsheet!M55,data!$H$4:$I$9))</f>
        <v/>
      </c>
      <c r="AM55" s="188" t="str">
        <f>IF(ISERROR(getgrade(Broadsheet!N55,data!$H$4:$I$9)),"#",getgrade(Broadsheet!N55,data!$H$4:$I$9))</f>
        <v/>
      </c>
      <c r="AN55" s="188" t="str">
        <f>IF(ISERROR(getgrade(Broadsheet!O55,data!$H$4:$I$9)),"#",getgrade(Broadsheet!O55,data!$H$4:$I$9))</f>
        <v/>
      </c>
      <c r="AO55" s="188" t="str">
        <f>IF(ISERROR(getgrade(Broadsheet!P55,data!$H$4:$I$9)),"#",getgrade(Broadsheet!P55,data!$H$4:$I$9))</f>
        <v/>
      </c>
      <c r="AP55" s="188" t="str">
        <f>IF(ISERROR(getgrade(Broadsheet!Q55,data!$H$4:$I$9)),"#",getgrade(Broadsheet!Q55,data!$H$4:$I$9))</f>
        <v/>
      </c>
      <c r="AQ55" s="188" t="str">
        <f>IF(ISERROR(getgrade(Broadsheet!R55,data!$H$4:$I$9)),"#",getgrade(Broadsheet!R55,data!$H$4:$I$9))</f>
        <v/>
      </c>
      <c r="AR55" s="188" t="str">
        <f>IF(ISERROR(getgrade(Broadsheet!S55,data!$H$4:$I$9)),"#",getgrade(Broadsheet!S55,data!$H$4:$I$9))</f>
        <v/>
      </c>
      <c r="AS55" s="188" t="str">
        <f>IF(ISERROR(getgrade(Broadsheet!T55,data!$H$4:$I$9)),"#",getgrade(Broadsheet!T55,data!$H$4:$I$9))</f>
        <v/>
      </c>
      <c r="AT55" s="188" t="str">
        <f>IF(ISERROR(getgrade(Broadsheet!U55,data!$H$4:$I$9)),"#",getgrade(Broadsheet!U55,data!$H$4:$I$9))</f>
        <v/>
      </c>
      <c r="AU55" s="188" t="str">
        <f>IF(ISERROR(getgrade(Broadsheet!V55,data!$H$4:$I$9)),"#",getgrade(Broadsheet!V55,data!$H$4:$I$9))</f>
        <v/>
      </c>
      <c r="AV55" s="188" t="str">
        <f>IF(ISERROR(getgrade(Broadsheet!W55,data!$H$4:$I$9)),"#",getgrade(Broadsheet!W55,data!$H$4:$I$9))</f>
        <v/>
      </c>
      <c r="AW55" s="188" t="str">
        <f>IF(ISERROR(getgrade(Broadsheet!X55,data!$H$4:$I$9)),"#",getgrade(Broadsheet!X55,data!$H$4:$I$9))</f>
        <v/>
      </c>
      <c r="AX55" s="188" t="str">
        <f>IF(ISERROR(getgrade(Broadsheet!Y55,data!$H$4:$I$9)),"#",getgrade(Broadsheet!Y55,data!$H$4:$I$9))</f>
        <v/>
      </c>
      <c r="AY55" s="188" t="str">
        <f>IF(ISERROR(getgrade(Broadsheet!Z55,data!$H$4:$I$9)),"#",getgrade(Broadsheet!Z55,data!$H$4:$I$9))</f>
        <v/>
      </c>
      <c r="AZ55" s="188" t="str">
        <f>IF(ISERROR(getgrade(Broadsheet!AA55,data!$H$4:$I$9)),"#",getgrade(Broadsheet!AA55,data!$H$4:$I$9))</f>
        <v/>
      </c>
      <c r="BA55" s="188" t="str">
        <f>IF(ISERROR(getgrade(Broadsheet!AB55,data!$H$4:$I$9)),"#",getgrade(Broadsheet!AB55,data!$H$4:$I$9))</f>
        <v/>
      </c>
      <c r="BB55" s="188" t="str">
        <f>IF(ISERROR(getgrade(Broadsheet!AC55,data!$H$4:$I$9)),"#",getgrade(Broadsheet!AC55,data!$H$4:$I$9))</f>
        <v/>
      </c>
      <c r="BC55" s="188" t="str">
        <f>IF(ISERROR(getgrade(Broadsheet!AD55,data!$H$4:$I$9)),"#",getgrade(Broadsheet!AD55,data!$H$4:$I$9))</f>
        <v/>
      </c>
      <c r="BD55" s="188" t="str">
        <f>IF(ISERROR(getgrade(Broadsheet!AE55,data!$H$4:$I$9)),"#",getgrade(Broadsheet!AE55,data!$H$4:$I$9))</f>
        <v/>
      </c>
      <c r="BE55" s="188" t="str">
        <f>IF(ISERROR(getgrade(Broadsheet!AF55,data!$H$4:$I$9)),"#",getgrade(Broadsheet!AF55,data!$H$4:$I$9))</f>
        <v/>
      </c>
      <c r="BF55" s="188" t="str">
        <f>IF(ISERROR(getgrade(Broadsheet!AG55,data!$H$4:$I$9)),"#",getgrade(Broadsheet!AG55,data!$H$4:$I$9))</f>
        <v/>
      </c>
      <c r="BG55" s="188" t="str">
        <f>IF(ISERROR(getgrade(Broadsheet!AH55,data!$H$4:$I$9)),"#",getgrade(Broadsheet!AH55,data!$H$4:$I$9))</f>
        <v/>
      </c>
      <c r="BH55" s="188" t="str">
        <f>IF(ISERROR(getgrade(Broadsheet!AI55,data!$H$4:$I$9)),"#",getgrade(Broadsheet!AI55,data!$H$4:$I$9))</f>
        <v/>
      </c>
      <c r="BI55" s="188" t="str">
        <f>IF(ISERROR(getgrade(Broadsheet!AJ55,data!$H$4:$I$9)),"#",getgrade(Broadsheet!AJ55,data!$H$4:$I$9))</f>
        <v/>
      </c>
      <c r="BJ55" s="188" t="str">
        <f>IF(ISERROR(getgrade(Broadsheet!AK55,data!$H$4:$I$9)),"#",getgrade(Broadsheet!AK55,data!$H$4:$I$9))</f>
        <v/>
      </c>
      <c r="BK55" s="188" t="str">
        <f>IF(ISERROR(getgrade(Broadsheet!AL55,data!$H$4:$I$9)),"#",getgrade(Broadsheet!AL55,data!$H$4:$I$9))</f>
        <v/>
      </c>
      <c r="BL55" s="188" t="str">
        <f>IF(ISERROR(getgrade(Broadsheet!AM55,data!$H$4:$I$9)),"#",getgrade(Broadsheet!AM55,data!$H$4:$I$9))</f>
        <v/>
      </c>
      <c r="BM55" s="188" t="str">
        <f>IF(ISERROR(getgrade(Broadsheet!AN55,data!$H$4:$I$9)),"#",getgrade(Broadsheet!AN55,data!$H$4:$I$9))</f>
        <v/>
      </c>
      <c r="BN55" s="188" t="str">
        <f>IF(ISERROR(getgrade(Broadsheet!AO55,data!$H$4:$I$9)),"#",getgrade(Broadsheet!AO55,data!$H$4:$I$9))</f>
        <v/>
      </c>
      <c r="BO55" s="188" t="str">
        <f>IF(ISERROR(getgrade(Broadsheet!AP55,data!$H$4:$I$9)),"#",getgrade(Broadsheet!AP55,data!$H$4:$I$9))</f>
        <v/>
      </c>
      <c r="BP55" s="188" t="str">
        <f>IF(ISERROR(getgrade(Broadsheet!AQ55,data!$H$4:$I$9)),"#",getgrade(Broadsheet!AQ55,data!$H$4:$I$9))</f>
        <v/>
      </c>
      <c r="BQ55" s="188" t="str">
        <f>IF(ISERROR(getgrade(Broadsheet!AR55,data!$H$4:$I$9)),"#",getgrade(Broadsheet!AR55,data!$H$4:$I$9))</f>
        <v/>
      </c>
      <c r="BR55" s="188" t="str">
        <f>IF(ISERROR(getgrade(Broadsheet!AS55,data!$H$4:$I$9)),"#",getgrade(Broadsheet!AS55,data!$H$4:$I$9))</f>
        <v/>
      </c>
      <c r="BS55" s="188" t="str">
        <f>IF(ISERROR(getgrade(Broadsheet!AT55,data!$H$4:$I$9)),"#",getgrade(Broadsheet!AT55,data!$H$4:$I$9))</f>
        <v/>
      </c>
      <c r="BT55" s="188" t="str">
        <f>IF(ISERROR(getgrade(Broadsheet!AU55,data!$H$4:$I$9)),"#",getgrade(Broadsheet!AU55,data!$H$4:$I$9))</f>
        <v/>
      </c>
      <c r="BU55" s="188" t="str">
        <f>IF(ISERROR(getgrade(Broadsheet!AV55,data!$H$4:$I$9)),"#",getgrade(Broadsheet!AV55,data!$H$4:$I$9))</f>
        <v/>
      </c>
      <c r="BV55" s="188" t="str">
        <f>IF(ISERROR(getgrade(Broadsheet!AW55,data!$H$4:$I$9)),"#",getgrade(Broadsheet!AW55,data!$H$4:$I$9))</f>
        <v/>
      </c>
      <c r="BW55" s="188" t="str">
        <f>IF(ISERROR(getgrade(Broadsheet!AX55,data!$H$4:$I$9)),"#",getgrade(Broadsheet!AX55,data!$H$4:$I$9))</f>
        <v/>
      </c>
      <c r="BX55" s="188" t="str">
        <f>IF(ISERROR(getgrade(Broadsheet!AY55,data!$H$4:$I$9)),"#",getgrade(Broadsheet!AY55,data!$H$4:$I$9))</f>
        <v/>
      </c>
      <c r="BY55" s="188" t="str">
        <f>IF(ISERROR(getgrade(Broadsheet!AZ55,data!$H$4:$I$9)),"#",getgrade(Broadsheet!AZ55,data!$H$4:$I$9))</f>
        <v/>
      </c>
      <c r="BZ55" s="188" t="str">
        <f>IF(ISERROR(getgrade(Broadsheet!BA55,data!$H$4:$I$9)),"#",getgrade(Broadsheet!BA55,data!$H$4:$I$9))</f>
        <v/>
      </c>
      <c r="CA55" s="188" t="str">
        <f>IF(ISERROR(getgrade(Broadsheet!BB55,data!$H$4:$I$9)),"#",getgrade(Broadsheet!BB55,data!$H$4:$I$9))</f>
        <v/>
      </c>
      <c r="CB55" s="188" t="str">
        <f>IF(ISERROR(getgrade(Broadsheet!BC55,data!$H$4:$I$9)),"#",getgrade(Broadsheet!BC55,data!$H$4:$I$9))</f>
        <v/>
      </c>
      <c r="CC55" s="188" t="str">
        <f>IF(ISERROR(getgrade(Broadsheet!BD55,data!$H$4:$I$9)),"#",getgrade(Broadsheet!BD55,data!$H$4:$I$9))</f>
        <v/>
      </c>
      <c r="CD55" s="188" t="str">
        <f>IF(ISERROR(getgrade(Broadsheet!BE55,data!$H$4:$I$9)),"#",getgrade(Broadsheet!BE55,data!$H$4:$I$9))</f>
        <v/>
      </c>
      <c r="CE55" s="188" t="str">
        <f>IF(ISERROR(getgrade(Broadsheet!BF55,data!$H$4:$I$9)),"#",getgrade(Broadsheet!BF55,data!$H$4:$I$9))</f>
        <v/>
      </c>
      <c r="CF55" s="188" t="str">
        <f>IF(ISERROR(getgrade(Broadsheet!BG55,data!$H$4:$I$9)),"#",getgrade(Broadsheet!BG55,data!$H$4:$I$9))</f>
        <v/>
      </c>
      <c r="CG55" s="188" t="str">
        <f>IF(ISERROR(getgrade(Broadsheet!BH55,data!$H$4:$I$9)),"#",getgrade(Broadsheet!BH55,data!$H$4:$I$9))</f>
        <v/>
      </c>
      <c r="CH55" s="188" t="str">
        <f>IF(ISERROR(getgrade(Broadsheet!BI55,data!$H$4:$I$9)),"#",getgrade(Broadsheet!BI55,data!$H$4:$I$9))</f>
        <v/>
      </c>
      <c r="CI55" s="188" t="str">
        <f>IF(ISERROR(getgrade(Broadsheet!BJ55,data!$H$4:$I$9)),"#",getgrade(Broadsheet!BJ55,data!$H$4:$I$9))</f>
        <v/>
      </c>
      <c r="CJ55" s="188"/>
      <c r="CK55" s="188"/>
      <c r="CL55" s="188"/>
      <c r="CM55" s="188"/>
      <c r="CN55" s="188"/>
      <c r="CO55" s="188"/>
      <c r="CP55" s="188"/>
      <c r="CQ55" s="188"/>
      <c r="CR55" s="188"/>
      <c r="CS55" s="188"/>
      <c r="CT55" s="188"/>
      <c r="CU55" s="188"/>
      <c r="CV55" s="188"/>
      <c r="CW55" s="188"/>
      <c r="CX55" s="188"/>
      <c r="CY55" s="188"/>
      <c r="CZ55" s="188"/>
      <c r="DA55" s="188"/>
      <c r="DB55" s="188"/>
      <c r="DC55" s="188"/>
      <c r="DD55" s="188"/>
      <c r="DE55" s="188"/>
      <c r="DF55" s="188"/>
      <c r="DG55" s="188"/>
      <c r="DH55" s="188"/>
      <c r="DI55" s="188"/>
      <c r="DJ55" s="188"/>
      <c r="DK55" s="188"/>
      <c r="DL55" s="188"/>
      <c r="DM55" s="188"/>
      <c r="DN55" s="188"/>
      <c r="DO55" s="188"/>
      <c r="DP55" s="188"/>
      <c r="DQ55" s="188"/>
      <c r="DR55" s="188"/>
      <c r="DS55" s="188"/>
      <c r="DT55" s="188"/>
      <c r="DU55" s="188"/>
      <c r="DV55" s="188"/>
      <c r="DW55" s="188"/>
      <c r="DX55" s="188"/>
      <c r="DY55" s="188"/>
      <c r="DZ55" s="188"/>
      <c r="EA55" s="188"/>
      <c r="EB55" s="188"/>
      <c r="EC55" s="188"/>
      <c r="ED55" s="188"/>
      <c r="EE55" s="188"/>
      <c r="EF55" s="188"/>
      <c r="EG55" s="188"/>
      <c r="EH55" s="188"/>
      <c r="EI55" s="188"/>
      <c r="EJ55" s="188"/>
      <c r="EK55" s="188"/>
      <c r="EL55" s="188"/>
      <c r="EM55" s="188"/>
      <c r="EN55" s="188"/>
      <c r="EO55" s="188"/>
      <c r="EP55" s="188"/>
      <c r="EQ55" s="188"/>
      <c r="ER55" s="188"/>
      <c r="ES55" s="188"/>
      <c r="ET55" s="188"/>
      <c r="EU55" s="188"/>
      <c r="EV55" s="188"/>
      <c r="EW55" s="188"/>
      <c r="EX55" s="188"/>
      <c r="EY55" s="188"/>
      <c r="EZ55" s="188"/>
    </row>
    <row r="56" spans="1:156" ht="15.75" x14ac:dyDescent="0.25">
      <c r="A56" s="12">
        <v>47</v>
      </c>
      <c r="B56" s="16"/>
      <c r="C56" s="24"/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07"/>
      <c r="Y56" s="110"/>
      <c r="Z56" s="19"/>
      <c r="AA56" s="25"/>
      <c r="AB56" s="21"/>
      <c r="AC56" s="25"/>
      <c r="AD56" s="25"/>
      <c r="AE56" s="20"/>
      <c r="AG56" s="188" t="str">
        <f>IF(ISERROR(getgrade(Broadsheet!H56,data!$H$4:$I$9)),"#",getgrade(Broadsheet!H56,data!$H$4:$I$9))</f>
        <v/>
      </c>
      <c r="AH56" s="188" t="str">
        <f>IF(ISERROR(getgrade(Broadsheet!I56,data!$H$4:$I$9)),"#",getgrade(Broadsheet!I56,data!$H$4:$I$9))</f>
        <v/>
      </c>
      <c r="AI56" s="188" t="str">
        <f>IF(ISERROR(getgrade(Broadsheet!J56,data!$H$4:$I$9)),"#",getgrade(Broadsheet!J56,data!$H$4:$I$9))</f>
        <v/>
      </c>
      <c r="AJ56" s="188" t="str">
        <f>IF(ISERROR(getgrade(Broadsheet!K56,data!$H$4:$I$9)),"#",getgrade(Broadsheet!K56,data!$H$4:$I$9))</f>
        <v/>
      </c>
      <c r="AK56" s="188" t="str">
        <f>IF(ISERROR(getgrade(Broadsheet!L56,data!$H$4:$I$9)),"#",getgrade(Broadsheet!L56,data!$H$4:$I$9))</f>
        <v/>
      </c>
      <c r="AL56" s="188" t="str">
        <f>IF(ISERROR(getgrade(Broadsheet!M56,data!$H$4:$I$9)),"#",getgrade(Broadsheet!M56,data!$H$4:$I$9))</f>
        <v/>
      </c>
      <c r="AM56" s="188" t="str">
        <f>IF(ISERROR(getgrade(Broadsheet!N56,data!$H$4:$I$9)),"#",getgrade(Broadsheet!N56,data!$H$4:$I$9))</f>
        <v/>
      </c>
      <c r="AN56" s="188" t="str">
        <f>IF(ISERROR(getgrade(Broadsheet!O56,data!$H$4:$I$9)),"#",getgrade(Broadsheet!O56,data!$H$4:$I$9))</f>
        <v/>
      </c>
      <c r="AO56" s="188" t="str">
        <f>IF(ISERROR(getgrade(Broadsheet!P56,data!$H$4:$I$9)),"#",getgrade(Broadsheet!P56,data!$H$4:$I$9))</f>
        <v/>
      </c>
      <c r="AP56" s="188" t="str">
        <f>IF(ISERROR(getgrade(Broadsheet!Q56,data!$H$4:$I$9)),"#",getgrade(Broadsheet!Q56,data!$H$4:$I$9))</f>
        <v/>
      </c>
      <c r="AQ56" s="188" t="str">
        <f>IF(ISERROR(getgrade(Broadsheet!R56,data!$H$4:$I$9)),"#",getgrade(Broadsheet!R56,data!$H$4:$I$9))</f>
        <v/>
      </c>
      <c r="AR56" s="188" t="str">
        <f>IF(ISERROR(getgrade(Broadsheet!S56,data!$H$4:$I$9)),"#",getgrade(Broadsheet!S56,data!$H$4:$I$9))</f>
        <v/>
      </c>
      <c r="AS56" s="188" t="str">
        <f>IF(ISERROR(getgrade(Broadsheet!T56,data!$H$4:$I$9)),"#",getgrade(Broadsheet!T56,data!$H$4:$I$9))</f>
        <v/>
      </c>
      <c r="AT56" s="188" t="str">
        <f>IF(ISERROR(getgrade(Broadsheet!U56,data!$H$4:$I$9)),"#",getgrade(Broadsheet!U56,data!$H$4:$I$9))</f>
        <v/>
      </c>
      <c r="AU56" s="188" t="str">
        <f>IF(ISERROR(getgrade(Broadsheet!V56,data!$H$4:$I$9)),"#",getgrade(Broadsheet!V56,data!$H$4:$I$9))</f>
        <v/>
      </c>
      <c r="AV56" s="188" t="str">
        <f>IF(ISERROR(getgrade(Broadsheet!W56,data!$H$4:$I$9)),"#",getgrade(Broadsheet!W56,data!$H$4:$I$9))</f>
        <v/>
      </c>
      <c r="AW56" s="188" t="str">
        <f>IF(ISERROR(getgrade(Broadsheet!X56,data!$H$4:$I$9)),"#",getgrade(Broadsheet!X56,data!$H$4:$I$9))</f>
        <v/>
      </c>
      <c r="AX56" s="188" t="str">
        <f>IF(ISERROR(getgrade(Broadsheet!Y56,data!$H$4:$I$9)),"#",getgrade(Broadsheet!Y56,data!$H$4:$I$9))</f>
        <v/>
      </c>
      <c r="AY56" s="188" t="str">
        <f>IF(ISERROR(getgrade(Broadsheet!Z56,data!$H$4:$I$9)),"#",getgrade(Broadsheet!Z56,data!$H$4:$I$9))</f>
        <v/>
      </c>
      <c r="AZ56" s="188" t="str">
        <f>IF(ISERROR(getgrade(Broadsheet!AA56,data!$H$4:$I$9)),"#",getgrade(Broadsheet!AA56,data!$H$4:$I$9))</f>
        <v/>
      </c>
      <c r="BA56" s="188" t="str">
        <f>IF(ISERROR(getgrade(Broadsheet!AB56,data!$H$4:$I$9)),"#",getgrade(Broadsheet!AB56,data!$H$4:$I$9))</f>
        <v/>
      </c>
      <c r="BB56" s="188" t="str">
        <f>IF(ISERROR(getgrade(Broadsheet!AC56,data!$H$4:$I$9)),"#",getgrade(Broadsheet!AC56,data!$H$4:$I$9))</f>
        <v/>
      </c>
      <c r="BC56" s="188" t="str">
        <f>IF(ISERROR(getgrade(Broadsheet!AD56,data!$H$4:$I$9)),"#",getgrade(Broadsheet!AD56,data!$H$4:$I$9))</f>
        <v/>
      </c>
      <c r="BD56" s="188" t="str">
        <f>IF(ISERROR(getgrade(Broadsheet!AE56,data!$H$4:$I$9)),"#",getgrade(Broadsheet!AE56,data!$H$4:$I$9))</f>
        <v/>
      </c>
      <c r="BE56" s="188" t="str">
        <f>IF(ISERROR(getgrade(Broadsheet!AF56,data!$H$4:$I$9)),"#",getgrade(Broadsheet!AF56,data!$H$4:$I$9))</f>
        <v/>
      </c>
      <c r="BF56" s="188" t="str">
        <f>IF(ISERROR(getgrade(Broadsheet!AG56,data!$H$4:$I$9)),"#",getgrade(Broadsheet!AG56,data!$H$4:$I$9))</f>
        <v/>
      </c>
      <c r="BG56" s="188" t="str">
        <f>IF(ISERROR(getgrade(Broadsheet!AH56,data!$H$4:$I$9)),"#",getgrade(Broadsheet!AH56,data!$H$4:$I$9))</f>
        <v/>
      </c>
      <c r="BH56" s="188" t="str">
        <f>IF(ISERROR(getgrade(Broadsheet!AI56,data!$H$4:$I$9)),"#",getgrade(Broadsheet!AI56,data!$H$4:$I$9))</f>
        <v/>
      </c>
      <c r="BI56" s="188" t="str">
        <f>IF(ISERROR(getgrade(Broadsheet!AJ56,data!$H$4:$I$9)),"#",getgrade(Broadsheet!AJ56,data!$H$4:$I$9))</f>
        <v/>
      </c>
      <c r="BJ56" s="188" t="str">
        <f>IF(ISERROR(getgrade(Broadsheet!AK56,data!$H$4:$I$9)),"#",getgrade(Broadsheet!AK56,data!$H$4:$I$9))</f>
        <v/>
      </c>
      <c r="BK56" s="188" t="str">
        <f>IF(ISERROR(getgrade(Broadsheet!AL56,data!$H$4:$I$9)),"#",getgrade(Broadsheet!AL56,data!$H$4:$I$9))</f>
        <v/>
      </c>
      <c r="BL56" s="188" t="str">
        <f>IF(ISERROR(getgrade(Broadsheet!AM56,data!$H$4:$I$9)),"#",getgrade(Broadsheet!AM56,data!$H$4:$I$9))</f>
        <v/>
      </c>
      <c r="BM56" s="188" t="str">
        <f>IF(ISERROR(getgrade(Broadsheet!AN56,data!$H$4:$I$9)),"#",getgrade(Broadsheet!AN56,data!$H$4:$I$9))</f>
        <v/>
      </c>
      <c r="BN56" s="188" t="str">
        <f>IF(ISERROR(getgrade(Broadsheet!AO56,data!$H$4:$I$9)),"#",getgrade(Broadsheet!AO56,data!$H$4:$I$9))</f>
        <v/>
      </c>
      <c r="BO56" s="188" t="str">
        <f>IF(ISERROR(getgrade(Broadsheet!AP56,data!$H$4:$I$9)),"#",getgrade(Broadsheet!AP56,data!$H$4:$I$9))</f>
        <v/>
      </c>
      <c r="BP56" s="188" t="str">
        <f>IF(ISERROR(getgrade(Broadsheet!AQ56,data!$H$4:$I$9)),"#",getgrade(Broadsheet!AQ56,data!$H$4:$I$9))</f>
        <v/>
      </c>
      <c r="BQ56" s="188" t="str">
        <f>IF(ISERROR(getgrade(Broadsheet!AR56,data!$H$4:$I$9)),"#",getgrade(Broadsheet!AR56,data!$H$4:$I$9))</f>
        <v/>
      </c>
      <c r="BR56" s="188" t="str">
        <f>IF(ISERROR(getgrade(Broadsheet!AS56,data!$H$4:$I$9)),"#",getgrade(Broadsheet!AS56,data!$H$4:$I$9))</f>
        <v/>
      </c>
      <c r="BS56" s="188" t="str">
        <f>IF(ISERROR(getgrade(Broadsheet!AT56,data!$H$4:$I$9)),"#",getgrade(Broadsheet!AT56,data!$H$4:$I$9))</f>
        <v/>
      </c>
      <c r="BT56" s="188" t="str">
        <f>IF(ISERROR(getgrade(Broadsheet!AU56,data!$H$4:$I$9)),"#",getgrade(Broadsheet!AU56,data!$H$4:$I$9))</f>
        <v/>
      </c>
      <c r="BU56" s="188" t="str">
        <f>IF(ISERROR(getgrade(Broadsheet!AV56,data!$H$4:$I$9)),"#",getgrade(Broadsheet!AV56,data!$H$4:$I$9))</f>
        <v/>
      </c>
      <c r="BV56" s="188" t="str">
        <f>IF(ISERROR(getgrade(Broadsheet!AW56,data!$H$4:$I$9)),"#",getgrade(Broadsheet!AW56,data!$H$4:$I$9))</f>
        <v/>
      </c>
      <c r="BW56" s="188" t="str">
        <f>IF(ISERROR(getgrade(Broadsheet!AX56,data!$H$4:$I$9)),"#",getgrade(Broadsheet!AX56,data!$H$4:$I$9))</f>
        <v/>
      </c>
      <c r="BX56" s="188" t="str">
        <f>IF(ISERROR(getgrade(Broadsheet!AY56,data!$H$4:$I$9)),"#",getgrade(Broadsheet!AY56,data!$H$4:$I$9))</f>
        <v/>
      </c>
      <c r="BY56" s="188" t="str">
        <f>IF(ISERROR(getgrade(Broadsheet!AZ56,data!$H$4:$I$9)),"#",getgrade(Broadsheet!AZ56,data!$H$4:$I$9))</f>
        <v/>
      </c>
      <c r="BZ56" s="188" t="str">
        <f>IF(ISERROR(getgrade(Broadsheet!BA56,data!$H$4:$I$9)),"#",getgrade(Broadsheet!BA56,data!$H$4:$I$9))</f>
        <v/>
      </c>
      <c r="CA56" s="188" t="str">
        <f>IF(ISERROR(getgrade(Broadsheet!BB56,data!$H$4:$I$9)),"#",getgrade(Broadsheet!BB56,data!$H$4:$I$9))</f>
        <v/>
      </c>
      <c r="CB56" s="188" t="str">
        <f>IF(ISERROR(getgrade(Broadsheet!BC56,data!$H$4:$I$9)),"#",getgrade(Broadsheet!BC56,data!$H$4:$I$9))</f>
        <v/>
      </c>
      <c r="CC56" s="188" t="str">
        <f>IF(ISERROR(getgrade(Broadsheet!BD56,data!$H$4:$I$9)),"#",getgrade(Broadsheet!BD56,data!$H$4:$I$9))</f>
        <v/>
      </c>
      <c r="CD56" s="188" t="str">
        <f>IF(ISERROR(getgrade(Broadsheet!BE56,data!$H$4:$I$9)),"#",getgrade(Broadsheet!BE56,data!$H$4:$I$9))</f>
        <v/>
      </c>
      <c r="CE56" s="188" t="str">
        <f>IF(ISERROR(getgrade(Broadsheet!BF56,data!$H$4:$I$9)),"#",getgrade(Broadsheet!BF56,data!$H$4:$I$9))</f>
        <v/>
      </c>
      <c r="CF56" s="188" t="str">
        <f>IF(ISERROR(getgrade(Broadsheet!BG56,data!$H$4:$I$9)),"#",getgrade(Broadsheet!BG56,data!$H$4:$I$9))</f>
        <v/>
      </c>
      <c r="CG56" s="188" t="str">
        <f>IF(ISERROR(getgrade(Broadsheet!BH56,data!$H$4:$I$9)),"#",getgrade(Broadsheet!BH56,data!$H$4:$I$9))</f>
        <v/>
      </c>
      <c r="CH56" s="188" t="str">
        <f>IF(ISERROR(getgrade(Broadsheet!BI56,data!$H$4:$I$9)),"#",getgrade(Broadsheet!BI56,data!$H$4:$I$9))</f>
        <v/>
      </c>
      <c r="CI56" s="188" t="str">
        <f>IF(ISERROR(getgrade(Broadsheet!BJ56,data!$H$4:$I$9)),"#",getgrade(Broadsheet!BJ56,data!$H$4:$I$9))</f>
        <v/>
      </c>
      <c r="CJ56" s="188"/>
      <c r="CK56" s="188"/>
      <c r="CL56" s="188"/>
      <c r="CM56" s="188"/>
      <c r="CN56" s="188"/>
      <c r="CO56" s="188"/>
      <c r="CP56" s="188"/>
      <c r="CQ56" s="188"/>
      <c r="CR56" s="188"/>
      <c r="CS56" s="188"/>
      <c r="CT56" s="188"/>
      <c r="CU56" s="188"/>
      <c r="CV56" s="188"/>
      <c r="CW56" s="188"/>
      <c r="CX56" s="188"/>
      <c r="CY56" s="188"/>
      <c r="CZ56" s="188"/>
      <c r="DA56" s="188"/>
      <c r="DB56" s="188"/>
      <c r="DC56" s="188"/>
      <c r="DD56" s="188"/>
      <c r="DE56" s="188"/>
      <c r="DF56" s="188"/>
      <c r="DG56" s="188"/>
      <c r="DH56" s="188"/>
      <c r="DI56" s="188"/>
      <c r="DJ56" s="188"/>
      <c r="DK56" s="188"/>
      <c r="DL56" s="188"/>
      <c r="DM56" s="188"/>
      <c r="DN56" s="188"/>
      <c r="DO56" s="188"/>
      <c r="DP56" s="188"/>
      <c r="DQ56" s="188"/>
      <c r="DR56" s="188"/>
      <c r="DS56" s="188"/>
      <c r="DT56" s="188"/>
      <c r="DU56" s="188"/>
      <c r="DV56" s="188"/>
      <c r="DW56" s="188"/>
      <c r="DX56" s="188"/>
      <c r="DY56" s="188"/>
      <c r="DZ56" s="188"/>
      <c r="EA56" s="188"/>
      <c r="EB56" s="188"/>
      <c r="EC56" s="188"/>
      <c r="ED56" s="188"/>
      <c r="EE56" s="188"/>
      <c r="EF56" s="188"/>
      <c r="EG56" s="188"/>
      <c r="EH56" s="188"/>
      <c r="EI56" s="188"/>
      <c r="EJ56" s="188"/>
      <c r="EK56" s="188"/>
      <c r="EL56" s="188"/>
      <c r="EM56" s="188"/>
      <c r="EN56" s="188"/>
      <c r="EO56" s="188"/>
      <c r="EP56" s="188"/>
      <c r="EQ56" s="188"/>
      <c r="ER56" s="188"/>
      <c r="ES56" s="188"/>
      <c r="ET56" s="188"/>
      <c r="EU56" s="188"/>
      <c r="EV56" s="188"/>
      <c r="EW56" s="188"/>
      <c r="EX56" s="188"/>
      <c r="EY56" s="188"/>
      <c r="EZ56" s="188"/>
    </row>
    <row r="57" spans="1:156" ht="15.75" x14ac:dyDescent="0.25">
      <c r="A57" s="12">
        <v>48</v>
      </c>
      <c r="B57" s="16"/>
      <c r="C57" s="24"/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07"/>
      <c r="Y57" s="110"/>
      <c r="Z57" s="19"/>
      <c r="AA57" s="25"/>
      <c r="AB57" s="21"/>
      <c r="AC57" s="25"/>
      <c r="AD57" s="25"/>
      <c r="AE57" s="20"/>
      <c r="AG57" s="188" t="str">
        <f>IF(ISERROR(getgrade(Broadsheet!#REF!,data!$H$4:$I$9)),"#",getgrade(Broadsheet!#REF!,data!$H$4:$I$9))</f>
        <v>#</v>
      </c>
      <c r="AH57" s="188" t="str">
        <f>IF(ISERROR(getgrade(Broadsheet!#REF!,data!$H$4:$I$9)),"#",getgrade(Broadsheet!#REF!,data!$H$4:$I$9))</f>
        <v>#</v>
      </c>
      <c r="AI57" s="188" t="str">
        <f>IF(ISERROR(getgrade(Broadsheet!#REF!,data!$H$4:$I$9)),"#",getgrade(Broadsheet!#REF!,data!$H$4:$I$9))</f>
        <v>#</v>
      </c>
      <c r="AJ57" s="188" t="str">
        <f>IF(ISERROR(getgrade(Broadsheet!#REF!,data!$H$4:$I$9)),"#",getgrade(Broadsheet!#REF!,data!$H$4:$I$9))</f>
        <v>#</v>
      </c>
      <c r="AK57" s="188" t="str">
        <f>IF(ISERROR(getgrade(Broadsheet!#REF!,data!$H$4:$I$9)),"#",getgrade(Broadsheet!#REF!,data!$H$4:$I$9))</f>
        <v>#</v>
      </c>
      <c r="AL57" s="188" t="str">
        <f>IF(ISERROR(getgrade(Broadsheet!#REF!,data!$H$4:$I$9)),"#",getgrade(Broadsheet!#REF!,data!$H$4:$I$9))</f>
        <v>#</v>
      </c>
      <c r="AM57" s="188" t="str">
        <f>IF(ISERROR(getgrade(Broadsheet!#REF!,data!$H$4:$I$9)),"#",getgrade(Broadsheet!#REF!,data!$H$4:$I$9))</f>
        <v>#</v>
      </c>
      <c r="AN57" s="188" t="str">
        <f>IF(ISERROR(getgrade(Broadsheet!#REF!,data!$H$4:$I$9)),"#",getgrade(Broadsheet!#REF!,data!$H$4:$I$9))</f>
        <v>#</v>
      </c>
      <c r="AO57" s="188" t="str">
        <f>IF(ISERROR(getgrade(Broadsheet!#REF!,data!$H$4:$I$9)),"#",getgrade(Broadsheet!#REF!,data!$H$4:$I$9))</f>
        <v>#</v>
      </c>
      <c r="AP57" s="188" t="str">
        <f>IF(ISERROR(getgrade(Broadsheet!#REF!,data!$H$4:$I$9)),"#",getgrade(Broadsheet!#REF!,data!$H$4:$I$9))</f>
        <v>#</v>
      </c>
      <c r="AQ57" s="188" t="str">
        <f>IF(ISERROR(getgrade(Broadsheet!#REF!,data!$H$4:$I$9)),"#",getgrade(Broadsheet!#REF!,data!$H$4:$I$9))</f>
        <v>#</v>
      </c>
      <c r="AR57" s="188" t="str">
        <f>IF(ISERROR(getgrade(Broadsheet!#REF!,data!$H$4:$I$9)),"#",getgrade(Broadsheet!#REF!,data!$H$4:$I$9))</f>
        <v>#</v>
      </c>
      <c r="AS57" s="188" t="str">
        <f>IF(ISERROR(getgrade(Broadsheet!#REF!,data!$H$4:$I$9)),"#",getgrade(Broadsheet!#REF!,data!$H$4:$I$9))</f>
        <v>#</v>
      </c>
      <c r="AT57" s="188" t="str">
        <f>IF(ISERROR(getgrade(Broadsheet!#REF!,data!$H$4:$I$9)),"#",getgrade(Broadsheet!#REF!,data!$H$4:$I$9))</f>
        <v>#</v>
      </c>
      <c r="AU57" s="188" t="str">
        <f>IF(ISERROR(getgrade(Broadsheet!#REF!,data!$H$4:$I$9)),"#",getgrade(Broadsheet!#REF!,data!$H$4:$I$9))</f>
        <v>#</v>
      </c>
      <c r="AV57" s="188" t="str">
        <f>IF(ISERROR(getgrade(Broadsheet!#REF!,data!$H$4:$I$9)),"#",getgrade(Broadsheet!#REF!,data!$H$4:$I$9))</f>
        <v>#</v>
      </c>
      <c r="AW57" s="188" t="str">
        <f>IF(ISERROR(getgrade(Broadsheet!#REF!,data!$H$4:$I$9)),"#",getgrade(Broadsheet!#REF!,data!$H$4:$I$9))</f>
        <v>#</v>
      </c>
      <c r="AX57" s="188" t="str">
        <f>IF(ISERROR(getgrade(Broadsheet!#REF!,data!$H$4:$I$9)),"#",getgrade(Broadsheet!#REF!,data!$H$4:$I$9))</f>
        <v>#</v>
      </c>
      <c r="AY57" s="188" t="str">
        <f>IF(ISERROR(getgrade(Broadsheet!#REF!,data!$H$4:$I$9)),"#",getgrade(Broadsheet!#REF!,data!$H$4:$I$9))</f>
        <v>#</v>
      </c>
      <c r="AZ57" s="188" t="str">
        <f>IF(ISERROR(getgrade(Broadsheet!#REF!,data!$H$4:$I$9)),"#",getgrade(Broadsheet!#REF!,data!$H$4:$I$9))</f>
        <v>#</v>
      </c>
      <c r="BA57" s="188" t="str">
        <f>IF(ISERROR(getgrade(Broadsheet!#REF!,data!$H$4:$I$9)),"#",getgrade(Broadsheet!#REF!,data!$H$4:$I$9))</f>
        <v>#</v>
      </c>
      <c r="BB57" s="188" t="str">
        <f>IF(ISERROR(getgrade(Broadsheet!#REF!,data!$H$4:$I$9)),"#",getgrade(Broadsheet!#REF!,data!$H$4:$I$9))</f>
        <v>#</v>
      </c>
      <c r="BC57" s="188" t="str">
        <f>IF(ISERROR(getgrade(Broadsheet!#REF!,data!$H$4:$I$9)),"#",getgrade(Broadsheet!#REF!,data!$H$4:$I$9))</f>
        <v>#</v>
      </c>
      <c r="BD57" s="188" t="str">
        <f>IF(ISERROR(getgrade(Broadsheet!#REF!,data!$H$4:$I$9)),"#",getgrade(Broadsheet!#REF!,data!$H$4:$I$9))</f>
        <v>#</v>
      </c>
      <c r="BE57" s="188" t="str">
        <f>IF(ISERROR(getgrade(Broadsheet!#REF!,data!$H$4:$I$9)),"#",getgrade(Broadsheet!#REF!,data!$H$4:$I$9))</f>
        <v>#</v>
      </c>
      <c r="BF57" s="188" t="str">
        <f>IF(ISERROR(getgrade(Broadsheet!#REF!,data!$H$4:$I$9)),"#",getgrade(Broadsheet!#REF!,data!$H$4:$I$9))</f>
        <v>#</v>
      </c>
      <c r="BG57" s="188" t="str">
        <f>IF(ISERROR(getgrade(Broadsheet!#REF!,data!$H$4:$I$9)),"#",getgrade(Broadsheet!#REF!,data!$H$4:$I$9))</f>
        <v>#</v>
      </c>
      <c r="BH57" s="188" t="str">
        <f>IF(ISERROR(getgrade(Broadsheet!#REF!,data!$H$4:$I$9)),"#",getgrade(Broadsheet!#REF!,data!$H$4:$I$9))</f>
        <v>#</v>
      </c>
      <c r="BI57" s="188" t="str">
        <f>IF(ISERROR(getgrade(Broadsheet!#REF!,data!$H$4:$I$9)),"#",getgrade(Broadsheet!#REF!,data!$H$4:$I$9))</f>
        <v>#</v>
      </c>
      <c r="BJ57" s="188" t="str">
        <f>IF(ISERROR(getgrade(Broadsheet!#REF!,data!$H$4:$I$9)),"#",getgrade(Broadsheet!#REF!,data!$H$4:$I$9))</f>
        <v>#</v>
      </c>
      <c r="BK57" s="188" t="str">
        <f>IF(ISERROR(getgrade(Broadsheet!#REF!,data!$H$4:$I$9)),"#",getgrade(Broadsheet!#REF!,data!$H$4:$I$9))</f>
        <v>#</v>
      </c>
      <c r="BL57" s="188" t="str">
        <f>IF(ISERROR(getgrade(Broadsheet!#REF!,data!$H$4:$I$9)),"#",getgrade(Broadsheet!#REF!,data!$H$4:$I$9))</f>
        <v>#</v>
      </c>
      <c r="BM57" s="188" t="str">
        <f>IF(ISERROR(getgrade(Broadsheet!#REF!,data!$H$4:$I$9)),"#",getgrade(Broadsheet!#REF!,data!$H$4:$I$9))</f>
        <v>#</v>
      </c>
      <c r="BN57" s="188" t="str">
        <f>IF(ISERROR(getgrade(Broadsheet!#REF!,data!$H$4:$I$9)),"#",getgrade(Broadsheet!#REF!,data!$H$4:$I$9))</f>
        <v>#</v>
      </c>
      <c r="BO57" s="188" t="str">
        <f>IF(ISERROR(getgrade(Broadsheet!#REF!,data!$H$4:$I$9)),"#",getgrade(Broadsheet!#REF!,data!$H$4:$I$9))</f>
        <v>#</v>
      </c>
      <c r="BP57" s="188" t="str">
        <f>IF(ISERROR(getgrade(Broadsheet!#REF!,data!$H$4:$I$9)),"#",getgrade(Broadsheet!#REF!,data!$H$4:$I$9))</f>
        <v>#</v>
      </c>
      <c r="BQ57" s="188" t="str">
        <f>IF(ISERROR(getgrade(Broadsheet!#REF!,data!$H$4:$I$9)),"#",getgrade(Broadsheet!#REF!,data!$H$4:$I$9))</f>
        <v>#</v>
      </c>
      <c r="BR57" s="188" t="str">
        <f>IF(ISERROR(getgrade(Broadsheet!#REF!,data!$H$4:$I$9)),"#",getgrade(Broadsheet!#REF!,data!$H$4:$I$9))</f>
        <v>#</v>
      </c>
      <c r="BS57" s="188" t="str">
        <f>IF(ISERROR(getgrade(Broadsheet!#REF!,data!$H$4:$I$9)),"#",getgrade(Broadsheet!#REF!,data!$H$4:$I$9))</f>
        <v>#</v>
      </c>
      <c r="BT57" s="188" t="str">
        <f>IF(ISERROR(getgrade(Broadsheet!#REF!,data!$H$4:$I$9)),"#",getgrade(Broadsheet!#REF!,data!$H$4:$I$9))</f>
        <v>#</v>
      </c>
      <c r="BU57" s="188" t="str">
        <f>IF(ISERROR(getgrade(Broadsheet!#REF!,data!$H$4:$I$9)),"#",getgrade(Broadsheet!#REF!,data!$H$4:$I$9))</f>
        <v>#</v>
      </c>
      <c r="BV57" s="188" t="str">
        <f>IF(ISERROR(getgrade(Broadsheet!#REF!,data!$H$4:$I$9)),"#",getgrade(Broadsheet!#REF!,data!$H$4:$I$9))</f>
        <v>#</v>
      </c>
      <c r="BW57" s="188" t="str">
        <f>IF(ISERROR(getgrade(Broadsheet!#REF!,data!$H$4:$I$9)),"#",getgrade(Broadsheet!#REF!,data!$H$4:$I$9))</f>
        <v>#</v>
      </c>
      <c r="BX57" s="188" t="str">
        <f>IF(ISERROR(getgrade(Broadsheet!#REF!,data!$H$4:$I$9)),"#",getgrade(Broadsheet!#REF!,data!$H$4:$I$9))</f>
        <v>#</v>
      </c>
      <c r="BY57" s="188" t="str">
        <f>IF(ISERROR(getgrade(Broadsheet!#REF!,data!$H$4:$I$9)),"#",getgrade(Broadsheet!#REF!,data!$H$4:$I$9))</f>
        <v>#</v>
      </c>
      <c r="BZ57" s="188" t="str">
        <f>IF(ISERROR(getgrade(Broadsheet!#REF!,data!$H$4:$I$9)),"#",getgrade(Broadsheet!#REF!,data!$H$4:$I$9))</f>
        <v>#</v>
      </c>
      <c r="CA57" s="188" t="str">
        <f>IF(ISERROR(getgrade(Broadsheet!#REF!,data!$H$4:$I$9)),"#",getgrade(Broadsheet!#REF!,data!$H$4:$I$9))</f>
        <v>#</v>
      </c>
      <c r="CB57" s="188" t="str">
        <f>IF(ISERROR(getgrade(Broadsheet!#REF!,data!$H$4:$I$9)),"#",getgrade(Broadsheet!#REF!,data!$H$4:$I$9))</f>
        <v>#</v>
      </c>
      <c r="CC57" s="188" t="str">
        <f>IF(ISERROR(getgrade(Broadsheet!#REF!,data!$H$4:$I$9)),"#",getgrade(Broadsheet!#REF!,data!$H$4:$I$9))</f>
        <v>#</v>
      </c>
      <c r="CD57" s="188" t="str">
        <f>IF(ISERROR(getgrade(Broadsheet!#REF!,data!$H$4:$I$9)),"#",getgrade(Broadsheet!#REF!,data!$H$4:$I$9))</f>
        <v>#</v>
      </c>
      <c r="CE57" s="188" t="str">
        <f>IF(ISERROR(getgrade(Broadsheet!#REF!,data!$H$4:$I$9)),"#",getgrade(Broadsheet!#REF!,data!$H$4:$I$9))</f>
        <v>#</v>
      </c>
      <c r="CF57" s="188" t="str">
        <f>IF(ISERROR(getgrade(Broadsheet!#REF!,data!$H$4:$I$9)),"#",getgrade(Broadsheet!#REF!,data!$H$4:$I$9))</f>
        <v>#</v>
      </c>
      <c r="CG57" s="188" t="str">
        <f>IF(ISERROR(getgrade(Broadsheet!#REF!,data!$H$4:$I$9)),"#",getgrade(Broadsheet!#REF!,data!$H$4:$I$9))</f>
        <v>#</v>
      </c>
      <c r="CH57" s="188" t="str">
        <f>IF(ISERROR(getgrade(Broadsheet!#REF!,data!$H$4:$I$9)),"#",getgrade(Broadsheet!#REF!,data!$H$4:$I$9))</f>
        <v>#</v>
      </c>
      <c r="CI57" s="188" t="str">
        <f>IF(ISERROR(getgrade(Broadsheet!#REF!,data!$H$4:$I$9)),"#",getgrade(Broadsheet!#REF!,data!$H$4:$I$9))</f>
        <v>#</v>
      </c>
      <c r="CJ57" s="188"/>
      <c r="CK57" s="188"/>
      <c r="CL57" s="188"/>
      <c r="CM57" s="188"/>
      <c r="CN57" s="188"/>
      <c r="CO57" s="188"/>
      <c r="CP57" s="188"/>
      <c r="CQ57" s="188"/>
      <c r="CR57" s="188"/>
      <c r="CS57" s="188"/>
      <c r="CT57" s="188"/>
      <c r="CU57" s="188"/>
      <c r="CV57" s="188"/>
      <c r="CW57" s="188"/>
      <c r="CX57" s="188"/>
      <c r="CY57" s="188"/>
      <c r="CZ57" s="188"/>
      <c r="DA57" s="188"/>
      <c r="DB57" s="188"/>
      <c r="DC57" s="188"/>
      <c r="DD57" s="188"/>
      <c r="DE57" s="188"/>
      <c r="DF57" s="188"/>
      <c r="DG57" s="188"/>
      <c r="DH57" s="188"/>
      <c r="DI57" s="188"/>
      <c r="DJ57" s="188"/>
      <c r="DK57" s="188"/>
      <c r="DL57" s="188"/>
      <c r="DM57" s="188"/>
      <c r="DN57" s="188"/>
      <c r="DO57" s="188"/>
      <c r="DP57" s="188"/>
      <c r="DQ57" s="188"/>
      <c r="DR57" s="188"/>
      <c r="DS57" s="188"/>
      <c r="DT57" s="188"/>
      <c r="DU57" s="188"/>
      <c r="DV57" s="188"/>
      <c r="DW57" s="188"/>
      <c r="DX57" s="188"/>
      <c r="DY57" s="188"/>
      <c r="DZ57" s="188"/>
      <c r="EA57" s="188"/>
      <c r="EB57" s="188"/>
      <c r="EC57" s="188"/>
      <c r="ED57" s="188"/>
      <c r="EE57" s="188"/>
      <c r="EF57" s="188"/>
      <c r="EG57" s="188"/>
      <c r="EH57" s="188"/>
      <c r="EI57" s="188"/>
      <c r="EJ57" s="188"/>
      <c r="EK57" s="188"/>
      <c r="EL57" s="188"/>
      <c r="EM57" s="188"/>
      <c r="EN57" s="188"/>
      <c r="EO57" s="188"/>
      <c r="EP57" s="188"/>
      <c r="EQ57" s="188"/>
      <c r="ER57" s="188"/>
      <c r="ES57" s="188"/>
      <c r="ET57" s="188"/>
      <c r="EU57" s="188"/>
      <c r="EV57" s="188"/>
      <c r="EW57" s="188"/>
      <c r="EX57" s="188"/>
      <c r="EY57" s="188"/>
      <c r="EZ57" s="188"/>
    </row>
    <row r="58" spans="1:156" ht="15.75" x14ac:dyDescent="0.25">
      <c r="A58" s="12">
        <v>49</v>
      </c>
      <c r="B58" s="16"/>
      <c r="C58" s="24"/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07"/>
      <c r="Y58" s="110"/>
      <c r="Z58" s="19"/>
      <c r="AA58" s="25"/>
      <c r="AB58" s="21"/>
      <c r="AC58" s="25"/>
      <c r="AD58" s="25"/>
      <c r="AE58" s="20"/>
      <c r="AG58" s="188" t="str">
        <f>IF(ISERROR(getgrade(Broadsheet!#REF!,data!$H$4:$I$9)),"#",getgrade(Broadsheet!#REF!,data!$H$4:$I$9))</f>
        <v>#</v>
      </c>
      <c r="AH58" s="188" t="str">
        <f>IF(ISERROR(getgrade(Broadsheet!#REF!,data!$H$4:$I$9)),"#",getgrade(Broadsheet!#REF!,data!$H$4:$I$9))</f>
        <v>#</v>
      </c>
      <c r="AI58" s="188" t="str">
        <f>IF(ISERROR(getgrade(Broadsheet!#REF!,data!$H$4:$I$9)),"#",getgrade(Broadsheet!#REF!,data!$H$4:$I$9))</f>
        <v>#</v>
      </c>
      <c r="AJ58" s="188" t="str">
        <f>IF(ISERROR(getgrade(Broadsheet!#REF!,data!$H$4:$I$9)),"#",getgrade(Broadsheet!#REF!,data!$H$4:$I$9))</f>
        <v>#</v>
      </c>
      <c r="AK58" s="188" t="str">
        <f>IF(ISERROR(getgrade(Broadsheet!#REF!,data!$H$4:$I$9)),"#",getgrade(Broadsheet!#REF!,data!$H$4:$I$9))</f>
        <v>#</v>
      </c>
      <c r="AL58" s="188" t="str">
        <f>IF(ISERROR(getgrade(Broadsheet!#REF!,data!$H$4:$I$9)),"#",getgrade(Broadsheet!#REF!,data!$H$4:$I$9))</f>
        <v>#</v>
      </c>
      <c r="AM58" s="188" t="str">
        <f>IF(ISERROR(getgrade(Broadsheet!#REF!,data!$H$4:$I$9)),"#",getgrade(Broadsheet!#REF!,data!$H$4:$I$9))</f>
        <v>#</v>
      </c>
      <c r="AN58" s="188" t="str">
        <f>IF(ISERROR(getgrade(Broadsheet!#REF!,data!$H$4:$I$9)),"#",getgrade(Broadsheet!#REF!,data!$H$4:$I$9))</f>
        <v>#</v>
      </c>
      <c r="AO58" s="188" t="str">
        <f>IF(ISERROR(getgrade(Broadsheet!#REF!,data!$H$4:$I$9)),"#",getgrade(Broadsheet!#REF!,data!$H$4:$I$9))</f>
        <v>#</v>
      </c>
      <c r="AP58" s="188" t="str">
        <f>IF(ISERROR(getgrade(Broadsheet!#REF!,data!$H$4:$I$9)),"#",getgrade(Broadsheet!#REF!,data!$H$4:$I$9))</f>
        <v>#</v>
      </c>
      <c r="AQ58" s="188" t="str">
        <f>IF(ISERROR(getgrade(Broadsheet!#REF!,data!$H$4:$I$9)),"#",getgrade(Broadsheet!#REF!,data!$H$4:$I$9))</f>
        <v>#</v>
      </c>
      <c r="AR58" s="188" t="str">
        <f>IF(ISERROR(getgrade(Broadsheet!#REF!,data!$H$4:$I$9)),"#",getgrade(Broadsheet!#REF!,data!$H$4:$I$9))</f>
        <v>#</v>
      </c>
      <c r="AS58" s="188" t="str">
        <f>IF(ISERROR(getgrade(Broadsheet!#REF!,data!$H$4:$I$9)),"#",getgrade(Broadsheet!#REF!,data!$H$4:$I$9))</f>
        <v>#</v>
      </c>
      <c r="AT58" s="188" t="str">
        <f>IF(ISERROR(getgrade(Broadsheet!#REF!,data!$H$4:$I$9)),"#",getgrade(Broadsheet!#REF!,data!$H$4:$I$9))</f>
        <v>#</v>
      </c>
      <c r="AU58" s="188" t="str">
        <f>IF(ISERROR(getgrade(Broadsheet!#REF!,data!$H$4:$I$9)),"#",getgrade(Broadsheet!#REF!,data!$H$4:$I$9))</f>
        <v>#</v>
      </c>
      <c r="AV58" s="188" t="str">
        <f>IF(ISERROR(getgrade(Broadsheet!#REF!,data!$H$4:$I$9)),"#",getgrade(Broadsheet!#REF!,data!$H$4:$I$9))</f>
        <v>#</v>
      </c>
      <c r="AW58" s="188" t="str">
        <f>IF(ISERROR(getgrade(Broadsheet!#REF!,data!$H$4:$I$9)),"#",getgrade(Broadsheet!#REF!,data!$H$4:$I$9))</f>
        <v>#</v>
      </c>
      <c r="AX58" s="188" t="str">
        <f>IF(ISERROR(getgrade(Broadsheet!#REF!,data!$H$4:$I$9)),"#",getgrade(Broadsheet!#REF!,data!$H$4:$I$9))</f>
        <v>#</v>
      </c>
      <c r="AY58" s="188" t="str">
        <f>IF(ISERROR(getgrade(Broadsheet!#REF!,data!$H$4:$I$9)),"#",getgrade(Broadsheet!#REF!,data!$H$4:$I$9))</f>
        <v>#</v>
      </c>
      <c r="AZ58" s="188" t="str">
        <f>IF(ISERROR(getgrade(Broadsheet!#REF!,data!$H$4:$I$9)),"#",getgrade(Broadsheet!#REF!,data!$H$4:$I$9))</f>
        <v>#</v>
      </c>
      <c r="BA58" s="188" t="str">
        <f>IF(ISERROR(getgrade(Broadsheet!#REF!,data!$H$4:$I$9)),"#",getgrade(Broadsheet!#REF!,data!$H$4:$I$9))</f>
        <v>#</v>
      </c>
      <c r="BB58" s="188" t="str">
        <f>IF(ISERROR(getgrade(Broadsheet!#REF!,data!$H$4:$I$9)),"#",getgrade(Broadsheet!#REF!,data!$H$4:$I$9))</f>
        <v>#</v>
      </c>
      <c r="BC58" s="188" t="str">
        <f>IF(ISERROR(getgrade(Broadsheet!#REF!,data!$H$4:$I$9)),"#",getgrade(Broadsheet!#REF!,data!$H$4:$I$9))</f>
        <v>#</v>
      </c>
      <c r="BD58" s="188" t="str">
        <f>IF(ISERROR(getgrade(Broadsheet!#REF!,data!$H$4:$I$9)),"#",getgrade(Broadsheet!#REF!,data!$H$4:$I$9))</f>
        <v>#</v>
      </c>
      <c r="BE58" s="188" t="str">
        <f>IF(ISERROR(getgrade(Broadsheet!#REF!,data!$H$4:$I$9)),"#",getgrade(Broadsheet!#REF!,data!$H$4:$I$9))</f>
        <v>#</v>
      </c>
      <c r="BF58" s="188" t="str">
        <f>IF(ISERROR(getgrade(Broadsheet!#REF!,data!$H$4:$I$9)),"#",getgrade(Broadsheet!#REF!,data!$H$4:$I$9))</f>
        <v>#</v>
      </c>
      <c r="BG58" s="188" t="str">
        <f>IF(ISERROR(getgrade(Broadsheet!#REF!,data!$H$4:$I$9)),"#",getgrade(Broadsheet!#REF!,data!$H$4:$I$9))</f>
        <v>#</v>
      </c>
      <c r="BH58" s="188" t="str">
        <f>IF(ISERROR(getgrade(Broadsheet!#REF!,data!$H$4:$I$9)),"#",getgrade(Broadsheet!#REF!,data!$H$4:$I$9))</f>
        <v>#</v>
      </c>
      <c r="BI58" s="188" t="str">
        <f>IF(ISERROR(getgrade(Broadsheet!#REF!,data!$H$4:$I$9)),"#",getgrade(Broadsheet!#REF!,data!$H$4:$I$9))</f>
        <v>#</v>
      </c>
      <c r="BJ58" s="188" t="str">
        <f>IF(ISERROR(getgrade(Broadsheet!#REF!,data!$H$4:$I$9)),"#",getgrade(Broadsheet!#REF!,data!$H$4:$I$9))</f>
        <v>#</v>
      </c>
      <c r="BK58" s="188" t="str">
        <f>IF(ISERROR(getgrade(Broadsheet!#REF!,data!$H$4:$I$9)),"#",getgrade(Broadsheet!#REF!,data!$H$4:$I$9))</f>
        <v>#</v>
      </c>
      <c r="BL58" s="188" t="str">
        <f>IF(ISERROR(getgrade(Broadsheet!#REF!,data!$H$4:$I$9)),"#",getgrade(Broadsheet!#REF!,data!$H$4:$I$9))</f>
        <v>#</v>
      </c>
      <c r="BM58" s="188" t="str">
        <f>IF(ISERROR(getgrade(Broadsheet!#REF!,data!$H$4:$I$9)),"#",getgrade(Broadsheet!#REF!,data!$H$4:$I$9))</f>
        <v>#</v>
      </c>
      <c r="BN58" s="188" t="str">
        <f>IF(ISERROR(getgrade(Broadsheet!#REF!,data!$H$4:$I$9)),"#",getgrade(Broadsheet!#REF!,data!$H$4:$I$9))</f>
        <v>#</v>
      </c>
      <c r="BO58" s="188" t="str">
        <f>IF(ISERROR(getgrade(Broadsheet!#REF!,data!$H$4:$I$9)),"#",getgrade(Broadsheet!#REF!,data!$H$4:$I$9))</f>
        <v>#</v>
      </c>
      <c r="BP58" s="188" t="str">
        <f>IF(ISERROR(getgrade(Broadsheet!#REF!,data!$H$4:$I$9)),"#",getgrade(Broadsheet!#REF!,data!$H$4:$I$9))</f>
        <v>#</v>
      </c>
      <c r="BQ58" s="188" t="str">
        <f>IF(ISERROR(getgrade(Broadsheet!#REF!,data!$H$4:$I$9)),"#",getgrade(Broadsheet!#REF!,data!$H$4:$I$9))</f>
        <v>#</v>
      </c>
      <c r="BR58" s="188" t="str">
        <f>IF(ISERROR(getgrade(Broadsheet!#REF!,data!$H$4:$I$9)),"#",getgrade(Broadsheet!#REF!,data!$H$4:$I$9))</f>
        <v>#</v>
      </c>
      <c r="BS58" s="188" t="str">
        <f>IF(ISERROR(getgrade(Broadsheet!#REF!,data!$H$4:$I$9)),"#",getgrade(Broadsheet!#REF!,data!$H$4:$I$9))</f>
        <v>#</v>
      </c>
      <c r="BT58" s="188" t="str">
        <f>IF(ISERROR(getgrade(Broadsheet!#REF!,data!$H$4:$I$9)),"#",getgrade(Broadsheet!#REF!,data!$H$4:$I$9))</f>
        <v>#</v>
      </c>
      <c r="BU58" s="188" t="str">
        <f>IF(ISERROR(getgrade(Broadsheet!#REF!,data!$H$4:$I$9)),"#",getgrade(Broadsheet!#REF!,data!$H$4:$I$9))</f>
        <v>#</v>
      </c>
      <c r="BV58" s="188" t="str">
        <f>IF(ISERROR(getgrade(Broadsheet!#REF!,data!$H$4:$I$9)),"#",getgrade(Broadsheet!#REF!,data!$H$4:$I$9))</f>
        <v>#</v>
      </c>
      <c r="BW58" s="188" t="str">
        <f>IF(ISERROR(getgrade(Broadsheet!#REF!,data!$H$4:$I$9)),"#",getgrade(Broadsheet!#REF!,data!$H$4:$I$9))</f>
        <v>#</v>
      </c>
      <c r="BX58" s="188" t="str">
        <f>IF(ISERROR(getgrade(Broadsheet!#REF!,data!$H$4:$I$9)),"#",getgrade(Broadsheet!#REF!,data!$H$4:$I$9))</f>
        <v>#</v>
      </c>
      <c r="BY58" s="188" t="str">
        <f>IF(ISERROR(getgrade(Broadsheet!#REF!,data!$H$4:$I$9)),"#",getgrade(Broadsheet!#REF!,data!$H$4:$I$9))</f>
        <v>#</v>
      </c>
      <c r="BZ58" s="188" t="str">
        <f>IF(ISERROR(getgrade(Broadsheet!#REF!,data!$H$4:$I$9)),"#",getgrade(Broadsheet!#REF!,data!$H$4:$I$9))</f>
        <v>#</v>
      </c>
      <c r="CA58" s="188" t="str">
        <f>IF(ISERROR(getgrade(Broadsheet!#REF!,data!$H$4:$I$9)),"#",getgrade(Broadsheet!#REF!,data!$H$4:$I$9))</f>
        <v>#</v>
      </c>
      <c r="CB58" s="188" t="str">
        <f>IF(ISERROR(getgrade(Broadsheet!#REF!,data!$H$4:$I$9)),"#",getgrade(Broadsheet!#REF!,data!$H$4:$I$9))</f>
        <v>#</v>
      </c>
      <c r="CC58" s="188" t="str">
        <f>IF(ISERROR(getgrade(Broadsheet!#REF!,data!$H$4:$I$9)),"#",getgrade(Broadsheet!#REF!,data!$H$4:$I$9))</f>
        <v>#</v>
      </c>
      <c r="CD58" s="188" t="str">
        <f>IF(ISERROR(getgrade(Broadsheet!#REF!,data!$H$4:$I$9)),"#",getgrade(Broadsheet!#REF!,data!$H$4:$I$9))</f>
        <v>#</v>
      </c>
      <c r="CE58" s="188" t="str">
        <f>IF(ISERROR(getgrade(Broadsheet!#REF!,data!$H$4:$I$9)),"#",getgrade(Broadsheet!#REF!,data!$H$4:$I$9))</f>
        <v>#</v>
      </c>
      <c r="CF58" s="188" t="str">
        <f>IF(ISERROR(getgrade(Broadsheet!#REF!,data!$H$4:$I$9)),"#",getgrade(Broadsheet!#REF!,data!$H$4:$I$9))</f>
        <v>#</v>
      </c>
      <c r="CG58" s="188" t="str">
        <f>IF(ISERROR(getgrade(Broadsheet!#REF!,data!$H$4:$I$9)),"#",getgrade(Broadsheet!#REF!,data!$H$4:$I$9))</f>
        <v>#</v>
      </c>
      <c r="CH58" s="188" t="str">
        <f>IF(ISERROR(getgrade(Broadsheet!#REF!,data!$H$4:$I$9)),"#",getgrade(Broadsheet!#REF!,data!$H$4:$I$9))</f>
        <v>#</v>
      </c>
      <c r="CI58" s="188" t="str">
        <f>IF(ISERROR(getgrade(Broadsheet!#REF!,data!$H$4:$I$9)),"#",getgrade(Broadsheet!#REF!,data!$H$4:$I$9))</f>
        <v>#</v>
      </c>
      <c r="CJ58" s="188"/>
      <c r="CK58" s="188"/>
      <c r="CL58" s="188"/>
      <c r="CM58" s="188"/>
      <c r="CN58" s="188"/>
      <c r="CO58" s="188"/>
      <c r="CP58" s="188"/>
      <c r="CQ58" s="188"/>
      <c r="CR58" s="188"/>
      <c r="CS58" s="188"/>
      <c r="CT58" s="188"/>
      <c r="CU58" s="188"/>
      <c r="CV58" s="188"/>
      <c r="CW58" s="188"/>
      <c r="CX58" s="188"/>
      <c r="CY58" s="188"/>
      <c r="CZ58" s="188"/>
      <c r="DA58" s="188"/>
      <c r="DB58" s="188"/>
      <c r="DC58" s="188"/>
      <c r="DD58" s="188"/>
      <c r="DE58" s="188"/>
      <c r="DF58" s="188"/>
      <c r="DG58" s="188"/>
      <c r="DH58" s="188"/>
      <c r="DI58" s="188"/>
      <c r="DJ58" s="188"/>
      <c r="DK58" s="188"/>
      <c r="DL58" s="188"/>
      <c r="DM58" s="188"/>
      <c r="DN58" s="188"/>
      <c r="DO58" s="188"/>
      <c r="DP58" s="188"/>
      <c r="DQ58" s="188"/>
      <c r="DR58" s="188"/>
      <c r="DS58" s="188"/>
      <c r="DT58" s="188"/>
      <c r="DU58" s="188"/>
      <c r="DV58" s="188"/>
      <c r="DW58" s="188"/>
      <c r="DX58" s="188"/>
      <c r="DY58" s="188"/>
      <c r="DZ58" s="188"/>
      <c r="EA58" s="188"/>
      <c r="EB58" s="188"/>
      <c r="EC58" s="188"/>
      <c r="ED58" s="188"/>
      <c r="EE58" s="188"/>
      <c r="EF58" s="188"/>
      <c r="EG58" s="188"/>
      <c r="EH58" s="188"/>
      <c r="EI58" s="188"/>
      <c r="EJ58" s="188"/>
      <c r="EK58" s="188"/>
      <c r="EL58" s="188"/>
      <c r="EM58" s="188"/>
      <c r="EN58" s="188"/>
      <c r="EO58" s="188"/>
      <c r="EP58" s="188"/>
      <c r="EQ58" s="188"/>
      <c r="ER58" s="188"/>
      <c r="ES58" s="188"/>
      <c r="ET58" s="188"/>
      <c r="EU58" s="188"/>
      <c r="EV58" s="188"/>
      <c r="EW58" s="188"/>
      <c r="EX58" s="188"/>
      <c r="EY58" s="188"/>
      <c r="EZ58" s="188"/>
    </row>
    <row r="59" spans="1:156" ht="15.75" x14ac:dyDescent="0.25">
      <c r="A59" s="12">
        <v>50</v>
      </c>
      <c r="B59" s="16"/>
      <c r="C59" s="24"/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07"/>
      <c r="Y59" s="110"/>
      <c r="Z59" s="19"/>
      <c r="AA59" s="25"/>
      <c r="AB59" s="21"/>
      <c r="AC59" s="25"/>
      <c r="AD59" s="25"/>
      <c r="AE59" s="20"/>
      <c r="AG59" s="188" t="str">
        <f>IF(ISERROR(getgrade(Broadsheet!#REF!,data!$H$4:$I$9)),"#",getgrade(Broadsheet!#REF!,data!$H$4:$I$9))</f>
        <v>#</v>
      </c>
      <c r="AH59" s="188" t="str">
        <f>IF(ISERROR(getgrade(Broadsheet!#REF!,data!$H$4:$I$9)),"#",getgrade(Broadsheet!#REF!,data!$H$4:$I$9))</f>
        <v>#</v>
      </c>
      <c r="AI59" s="188" t="str">
        <f>IF(ISERROR(getgrade(Broadsheet!#REF!,data!$H$4:$I$9)),"#",getgrade(Broadsheet!#REF!,data!$H$4:$I$9))</f>
        <v>#</v>
      </c>
      <c r="AJ59" s="188" t="str">
        <f>IF(ISERROR(getgrade(Broadsheet!#REF!,data!$H$4:$I$9)),"#",getgrade(Broadsheet!#REF!,data!$H$4:$I$9))</f>
        <v>#</v>
      </c>
      <c r="AK59" s="188" t="str">
        <f>IF(ISERROR(getgrade(Broadsheet!#REF!,data!$H$4:$I$9)),"#",getgrade(Broadsheet!#REF!,data!$H$4:$I$9))</f>
        <v>#</v>
      </c>
      <c r="AL59" s="188" t="str">
        <f>IF(ISERROR(getgrade(Broadsheet!#REF!,data!$H$4:$I$9)),"#",getgrade(Broadsheet!#REF!,data!$H$4:$I$9))</f>
        <v>#</v>
      </c>
      <c r="AM59" s="188" t="str">
        <f>IF(ISERROR(getgrade(Broadsheet!#REF!,data!$H$4:$I$9)),"#",getgrade(Broadsheet!#REF!,data!$H$4:$I$9))</f>
        <v>#</v>
      </c>
      <c r="AN59" s="188" t="str">
        <f>IF(ISERROR(getgrade(Broadsheet!#REF!,data!$H$4:$I$9)),"#",getgrade(Broadsheet!#REF!,data!$H$4:$I$9))</f>
        <v>#</v>
      </c>
      <c r="AO59" s="188" t="str">
        <f>IF(ISERROR(getgrade(Broadsheet!#REF!,data!$H$4:$I$9)),"#",getgrade(Broadsheet!#REF!,data!$H$4:$I$9))</f>
        <v>#</v>
      </c>
      <c r="AP59" s="188" t="str">
        <f>IF(ISERROR(getgrade(Broadsheet!#REF!,data!$H$4:$I$9)),"#",getgrade(Broadsheet!#REF!,data!$H$4:$I$9))</f>
        <v>#</v>
      </c>
      <c r="AQ59" s="188" t="str">
        <f>IF(ISERROR(getgrade(Broadsheet!#REF!,data!$H$4:$I$9)),"#",getgrade(Broadsheet!#REF!,data!$H$4:$I$9))</f>
        <v>#</v>
      </c>
      <c r="AR59" s="188" t="str">
        <f>IF(ISERROR(getgrade(Broadsheet!#REF!,data!$H$4:$I$9)),"#",getgrade(Broadsheet!#REF!,data!$H$4:$I$9))</f>
        <v>#</v>
      </c>
      <c r="AS59" s="188" t="str">
        <f>IF(ISERROR(getgrade(Broadsheet!#REF!,data!$H$4:$I$9)),"#",getgrade(Broadsheet!#REF!,data!$H$4:$I$9))</f>
        <v>#</v>
      </c>
      <c r="AT59" s="188" t="str">
        <f>IF(ISERROR(getgrade(Broadsheet!#REF!,data!$H$4:$I$9)),"#",getgrade(Broadsheet!#REF!,data!$H$4:$I$9))</f>
        <v>#</v>
      </c>
      <c r="AU59" s="188" t="str">
        <f>IF(ISERROR(getgrade(Broadsheet!#REF!,data!$H$4:$I$9)),"#",getgrade(Broadsheet!#REF!,data!$H$4:$I$9))</f>
        <v>#</v>
      </c>
      <c r="AV59" s="188" t="str">
        <f>IF(ISERROR(getgrade(Broadsheet!#REF!,data!$H$4:$I$9)),"#",getgrade(Broadsheet!#REF!,data!$H$4:$I$9))</f>
        <v>#</v>
      </c>
      <c r="AW59" s="188" t="str">
        <f>IF(ISERROR(getgrade(Broadsheet!#REF!,data!$H$4:$I$9)),"#",getgrade(Broadsheet!#REF!,data!$H$4:$I$9))</f>
        <v>#</v>
      </c>
      <c r="AX59" s="188" t="str">
        <f>IF(ISERROR(getgrade(Broadsheet!#REF!,data!$H$4:$I$9)),"#",getgrade(Broadsheet!#REF!,data!$H$4:$I$9))</f>
        <v>#</v>
      </c>
      <c r="AY59" s="188" t="str">
        <f>IF(ISERROR(getgrade(Broadsheet!#REF!,data!$H$4:$I$9)),"#",getgrade(Broadsheet!#REF!,data!$H$4:$I$9))</f>
        <v>#</v>
      </c>
      <c r="AZ59" s="188" t="str">
        <f>IF(ISERROR(getgrade(Broadsheet!#REF!,data!$H$4:$I$9)),"#",getgrade(Broadsheet!#REF!,data!$H$4:$I$9))</f>
        <v>#</v>
      </c>
      <c r="BA59" s="188" t="str">
        <f>IF(ISERROR(getgrade(Broadsheet!#REF!,data!$H$4:$I$9)),"#",getgrade(Broadsheet!#REF!,data!$H$4:$I$9))</f>
        <v>#</v>
      </c>
      <c r="BB59" s="188" t="str">
        <f>IF(ISERROR(getgrade(Broadsheet!#REF!,data!$H$4:$I$9)),"#",getgrade(Broadsheet!#REF!,data!$H$4:$I$9))</f>
        <v>#</v>
      </c>
      <c r="BC59" s="188" t="str">
        <f>IF(ISERROR(getgrade(Broadsheet!#REF!,data!$H$4:$I$9)),"#",getgrade(Broadsheet!#REF!,data!$H$4:$I$9))</f>
        <v>#</v>
      </c>
      <c r="BD59" s="188" t="str">
        <f>IF(ISERROR(getgrade(Broadsheet!#REF!,data!$H$4:$I$9)),"#",getgrade(Broadsheet!#REF!,data!$H$4:$I$9))</f>
        <v>#</v>
      </c>
      <c r="BE59" s="188" t="str">
        <f>IF(ISERROR(getgrade(Broadsheet!#REF!,data!$H$4:$I$9)),"#",getgrade(Broadsheet!#REF!,data!$H$4:$I$9))</f>
        <v>#</v>
      </c>
      <c r="BF59" s="188" t="str">
        <f>IF(ISERROR(getgrade(Broadsheet!#REF!,data!$H$4:$I$9)),"#",getgrade(Broadsheet!#REF!,data!$H$4:$I$9))</f>
        <v>#</v>
      </c>
      <c r="BG59" s="188" t="str">
        <f>IF(ISERROR(getgrade(Broadsheet!#REF!,data!$H$4:$I$9)),"#",getgrade(Broadsheet!#REF!,data!$H$4:$I$9))</f>
        <v>#</v>
      </c>
      <c r="BH59" s="188" t="str">
        <f>IF(ISERROR(getgrade(Broadsheet!#REF!,data!$H$4:$I$9)),"#",getgrade(Broadsheet!#REF!,data!$H$4:$I$9))</f>
        <v>#</v>
      </c>
      <c r="BI59" s="188" t="str">
        <f>IF(ISERROR(getgrade(Broadsheet!#REF!,data!$H$4:$I$9)),"#",getgrade(Broadsheet!#REF!,data!$H$4:$I$9))</f>
        <v>#</v>
      </c>
      <c r="BJ59" s="188" t="str">
        <f>IF(ISERROR(getgrade(Broadsheet!#REF!,data!$H$4:$I$9)),"#",getgrade(Broadsheet!#REF!,data!$H$4:$I$9))</f>
        <v>#</v>
      </c>
      <c r="BK59" s="188" t="str">
        <f>IF(ISERROR(getgrade(Broadsheet!#REF!,data!$H$4:$I$9)),"#",getgrade(Broadsheet!#REF!,data!$H$4:$I$9))</f>
        <v>#</v>
      </c>
      <c r="BL59" s="188" t="str">
        <f>IF(ISERROR(getgrade(Broadsheet!#REF!,data!$H$4:$I$9)),"#",getgrade(Broadsheet!#REF!,data!$H$4:$I$9))</f>
        <v>#</v>
      </c>
      <c r="BM59" s="188" t="str">
        <f>IF(ISERROR(getgrade(Broadsheet!#REF!,data!$H$4:$I$9)),"#",getgrade(Broadsheet!#REF!,data!$H$4:$I$9))</f>
        <v>#</v>
      </c>
      <c r="BN59" s="188" t="str">
        <f>IF(ISERROR(getgrade(Broadsheet!#REF!,data!$H$4:$I$9)),"#",getgrade(Broadsheet!#REF!,data!$H$4:$I$9))</f>
        <v>#</v>
      </c>
      <c r="BO59" s="188" t="str">
        <f>IF(ISERROR(getgrade(Broadsheet!#REF!,data!$H$4:$I$9)),"#",getgrade(Broadsheet!#REF!,data!$H$4:$I$9))</f>
        <v>#</v>
      </c>
      <c r="BP59" s="188" t="str">
        <f>IF(ISERROR(getgrade(Broadsheet!#REF!,data!$H$4:$I$9)),"#",getgrade(Broadsheet!#REF!,data!$H$4:$I$9))</f>
        <v>#</v>
      </c>
      <c r="BQ59" s="188" t="str">
        <f>IF(ISERROR(getgrade(Broadsheet!#REF!,data!$H$4:$I$9)),"#",getgrade(Broadsheet!#REF!,data!$H$4:$I$9))</f>
        <v>#</v>
      </c>
      <c r="BR59" s="188" t="str">
        <f>IF(ISERROR(getgrade(Broadsheet!#REF!,data!$H$4:$I$9)),"#",getgrade(Broadsheet!#REF!,data!$H$4:$I$9))</f>
        <v>#</v>
      </c>
      <c r="BS59" s="188" t="str">
        <f>IF(ISERROR(getgrade(Broadsheet!#REF!,data!$H$4:$I$9)),"#",getgrade(Broadsheet!#REF!,data!$H$4:$I$9))</f>
        <v>#</v>
      </c>
      <c r="BT59" s="188" t="str">
        <f>IF(ISERROR(getgrade(Broadsheet!#REF!,data!$H$4:$I$9)),"#",getgrade(Broadsheet!#REF!,data!$H$4:$I$9))</f>
        <v>#</v>
      </c>
      <c r="BU59" s="188" t="str">
        <f>IF(ISERROR(getgrade(Broadsheet!#REF!,data!$H$4:$I$9)),"#",getgrade(Broadsheet!#REF!,data!$H$4:$I$9))</f>
        <v>#</v>
      </c>
      <c r="BV59" s="188" t="str">
        <f>IF(ISERROR(getgrade(Broadsheet!#REF!,data!$H$4:$I$9)),"#",getgrade(Broadsheet!#REF!,data!$H$4:$I$9))</f>
        <v>#</v>
      </c>
      <c r="BW59" s="188" t="str">
        <f>IF(ISERROR(getgrade(Broadsheet!#REF!,data!$H$4:$I$9)),"#",getgrade(Broadsheet!#REF!,data!$H$4:$I$9))</f>
        <v>#</v>
      </c>
      <c r="BX59" s="188" t="str">
        <f>IF(ISERROR(getgrade(Broadsheet!#REF!,data!$H$4:$I$9)),"#",getgrade(Broadsheet!#REF!,data!$H$4:$I$9))</f>
        <v>#</v>
      </c>
      <c r="BY59" s="188" t="str">
        <f>IF(ISERROR(getgrade(Broadsheet!#REF!,data!$H$4:$I$9)),"#",getgrade(Broadsheet!#REF!,data!$H$4:$I$9))</f>
        <v>#</v>
      </c>
      <c r="BZ59" s="188" t="str">
        <f>IF(ISERROR(getgrade(Broadsheet!#REF!,data!$H$4:$I$9)),"#",getgrade(Broadsheet!#REF!,data!$H$4:$I$9))</f>
        <v>#</v>
      </c>
      <c r="CA59" s="188" t="str">
        <f>IF(ISERROR(getgrade(Broadsheet!#REF!,data!$H$4:$I$9)),"#",getgrade(Broadsheet!#REF!,data!$H$4:$I$9))</f>
        <v>#</v>
      </c>
      <c r="CB59" s="188" t="str">
        <f>IF(ISERROR(getgrade(Broadsheet!#REF!,data!$H$4:$I$9)),"#",getgrade(Broadsheet!#REF!,data!$H$4:$I$9))</f>
        <v>#</v>
      </c>
      <c r="CC59" s="188" t="str">
        <f>IF(ISERROR(getgrade(Broadsheet!#REF!,data!$H$4:$I$9)),"#",getgrade(Broadsheet!#REF!,data!$H$4:$I$9))</f>
        <v>#</v>
      </c>
      <c r="CD59" s="188" t="str">
        <f>IF(ISERROR(getgrade(Broadsheet!#REF!,data!$H$4:$I$9)),"#",getgrade(Broadsheet!#REF!,data!$H$4:$I$9))</f>
        <v>#</v>
      </c>
      <c r="CE59" s="188" t="str">
        <f>IF(ISERROR(getgrade(Broadsheet!#REF!,data!$H$4:$I$9)),"#",getgrade(Broadsheet!#REF!,data!$H$4:$I$9))</f>
        <v>#</v>
      </c>
      <c r="CF59" s="188" t="str">
        <f>IF(ISERROR(getgrade(Broadsheet!#REF!,data!$H$4:$I$9)),"#",getgrade(Broadsheet!#REF!,data!$H$4:$I$9))</f>
        <v>#</v>
      </c>
      <c r="CG59" s="188" t="str">
        <f>IF(ISERROR(getgrade(Broadsheet!#REF!,data!$H$4:$I$9)),"#",getgrade(Broadsheet!#REF!,data!$H$4:$I$9))</f>
        <v>#</v>
      </c>
      <c r="CH59" s="188" t="str">
        <f>IF(ISERROR(getgrade(Broadsheet!#REF!,data!$H$4:$I$9)),"#",getgrade(Broadsheet!#REF!,data!$H$4:$I$9))</f>
        <v>#</v>
      </c>
      <c r="CI59" s="188" t="str">
        <f>IF(ISERROR(getgrade(Broadsheet!#REF!,data!$H$4:$I$9)),"#",getgrade(Broadsheet!#REF!,data!$H$4:$I$9))</f>
        <v>#</v>
      </c>
      <c r="CJ59" s="188"/>
      <c r="CK59" s="188"/>
      <c r="CL59" s="188"/>
      <c r="CM59" s="188"/>
      <c r="CN59" s="188"/>
      <c r="CO59" s="188"/>
      <c r="CP59" s="188"/>
      <c r="CQ59" s="188"/>
      <c r="CR59" s="188"/>
      <c r="CS59" s="188"/>
      <c r="CT59" s="188"/>
      <c r="CU59" s="188"/>
      <c r="CV59" s="188"/>
      <c r="CW59" s="188"/>
      <c r="CX59" s="188"/>
      <c r="CY59" s="188"/>
      <c r="CZ59" s="188"/>
      <c r="DA59" s="188"/>
      <c r="DB59" s="188"/>
      <c r="DC59" s="188"/>
      <c r="DD59" s="188"/>
      <c r="DE59" s="188"/>
      <c r="DF59" s="188"/>
      <c r="DG59" s="188"/>
      <c r="DH59" s="188"/>
      <c r="DI59" s="188"/>
      <c r="DJ59" s="188"/>
      <c r="DK59" s="188"/>
      <c r="DL59" s="188"/>
      <c r="DM59" s="188"/>
      <c r="DN59" s="188"/>
      <c r="DO59" s="188"/>
      <c r="DP59" s="188"/>
      <c r="DQ59" s="188"/>
      <c r="DR59" s="188"/>
      <c r="DS59" s="188"/>
      <c r="DT59" s="188"/>
      <c r="DU59" s="188"/>
      <c r="DV59" s="188"/>
      <c r="DW59" s="188"/>
      <c r="DX59" s="188"/>
      <c r="DY59" s="188"/>
      <c r="DZ59" s="188"/>
      <c r="EA59" s="188"/>
      <c r="EB59" s="188"/>
      <c r="EC59" s="188"/>
      <c r="ED59" s="188"/>
      <c r="EE59" s="188"/>
      <c r="EF59" s="188"/>
      <c r="EG59" s="188"/>
      <c r="EH59" s="188"/>
      <c r="EI59" s="188"/>
      <c r="EJ59" s="188"/>
      <c r="EK59" s="188"/>
      <c r="EL59" s="188"/>
      <c r="EM59" s="188"/>
      <c r="EN59" s="188"/>
      <c r="EO59" s="188"/>
      <c r="EP59" s="188"/>
      <c r="EQ59" s="188"/>
      <c r="ER59" s="188"/>
      <c r="ES59" s="188"/>
      <c r="ET59" s="188"/>
      <c r="EU59" s="188"/>
      <c r="EV59" s="188"/>
      <c r="EW59" s="188"/>
      <c r="EX59" s="188"/>
      <c r="EY59" s="188"/>
      <c r="EZ59" s="188"/>
    </row>
    <row r="60" spans="1:156" ht="15.75" x14ac:dyDescent="0.25">
      <c r="A60" s="12">
        <v>51</v>
      </c>
      <c r="B60" s="16"/>
      <c r="C60" s="24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07"/>
      <c r="Y60" s="110"/>
      <c r="Z60" s="19"/>
      <c r="AA60" s="20"/>
      <c r="AB60" s="28"/>
      <c r="AC60" s="22"/>
      <c r="AD60" s="20"/>
      <c r="AE60" s="20"/>
      <c r="AG60" s="188" t="str">
        <f>IF(ISERROR(getgrade(Broadsheet!#REF!,data!$H$4:$I$9)),"#",getgrade(Broadsheet!#REF!,data!$H$4:$I$9))</f>
        <v>#</v>
      </c>
      <c r="AH60" s="188" t="str">
        <f>IF(ISERROR(getgrade(Broadsheet!#REF!,data!$H$4:$I$9)),"#",getgrade(Broadsheet!#REF!,data!$H$4:$I$9))</f>
        <v>#</v>
      </c>
      <c r="AI60" s="188" t="str">
        <f>IF(ISERROR(getgrade(Broadsheet!#REF!,data!$H$4:$I$9)),"#",getgrade(Broadsheet!#REF!,data!$H$4:$I$9))</f>
        <v>#</v>
      </c>
      <c r="AJ60" s="188" t="str">
        <f>IF(ISERROR(getgrade(Broadsheet!#REF!,data!$H$4:$I$9)),"#",getgrade(Broadsheet!#REF!,data!$H$4:$I$9))</f>
        <v>#</v>
      </c>
      <c r="AK60" s="188" t="str">
        <f>IF(ISERROR(getgrade(Broadsheet!#REF!,data!$H$4:$I$9)),"#",getgrade(Broadsheet!#REF!,data!$H$4:$I$9))</f>
        <v>#</v>
      </c>
      <c r="AL60" s="188" t="str">
        <f>IF(ISERROR(getgrade(Broadsheet!#REF!,data!$H$4:$I$9)),"#",getgrade(Broadsheet!#REF!,data!$H$4:$I$9))</f>
        <v>#</v>
      </c>
      <c r="AM60" s="188" t="str">
        <f>IF(ISERROR(getgrade(Broadsheet!#REF!,data!$H$4:$I$9)),"#",getgrade(Broadsheet!#REF!,data!$H$4:$I$9))</f>
        <v>#</v>
      </c>
      <c r="AN60" s="188" t="str">
        <f>IF(ISERROR(getgrade(Broadsheet!#REF!,data!$H$4:$I$9)),"#",getgrade(Broadsheet!#REF!,data!$H$4:$I$9))</f>
        <v>#</v>
      </c>
      <c r="AO60" s="188" t="str">
        <f>IF(ISERROR(getgrade(Broadsheet!#REF!,data!$H$4:$I$9)),"#",getgrade(Broadsheet!#REF!,data!$H$4:$I$9))</f>
        <v>#</v>
      </c>
      <c r="AP60" s="188" t="str">
        <f>IF(ISERROR(getgrade(Broadsheet!#REF!,data!$H$4:$I$9)),"#",getgrade(Broadsheet!#REF!,data!$H$4:$I$9))</f>
        <v>#</v>
      </c>
      <c r="AQ60" s="188" t="str">
        <f>IF(ISERROR(getgrade(Broadsheet!#REF!,data!$H$4:$I$9)),"#",getgrade(Broadsheet!#REF!,data!$H$4:$I$9))</f>
        <v>#</v>
      </c>
      <c r="AR60" s="188" t="str">
        <f>IF(ISERROR(getgrade(Broadsheet!#REF!,data!$H$4:$I$9)),"#",getgrade(Broadsheet!#REF!,data!$H$4:$I$9))</f>
        <v>#</v>
      </c>
      <c r="AS60" s="188" t="str">
        <f>IF(ISERROR(getgrade(Broadsheet!#REF!,data!$H$4:$I$9)),"#",getgrade(Broadsheet!#REF!,data!$H$4:$I$9))</f>
        <v>#</v>
      </c>
      <c r="AT60" s="188" t="str">
        <f>IF(ISERROR(getgrade(Broadsheet!#REF!,data!$H$4:$I$9)),"#",getgrade(Broadsheet!#REF!,data!$H$4:$I$9))</f>
        <v>#</v>
      </c>
      <c r="AU60" s="188" t="str">
        <f>IF(ISERROR(getgrade(Broadsheet!#REF!,data!$H$4:$I$9)),"#",getgrade(Broadsheet!#REF!,data!$H$4:$I$9))</f>
        <v>#</v>
      </c>
      <c r="AV60" s="188" t="str">
        <f>IF(ISERROR(getgrade(Broadsheet!#REF!,data!$H$4:$I$9)),"#",getgrade(Broadsheet!#REF!,data!$H$4:$I$9))</f>
        <v>#</v>
      </c>
      <c r="AW60" s="188" t="str">
        <f>IF(ISERROR(getgrade(Broadsheet!#REF!,data!$H$4:$I$9)),"#",getgrade(Broadsheet!#REF!,data!$H$4:$I$9))</f>
        <v>#</v>
      </c>
      <c r="AX60" s="188" t="str">
        <f>IF(ISERROR(getgrade(Broadsheet!#REF!,data!$H$4:$I$9)),"#",getgrade(Broadsheet!#REF!,data!$H$4:$I$9))</f>
        <v>#</v>
      </c>
      <c r="AY60" s="188" t="str">
        <f>IF(ISERROR(getgrade(Broadsheet!#REF!,data!$H$4:$I$9)),"#",getgrade(Broadsheet!#REF!,data!$H$4:$I$9))</f>
        <v>#</v>
      </c>
      <c r="AZ60" s="188" t="str">
        <f>IF(ISERROR(getgrade(Broadsheet!#REF!,data!$H$4:$I$9)),"#",getgrade(Broadsheet!#REF!,data!$H$4:$I$9))</f>
        <v>#</v>
      </c>
      <c r="BA60" s="188" t="str">
        <f>IF(ISERROR(getgrade(Broadsheet!#REF!,data!$H$4:$I$9)),"#",getgrade(Broadsheet!#REF!,data!$H$4:$I$9))</f>
        <v>#</v>
      </c>
      <c r="BB60" s="188" t="str">
        <f>IF(ISERROR(getgrade(Broadsheet!#REF!,data!$H$4:$I$9)),"#",getgrade(Broadsheet!#REF!,data!$H$4:$I$9))</f>
        <v>#</v>
      </c>
      <c r="BC60" s="188" t="str">
        <f>IF(ISERROR(getgrade(Broadsheet!#REF!,data!$H$4:$I$9)),"#",getgrade(Broadsheet!#REF!,data!$H$4:$I$9))</f>
        <v>#</v>
      </c>
      <c r="BD60" s="188" t="str">
        <f>IF(ISERROR(getgrade(Broadsheet!#REF!,data!$H$4:$I$9)),"#",getgrade(Broadsheet!#REF!,data!$H$4:$I$9))</f>
        <v>#</v>
      </c>
      <c r="BE60" s="188" t="str">
        <f>IF(ISERROR(getgrade(Broadsheet!#REF!,data!$H$4:$I$9)),"#",getgrade(Broadsheet!#REF!,data!$H$4:$I$9))</f>
        <v>#</v>
      </c>
      <c r="BF60" s="188" t="str">
        <f>IF(ISERROR(getgrade(Broadsheet!#REF!,data!$H$4:$I$9)),"#",getgrade(Broadsheet!#REF!,data!$H$4:$I$9))</f>
        <v>#</v>
      </c>
      <c r="BG60" s="188" t="str">
        <f>IF(ISERROR(getgrade(Broadsheet!#REF!,data!$H$4:$I$9)),"#",getgrade(Broadsheet!#REF!,data!$H$4:$I$9))</f>
        <v>#</v>
      </c>
      <c r="BH60" s="188" t="str">
        <f>IF(ISERROR(getgrade(Broadsheet!#REF!,data!$H$4:$I$9)),"#",getgrade(Broadsheet!#REF!,data!$H$4:$I$9))</f>
        <v>#</v>
      </c>
      <c r="BI60" s="188" t="str">
        <f>IF(ISERROR(getgrade(Broadsheet!#REF!,data!$H$4:$I$9)),"#",getgrade(Broadsheet!#REF!,data!$H$4:$I$9))</f>
        <v>#</v>
      </c>
      <c r="BJ60" s="188" t="str">
        <f>IF(ISERROR(getgrade(Broadsheet!#REF!,data!$H$4:$I$9)),"#",getgrade(Broadsheet!#REF!,data!$H$4:$I$9))</f>
        <v>#</v>
      </c>
      <c r="BK60" s="188" t="str">
        <f>IF(ISERROR(getgrade(Broadsheet!#REF!,data!$H$4:$I$9)),"#",getgrade(Broadsheet!#REF!,data!$H$4:$I$9))</f>
        <v>#</v>
      </c>
      <c r="BL60" s="188" t="str">
        <f>IF(ISERROR(getgrade(Broadsheet!#REF!,data!$H$4:$I$9)),"#",getgrade(Broadsheet!#REF!,data!$H$4:$I$9))</f>
        <v>#</v>
      </c>
      <c r="BM60" s="188" t="str">
        <f>IF(ISERROR(getgrade(Broadsheet!#REF!,data!$H$4:$I$9)),"#",getgrade(Broadsheet!#REF!,data!$H$4:$I$9))</f>
        <v>#</v>
      </c>
      <c r="BN60" s="188" t="str">
        <f>IF(ISERROR(getgrade(Broadsheet!#REF!,data!$H$4:$I$9)),"#",getgrade(Broadsheet!#REF!,data!$H$4:$I$9))</f>
        <v>#</v>
      </c>
      <c r="BO60" s="188" t="str">
        <f>IF(ISERROR(getgrade(Broadsheet!#REF!,data!$H$4:$I$9)),"#",getgrade(Broadsheet!#REF!,data!$H$4:$I$9))</f>
        <v>#</v>
      </c>
      <c r="BP60" s="188" t="str">
        <f>IF(ISERROR(getgrade(Broadsheet!#REF!,data!$H$4:$I$9)),"#",getgrade(Broadsheet!#REF!,data!$H$4:$I$9))</f>
        <v>#</v>
      </c>
      <c r="BQ60" s="188" t="str">
        <f>IF(ISERROR(getgrade(Broadsheet!#REF!,data!$H$4:$I$9)),"#",getgrade(Broadsheet!#REF!,data!$H$4:$I$9))</f>
        <v>#</v>
      </c>
      <c r="BR60" s="188" t="str">
        <f>IF(ISERROR(getgrade(Broadsheet!#REF!,data!$H$4:$I$9)),"#",getgrade(Broadsheet!#REF!,data!$H$4:$I$9))</f>
        <v>#</v>
      </c>
      <c r="BS60" s="188" t="str">
        <f>IF(ISERROR(getgrade(Broadsheet!#REF!,data!$H$4:$I$9)),"#",getgrade(Broadsheet!#REF!,data!$H$4:$I$9))</f>
        <v>#</v>
      </c>
      <c r="BT60" s="188" t="str">
        <f>IF(ISERROR(getgrade(Broadsheet!#REF!,data!$H$4:$I$9)),"#",getgrade(Broadsheet!#REF!,data!$H$4:$I$9))</f>
        <v>#</v>
      </c>
      <c r="BU60" s="188" t="str">
        <f>IF(ISERROR(getgrade(Broadsheet!#REF!,data!$H$4:$I$9)),"#",getgrade(Broadsheet!#REF!,data!$H$4:$I$9))</f>
        <v>#</v>
      </c>
      <c r="BV60" s="188" t="str">
        <f>IF(ISERROR(getgrade(Broadsheet!#REF!,data!$H$4:$I$9)),"#",getgrade(Broadsheet!#REF!,data!$H$4:$I$9))</f>
        <v>#</v>
      </c>
      <c r="BW60" s="188" t="str">
        <f>IF(ISERROR(getgrade(Broadsheet!#REF!,data!$H$4:$I$9)),"#",getgrade(Broadsheet!#REF!,data!$H$4:$I$9))</f>
        <v>#</v>
      </c>
      <c r="BX60" s="188" t="str">
        <f>IF(ISERROR(getgrade(Broadsheet!#REF!,data!$H$4:$I$9)),"#",getgrade(Broadsheet!#REF!,data!$H$4:$I$9))</f>
        <v>#</v>
      </c>
      <c r="BY60" s="188" t="str">
        <f>IF(ISERROR(getgrade(Broadsheet!#REF!,data!$H$4:$I$9)),"#",getgrade(Broadsheet!#REF!,data!$H$4:$I$9))</f>
        <v>#</v>
      </c>
      <c r="BZ60" s="188" t="str">
        <f>IF(ISERROR(getgrade(Broadsheet!#REF!,data!$H$4:$I$9)),"#",getgrade(Broadsheet!#REF!,data!$H$4:$I$9))</f>
        <v>#</v>
      </c>
      <c r="CA60" s="188" t="str">
        <f>IF(ISERROR(getgrade(Broadsheet!#REF!,data!$H$4:$I$9)),"#",getgrade(Broadsheet!#REF!,data!$H$4:$I$9))</f>
        <v>#</v>
      </c>
      <c r="CB60" s="188" t="str">
        <f>IF(ISERROR(getgrade(Broadsheet!#REF!,data!$H$4:$I$9)),"#",getgrade(Broadsheet!#REF!,data!$H$4:$I$9))</f>
        <v>#</v>
      </c>
      <c r="CC60" s="188" t="str">
        <f>IF(ISERROR(getgrade(Broadsheet!#REF!,data!$H$4:$I$9)),"#",getgrade(Broadsheet!#REF!,data!$H$4:$I$9))</f>
        <v>#</v>
      </c>
      <c r="CD60" s="188" t="str">
        <f>IF(ISERROR(getgrade(Broadsheet!#REF!,data!$H$4:$I$9)),"#",getgrade(Broadsheet!#REF!,data!$H$4:$I$9))</f>
        <v>#</v>
      </c>
      <c r="CE60" s="188" t="str">
        <f>IF(ISERROR(getgrade(Broadsheet!#REF!,data!$H$4:$I$9)),"#",getgrade(Broadsheet!#REF!,data!$H$4:$I$9))</f>
        <v>#</v>
      </c>
      <c r="CF60" s="188" t="str">
        <f>IF(ISERROR(getgrade(Broadsheet!#REF!,data!$H$4:$I$9)),"#",getgrade(Broadsheet!#REF!,data!$H$4:$I$9))</f>
        <v>#</v>
      </c>
      <c r="CG60" s="188" t="str">
        <f>IF(ISERROR(getgrade(Broadsheet!#REF!,data!$H$4:$I$9)),"#",getgrade(Broadsheet!#REF!,data!$H$4:$I$9))</f>
        <v>#</v>
      </c>
      <c r="CH60" s="188" t="str">
        <f>IF(ISERROR(getgrade(Broadsheet!#REF!,data!$H$4:$I$9)),"#",getgrade(Broadsheet!#REF!,data!$H$4:$I$9))</f>
        <v>#</v>
      </c>
      <c r="CI60" s="188" t="str">
        <f>IF(ISERROR(getgrade(Broadsheet!#REF!,data!$H$4:$I$9)),"#",getgrade(Broadsheet!#REF!,data!$H$4:$I$9))</f>
        <v>#</v>
      </c>
      <c r="CJ60" s="188"/>
      <c r="CK60" s="188"/>
      <c r="CL60" s="188"/>
      <c r="CM60" s="188"/>
      <c r="CN60" s="188"/>
      <c r="CO60" s="188"/>
      <c r="CP60" s="188"/>
      <c r="CQ60" s="188"/>
      <c r="CR60" s="188"/>
      <c r="CS60" s="188"/>
      <c r="CT60" s="188"/>
      <c r="CU60" s="188"/>
      <c r="CV60" s="188"/>
      <c r="CW60" s="188"/>
      <c r="CX60" s="188"/>
      <c r="CY60" s="188"/>
      <c r="CZ60" s="188"/>
      <c r="DA60" s="188"/>
      <c r="DB60" s="188"/>
      <c r="DC60" s="188"/>
      <c r="DD60" s="188"/>
      <c r="DE60" s="188"/>
      <c r="DF60" s="188"/>
      <c r="DG60" s="188"/>
      <c r="DH60" s="188"/>
      <c r="DI60" s="188"/>
      <c r="DJ60" s="188"/>
      <c r="DK60" s="188"/>
      <c r="DL60" s="188"/>
      <c r="DM60" s="188"/>
      <c r="DN60" s="188"/>
      <c r="DO60" s="188"/>
      <c r="DP60" s="188"/>
      <c r="DQ60" s="188"/>
      <c r="DR60" s="188"/>
      <c r="DS60" s="188"/>
      <c r="DT60" s="188"/>
      <c r="DU60" s="188"/>
      <c r="DV60" s="188"/>
      <c r="DW60" s="188"/>
      <c r="DX60" s="188"/>
      <c r="DY60" s="188"/>
      <c r="DZ60" s="188"/>
      <c r="EA60" s="188"/>
      <c r="EB60" s="188"/>
      <c r="EC60" s="188"/>
      <c r="ED60" s="188"/>
      <c r="EE60" s="188"/>
      <c r="EF60" s="188"/>
      <c r="EG60" s="188"/>
      <c r="EH60" s="188"/>
      <c r="EI60" s="188"/>
      <c r="EJ60" s="188"/>
      <c r="EK60" s="188"/>
      <c r="EL60" s="188"/>
      <c r="EM60" s="188"/>
      <c r="EN60" s="188"/>
      <c r="EO60" s="188"/>
      <c r="EP60" s="188"/>
      <c r="EQ60" s="188"/>
      <c r="ER60" s="188"/>
      <c r="ES60" s="188"/>
      <c r="ET60" s="188"/>
      <c r="EU60" s="188"/>
      <c r="EV60" s="188"/>
      <c r="EW60" s="188"/>
      <c r="EX60" s="188"/>
      <c r="EY60" s="188"/>
      <c r="EZ60" s="188"/>
    </row>
    <row r="61" spans="1:156" ht="15.75" x14ac:dyDescent="0.25">
      <c r="A61" s="12">
        <v>52</v>
      </c>
      <c r="B61" s="16"/>
      <c r="C61" s="24"/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07"/>
      <c r="Y61" s="110"/>
      <c r="Z61" s="19"/>
      <c r="AA61" s="20"/>
      <c r="AB61" s="21"/>
      <c r="AC61" s="22"/>
      <c r="AD61" s="20"/>
      <c r="AE61" s="20"/>
      <c r="AG61" s="188" t="str">
        <f>IF(ISERROR(getgrade(Broadsheet!H171,data!$H$4:$I$9)),"#",getgrade(Broadsheet!H171,data!$H$4:$I$9))</f>
        <v/>
      </c>
      <c r="AH61" s="188" t="str">
        <f>IF(ISERROR(getgrade(Broadsheet!I171,data!$H$4:$I$9)),"#",getgrade(Broadsheet!I171,data!$H$4:$I$9))</f>
        <v/>
      </c>
      <c r="AI61" s="188" t="str">
        <f>IF(ISERROR(getgrade(Broadsheet!J171,data!$H$4:$I$9)),"#",getgrade(Broadsheet!J171,data!$H$4:$I$9))</f>
        <v/>
      </c>
      <c r="AJ61" s="188" t="str">
        <f>IF(ISERROR(getgrade(Broadsheet!K171,data!$H$4:$I$9)),"#",getgrade(Broadsheet!K171,data!$H$4:$I$9))</f>
        <v/>
      </c>
      <c r="AK61" s="188" t="str">
        <f>IF(ISERROR(getgrade(Broadsheet!L171,data!$H$4:$I$9)),"#",getgrade(Broadsheet!L171,data!$H$4:$I$9))</f>
        <v/>
      </c>
      <c r="AL61" s="188" t="str">
        <f>IF(ISERROR(getgrade(Broadsheet!M171,data!$H$4:$I$9)),"#",getgrade(Broadsheet!M171,data!$H$4:$I$9))</f>
        <v/>
      </c>
      <c r="AM61" s="188" t="str">
        <f>IF(ISERROR(getgrade(Broadsheet!N171,data!$H$4:$I$9)),"#",getgrade(Broadsheet!N171,data!$H$4:$I$9))</f>
        <v/>
      </c>
      <c r="AN61" s="188" t="str">
        <f>IF(ISERROR(getgrade(Broadsheet!O171,data!$H$4:$I$9)),"#",getgrade(Broadsheet!O171,data!$H$4:$I$9))</f>
        <v/>
      </c>
      <c r="AO61" s="188" t="str">
        <f>IF(ISERROR(getgrade(Broadsheet!P171,data!$H$4:$I$9)),"#",getgrade(Broadsheet!P171,data!$H$4:$I$9))</f>
        <v/>
      </c>
      <c r="AP61" s="188" t="str">
        <f>IF(ISERROR(getgrade(Broadsheet!Q171,data!$H$4:$I$9)),"#",getgrade(Broadsheet!Q171,data!$H$4:$I$9))</f>
        <v/>
      </c>
      <c r="AQ61" s="188" t="str">
        <f>IF(ISERROR(getgrade(Broadsheet!R171,data!$H$4:$I$9)),"#",getgrade(Broadsheet!R171,data!$H$4:$I$9))</f>
        <v/>
      </c>
      <c r="AR61" s="188" t="str">
        <f>IF(ISERROR(getgrade(Broadsheet!S171,data!$H$4:$I$9)),"#",getgrade(Broadsheet!S171,data!$H$4:$I$9))</f>
        <v/>
      </c>
      <c r="AS61" s="188" t="str">
        <f>IF(ISERROR(getgrade(Broadsheet!T171,data!$H$4:$I$9)),"#",getgrade(Broadsheet!T171,data!$H$4:$I$9))</f>
        <v/>
      </c>
      <c r="AT61" s="188" t="str">
        <f>IF(ISERROR(getgrade(Broadsheet!U171,data!$H$4:$I$9)),"#",getgrade(Broadsheet!U171,data!$H$4:$I$9))</f>
        <v/>
      </c>
      <c r="AU61" s="188" t="str">
        <f>IF(ISERROR(getgrade(Broadsheet!V171,data!$H$4:$I$9)),"#",getgrade(Broadsheet!V171,data!$H$4:$I$9))</f>
        <v/>
      </c>
      <c r="AV61" s="188" t="str">
        <f>IF(ISERROR(getgrade(Broadsheet!W171,data!$H$4:$I$9)),"#",getgrade(Broadsheet!W171,data!$H$4:$I$9))</f>
        <v/>
      </c>
      <c r="AW61" s="188" t="str">
        <f>IF(ISERROR(getgrade(Broadsheet!X171,data!$H$4:$I$9)),"#",getgrade(Broadsheet!X171,data!$H$4:$I$9))</f>
        <v/>
      </c>
      <c r="AX61" s="188" t="str">
        <f>IF(ISERROR(getgrade(Broadsheet!Y171,data!$H$4:$I$9)),"#",getgrade(Broadsheet!Y171,data!$H$4:$I$9))</f>
        <v/>
      </c>
      <c r="AY61" s="188" t="str">
        <f>IF(ISERROR(getgrade(Broadsheet!Z171,data!$H$4:$I$9)),"#",getgrade(Broadsheet!Z171,data!$H$4:$I$9))</f>
        <v/>
      </c>
      <c r="AZ61" s="188" t="str">
        <f>IF(ISERROR(getgrade(Broadsheet!AA171,data!$H$4:$I$9)),"#",getgrade(Broadsheet!AA171,data!$H$4:$I$9))</f>
        <v/>
      </c>
      <c r="BA61" s="188" t="str">
        <f>IF(ISERROR(getgrade(Broadsheet!AB171,data!$H$4:$I$9)),"#",getgrade(Broadsheet!AB171,data!$H$4:$I$9))</f>
        <v/>
      </c>
      <c r="BB61" s="188" t="str">
        <f>IF(ISERROR(getgrade(Broadsheet!AC171,data!$H$4:$I$9)),"#",getgrade(Broadsheet!AC171,data!$H$4:$I$9))</f>
        <v/>
      </c>
      <c r="BC61" s="188" t="str">
        <f>IF(ISERROR(getgrade(Broadsheet!AD171,data!$H$4:$I$9)),"#",getgrade(Broadsheet!AD171,data!$H$4:$I$9))</f>
        <v/>
      </c>
      <c r="BD61" s="188" t="str">
        <f>IF(ISERROR(getgrade(Broadsheet!AE171,data!$H$4:$I$9)),"#",getgrade(Broadsheet!AE171,data!$H$4:$I$9))</f>
        <v/>
      </c>
      <c r="BE61" s="188" t="str">
        <f>IF(ISERROR(getgrade(Broadsheet!AF171,data!$H$4:$I$9)),"#",getgrade(Broadsheet!AF171,data!$H$4:$I$9))</f>
        <v/>
      </c>
      <c r="BF61" s="188" t="str">
        <f>IF(ISERROR(getgrade(Broadsheet!AG171,data!$H$4:$I$9)),"#",getgrade(Broadsheet!AG171,data!$H$4:$I$9))</f>
        <v/>
      </c>
      <c r="BG61" s="188" t="str">
        <f>IF(ISERROR(getgrade(Broadsheet!AH171,data!$H$4:$I$9)),"#",getgrade(Broadsheet!AH171,data!$H$4:$I$9))</f>
        <v/>
      </c>
      <c r="BH61" s="188" t="str">
        <f>IF(ISERROR(getgrade(Broadsheet!AI171,data!$H$4:$I$9)),"#",getgrade(Broadsheet!AI171,data!$H$4:$I$9))</f>
        <v/>
      </c>
      <c r="BI61" s="188" t="str">
        <f>IF(ISERROR(getgrade(Broadsheet!AJ171,data!$H$4:$I$9)),"#",getgrade(Broadsheet!AJ171,data!$H$4:$I$9))</f>
        <v/>
      </c>
      <c r="BJ61" s="188" t="str">
        <f>IF(ISERROR(getgrade(Broadsheet!AK171,data!$H$4:$I$9)),"#",getgrade(Broadsheet!AK171,data!$H$4:$I$9))</f>
        <v/>
      </c>
      <c r="BK61" s="188" t="str">
        <f>IF(ISERROR(getgrade(Broadsheet!AL171,data!$H$4:$I$9)),"#",getgrade(Broadsheet!AL171,data!$H$4:$I$9))</f>
        <v/>
      </c>
      <c r="BL61" s="188" t="str">
        <f>IF(ISERROR(getgrade(Broadsheet!AM171,data!$H$4:$I$9)),"#",getgrade(Broadsheet!AM171,data!$H$4:$I$9))</f>
        <v/>
      </c>
      <c r="BM61" s="188" t="str">
        <f>IF(ISERROR(getgrade(Broadsheet!AN171,data!$H$4:$I$9)),"#",getgrade(Broadsheet!AN171,data!$H$4:$I$9))</f>
        <v/>
      </c>
      <c r="BN61" s="188" t="str">
        <f>IF(ISERROR(getgrade(Broadsheet!AO171,data!$H$4:$I$9)),"#",getgrade(Broadsheet!AO171,data!$H$4:$I$9))</f>
        <v/>
      </c>
      <c r="BO61" s="188" t="str">
        <f>IF(ISERROR(getgrade(Broadsheet!AP171,data!$H$4:$I$9)),"#",getgrade(Broadsheet!AP171,data!$H$4:$I$9))</f>
        <v/>
      </c>
      <c r="BP61" s="188" t="str">
        <f>IF(ISERROR(getgrade(Broadsheet!AQ171,data!$H$4:$I$9)),"#",getgrade(Broadsheet!AQ171,data!$H$4:$I$9))</f>
        <v/>
      </c>
      <c r="BQ61" s="188" t="str">
        <f>IF(ISERROR(getgrade(Broadsheet!AR171,data!$H$4:$I$9)),"#",getgrade(Broadsheet!AR171,data!$H$4:$I$9))</f>
        <v/>
      </c>
      <c r="BR61" s="188" t="str">
        <f>IF(ISERROR(getgrade(Broadsheet!AS171,data!$H$4:$I$9)),"#",getgrade(Broadsheet!AS171,data!$H$4:$I$9))</f>
        <v/>
      </c>
      <c r="BS61" s="188" t="str">
        <f>IF(ISERROR(getgrade(Broadsheet!AT171,data!$H$4:$I$9)),"#",getgrade(Broadsheet!AT171,data!$H$4:$I$9))</f>
        <v/>
      </c>
      <c r="BT61" s="188" t="str">
        <f>IF(ISERROR(getgrade(Broadsheet!AU171,data!$H$4:$I$9)),"#",getgrade(Broadsheet!AU171,data!$H$4:$I$9))</f>
        <v/>
      </c>
      <c r="BU61" s="188" t="str">
        <f>IF(ISERROR(getgrade(Broadsheet!AV171,data!$H$4:$I$9)),"#",getgrade(Broadsheet!AV171,data!$H$4:$I$9))</f>
        <v/>
      </c>
      <c r="BV61" s="188" t="str">
        <f>IF(ISERROR(getgrade(Broadsheet!AW171,data!$H$4:$I$9)),"#",getgrade(Broadsheet!AW171,data!$H$4:$I$9))</f>
        <v/>
      </c>
      <c r="BW61" s="188" t="str">
        <f>IF(ISERROR(getgrade(Broadsheet!AX171,data!$H$4:$I$9)),"#",getgrade(Broadsheet!AX171,data!$H$4:$I$9))</f>
        <v/>
      </c>
      <c r="BX61" s="188" t="str">
        <f>IF(ISERROR(getgrade(Broadsheet!AY171,data!$H$4:$I$9)),"#",getgrade(Broadsheet!AY171,data!$H$4:$I$9))</f>
        <v/>
      </c>
      <c r="BY61" s="188" t="str">
        <f>IF(ISERROR(getgrade(Broadsheet!AZ171,data!$H$4:$I$9)),"#",getgrade(Broadsheet!AZ171,data!$H$4:$I$9))</f>
        <v/>
      </c>
      <c r="BZ61" s="188" t="str">
        <f>IF(ISERROR(getgrade(Broadsheet!BA171,data!$H$4:$I$9)),"#",getgrade(Broadsheet!BA171,data!$H$4:$I$9))</f>
        <v/>
      </c>
      <c r="CA61" s="188" t="str">
        <f>IF(ISERROR(getgrade(Broadsheet!BB171,data!$H$4:$I$9)),"#",getgrade(Broadsheet!BB171,data!$H$4:$I$9))</f>
        <v/>
      </c>
      <c r="CB61" s="188" t="str">
        <f>IF(ISERROR(getgrade(Broadsheet!BC171,data!$H$4:$I$9)),"#",getgrade(Broadsheet!BC171,data!$H$4:$I$9))</f>
        <v/>
      </c>
      <c r="CC61" s="188" t="str">
        <f>IF(ISERROR(getgrade(Broadsheet!BD171,data!$H$4:$I$9)),"#",getgrade(Broadsheet!BD171,data!$H$4:$I$9))</f>
        <v/>
      </c>
      <c r="CD61" s="188" t="str">
        <f>IF(ISERROR(getgrade(Broadsheet!BE171,data!$H$4:$I$9)),"#",getgrade(Broadsheet!BE171,data!$H$4:$I$9))</f>
        <v/>
      </c>
      <c r="CE61" s="188" t="str">
        <f>IF(ISERROR(getgrade(Broadsheet!BF171,data!$H$4:$I$9)),"#",getgrade(Broadsheet!BF171,data!$H$4:$I$9))</f>
        <v/>
      </c>
      <c r="CF61" s="188" t="str">
        <f>IF(ISERROR(getgrade(Broadsheet!BG171,data!$H$4:$I$9)),"#",getgrade(Broadsheet!BG171,data!$H$4:$I$9))</f>
        <v/>
      </c>
      <c r="CG61" s="188" t="str">
        <f>IF(ISERROR(getgrade(Broadsheet!BH171,data!$H$4:$I$9)),"#",getgrade(Broadsheet!BH171,data!$H$4:$I$9))</f>
        <v/>
      </c>
      <c r="CH61" s="188" t="str">
        <f>IF(ISERROR(getgrade(Broadsheet!BI171,data!$H$4:$I$9)),"#",getgrade(Broadsheet!BI171,data!$H$4:$I$9))</f>
        <v/>
      </c>
      <c r="CI61" s="188" t="str">
        <f>IF(ISERROR(getgrade(Broadsheet!BJ171,data!$H$4:$I$9)),"#",getgrade(Broadsheet!BJ171,data!$H$4:$I$9))</f>
        <v/>
      </c>
      <c r="CJ61" s="188"/>
      <c r="CK61" s="188"/>
      <c r="CL61" s="188"/>
      <c r="CM61" s="188"/>
      <c r="CN61" s="188"/>
      <c r="CO61" s="188"/>
      <c r="CP61" s="188"/>
      <c r="CQ61" s="188"/>
      <c r="CR61" s="188"/>
      <c r="CS61" s="188"/>
      <c r="CT61" s="188"/>
      <c r="CU61" s="188"/>
      <c r="CV61" s="188"/>
      <c r="CW61" s="188"/>
      <c r="CX61" s="188"/>
      <c r="CY61" s="188"/>
      <c r="CZ61" s="188"/>
      <c r="DA61" s="188"/>
      <c r="DB61" s="188"/>
      <c r="DC61" s="188"/>
      <c r="DD61" s="188"/>
      <c r="DE61" s="188"/>
      <c r="DF61" s="188"/>
      <c r="DG61" s="188"/>
      <c r="DH61" s="188"/>
      <c r="DI61" s="188"/>
      <c r="DJ61" s="188"/>
      <c r="DK61" s="188"/>
      <c r="DL61" s="188"/>
      <c r="DM61" s="188"/>
      <c r="DN61" s="188"/>
      <c r="DO61" s="188"/>
      <c r="DP61" s="188"/>
      <c r="DQ61" s="188"/>
      <c r="DR61" s="188"/>
      <c r="DS61" s="188"/>
      <c r="DT61" s="188"/>
      <c r="DU61" s="188"/>
      <c r="DV61" s="188"/>
      <c r="DW61" s="188"/>
      <c r="DX61" s="188"/>
      <c r="DY61" s="188"/>
      <c r="DZ61" s="188"/>
      <c r="EA61" s="188"/>
      <c r="EB61" s="188"/>
      <c r="EC61" s="188"/>
      <c r="ED61" s="188"/>
      <c r="EE61" s="188"/>
      <c r="EF61" s="188"/>
      <c r="EG61" s="188"/>
      <c r="EH61" s="188"/>
      <c r="EI61" s="188"/>
      <c r="EJ61" s="188"/>
      <c r="EK61" s="188"/>
      <c r="EL61" s="188"/>
      <c r="EM61" s="188"/>
      <c r="EN61" s="188"/>
      <c r="EO61" s="188"/>
      <c r="EP61" s="188"/>
      <c r="EQ61" s="188"/>
      <c r="ER61" s="188"/>
      <c r="ES61" s="188"/>
      <c r="ET61" s="188"/>
      <c r="EU61" s="188"/>
      <c r="EV61" s="188"/>
      <c r="EW61" s="188"/>
      <c r="EX61" s="188"/>
      <c r="EY61" s="188"/>
      <c r="EZ61" s="188"/>
    </row>
    <row r="62" spans="1:156" ht="15.75" x14ac:dyDescent="0.25">
      <c r="A62" s="12">
        <v>53</v>
      </c>
      <c r="B62" s="16"/>
      <c r="C62" s="24"/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07"/>
      <c r="Y62" s="110"/>
      <c r="Z62" s="19"/>
      <c r="AA62" s="20"/>
      <c r="AB62" s="28"/>
      <c r="AC62" s="22"/>
      <c r="AD62" s="20"/>
      <c r="AE62" s="20"/>
      <c r="AG62" s="188" t="str">
        <f>IF(ISERROR(getgrade(Broadsheet!H173,data!$H$4:$I$9)),"#",getgrade(Broadsheet!H173,data!$H$4:$I$9))</f>
        <v/>
      </c>
      <c r="AH62" s="188" t="str">
        <f>IF(ISERROR(getgrade(Broadsheet!I173,data!$H$4:$I$9)),"#",getgrade(Broadsheet!I173,data!$H$4:$I$9))</f>
        <v/>
      </c>
      <c r="AI62" s="188" t="str">
        <f>IF(ISERROR(getgrade(Broadsheet!J173,data!$H$4:$I$9)),"#",getgrade(Broadsheet!J173,data!$H$4:$I$9))</f>
        <v/>
      </c>
      <c r="AJ62" s="188" t="str">
        <f>IF(ISERROR(getgrade(Broadsheet!K173,data!$H$4:$I$9)),"#",getgrade(Broadsheet!K173,data!$H$4:$I$9))</f>
        <v/>
      </c>
      <c r="AK62" s="188" t="str">
        <f>IF(ISERROR(getgrade(Broadsheet!L173,data!$H$4:$I$9)),"#",getgrade(Broadsheet!L173,data!$H$4:$I$9))</f>
        <v/>
      </c>
      <c r="AL62" s="188" t="str">
        <f>IF(ISERROR(getgrade(Broadsheet!M173,data!$H$4:$I$9)),"#",getgrade(Broadsheet!M173,data!$H$4:$I$9))</f>
        <v/>
      </c>
      <c r="AM62" s="188" t="str">
        <f>IF(ISERROR(getgrade(Broadsheet!N173,data!$H$4:$I$9)),"#",getgrade(Broadsheet!N173,data!$H$4:$I$9))</f>
        <v/>
      </c>
      <c r="AN62" s="188" t="str">
        <f>IF(ISERROR(getgrade(Broadsheet!O173,data!$H$4:$I$9)),"#",getgrade(Broadsheet!O173,data!$H$4:$I$9))</f>
        <v/>
      </c>
      <c r="AO62" s="188" t="str">
        <f>IF(ISERROR(getgrade(Broadsheet!P173,data!$H$4:$I$9)),"#",getgrade(Broadsheet!P173,data!$H$4:$I$9))</f>
        <v/>
      </c>
      <c r="AP62" s="188" t="str">
        <f>IF(ISERROR(getgrade(Broadsheet!Q173,data!$H$4:$I$9)),"#",getgrade(Broadsheet!Q173,data!$H$4:$I$9))</f>
        <v/>
      </c>
      <c r="AQ62" s="188" t="str">
        <f>IF(ISERROR(getgrade(Broadsheet!R173,data!$H$4:$I$9)),"#",getgrade(Broadsheet!R173,data!$H$4:$I$9))</f>
        <v/>
      </c>
      <c r="AR62" s="188" t="str">
        <f>IF(ISERROR(getgrade(Broadsheet!S173,data!$H$4:$I$9)),"#",getgrade(Broadsheet!S173,data!$H$4:$I$9))</f>
        <v/>
      </c>
      <c r="AS62" s="188" t="str">
        <f>IF(ISERROR(getgrade(Broadsheet!T173,data!$H$4:$I$9)),"#",getgrade(Broadsheet!T173,data!$H$4:$I$9))</f>
        <v/>
      </c>
      <c r="AT62" s="188" t="str">
        <f>IF(ISERROR(getgrade(Broadsheet!U173,data!$H$4:$I$9)),"#",getgrade(Broadsheet!U173,data!$H$4:$I$9))</f>
        <v/>
      </c>
      <c r="AU62" s="188" t="str">
        <f>IF(ISERROR(getgrade(Broadsheet!V173,data!$H$4:$I$9)),"#",getgrade(Broadsheet!V173,data!$H$4:$I$9))</f>
        <v/>
      </c>
      <c r="AV62" s="188" t="str">
        <f>IF(ISERROR(getgrade(Broadsheet!W173,data!$H$4:$I$9)),"#",getgrade(Broadsheet!W173,data!$H$4:$I$9))</f>
        <v/>
      </c>
      <c r="AW62" s="188" t="str">
        <f>IF(ISERROR(getgrade(Broadsheet!X173,data!$H$4:$I$9)),"#",getgrade(Broadsheet!X173,data!$H$4:$I$9))</f>
        <v/>
      </c>
      <c r="AX62" s="188" t="str">
        <f>IF(ISERROR(getgrade(Broadsheet!Y173,data!$H$4:$I$9)),"#",getgrade(Broadsheet!Y173,data!$H$4:$I$9))</f>
        <v/>
      </c>
      <c r="AY62" s="188" t="str">
        <f>IF(ISERROR(getgrade(Broadsheet!Z173,data!$H$4:$I$9)),"#",getgrade(Broadsheet!Z173,data!$H$4:$I$9))</f>
        <v/>
      </c>
      <c r="AZ62" s="188" t="str">
        <f>IF(ISERROR(getgrade(Broadsheet!AA173,data!$H$4:$I$9)),"#",getgrade(Broadsheet!AA173,data!$H$4:$I$9))</f>
        <v/>
      </c>
      <c r="BA62" s="188" t="str">
        <f>IF(ISERROR(getgrade(Broadsheet!AB173,data!$H$4:$I$9)),"#",getgrade(Broadsheet!AB173,data!$H$4:$I$9))</f>
        <v/>
      </c>
      <c r="BB62" s="188" t="str">
        <f>IF(ISERROR(getgrade(Broadsheet!AC173,data!$H$4:$I$9)),"#",getgrade(Broadsheet!AC173,data!$H$4:$I$9))</f>
        <v/>
      </c>
      <c r="BC62" s="188" t="str">
        <f>IF(ISERROR(getgrade(Broadsheet!AD173,data!$H$4:$I$9)),"#",getgrade(Broadsheet!AD173,data!$H$4:$I$9))</f>
        <v/>
      </c>
      <c r="BD62" s="188" t="str">
        <f>IF(ISERROR(getgrade(Broadsheet!AE173,data!$H$4:$I$9)),"#",getgrade(Broadsheet!AE173,data!$H$4:$I$9))</f>
        <v/>
      </c>
      <c r="BE62" s="188" t="str">
        <f>IF(ISERROR(getgrade(Broadsheet!AF173,data!$H$4:$I$9)),"#",getgrade(Broadsheet!AF173,data!$H$4:$I$9))</f>
        <v/>
      </c>
      <c r="BF62" s="188" t="str">
        <f>IF(ISERROR(getgrade(Broadsheet!AG173,data!$H$4:$I$9)),"#",getgrade(Broadsheet!AG173,data!$H$4:$I$9))</f>
        <v/>
      </c>
      <c r="BG62" s="188" t="str">
        <f>IF(ISERROR(getgrade(Broadsheet!AH173,data!$H$4:$I$9)),"#",getgrade(Broadsheet!AH173,data!$H$4:$I$9))</f>
        <v/>
      </c>
      <c r="BH62" s="188" t="str">
        <f>IF(ISERROR(getgrade(Broadsheet!AI173,data!$H$4:$I$9)),"#",getgrade(Broadsheet!AI173,data!$H$4:$I$9))</f>
        <v/>
      </c>
      <c r="BI62" s="188" t="str">
        <f>IF(ISERROR(getgrade(Broadsheet!AJ173,data!$H$4:$I$9)),"#",getgrade(Broadsheet!AJ173,data!$H$4:$I$9))</f>
        <v/>
      </c>
      <c r="BJ62" s="188" t="str">
        <f>IF(ISERROR(getgrade(Broadsheet!AK173,data!$H$4:$I$9)),"#",getgrade(Broadsheet!AK173,data!$H$4:$I$9))</f>
        <v/>
      </c>
      <c r="BK62" s="188" t="str">
        <f>IF(ISERROR(getgrade(Broadsheet!AL173,data!$H$4:$I$9)),"#",getgrade(Broadsheet!AL173,data!$H$4:$I$9))</f>
        <v/>
      </c>
      <c r="BL62" s="188" t="str">
        <f>IF(ISERROR(getgrade(Broadsheet!AM173,data!$H$4:$I$9)),"#",getgrade(Broadsheet!AM173,data!$H$4:$I$9))</f>
        <v/>
      </c>
      <c r="BM62" s="188" t="str">
        <f>IF(ISERROR(getgrade(Broadsheet!AN173,data!$H$4:$I$9)),"#",getgrade(Broadsheet!AN173,data!$H$4:$I$9))</f>
        <v/>
      </c>
      <c r="BN62" s="188" t="str">
        <f>IF(ISERROR(getgrade(Broadsheet!AO173,data!$H$4:$I$9)),"#",getgrade(Broadsheet!AO173,data!$H$4:$I$9))</f>
        <v/>
      </c>
      <c r="BO62" s="188" t="str">
        <f>IF(ISERROR(getgrade(Broadsheet!AP173,data!$H$4:$I$9)),"#",getgrade(Broadsheet!AP173,data!$H$4:$I$9))</f>
        <v/>
      </c>
      <c r="BP62" s="188" t="str">
        <f>IF(ISERROR(getgrade(Broadsheet!AQ173,data!$H$4:$I$9)),"#",getgrade(Broadsheet!AQ173,data!$H$4:$I$9))</f>
        <v/>
      </c>
      <c r="BQ62" s="188" t="str">
        <f>IF(ISERROR(getgrade(Broadsheet!AR173,data!$H$4:$I$9)),"#",getgrade(Broadsheet!AR173,data!$H$4:$I$9))</f>
        <v/>
      </c>
      <c r="BR62" s="188" t="str">
        <f>IF(ISERROR(getgrade(Broadsheet!AS173,data!$H$4:$I$9)),"#",getgrade(Broadsheet!AS173,data!$H$4:$I$9))</f>
        <v/>
      </c>
      <c r="BS62" s="188" t="str">
        <f>IF(ISERROR(getgrade(Broadsheet!AT173,data!$H$4:$I$9)),"#",getgrade(Broadsheet!AT173,data!$H$4:$I$9))</f>
        <v/>
      </c>
      <c r="BT62" s="188" t="str">
        <f>IF(ISERROR(getgrade(Broadsheet!AU173,data!$H$4:$I$9)),"#",getgrade(Broadsheet!AU173,data!$H$4:$I$9))</f>
        <v/>
      </c>
      <c r="BU62" s="188" t="str">
        <f>IF(ISERROR(getgrade(Broadsheet!AV173,data!$H$4:$I$9)),"#",getgrade(Broadsheet!AV173,data!$H$4:$I$9))</f>
        <v/>
      </c>
      <c r="BV62" s="188" t="str">
        <f>IF(ISERROR(getgrade(Broadsheet!AW173,data!$H$4:$I$9)),"#",getgrade(Broadsheet!AW173,data!$H$4:$I$9))</f>
        <v/>
      </c>
      <c r="BW62" s="188" t="str">
        <f>IF(ISERROR(getgrade(Broadsheet!AX173,data!$H$4:$I$9)),"#",getgrade(Broadsheet!AX173,data!$H$4:$I$9))</f>
        <v/>
      </c>
      <c r="BX62" s="188" t="str">
        <f>IF(ISERROR(getgrade(Broadsheet!AY173,data!$H$4:$I$9)),"#",getgrade(Broadsheet!AY173,data!$H$4:$I$9))</f>
        <v/>
      </c>
      <c r="BY62" s="188" t="str">
        <f>IF(ISERROR(getgrade(Broadsheet!AZ173,data!$H$4:$I$9)),"#",getgrade(Broadsheet!AZ173,data!$H$4:$I$9))</f>
        <v/>
      </c>
      <c r="BZ62" s="188" t="str">
        <f>IF(ISERROR(getgrade(Broadsheet!BA173,data!$H$4:$I$9)),"#",getgrade(Broadsheet!BA173,data!$H$4:$I$9))</f>
        <v/>
      </c>
      <c r="CA62" s="188" t="str">
        <f>IF(ISERROR(getgrade(Broadsheet!BB173,data!$H$4:$I$9)),"#",getgrade(Broadsheet!BB173,data!$H$4:$I$9))</f>
        <v/>
      </c>
      <c r="CB62" s="188" t="str">
        <f>IF(ISERROR(getgrade(Broadsheet!BC173,data!$H$4:$I$9)),"#",getgrade(Broadsheet!BC173,data!$H$4:$I$9))</f>
        <v/>
      </c>
      <c r="CC62" s="188" t="str">
        <f>IF(ISERROR(getgrade(Broadsheet!BD173,data!$H$4:$I$9)),"#",getgrade(Broadsheet!BD173,data!$H$4:$I$9))</f>
        <v/>
      </c>
      <c r="CD62" s="188" t="str">
        <f>IF(ISERROR(getgrade(Broadsheet!BE173,data!$H$4:$I$9)),"#",getgrade(Broadsheet!BE173,data!$H$4:$I$9))</f>
        <v/>
      </c>
      <c r="CE62" s="188" t="str">
        <f>IF(ISERROR(getgrade(Broadsheet!BF173,data!$H$4:$I$9)),"#",getgrade(Broadsheet!BF173,data!$H$4:$I$9))</f>
        <v/>
      </c>
      <c r="CF62" s="188" t="str">
        <f>IF(ISERROR(getgrade(Broadsheet!BG173,data!$H$4:$I$9)),"#",getgrade(Broadsheet!BG173,data!$H$4:$I$9))</f>
        <v/>
      </c>
      <c r="CG62" s="188" t="str">
        <f>IF(ISERROR(getgrade(Broadsheet!BH173,data!$H$4:$I$9)),"#",getgrade(Broadsheet!BH173,data!$H$4:$I$9))</f>
        <v/>
      </c>
      <c r="CH62" s="188" t="str">
        <f>IF(ISERROR(getgrade(Broadsheet!BI173,data!$H$4:$I$9)),"#",getgrade(Broadsheet!BI173,data!$H$4:$I$9))</f>
        <v/>
      </c>
      <c r="CI62" s="188" t="str">
        <f>IF(ISERROR(getgrade(Broadsheet!BJ173,data!$H$4:$I$9)),"#",getgrade(Broadsheet!BJ173,data!$H$4:$I$9))</f>
        <v/>
      </c>
      <c r="CJ62" s="188"/>
      <c r="CK62" s="188"/>
      <c r="CL62" s="188"/>
      <c r="CM62" s="188"/>
      <c r="CN62" s="188"/>
      <c r="CO62" s="188"/>
      <c r="CP62" s="188"/>
      <c r="CQ62" s="188"/>
      <c r="CR62" s="188"/>
      <c r="CS62" s="188"/>
      <c r="CT62" s="188"/>
      <c r="CU62" s="188"/>
      <c r="CV62" s="188"/>
      <c r="CW62" s="188"/>
      <c r="CX62" s="188"/>
      <c r="CY62" s="188"/>
      <c r="CZ62" s="188"/>
      <c r="DA62" s="188"/>
      <c r="DB62" s="188"/>
      <c r="DC62" s="188"/>
      <c r="DD62" s="188"/>
      <c r="DE62" s="188"/>
      <c r="DF62" s="188"/>
      <c r="DG62" s="188"/>
      <c r="DH62" s="188"/>
      <c r="DI62" s="188"/>
      <c r="DJ62" s="188"/>
      <c r="DK62" s="188"/>
      <c r="DL62" s="188"/>
      <c r="DM62" s="188"/>
      <c r="DN62" s="188"/>
      <c r="DO62" s="188"/>
      <c r="DP62" s="188"/>
      <c r="DQ62" s="188"/>
      <c r="DR62" s="188"/>
      <c r="DS62" s="188"/>
      <c r="DT62" s="188"/>
      <c r="DU62" s="188"/>
      <c r="DV62" s="188"/>
      <c r="DW62" s="188"/>
      <c r="DX62" s="188"/>
      <c r="DY62" s="188"/>
      <c r="DZ62" s="188"/>
      <c r="EA62" s="188"/>
      <c r="EB62" s="188"/>
      <c r="EC62" s="188"/>
      <c r="ED62" s="188"/>
      <c r="EE62" s="188"/>
      <c r="EF62" s="188"/>
      <c r="EG62" s="188"/>
      <c r="EH62" s="188"/>
      <c r="EI62" s="188"/>
      <c r="EJ62" s="188"/>
      <c r="EK62" s="188"/>
      <c r="EL62" s="188"/>
      <c r="EM62" s="188"/>
      <c r="EN62" s="188"/>
      <c r="EO62" s="188"/>
      <c r="EP62" s="188"/>
      <c r="EQ62" s="188"/>
      <c r="ER62" s="188"/>
      <c r="ES62" s="188"/>
      <c r="ET62" s="188"/>
      <c r="EU62" s="188"/>
      <c r="EV62" s="188"/>
      <c r="EW62" s="188"/>
      <c r="EX62" s="188"/>
      <c r="EY62" s="188"/>
      <c r="EZ62" s="188"/>
    </row>
    <row r="63" spans="1:156" ht="15.75" x14ac:dyDescent="0.25">
      <c r="A63" s="12">
        <v>54</v>
      </c>
      <c r="B63" s="16"/>
      <c r="C63" s="24"/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07"/>
      <c r="Y63" s="110"/>
      <c r="Z63" s="19"/>
      <c r="AA63" s="25"/>
      <c r="AB63" s="28"/>
      <c r="AC63" s="25"/>
      <c r="AD63" s="25"/>
      <c r="AE63" s="20"/>
      <c r="AG63" s="188" t="str">
        <f>IF(ISERROR(getgrade(Broadsheet!H174,data!$H$4:$I$9)),"#",getgrade(Broadsheet!H174,data!$H$4:$I$9))</f>
        <v/>
      </c>
      <c r="AH63" s="188" t="str">
        <f>IF(ISERROR(getgrade(Broadsheet!I174,data!$H$4:$I$9)),"#",getgrade(Broadsheet!I174,data!$H$4:$I$9))</f>
        <v/>
      </c>
      <c r="AI63" s="188" t="str">
        <f>IF(ISERROR(getgrade(Broadsheet!J174,data!$H$4:$I$9)),"#",getgrade(Broadsheet!J174,data!$H$4:$I$9))</f>
        <v/>
      </c>
      <c r="AJ63" s="188" t="str">
        <f>IF(ISERROR(getgrade(Broadsheet!K174,data!$H$4:$I$9)),"#",getgrade(Broadsheet!K174,data!$H$4:$I$9))</f>
        <v/>
      </c>
      <c r="AK63" s="188" t="str">
        <f>IF(ISERROR(getgrade(Broadsheet!L174,data!$H$4:$I$9)),"#",getgrade(Broadsheet!L174,data!$H$4:$I$9))</f>
        <v/>
      </c>
      <c r="AL63" s="188" t="str">
        <f>IF(ISERROR(getgrade(Broadsheet!M174,data!$H$4:$I$9)),"#",getgrade(Broadsheet!M174,data!$H$4:$I$9))</f>
        <v/>
      </c>
      <c r="AM63" s="188" t="str">
        <f>IF(ISERROR(getgrade(Broadsheet!N174,data!$H$4:$I$9)),"#",getgrade(Broadsheet!N174,data!$H$4:$I$9))</f>
        <v/>
      </c>
      <c r="AN63" s="188" t="str">
        <f>IF(ISERROR(getgrade(Broadsheet!O174,data!$H$4:$I$9)),"#",getgrade(Broadsheet!O174,data!$H$4:$I$9))</f>
        <v/>
      </c>
      <c r="AO63" s="188" t="str">
        <f>IF(ISERROR(getgrade(Broadsheet!P174,data!$H$4:$I$9)),"#",getgrade(Broadsheet!P174,data!$H$4:$I$9))</f>
        <v/>
      </c>
      <c r="AP63" s="188" t="str">
        <f>IF(ISERROR(getgrade(Broadsheet!Q174,data!$H$4:$I$9)),"#",getgrade(Broadsheet!Q174,data!$H$4:$I$9))</f>
        <v/>
      </c>
      <c r="AQ63" s="188" t="str">
        <f>IF(ISERROR(getgrade(Broadsheet!R174,data!$H$4:$I$9)),"#",getgrade(Broadsheet!R174,data!$H$4:$I$9))</f>
        <v/>
      </c>
      <c r="AR63" s="188" t="str">
        <f>IF(ISERROR(getgrade(Broadsheet!S174,data!$H$4:$I$9)),"#",getgrade(Broadsheet!S174,data!$H$4:$I$9))</f>
        <v/>
      </c>
      <c r="AS63" s="188" t="str">
        <f>IF(ISERROR(getgrade(Broadsheet!T174,data!$H$4:$I$9)),"#",getgrade(Broadsheet!T174,data!$H$4:$I$9))</f>
        <v/>
      </c>
      <c r="AT63" s="188" t="str">
        <f>IF(ISERROR(getgrade(Broadsheet!U174,data!$H$4:$I$9)),"#",getgrade(Broadsheet!U174,data!$H$4:$I$9))</f>
        <v/>
      </c>
      <c r="AU63" s="188" t="str">
        <f>IF(ISERROR(getgrade(Broadsheet!V174,data!$H$4:$I$9)),"#",getgrade(Broadsheet!V174,data!$H$4:$I$9))</f>
        <v/>
      </c>
      <c r="AV63" s="188" t="str">
        <f>IF(ISERROR(getgrade(Broadsheet!W174,data!$H$4:$I$9)),"#",getgrade(Broadsheet!W174,data!$H$4:$I$9))</f>
        <v/>
      </c>
      <c r="AW63" s="188" t="str">
        <f>IF(ISERROR(getgrade(Broadsheet!X174,data!$H$4:$I$9)),"#",getgrade(Broadsheet!X174,data!$H$4:$I$9))</f>
        <v/>
      </c>
      <c r="AX63" s="188" t="str">
        <f>IF(ISERROR(getgrade(Broadsheet!Y174,data!$H$4:$I$9)),"#",getgrade(Broadsheet!Y174,data!$H$4:$I$9))</f>
        <v/>
      </c>
      <c r="AY63" s="188" t="str">
        <f>IF(ISERROR(getgrade(Broadsheet!Z174,data!$H$4:$I$9)),"#",getgrade(Broadsheet!Z174,data!$H$4:$I$9))</f>
        <v/>
      </c>
      <c r="AZ63" s="188" t="str">
        <f>IF(ISERROR(getgrade(Broadsheet!AA174,data!$H$4:$I$9)),"#",getgrade(Broadsheet!AA174,data!$H$4:$I$9))</f>
        <v/>
      </c>
      <c r="BA63" s="188" t="str">
        <f>IF(ISERROR(getgrade(Broadsheet!AB174,data!$H$4:$I$9)),"#",getgrade(Broadsheet!AB174,data!$H$4:$I$9))</f>
        <v/>
      </c>
      <c r="BB63" s="188" t="str">
        <f>IF(ISERROR(getgrade(Broadsheet!AC174,data!$H$4:$I$9)),"#",getgrade(Broadsheet!AC174,data!$H$4:$I$9))</f>
        <v/>
      </c>
      <c r="BC63" s="188" t="str">
        <f>IF(ISERROR(getgrade(Broadsheet!AD174,data!$H$4:$I$9)),"#",getgrade(Broadsheet!AD174,data!$H$4:$I$9))</f>
        <v/>
      </c>
      <c r="BD63" s="188" t="str">
        <f>IF(ISERROR(getgrade(Broadsheet!AE174,data!$H$4:$I$9)),"#",getgrade(Broadsheet!AE174,data!$H$4:$I$9))</f>
        <v/>
      </c>
      <c r="BE63" s="188" t="str">
        <f>IF(ISERROR(getgrade(Broadsheet!AF174,data!$H$4:$I$9)),"#",getgrade(Broadsheet!AF174,data!$H$4:$I$9))</f>
        <v/>
      </c>
      <c r="BF63" s="188" t="str">
        <f>IF(ISERROR(getgrade(Broadsheet!AG174,data!$H$4:$I$9)),"#",getgrade(Broadsheet!AG174,data!$H$4:$I$9))</f>
        <v/>
      </c>
      <c r="BG63" s="188" t="str">
        <f>IF(ISERROR(getgrade(Broadsheet!AH174,data!$H$4:$I$9)),"#",getgrade(Broadsheet!AH174,data!$H$4:$I$9))</f>
        <v/>
      </c>
      <c r="BH63" s="188" t="str">
        <f>IF(ISERROR(getgrade(Broadsheet!AI174,data!$H$4:$I$9)),"#",getgrade(Broadsheet!AI174,data!$H$4:$I$9))</f>
        <v/>
      </c>
      <c r="BI63" s="188" t="str">
        <f>IF(ISERROR(getgrade(Broadsheet!AJ174,data!$H$4:$I$9)),"#",getgrade(Broadsheet!AJ174,data!$H$4:$I$9))</f>
        <v/>
      </c>
      <c r="BJ63" s="188" t="str">
        <f>IF(ISERROR(getgrade(Broadsheet!AK174,data!$H$4:$I$9)),"#",getgrade(Broadsheet!AK174,data!$H$4:$I$9))</f>
        <v/>
      </c>
      <c r="BK63" s="188" t="str">
        <f>IF(ISERROR(getgrade(Broadsheet!AL174,data!$H$4:$I$9)),"#",getgrade(Broadsheet!AL174,data!$H$4:$I$9))</f>
        <v/>
      </c>
      <c r="BL63" s="188" t="str">
        <f>IF(ISERROR(getgrade(Broadsheet!AM174,data!$H$4:$I$9)),"#",getgrade(Broadsheet!AM174,data!$H$4:$I$9))</f>
        <v/>
      </c>
      <c r="BM63" s="188" t="str">
        <f>IF(ISERROR(getgrade(Broadsheet!AN174,data!$H$4:$I$9)),"#",getgrade(Broadsheet!AN174,data!$H$4:$I$9))</f>
        <v/>
      </c>
      <c r="BN63" s="188" t="str">
        <f>IF(ISERROR(getgrade(Broadsheet!AO174,data!$H$4:$I$9)),"#",getgrade(Broadsheet!AO174,data!$H$4:$I$9))</f>
        <v/>
      </c>
      <c r="BO63" s="188" t="str">
        <f>IF(ISERROR(getgrade(Broadsheet!AP174,data!$H$4:$I$9)),"#",getgrade(Broadsheet!AP174,data!$H$4:$I$9))</f>
        <v/>
      </c>
      <c r="BP63" s="188" t="str">
        <f>IF(ISERROR(getgrade(Broadsheet!AQ174,data!$H$4:$I$9)),"#",getgrade(Broadsheet!AQ174,data!$H$4:$I$9))</f>
        <v/>
      </c>
      <c r="BQ63" s="188" t="str">
        <f>IF(ISERROR(getgrade(Broadsheet!AR174,data!$H$4:$I$9)),"#",getgrade(Broadsheet!AR174,data!$H$4:$I$9))</f>
        <v/>
      </c>
      <c r="BR63" s="188" t="str">
        <f>IF(ISERROR(getgrade(Broadsheet!AS174,data!$H$4:$I$9)),"#",getgrade(Broadsheet!AS174,data!$H$4:$I$9))</f>
        <v/>
      </c>
      <c r="BS63" s="188" t="str">
        <f>IF(ISERROR(getgrade(Broadsheet!AT174,data!$H$4:$I$9)),"#",getgrade(Broadsheet!AT174,data!$H$4:$I$9))</f>
        <v/>
      </c>
      <c r="BT63" s="188" t="str">
        <f>IF(ISERROR(getgrade(Broadsheet!AU174,data!$H$4:$I$9)),"#",getgrade(Broadsheet!AU174,data!$H$4:$I$9))</f>
        <v/>
      </c>
      <c r="BU63" s="188" t="str">
        <f>IF(ISERROR(getgrade(Broadsheet!AV174,data!$H$4:$I$9)),"#",getgrade(Broadsheet!AV174,data!$H$4:$I$9))</f>
        <v/>
      </c>
      <c r="BV63" s="188" t="str">
        <f>IF(ISERROR(getgrade(Broadsheet!AW174,data!$H$4:$I$9)),"#",getgrade(Broadsheet!AW174,data!$H$4:$I$9))</f>
        <v/>
      </c>
      <c r="BW63" s="188" t="str">
        <f>IF(ISERROR(getgrade(Broadsheet!AX174,data!$H$4:$I$9)),"#",getgrade(Broadsheet!AX174,data!$H$4:$I$9))</f>
        <v/>
      </c>
      <c r="BX63" s="188" t="str">
        <f>IF(ISERROR(getgrade(Broadsheet!AY174,data!$H$4:$I$9)),"#",getgrade(Broadsheet!AY174,data!$H$4:$I$9))</f>
        <v/>
      </c>
      <c r="BY63" s="188" t="str">
        <f>IF(ISERROR(getgrade(Broadsheet!AZ174,data!$H$4:$I$9)),"#",getgrade(Broadsheet!AZ174,data!$H$4:$I$9))</f>
        <v/>
      </c>
      <c r="BZ63" s="188" t="str">
        <f>IF(ISERROR(getgrade(Broadsheet!BA174,data!$H$4:$I$9)),"#",getgrade(Broadsheet!BA174,data!$H$4:$I$9))</f>
        <v/>
      </c>
      <c r="CA63" s="188" t="str">
        <f>IF(ISERROR(getgrade(Broadsheet!BB174,data!$H$4:$I$9)),"#",getgrade(Broadsheet!BB174,data!$H$4:$I$9))</f>
        <v/>
      </c>
      <c r="CB63" s="188" t="str">
        <f>IF(ISERROR(getgrade(Broadsheet!BC174,data!$H$4:$I$9)),"#",getgrade(Broadsheet!BC174,data!$H$4:$I$9))</f>
        <v/>
      </c>
      <c r="CC63" s="188" t="str">
        <f>IF(ISERROR(getgrade(Broadsheet!BD174,data!$H$4:$I$9)),"#",getgrade(Broadsheet!BD174,data!$H$4:$I$9))</f>
        <v/>
      </c>
      <c r="CD63" s="188" t="str">
        <f>IF(ISERROR(getgrade(Broadsheet!BE174,data!$H$4:$I$9)),"#",getgrade(Broadsheet!BE174,data!$H$4:$I$9))</f>
        <v/>
      </c>
      <c r="CE63" s="188" t="str">
        <f>IF(ISERROR(getgrade(Broadsheet!BF174,data!$H$4:$I$9)),"#",getgrade(Broadsheet!BF174,data!$H$4:$I$9))</f>
        <v/>
      </c>
      <c r="CF63" s="188" t="str">
        <f>IF(ISERROR(getgrade(Broadsheet!BG174,data!$H$4:$I$9)),"#",getgrade(Broadsheet!BG174,data!$H$4:$I$9))</f>
        <v/>
      </c>
      <c r="CG63" s="188" t="str">
        <f>IF(ISERROR(getgrade(Broadsheet!BH174,data!$H$4:$I$9)),"#",getgrade(Broadsheet!BH174,data!$H$4:$I$9))</f>
        <v/>
      </c>
      <c r="CH63" s="188" t="str">
        <f>IF(ISERROR(getgrade(Broadsheet!BI174,data!$H$4:$I$9)),"#",getgrade(Broadsheet!BI174,data!$H$4:$I$9))</f>
        <v/>
      </c>
      <c r="CI63" s="188" t="str">
        <f>IF(ISERROR(getgrade(Broadsheet!BJ174,data!$H$4:$I$9)),"#",getgrade(Broadsheet!BJ174,data!$H$4:$I$9))</f>
        <v/>
      </c>
      <c r="CJ63" s="188"/>
      <c r="CK63" s="188"/>
      <c r="CL63" s="188"/>
      <c r="CM63" s="188"/>
      <c r="CN63" s="188"/>
      <c r="CO63" s="188"/>
      <c r="CP63" s="188"/>
      <c r="CQ63" s="188"/>
      <c r="CR63" s="188"/>
      <c r="CS63" s="188"/>
      <c r="CT63" s="188"/>
      <c r="CU63" s="188"/>
      <c r="CV63" s="188"/>
      <c r="CW63" s="188"/>
      <c r="CX63" s="188"/>
      <c r="CY63" s="188"/>
      <c r="CZ63" s="188"/>
      <c r="DA63" s="188"/>
      <c r="DB63" s="188"/>
      <c r="DC63" s="188"/>
      <c r="DD63" s="188"/>
      <c r="DE63" s="188"/>
      <c r="DF63" s="188"/>
      <c r="DG63" s="188"/>
      <c r="DH63" s="188"/>
      <c r="DI63" s="188"/>
      <c r="DJ63" s="188"/>
      <c r="DK63" s="188"/>
      <c r="DL63" s="188"/>
      <c r="DM63" s="188"/>
      <c r="DN63" s="188"/>
      <c r="DO63" s="188"/>
      <c r="DP63" s="188"/>
      <c r="DQ63" s="188"/>
      <c r="DR63" s="188"/>
      <c r="DS63" s="188"/>
      <c r="DT63" s="188"/>
      <c r="DU63" s="188"/>
      <c r="DV63" s="188"/>
      <c r="DW63" s="188"/>
      <c r="DX63" s="188"/>
      <c r="DY63" s="188"/>
      <c r="DZ63" s="188"/>
      <c r="EA63" s="188"/>
      <c r="EB63" s="188"/>
      <c r="EC63" s="188"/>
      <c r="ED63" s="188"/>
      <c r="EE63" s="188"/>
      <c r="EF63" s="188"/>
      <c r="EG63" s="188"/>
      <c r="EH63" s="188"/>
      <c r="EI63" s="188"/>
      <c r="EJ63" s="188"/>
      <c r="EK63" s="188"/>
      <c r="EL63" s="188"/>
      <c r="EM63" s="188"/>
      <c r="EN63" s="188"/>
      <c r="EO63" s="188"/>
      <c r="EP63" s="188"/>
      <c r="EQ63" s="188"/>
      <c r="ER63" s="188"/>
      <c r="ES63" s="188"/>
      <c r="ET63" s="188"/>
      <c r="EU63" s="188"/>
      <c r="EV63" s="188"/>
      <c r="EW63" s="188"/>
      <c r="EX63" s="188"/>
      <c r="EY63" s="188"/>
      <c r="EZ63" s="188"/>
    </row>
    <row r="64" spans="1:156" ht="16.5" thickBot="1" x14ac:dyDescent="0.3">
      <c r="A64" s="40">
        <v>55</v>
      </c>
      <c r="B64" s="41"/>
      <c r="C64" s="109"/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07"/>
      <c r="Y64" s="110"/>
      <c r="Z64" s="19"/>
      <c r="AA64" s="25"/>
      <c r="AB64" s="36"/>
      <c r="AC64" s="25"/>
      <c r="AD64" s="25"/>
      <c r="AE64" s="20"/>
      <c r="AG64" s="188" t="str">
        <f>IF(ISERROR(getgrade(Broadsheet!H175,data!$H$4:$I$9)),"#",getgrade(Broadsheet!H175,data!$H$4:$I$9))</f>
        <v/>
      </c>
      <c r="AH64" s="188" t="str">
        <f>IF(ISERROR(getgrade(Broadsheet!I175,data!$H$4:$I$9)),"#",getgrade(Broadsheet!I175,data!$H$4:$I$9))</f>
        <v/>
      </c>
      <c r="AI64" s="188" t="str">
        <f>IF(ISERROR(getgrade(Broadsheet!J175,data!$H$4:$I$9)),"#",getgrade(Broadsheet!J175,data!$H$4:$I$9))</f>
        <v/>
      </c>
      <c r="AJ64" s="188" t="str">
        <f>IF(ISERROR(getgrade(Broadsheet!K175,data!$H$4:$I$9)),"#",getgrade(Broadsheet!K175,data!$H$4:$I$9))</f>
        <v/>
      </c>
      <c r="AK64" s="188" t="str">
        <f>IF(ISERROR(getgrade(Broadsheet!L175,data!$H$4:$I$9)),"#",getgrade(Broadsheet!L175,data!$H$4:$I$9))</f>
        <v/>
      </c>
      <c r="AL64" s="188" t="str">
        <f>IF(ISERROR(getgrade(Broadsheet!M175,data!$H$4:$I$9)),"#",getgrade(Broadsheet!M175,data!$H$4:$I$9))</f>
        <v/>
      </c>
      <c r="AM64" s="188" t="str">
        <f>IF(ISERROR(getgrade(Broadsheet!N175,data!$H$4:$I$9)),"#",getgrade(Broadsheet!N175,data!$H$4:$I$9))</f>
        <v/>
      </c>
      <c r="AN64" s="188" t="str">
        <f>IF(ISERROR(getgrade(Broadsheet!O175,data!$H$4:$I$9)),"#",getgrade(Broadsheet!O175,data!$H$4:$I$9))</f>
        <v/>
      </c>
      <c r="AO64" s="188" t="str">
        <f>IF(ISERROR(getgrade(Broadsheet!P175,data!$H$4:$I$9)),"#",getgrade(Broadsheet!P175,data!$H$4:$I$9))</f>
        <v/>
      </c>
      <c r="AP64" s="188" t="str">
        <f>IF(ISERROR(getgrade(Broadsheet!Q175,data!$H$4:$I$9)),"#",getgrade(Broadsheet!Q175,data!$H$4:$I$9))</f>
        <v/>
      </c>
      <c r="AQ64" s="188" t="str">
        <f>IF(ISERROR(getgrade(Broadsheet!R175,data!$H$4:$I$9)),"#",getgrade(Broadsheet!R175,data!$H$4:$I$9))</f>
        <v/>
      </c>
      <c r="AR64" s="188" t="str">
        <f>IF(ISERROR(getgrade(Broadsheet!S175,data!$H$4:$I$9)),"#",getgrade(Broadsheet!S175,data!$H$4:$I$9))</f>
        <v/>
      </c>
      <c r="AS64" s="188" t="str">
        <f>IF(ISERROR(getgrade(Broadsheet!T175,data!$H$4:$I$9)),"#",getgrade(Broadsheet!T175,data!$H$4:$I$9))</f>
        <v/>
      </c>
      <c r="AT64" s="188" t="str">
        <f>IF(ISERROR(getgrade(Broadsheet!U175,data!$H$4:$I$9)),"#",getgrade(Broadsheet!U175,data!$H$4:$I$9))</f>
        <v/>
      </c>
      <c r="AU64" s="188" t="str">
        <f>IF(ISERROR(getgrade(Broadsheet!V175,data!$H$4:$I$9)),"#",getgrade(Broadsheet!V175,data!$H$4:$I$9))</f>
        <v/>
      </c>
      <c r="AV64" s="188" t="str">
        <f>IF(ISERROR(getgrade(Broadsheet!W175,data!$H$4:$I$9)),"#",getgrade(Broadsheet!W175,data!$H$4:$I$9))</f>
        <v/>
      </c>
      <c r="AW64" s="188" t="str">
        <f>IF(ISERROR(getgrade(Broadsheet!X175,data!$H$4:$I$9)),"#",getgrade(Broadsheet!X175,data!$H$4:$I$9))</f>
        <v/>
      </c>
      <c r="AX64" s="188" t="str">
        <f>IF(ISERROR(getgrade(Broadsheet!Y175,data!$H$4:$I$9)),"#",getgrade(Broadsheet!Y175,data!$H$4:$I$9))</f>
        <v/>
      </c>
      <c r="AY64" s="188" t="str">
        <f>IF(ISERROR(getgrade(Broadsheet!Z175,data!$H$4:$I$9)),"#",getgrade(Broadsheet!Z175,data!$H$4:$I$9))</f>
        <v/>
      </c>
      <c r="AZ64" s="188" t="str">
        <f>IF(ISERROR(getgrade(Broadsheet!AA175,data!$H$4:$I$9)),"#",getgrade(Broadsheet!AA175,data!$H$4:$I$9))</f>
        <v/>
      </c>
      <c r="BA64" s="188" t="str">
        <f>IF(ISERROR(getgrade(Broadsheet!AB175,data!$H$4:$I$9)),"#",getgrade(Broadsheet!AB175,data!$H$4:$I$9))</f>
        <v/>
      </c>
      <c r="BB64" s="188" t="str">
        <f>IF(ISERROR(getgrade(Broadsheet!AC175,data!$H$4:$I$9)),"#",getgrade(Broadsheet!AC175,data!$H$4:$I$9))</f>
        <v/>
      </c>
      <c r="BC64" s="188" t="str">
        <f>IF(ISERROR(getgrade(Broadsheet!AD175,data!$H$4:$I$9)),"#",getgrade(Broadsheet!AD175,data!$H$4:$I$9))</f>
        <v/>
      </c>
      <c r="BD64" s="188" t="str">
        <f>IF(ISERROR(getgrade(Broadsheet!AE175,data!$H$4:$I$9)),"#",getgrade(Broadsheet!AE175,data!$H$4:$I$9))</f>
        <v/>
      </c>
      <c r="BE64" s="188" t="str">
        <f>IF(ISERROR(getgrade(Broadsheet!AF175,data!$H$4:$I$9)),"#",getgrade(Broadsheet!AF175,data!$H$4:$I$9))</f>
        <v/>
      </c>
      <c r="BF64" s="188" t="str">
        <f>IF(ISERROR(getgrade(Broadsheet!AG175,data!$H$4:$I$9)),"#",getgrade(Broadsheet!AG175,data!$H$4:$I$9))</f>
        <v/>
      </c>
      <c r="BG64" s="188" t="str">
        <f>IF(ISERROR(getgrade(Broadsheet!AH175,data!$H$4:$I$9)),"#",getgrade(Broadsheet!AH175,data!$H$4:$I$9))</f>
        <v/>
      </c>
      <c r="BH64" s="188" t="str">
        <f>IF(ISERROR(getgrade(Broadsheet!AI175,data!$H$4:$I$9)),"#",getgrade(Broadsheet!AI175,data!$H$4:$I$9))</f>
        <v/>
      </c>
      <c r="BI64" s="188" t="str">
        <f>IF(ISERROR(getgrade(Broadsheet!AJ175,data!$H$4:$I$9)),"#",getgrade(Broadsheet!AJ175,data!$H$4:$I$9))</f>
        <v/>
      </c>
      <c r="BJ64" s="188" t="str">
        <f>IF(ISERROR(getgrade(Broadsheet!AK175,data!$H$4:$I$9)),"#",getgrade(Broadsheet!AK175,data!$H$4:$I$9))</f>
        <v/>
      </c>
      <c r="BK64" s="188" t="str">
        <f>IF(ISERROR(getgrade(Broadsheet!AL175,data!$H$4:$I$9)),"#",getgrade(Broadsheet!AL175,data!$H$4:$I$9))</f>
        <v/>
      </c>
      <c r="BL64" s="188" t="str">
        <f>IF(ISERROR(getgrade(Broadsheet!AM175,data!$H$4:$I$9)),"#",getgrade(Broadsheet!AM175,data!$H$4:$I$9))</f>
        <v/>
      </c>
      <c r="BM64" s="188" t="str">
        <f>IF(ISERROR(getgrade(Broadsheet!AN175,data!$H$4:$I$9)),"#",getgrade(Broadsheet!AN175,data!$H$4:$I$9))</f>
        <v/>
      </c>
      <c r="BN64" s="188" t="str">
        <f>IF(ISERROR(getgrade(Broadsheet!AO175,data!$H$4:$I$9)),"#",getgrade(Broadsheet!AO175,data!$H$4:$I$9))</f>
        <v/>
      </c>
      <c r="BO64" s="188" t="str">
        <f>IF(ISERROR(getgrade(Broadsheet!AP175,data!$H$4:$I$9)),"#",getgrade(Broadsheet!AP175,data!$H$4:$I$9))</f>
        <v/>
      </c>
      <c r="BP64" s="188" t="str">
        <f>IF(ISERROR(getgrade(Broadsheet!AQ175,data!$H$4:$I$9)),"#",getgrade(Broadsheet!AQ175,data!$H$4:$I$9))</f>
        <v/>
      </c>
      <c r="BQ64" s="188" t="str">
        <f>IF(ISERROR(getgrade(Broadsheet!AR175,data!$H$4:$I$9)),"#",getgrade(Broadsheet!AR175,data!$H$4:$I$9))</f>
        <v/>
      </c>
      <c r="BR64" s="188" t="str">
        <f>IF(ISERROR(getgrade(Broadsheet!AS175,data!$H$4:$I$9)),"#",getgrade(Broadsheet!AS175,data!$H$4:$I$9))</f>
        <v/>
      </c>
      <c r="BS64" s="188" t="str">
        <f>IF(ISERROR(getgrade(Broadsheet!AT175,data!$H$4:$I$9)),"#",getgrade(Broadsheet!AT175,data!$H$4:$I$9))</f>
        <v/>
      </c>
      <c r="BT64" s="188" t="str">
        <f>IF(ISERROR(getgrade(Broadsheet!AU175,data!$H$4:$I$9)),"#",getgrade(Broadsheet!AU175,data!$H$4:$I$9))</f>
        <v/>
      </c>
      <c r="BU64" s="188" t="str">
        <f>IF(ISERROR(getgrade(Broadsheet!AV175,data!$H$4:$I$9)),"#",getgrade(Broadsheet!AV175,data!$H$4:$I$9))</f>
        <v/>
      </c>
      <c r="BV64" s="188" t="str">
        <f>IF(ISERROR(getgrade(Broadsheet!AW175,data!$H$4:$I$9)),"#",getgrade(Broadsheet!AW175,data!$H$4:$I$9))</f>
        <v/>
      </c>
      <c r="BW64" s="188" t="str">
        <f>IF(ISERROR(getgrade(Broadsheet!AX175,data!$H$4:$I$9)),"#",getgrade(Broadsheet!AX175,data!$H$4:$I$9))</f>
        <v/>
      </c>
      <c r="BX64" s="188" t="str">
        <f>IF(ISERROR(getgrade(Broadsheet!AY175,data!$H$4:$I$9)),"#",getgrade(Broadsheet!AY175,data!$H$4:$I$9))</f>
        <v/>
      </c>
      <c r="BY64" s="188" t="str">
        <f>IF(ISERROR(getgrade(Broadsheet!AZ175,data!$H$4:$I$9)),"#",getgrade(Broadsheet!AZ175,data!$H$4:$I$9))</f>
        <v/>
      </c>
      <c r="BZ64" s="188" t="str">
        <f>IF(ISERROR(getgrade(Broadsheet!BA175,data!$H$4:$I$9)),"#",getgrade(Broadsheet!BA175,data!$H$4:$I$9))</f>
        <v/>
      </c>
      <c r="CA64" s="188" t="str">
        <f>IF(ISERROR(getgrade(Broadsheet!BB175,data!$H$4:$I$9)),"#",getgrade(Broadsheet!BB175,data!$H$4:$I$9))</f>
        <v/>
      </c>
      <c r="CB64" s="188" t="str">
        <f>IF(ISERROR(getgrade(Broadsheet!BC175,data!$H$4:$I$9)),"#",getgrade(Broadsheet!BC175,data!$H$4:$I$9))</f>
        <v/>
      </c>
      <c r="CC64" s="188" t="str">
        <f>IF(ISERROR(getgrade(Broadsheet!BD175,data!$H$4:$I$9)),"#",getgrade(Broadsheet!BD175,data!$H$4:$I$9))</f>
        <v/>
      </c>
      <c r="CD64" s="188" t="str">
        <f>IF(ISERROR(getgrade(Broadsheet!BE175,data!$H$4:$I$9)),"#",getgrade(Broadsheet!BE175,data!$H$4:$I$9))</f>
        <v/>
      </c>
      <c r="CE64" s="188" t="str">
        <f>IF(ISERROR(getgrade(Broadsheet!BF175,data!$H$4:$I$9)),"#",getgrade(Broadsheet!BF175,data!$H$4:$I$9))</f>
        <v/>
      </c>
      <c r="CF64" s="188" t="str">
        <f>IF(ISERROR(getgrade(Broadsheet!BG175,data!$H$4:$I$9)),"#",getgrade(Broadsheet!BG175,data!$H$4:$I$9))</f>
        <v/>
      </c>
      <c r="CG64" s="188" t="str">
        <f>IF(ISERROR(getgrade(Broadsheet!BH175,data!$H$4:$I$9)),"#",getgrade(Broadsheet!BH175,data!$H$4:$I$9))</f>
        <v/>
      </c>
      <c r="CH64" s="188" t="str">
        <f>IF(ISERROR(getgrade(Broadsheet!BI175,data!$H$4:$I$9)),"#",getgrade(Broadsheet!BI175,data!$H$4:$I$9))</f>
        <v/>
      </c>
      <c r="CI64" s="188" t="str">
        <f>IF(ISERROR(getgrade(Broadsheet!BJ175,data!$H$4:$I$9)),"#",getgrade(Broadsheet!BJ175,data!$H$4:$I$9))</f>
        <v/>
      </c>
      <c r="CJ64" s="188"/>
      <c r="CK64" s="188"/>
      <c r="CL64" s="188"/>
      <c r="CM64" s="188"/>
      <c r="CN64" s="188"/>
      <c r="CO64" s="188"/>
      <c r="CP64" s="188"/>
      <c r="CQ64" s="188"/>
      <c r="CR64" s="188"/>
      <c r="CS64" s="188"/>
      <c r="CT64" s="188"/>
      <c r="CU64" s="188"/>
      <c r="CV64" s="188"/>
      <c r="CW64" s="188"/>
      <c r="CX64" s="188"/>
      <c r="CY64" s="188"/>
      <c r="CZ64" s="188"/>
      <c r="DA64" s="188"/>
      <c r="DB64" s="188"/>
      <c r="DC64" s="188"/>
      <c r="DD64" s="188"/>
      <c r="DE64" s="188"/>
      <c r="DF64" s="188"/>
      <c r="DG64" s="188"/>
      <c r="DH64" s="188"/>
      <c r="DI64" s="188"/>
      <c r="DJ64" s="188"/>
      <c r="DK64" s="188"/>
      <c r="DL64" s="188"/>
      <c r="DM64" s="188"/>
      <c r="DN64" s="188"/>
      <c r="DO64" s="188"/>
      <c r="DP64" s="188"/>
      <c r="DQ64" s="188"/>
      <c r="DR64" s="188"/>
      <c r="DS64" s="188"/>
      <c r="DT64" s="188"/>
      <c r="DU64" s="188"/>
      <c r="DV64" s="188"/>
      <c r="DW64" s="188"/>
      <c r="DX64" s="188"/>
      <c r="DY64" s="188"/>
      <c r="DZ64" s="188"/>
      <c r="EA64" s="188"/>
      <c r="EB64" s="188"/>
      <c r="EC64" s="188"/>
      <c r="ED64" s="188"/>
      <c r="EE64" s="188"/>
      <c r="EF64" s="188"/>
      <c r="EG64" s="188"/>
      <c r="EH64" s="188"/>
      <c r="EI64" s="188"/>
      <c r="EJ64" s="188"/>
      <c r="EK64" s="188"/>
      <c r="EL64" s="188"/>
      <c r="EM64" s="188"/>
      <c r="EN64" s="188"/>
      <c r="EO64" s="188"/>
      <c r="EP64" s="188"/>
      <c r="EQ64" s="188"/>
      <c r="ER64" s="188"/>
      <c r="ES64" s="188"/>
      <c r="ET64" s="188"/>
      <c r="EU64" s="188"/>
      <c r="EV64" s="188"/>
      <c r="EW64" s="188"/>
      <c r="EX64" s="188"/>
      <c r="EY64" s="188"/>
      <c r="EZ64" s="188"/>
    </row>
    <row r="65" spans="26:156" ht="15.75" x14ac:dyDescent="0.25">
      <c r="Z65" s="2"/>
      <c r="AA65" s="2"/>
      <c r="AB65" s="2"/>
      <c r="AC65" s="2"/>
      <c r="AD65" s="2"/>
      <c r="AE65" s="2"/>
      <c r="AG65" s="188" t="str">
        <f>IF(ISERROR(getgrade(Broadsheet!H176,data!$H$4:$I$9)),"#",getgrade(Broadsheet!H176,data!$H$4:$I$9))</f>
        <v/>
      </c>
      <c r="AH65" s="188" t="str">
        <f>IF(ISERROR(getgrade(Broadsheet!I176,data!$H$4:$I$9)),"#",getgrade(Broadsheet!I176,data!$H$4:$I$9))</f>
        <v/>
      </c>
      <c r="AI65" s="188" t="str">
        <f>IF(ISERROR(getgrade(Broadsheet!J176,data!$H$4:$I$9)),"#",getgrade(Broadsheet!J176,data!$H$4:$I$9))</f>
        <v/>
      </c>
      <c r="AJ65" s="188" t="str">
        <f>IF(ISERROR(getgrade(Broadsheet!K176,data!$H$4:$I$9)),"#",getgrade(Broadsheet!K176,data!$H$4:$I$9))</f>
        <v/>
      </c>
      <c r="AK65" s="188" t="str">
        <f>IF(ISERROR(getgrade(Broadsheet!L176,data!$H$4:$I$9)),"#",getgrade(Broadsheet!L176,data!$H$4:$I$9))</f>
        <v/>
      </c>
      <c r="AL65" s="188" t="str">
        <f>IF(ISERROR(getgrade(Broadsheet!M176,data!$H$4:$I$9)),"#",getgrade(Broadsheet!M176,data!$H$4:$I$9))</f>
        <v/>
      </c>
      <c r="AM65" s="188" t="str">
        <f>IF(ISERROR(getgrade(Broadsheet!N176,data!$H$4:$I$9)),"#",getgrade(Broadsheet!N176,data!$H$4:$I$9))</f>
        <v/>
      </c>
      <c r="AN65" s="188" t="str">
        <f>IF(ISERROR(getgrade(Broadsheet!O176,data!$H$4:$I$9)),"#",getgrade(Broadsheet!O176,data!$H$4:$I$9))</f>
        <v/>
      </c>
      <c r="AO65" s="188" t="str">
        <f>IF(ISERROR(getgrade(Broadsheet!P176,data!$H$4:$I$9)),"#",getgrade(Broadsheet!P176,data!$H$4:$I$9))</f>
        <v/>
      </c>
      <c r="AP65" s="188" t="str">
        <f>IF(ISERROR(getgrade(Broadsheet!Q176,data!$H$4:$I$9)),"#",getgrade(Broadsheet!Q176,data!$H$4:$I$9))</f>
        <v/>
      </c>
      <c r="AQ65" s="188" t="str">
        <f>IF(ISERROR(getgrade(Broadsheet!R176,data!$H$4:$I$9)),"#",getgrade(Broadsheet!R176,data!$H$4:$I$9))</f>
        <v/>
      </c>
      <c r="AR65" s="188" t="str">
        <f>IF(ISERROR(getgrade(Broadsheet!S176,data!$H$4:$I$9)),"#",getgrade(Broadsheet!S176,data!$H$4:$I$9))</f>
        <v/>
      </c>
      <c r="AS65" s="188" t="str">
        <f>IF(ISERROR(getgrade(Broadsheet!T176,data!$H$4:$I$9)),"#",getgrade(Broadsheet!T176,data!$H$4:$I$9))</f>
        <v/>
      </c>
      <c r="AT65" s="188" t="str">
        <f>IF(ISERROR(getgrade(Broadsheet!U176,data!$H$4:$I$9)),"#",getgrade(Broadsheet!U176,data!$H$4:$I$9))</f>
        <v/>
      </c>
      <c r="AU65" s="188" t="str">
        <f>IF(ISERROR(getgrade(Broadsheet!V176,data!$H$4:$I$9)),"#",getgrade(Broadsheet!V176,data!$H$4:$I$9))</f>
        <v/>
      </c>
      <c r="AV65" s="188" t="str">
        <f>IF(ISERROR(getgrade(Broadsheet!W176,data!$H$4:$I$9)),"#",getgrade(Broadsheet!W176,data!$H$4:$I$9))</f>
        <v/>
      </c>
      <c r="AW65" s="188" t="str">
        <f>IF(ISERROR(getgrade(Broadsheet!X176,data!$H$4:$I$9)),"#",getgrade(Broadsheet!X176,data!$H$4:$I$9))</f>
        <v/>
      </c>
      <c r="AX65" s="188" t="str">
        <f>IF(ISERROR(getgrade(Broadsheet!Y176,data!$H$4:$I$9)),"#",getgrade(Broadsheet!Y176,data!$H$4:$I$9))</f>
        <v/>
      </c>
      <c r="AY65" s="188" t="str">
        <f>IF(ISERROR(getgrade(Broadsheet!Z176,data!$H$4:$I$9)),"#",getgrade(Broadsheet!Z176,data!$H$4:$I$9))</f>
        <v/>
      </c>
      <c r="AZ65" s="188" t="str">
        <f>IF(ISERROR(getgrade(Broadsheet!AA176,data!$H$4:$I$9)),"#",getgrade(Broadsheet!AA176,data!$H$4:$I$9))</f>
        <v/>
      </c>
      <c r="BA65" s="188" t="str">
        <f>IF(ISERROR(getgrade(Broadsheet!AB176,data!$H$4:$I$9)),"#",getgrade(Broadsheet!AB176,data!$H$4:$I$9))</f>
        <v/>
      </c>
      <c r="BB65" s="188" t="str">
        <f>IF(ISERROR(getgrade(Broadsheet!AC176,data!$H$4:$I$9)),"#",getgrade(Broadsheet!AC176,data!$H$4:$I$9))</f>
        <v/>
      </c>
      <c r="BC65" s="188" t="str">
        <f>IF(ISERROR(getgrade(Broadsheet!AD176,data!$H$4:$I$9)),"#",getgrade(Broadsheet!AD176,data!$H$4:$I$9))</f>
        <v/>
      </c>
      <c r="BD65" s="188" t="str">
        <f>IF(ISERROR(getgrade(Broadsheet!AE176,data!$H$4:$I$9)),"#",getgrade(Broadsheet!AE176,data!$H$4:$I$9))</f>
        <v/>
      </c>
      <c r="BE65" s="188" t="str">
        <f>IF(ISERROR(getgrade(Broadsheet!AF176,data!$H$4:$I$9)),"#",getgrade(Broadsheet!AF176,data!$H$4:$I$9))</f>
        <v/>
      </c>
      <c r="BF65" s="188" t="str">
        <f>IF(ISERROR(getgrade(Broadsheet!AG176,data!$H$4:$I$9)),"#",getgrade(Broadsheet!AG176,data!$H$4:$I$9))</f>
        <v/>
      </c>
      <c r="BG65" s="188" t="str">
        <f>IF(ISERROR(getgrade(Broadsheet!AH176,data!$H$4:$I$9)),"#",getgrade(Broadsheet!AH176,data!$H$4:$I$9))</f>
        <v/>
      </c>
      <c r="BH65" s="188" t="str">
        <f>IF(ISERROR(getgrade(Broadsheet!AI176,data!$H$4:$I$9)),"#",getgrade(Broadsheet!AI176,data!$H$4:$I$9))</f>
        <v/>
      </c>
      <c r="BI65" s="188" t="str">
        <f>IF(ISERROR(getgrade(Broadsheet!AJ176,data!$H$4:$I$9)),"#",getgrade(Broadsheet!AJ176,data!$H$4:$I$9))</f>
        <v/>
      </c>
      <c r="BJ65" s="188" t="str">
        <f>IF(ISERROR(getgrade(Broadsheet!AK176,data!$H$4:$I$9)),"#",getgrade(Broadsheet!AK176,data!$H$4:$I$9))</f>
        <v/>
      </c>
      <c r="BK65" s="188" t="str">
        <f>IF(ISERROR(getgrade(Broadsheet!AL176,data!$H$4:$I$9)),"#",getgrade(Broadsheet!AL176,data!$H$4:$I$9))</f>
        <v/>
      </c>
      <c r="BL65" s="188" t="str">
        <f>IF(ISERROR(getgrade(Broadsheet!AM176,data!$H$4:$I$9)),"#",getgrade(Broadsheet!AM176,data!$H$4:$I$9))</f>
        <v/>
      </c>
      <c r="BM65" s="188" t="str">
        <f>IF(ISERROR(getgrade(Broadsheet!AN176,data!$H$4:$I$9)),"#",getgrade(Broadsheet!AN176,data!$H$4:$I$9))</f>
        <v/>
      </c>
      <c r="BN65" s="188" t="str">
        <f>IF(ISERROR(getgrade(Broadsheet!AO176,data!$H$4:$I$9)),"#",getgrade(Broadsheet!AO176,data!$H$4:$I$9))</f>
        <v/>
      </c>
      <c r="BO65" s="188" t="str">
        <f>IF(ISERROR(getgrade(Broadsheet!AP176,data!$H$4:$I$9)),"#",getgrade(Broadsheet!AP176,data!$H$4:$I$9))</f>
        <v/>
      </c>
      <c r="BP65" s="188" t="str">
        <f>IF(ISERROR(getgrade(Broadsheet!AQ176,data!$H$4:$I$9)),"#",getgrade(Broadsheet!AQ176,data!$H$4:$I$9))</f>
        <v/>
      </c>
      <c r="BQ65" s="188" t="str">
        <f>IF(ISERROR(getgrade(Broadsheet!AR176,data!$H$4:$I$9)),"#",getgrade(Broadsheet!AR176,data!$H$4:$I$9))</f>
        <v/>
      </c>
      <c r="BR65" s="188" t="str">
        <f>IF(ISERROR(getgrade(Broadsheet!AS176,data!$H$4:$I$9)),"#",getgrade(Broadsheet!AS176,data!$H$4:$I$9))</f>
        <v/>
      </c>
      <c r="BS65" s="188" t="str">
        <f>IF(ISERROR(getgrade(Broadsheet!AT176,data!$H$4:$I$9)),"#",getgrade(Broadsheet!AT176,data!$H$4:$I$9))</f>
        <v/>
      </c>
      <c r="BT65" s="188" t="str">
        <f>IF(ISERROR(getgrade(Broadsheet!AU176,data!$H$4:$I$9)),"#",getgrade(Broadsheet!AU176,data!$H$4:$I$9))</f>
        <v/>
      </c>
      <c r="BU65" s="188" t="str">
        <f>IF(ISERROR(getgrade(Broadsheet!AV176,data!$H$4:$I$9)),"#",getgrade(Broadsheet!AV176,data!$H$4:$I$9))</f>
        <v/>
      </c>
      <c r="BV65" s="188" t="str">
        <f>IF(ISERROR(getgrade(Broadsheet!AW176,data!$H$4:$I$9)),"#",getgrade(Broadsheet!AW176,data!$H$4:$I$9))</f>
        <v/>
      </c>
      <c r="BW65" s="188" t="str">
        <f>IF(ISERROR(getgrade(Broadsheet!AX176,data!$H$4:$I$9)),"#",getgrade(Broadsheet!AX176,data!$H$4:$I$9))</f>
        <v/>
      </c>
      <c r="BX65" s="188" t="str">
        <f>IF(ISERROR(getgrade(Broadsheet!AY176,data!$H$4:$I$9)),"#",getgrade(Broadsheet!AY176,data!$H$4:$I$9))</f>
        <v/>
      </c>
      <c r="BY65" s="188" t="str">
        <f>IF(ISERROR(getgrade(Broadsheet!AZ176,data!$H$4:$I$9)),"#",getgrade(Broadsheet!AZ176,data!$H$4:$I$9))</f>
        <v/>
      </c>
      <c r="BZ65" s="188" t="str">
        <f>IF(ISERROR(getgrade(Broadsheet!BA176,data!$H$4:$I$9)),"#",getgrade(Broadsheet!BA176,data!$H$4:$I$9))</f>
        <v/>
      </c>
      <c r="CA65" s="188" t="str">
        <f>IF(ISERROR(getgrade(Broadsheet!BB176,data!$H$4:$I$9)),"#",getgrade(Broadsheet!BB176,data!$H$4:$I$9))</f>
        <v/>
      </c>
      <c r="CB65" s="188" t="str">
        <f>IF(ISERROR(getgrade(Broadsheet!BC176,data!$H$4:$I$9)),"#",getgrade(Broadsheet!BC176,data!$H$4:$I$9))</f>
        <v/>
      </c>
      <c r="CC65" s="188" t="str">
        <f>IF(ISERROR(getgrade(Broadsheet!BD176,data!$H$4:$I$9)),"#",getgrade(Broadsheet!BD176,data!$H$4:$I$9))</f>
        <v/>
      </c>
      <c r="CD65" s="188" t="str">
        <f>IF(ISERROR(getgrade(Broadsheet!BE176,data!$H$4:$I$9)),"#",getgrade(Broadsheet!BE176,data!$H$4:$I$9))</f>
        <v/>
      </c>
      <c r="CE65" s="188" t="str">
        <f>IF(ISERROR(getgrade(Broadsheet!BF176,data!$H$4:$I$9)),"#",getgrade(Broadsheet!BF176,data!$H$4:$I$9))</f>
        <v/>
      </c>
      <c r="CF65" s="188" t="str">
        <f>IF(ISERROR(getgrade(Broadsheet!BG176,data!$H$4:$I$9)),"#",getgrade(Broadsheet!BG176,data!$H$4:$I$9))</f>
        <v/>
      </c>
      <c r="CG65" s="188" t="str">
        <f>IF(ISERROR(getgrade(Broadsheet!BH176,data!$H$4:$I$9)),"#",getgrade(Broadsheet!BH176,data!$H$4:$I$9))</f>
        <v/>
      </c>
      <c r="CH65" s="188" t="str">
        <f>IF(ISERROR(getgrade(Broadsheet!BI176,data!$H$4:$I$9)),"#",getgrade(Broadsheet!BI176,data!$H$4:$I$9))</f>
        <v/>
      </c>
      <c r="CI65" s="188" t="str">
        <f>IF(ISERROR(getgrade(Broadsheet!BJ176,data!$H$4:$I$9)),"#",getgrade(Broadsheet!BJ176,data!$H$4:$I$9))</f>
        <v/>
      </c>
      <c r="CJ65" s="188"/>
      <c r="CK65" s="188"/>
      <c r="CL65" s="188"/>
      <c r="CM65" s="188"/>
      <c r="CN65" s="188"/>
      <c r="CO65" s="188"/>
      <c r="CP65" s="188"/>
      <c r="CQ65" s="188"/>
      <c r="CR65" s="188"/>
      <c r="CS65" s="188"/>
      <c r="CT65" s="188"/>
      <c r="CU65" s="188"/>
      <c r="CV65" s="188"/>
      <c r="CW65" s="188"/>
      <c r="CX65" s="188"/>
      <c r="CY65" s="188"/>
      <c r="CZ65" s="188"/>
      <c r="DA65" s="188"/>
      <c r="DB65" s="188"/>
      <c r="DC65" s="188"/>
      <c r="DD65" s="188"/>
      <c r="DE65" s="188"/>
      <c r="DF65" s="188"/>
      <c r="DG65" s="188"/>
      <c r="DH65" s="188"/>
      <c r="DI65" s="188"/>
      <c r="DJ65" s="188"/>
      <c r="DK65" s="188"/>
      <c r="DL65" s="188"/>
      <c r="DM65" s="188"/>
      <c r="DN65" s="188"/>
      <c r="DO65" s="188"/>
      <c r="DP65" s="188"/>
      <c r="DQ65" s="188"/>
      <c r="DR65" s="188"/>
      <c r="DS65" s="188"/>
      <c r="DT65" s="188"/>
      <c r="DU65" s="188"/>
      <c r="DV65" s="188"/>
      <c r="DW65" s="188"/>
      <c r="DX65" s="188"/>
      <c r="DY65" s="188"/>
      <c r="DZ65" s="188"/>
      <c r="EA65" s="188"/>
      <c r="EB65" s="188"/>
      <c r="EC65" s="188"/>
      <c r="ED65" s="188"/>
      <c r="EE65" s="188"/>
      <c r="EF65" s="188"/>
      <c r="EG65" s="188"/>
      <c r="EH65" s="188"/>
      <c r="EI65" s="188"/>
      <c r="EJ65" s="188"/>
      <c r="EK65" s="188"/>
      <c r="EL65" s="188"/>
      <c r="EM65" s="188"/>
      <c r="EN65" s="188"/>
      <c r="EO65" s="188"/>
      <c r="EP65" s="188"/>
      <c r="EQ65" s="188"/>
      <c r="ER65" s="188"/>
      <c r="ES65" s="188"/>
      <c r="ET65" s="188"/>
      <c r="EU65" s="188"/>
      <c r="EV65" s="188"/>
      <c r="EW65" s="188"/>
      <c r="EX65" s="188"/>
      <c r="EY65" s="188"/>
      <c r="EZ65" s="188"/>
    </row>
    <row r="66" spans="26:156" ht="15.75" x14ac:dyDescent="0.25">
      <c r="Z66" s="2"/>
      <c r="AA66" s="2"/>
      <c r="AB66" s="2"/>
      <c r="AC66" s="2"/>
      <c r="AD66" s="2"/>
      <c r="AE66" s="2"/>
      <c r="AG66" s="188" t="str">
        <f>IF(ISERROR(getgrade(Broadsheet!H177,data!$H$4:$I$9)),"#",getgrade(Broadsheet!H177,data!$H$4:$I$9))</f>
        <v/>
      </c>
      <c r="AH66" s="188" t="str">
        <f>IF(ISERROR(getgrade(Broadsheet!I177,data!$H$4:$I$9)),"#",getgrade(Broadsheet!I177,data!$H$4:$I$9))</f>
        <v/>
      </c>
      <c r="AI66" s="188" t="str">
        <f>IF(ISERROR(getgrade(Broadsheet!J177,data!$H$4:$I$9)),"#",getgrade(Broadsheet!J177,data!$H$4:$I$9))</f>
        <v/>
      </c>
      <c r="AJ66" s="188" t="str">
        <f>IF(ISERROR(getgrade(Broadsheet!K177,data!$H$4:$I$9)),"#",getgrade(Broadsheet!K177,data!$H$4:$I$9))</f>
        <v/>
      </c>
      <c r="AK66" s="188" t="str">
        <f>IF(ISERROR(getgrade(Broadsheet!L177,data!$H$4:$I$9)),"#",getgrade(Broadsheet!L177,data!$H$4:$I$9))</f>
        <v/>
      </c>
      <c r="AL66" s="188" t="str">
        <f>IF(ISERROR(getgrade(Broadsheet!M177,data!$H$4:$I$9)),"#",getgrade(Broadsheet!M177,data!$H$4:$I$9))</f>
        <v/>
      </c>
      <c r="AM66" s="188" t="str">
        <f>IF(ISERROR(getgrade(Broadsheet!N177,data!$H$4:$I$9)),"#",getgrade(Broadsheet!N177,data!$H$4:$I$9))</f>
        <v/>
      </c>
      <c r="AN66" s="188" t="str">
        <f>IF(ISERROR(getgrade(Broadsheet!O177,data!$H$4:$I$9)),"#",getgrade(Broadsheet!O177,data!$H$4:$I$9))</f>
        <v/>
      </c>
      <c r="AO66" s="188" t="str">
        <f>IF(ISERROR(getgrade(Broadsheet!P177,data!$H$4:$I$9)),"#",getgrade(Broadsheet!P177,data!$H$4:$I$9))</f>
        <v/>
      </c>
      <c r="AP66" s="188" t="str">
        <f>IF(ISERROR(getgrade(Broadsheet!Q177,data!$H$4:$I$9)),"#",getgrade(Broadsheet!Q177,data!$H$4:$I$9))</f>
        <v/>
      </c>
      <c r="AQ66" s="188" t="str">
        <f>IF(ISERROR(getgrade(Broadsheet!R177,data!$H$4:$I$9)),"#",getgrade(Broadsheet!R177,data!$H$4:$I$9))</f>
        <v/>
      </c>
      <c r="AR66" s="188" t="str">
        <f>IF(ISERROR(getgrade(Broadsheet!S177,data!$H$4:$I$9)),"#",getgrade(Broadsheet!S177,data!$H$4:$I$9))</f>
        <v/>
      </c>
      <c r="AS66" s="188" t="str">
        <f>IF(ISERROR(getgrade(Broadsheet!T177,data!$H$4:$I$9)),"#",getgrade(Broadsheet!T177,data!$H$4:$I$9))</f>
        <v/>
      </c>
      <c r="AT66" s="188" t="str">
        <f>IF(ISERROR(getgrade(Broadsheet!U177,data!$H$4:$I$9)),"#",getgrade(Broadsheet!U177,data!$H$4:$I$9))</f>
        <v/>
      </c>
      <c r="AU66" s="188" t="str">
        <f>IF(ISERROR(getgrade(Broadsheet!V177,data!$H$4:$I$9)),"#",getgrade(Broadsheet!V177,data!$H$4:$I$9))</f>
        <v/>
      </c>
      <c r="AV66" s="188" t="str">
        <f>IF(ISERROR(getgrade(Broadsheet!W177,data!$H$4:$I$9)),"#",getgrade(Broadsheet!W177,data!$H$4:$I$9))</f>
        <v/>
      </c>
      <c r="AW66" s="188" t="str">
        <f>IF(ISERROR(getgrade(Broadsheet!X177,data!$H$4:$I$9)),"#",getgrade(Broadsheet!X177,data!$H$4:$I$9))</f>
        <v/>
      </c>
      <c r="AX66" s="188" t="str">
        <f>IF(ISERROR(getgrade(Broadsheet!Y177,data!$H$4:$I$9)),"#",getgrade(Broadsheet!Y177,data!$H$4:$I$9))</f>
        <v/>
      </c>
      <c r="AY66" s="188" t="str">
        <f>IF(ISERROR(getgrade(Broadsheet!Z177,data!$H$4:$I$9)),"#",getgrade(Broadsheet!Z177,data!$H$4:$I$9))</f>
        <v/>
      </c>
      <c r="AZ66" s="188" t="str">
        <f>IF(ISERROR(getgrade(Broadsheet!AA177,data!$H$4:$I$9)),"#",getgrade(Broadsheet!AA177,data!$H$4:$I$9))</f>
        <v/>
      </c>
      <c r="BA66" s="188" t="str">
        <f>IF(ISERROR(getgrade(Broadsheet!AB177,data!$H$4:$I$9)),"#",getgrade(Broadsheet!AB177,data!$H$4:$I$9))</f>
        <v/>
      </c>
      <c r="BB66" s="188" t="str">
        <f>IF(ISERROR(getgrade(Broadsheet!AC177,data!$H$4:$I$9)),"#",getgrade(Broadsheet!AC177,data!$H$4:$I$9))</f>
        <v/>
      </c>
      <c r="BC66" s="188" t="str">
        <f>IF(ISERROR(getgrade(Broadsheet!AD177,data!$H$4:$I$9)),"#",getgrade(Broadsheet!AD177,data!$H$4:$I$9))</f>
        <v/>
      </c>
      <c r="BD66" s="188" t="str">
        <f>IF(ISERROR(getgrade(Broadsheet!AE177,data!$H$4:$I$9)),"#",getgrade(Broadsheet!AE177,data!$H$4:$I$9))</f>
        <v/>
      </c>
      <c r="BE66" s="188" t="str">
        <f>IF(ISERROR(getgrade(Broadsheet!AF177,data!$H$4:$I$9)),"#",getgrade(Broadsheet!AF177,data!$H$4:$I$9))</f>
        <v/>
      </c>
      <c r="BF66" s="188" t="str">
        <f>IF(ISERROR(getgrade(Broadsheet!AG177,data!$H$4:$I$9)),"#",getgrade(Broadsheet!AG177,data!$H$4:$I$9))</f>
        <v/>
      </c>
      <c r="BG66" s="188" t="str">
        <f>IF(ISERROR(getgrade(Broadsheet!AH177,data!$H$4:$I$9)),"#",getgrade(Broadsheet!AH177,data!$H$4:$I$9))</f>
        <v/>
      </c>
      <c r="BH66" s="188" t="str">
        <f>IF(ISERROR(getgrade(Broadsheet!AI177,data!$H$4:$I$9)),"#",getgrade(Broadsheet!AI177,data!$H$4:$I$9))</f>
        <v/>
      </c>
      <c r="BI66" s="188" t="str">
        <f>IF(ISERROR(getgrade(Broadsheet!AJ177,data!$H$4:$I$9)),"#",getgrade(Broadsheet!AJ177,data!$H$4:$I$9))</f>
        <v/>
      </c>
      <c r="BJ66" s="188" t="str">
        <f>IF(ISERROR(getgrade(Broadsheet!AK177,data!$H$4:$I$9)),"#",getgrade(Broadsheet!AK177,data!$H$4:$I$9))</f>
        <v/>
      </c>
      <c r="BK66" s="188" t="str">
        <f>IF(ISERROR(getgrade(Broadsheet!AL177,data!$H$4:$I$9)),"#",getgrade(Broadsheet!AL177,data!$H$4:$I$9))</f>
        <v/>
      </c>
      <c r="BL66" s="188" t="str">
        <f>IF(ISERROR(getgrade(Broadsheet!AM177,data!$H$4:$I$9)),"#",getgrade(Broadsheet!AM177,data!$H$4:$I$9))</f>
        <v/>
      </c>
      <c r="BM66" s="188" t="str">
        <f>IF(ISERROR(getgrade(Broadsheet!AN177,data!$H$4:$I$9)),"#",getgrade(Broadsheet!AN177,data!$H$4:$I$9))</f>
        <v/>
      </c>
      <c r="BN66" s="188" t="str">
        <f>IF(ISERROR(getgrade(Broadsheet!AO177,data!$H$4:$I$9)),"#",getgrade(Broadsheet!AO177,data!$H$4:$I$9))</f>
        <v/>
      </c>
      <c r="BO66" s="188" t="str">
        <f>IF(ISERROR(getgrade(Broadsheet!AP177,data!$H$4:$I$9)),"#",getgrade(Broadsheet!AP177,data!$H$4:$I$9))</f>
        <v/>
      </c>
      <c r="BP66" s="188" t="str">
        <f>IF(ISERROR(getgrade(Broadsheet!AQ177,data!$H$4:$I$9)),"#",getgrade(Broadsheet!AQ177,data!$H$4:$I$9))</f>
        <v/>
      </c>
      <c r="BQ66" s="188" t="str">
        <f>IF(ISERROR(getgrade(Broadsheet!AR177,data!$H$4:$I$9)),"#",getgrade(Broadsheet!AR177,data!$H$4:$I$9))</f>
        <v/>
      </c>
      <c r="BR66" s="188" t="str">
        <f>IF(ISERROR(getgrade(Broadsheet!AS177,data!$H$4:$I$9)),"#",getgrade(Broadsheet!AS177,data!$H$4:$I$9))</f>
        <v/>
      </c>
      <c r="BS66" s="188" t="str">
        <f>IF(ISERROR(getgrade(Broadsheet!AT177,data!$H$4:$I$9)),"#",getgrade(Broadsheet!AT177,data!$H$4:$I$9))</f>
        <v/>
      </c>
      <c r="BT66" s="188" t="str">
        <f>IF(ISERROR(getgrade(Broadsheet!AU177,data!$H$4:$I$9)),"#",getgrade(Broadsheet!AU177,data!$H$4:$I$9))</f>
        <v/>
      </c>
      <c r="BU66" s="188" t="str">
        <f>IF(ISERROR(getgrade(Broadsheet!AV177,data!$H$4:$I$9)),"#",getgrade(Broadsheet!AV177,data!$H$4:$I$9))</f>
        <v/>
      </c>
      <c r="BV66" s="188" t="str">
        <f>IF(ISERROR(getgrade(Broadsheet!AW177,data!$H$4:$I$9)),"#",getgrade(Broadsheet!AW177,data!$H$4:$I$9))</f>
        <v/>
      </c>
      <c r="BW66" s="188" t="str">
        <f>IF(ISERROR(getgrade(Broadsheet!AX177,data!$H$4:$I$9)),"#",getgrade(Broadsheet!AX177,data!$H$4:$I$9))</f>
        <v/>
      </c>
      <c r="BX66" s="188" t="str">
        <f>IF(ISERROR(getgrade(Broadsheet!AY177,data!$H$4:$I$9)),"#",getgrade(Broadsheet!AY177,data!$H$4:$I$9))</f>
        <v/>
      </c>
      <c r="BY66" s="188" t="str">
        <f>IF(ISERROR(getgrade(Broadsheet!AZ177,data!$H$4:$I$9)),"#",getgrade(Broadsheet!AZ177,data!$H$4:$I$9))</f>
        <v/>
      </c>
      <c r="BZ66" s="188" t="str">
        <f>IF(ISERROR(getgrade(Broadsheet!BA177,data!$H$4:$I$9)),"#",getgrade(Broadsheet!BA177,data!$H$4:$I$9))</f>
        <v/>
      </c>
      <c r="CA66" s="188" t="str">
        <f>IF(ISERROR(getgrade(Broadsheet!BB177,data!$H$4:$I$9)),"#",getgrade(Broadsheet!BB177,data!$H$4:$I$9))</f>
        <v/>
      </c>
      <c r="CB66" s="188" t="str">
        <f>IF(ISERROR(getgrade(Broadsheet!BC177,data!$H$4:$I$9)),"#",getgrade(Broadsheet!BC177,data!$H$4:$I$9))</f>
        <v/>
      </c>
      <c r="CC66" s="188" t="str">
        <f>IF(ISERROR(getgrade(Broadsheet!BD177,data!$H$4:$I$9)),"#",getgrade(Broadsheet!BD177,data!$H$4:$I$9))</f>
        <v/>
      </c>
      <c r="CD66" s="188" t="str">
        <f>IF(ISERROR(getgrade(Broadsheet!BE177,data!$H$4:$I$9)),"#",getgrade(Broadsheet!BE177,data!$H$4:$I$9))</f>
        <v/>
      </c>
      <c r="CE66" s="188" t="str">
        <f>IF(ISERROR(getgrade(Broadsheet!BF177,data!$H$4:$I$9)),"#",getgrade(Broadsheet!BF177,data!$H$4:$I$9))</f>
        <v/>
      </c>
      <c r="CF66" s="188" t="str">
        <f>IF(ISERROR(getgrade(Broadsheet!BG177,data!$H$4:$I$9)),"#",getgrade(Broadsheet!BG177,data!$H$4:$I$9))</f>
        <v/>
      </c>
      <c r="CG66" s="188" t="str">
        <f>IF(ISERROR(getgrade(Broadsheet!BH177,data!$H$4:$I$9)),"#",getgrade(Broadsheet!BH177,data!$H$4:$I$9))</f>
        <v/>
      </c>
      <c r="CH66" s="188" t="str">
        <f>IF(ISERROR(getgrade(Broadsheet!BI177,data!$H$4:$I$9)),"#",getgrade(Broadsheet!BI177,data!$H$4:$I$9))</f>
        <v/>
      </c>
      <c r="CI66" s="188" t="str">
        <f>IF(ISERROR(getgrade(Broadsheet!BJ177,data!$H$4:$I$9)),"#",getgrade(Broadsheet!BJ177,data!$H$4:$I$9))</f>
        <v/>
      </c>
      <c r="CJ66" s="188"/>
      <c r="CK66" s="188"/>
      <c r="CL66" s="188"/>
      <c r="CM66" s="188"/>
      <c r="CN66" s="188"/>
      <c r="CO66" s="188"/>
      <c r="CP66" s="188"/>
      <c r="CQ66" s="188"/>
      <c r="CR66" s="188"/>
      <c r="CS66" s="188"/>
      <c r="CT66" s="188"/>
      <c r="CU66" s="188"/>
      <c r="CV66" s="188"/>
      <c r="CW66" s="188"/>
      <c r="CX66" s="188"/>
      <c r="CY66" s="188"/>
      <c r="CZ66" s="188"/>
      <c r="DA66" s="188"/>
      <c r="DB66" s="188"/>
      <c r="DC66" s="188"/>
      <c r="DD66" s="188"/>
      <c r="DE66" s="188"/>
      <c r="DF66" s="188"/>
      <c r="DG66" s="188"/>
      <c r="DH66" s="188"/>
      <c r="DI66" s="188"/>
      <c r="DJ66" s="188"/>
      <c r="DK66" s="188"/>
      <c r="DL66" s="188"/>
      <c r="DM66" s="188"/>
      <c r="DN66" s="188"/>
      <c r="DO66" s="188"/>
      <c r="DP66" s="188"/>
      <c r="DQ66" s="188"/>
      <c r="DR66" s="188"/>
      <c r="DS66" s="188"/>
      <c r="DT66" s="188"/>
      <c r="DU66" s="188"/>
      <c r="DV66" s="188"/>
      <c r="DW66" s="188"/>
      <c r="DX66" s="188"/>
      <c r="DY66" s="188"/>
      <c r="DZ66" s="188"/>
      <c r="EA66" s="188"/>
      <c r="EB66" s="188"/>
      <c r="EC66" s="188"/>
      <c r="ED66" s="188"/>
      <c r="EE66" s="188"/>
      <c r="EF66" s="188"/>
      <c r="EG66" s="188"/>
      <c r="EH66" s="188"/>
      <c r="EI66" s="188"/>
      <c r="EJ66" s="188"/>
      <c r="EK66" s="188"/>
      <c r="EL66" s="188"/>
      <c r="EM66" s="188"/>
      <c r="EN66" s="188"/>
      <c r="EO66" s="188"/>
      <c r="EP66" s="188"/>
      <c r="EQ66" s="188"/>
      <c r="ER66" s="188"/>
      <c r="ES66" s="188"/>
      <c r="ET66" s="188"/>
      <c r="EU66" s="188"/>
      <c r="EV66" s="188"/>
      <c r="EW66" s="188"/>
      <c r="EX66" s="188"/>
      <c r="EY66" s="188"/>
      <c r="EZ66" s="188"/>
    </row>
    <row r="67" spans="26:156" ht="15.75" x14ac:dyDescent="0.25">
      <c r="Z67" s="2"/>
      <c r="AA67" s="2"/>
      <c r="AB67" s="2"/>
      <c r="AC67" s="2"/>
      <c r="AD67" s="2"/>
      <c r="AE67" s="2"/>
      <c r="AG67" s="188" t="str">
        <f>IF(ISERROR(getgrade(Broadsheet!H178,data!$H$4:$I$9)),"#",getgrade(Broadsheet!H178,data!$H$4:$I$9))</f>
        <v/>
      </c>
      <c r="AH67" s="188" t="str">
        <f>IF(ISERROR(getgrade(Broadsheet!I178,data!$H$4:$I$9)),"#",getgrade(Broadsheet!I178,data!$H$4:$I$9))</f>
        <v/>
      </c>
      <c r="AI67" s="188" t="str">
        <f>IF(ISERROR(getgrade(Broadsheet!J178,data!$H$4:$I$9)),"#",getgrade(Broadsheet!J178,data!$H$4:$I$9))</f>
        <v/>
      </c>
      <c r="AJ67" s="188" t="str">
        <f>IF(ISERROR(getgrade(Broadsheet!K178,data!$H$4:$I$9)),"#",getgrade(Broadsheet!K178,data!$H$4:$I$9))</f>
        <v/>
      </c>
      <c r="AK67" s="188" t="str">
        <f>IF(ISERROR(getgrade(Broadsheet!L178,data!$H$4:$I$9)),"#",getgrade(Broadsheet!L178,data!$H$4:$I$9))</f>
        <v/>
      </c>
      <c r="AL67" s="188" t="str">
        <f>IF(ISERROR(getgrade(Broadsheet!M178,data!$H$4:$I$9)),"#",getgrade(Broadsheet!M178,data!$H$4:$I$9))</f>
        <v/>
      </c>
      <c r="AM67" s="188" t="str">
        <f>IF(ISERROR(getgrade(Broadsheet!N178,data!$H$4:$I$9)),"#",getgrade(Broadsheet!N178,data!$H$4:$I$9))</f>
        <v/>
      </c>
      <c r="AN67" s="188" t="str">
        <f>IF(ISERROR(getgrade(Broadsheet!O178,data!$H$4:$I$9)),"#",getgrade(Broadsheet!O178,data!$H$4:$I$9))</f>
        <v/>
      </c>
      <c r="AO67" s="188" t="str">
        <f>IF(ISERROR(getgrade(Broadsheet!P178,data!$H$4:$I$9)),"#",getgrade(Broadsheet!P178,data!$H$4:$I$9))</f>
        <v/>
      </c>
      <c r="AP67" s="188" t="str">
        <f>IF(ISERROR(getgrade(Broadsheet!Q178,data!$H$4:$I$9)),"#",getgrade(Broadsheet!Q178,data!$H$4:$I$9))</f>
        <v/>
      </c>
      <c r="AQ67" s="188" t="str">
        <f>IF(ISERROR(getgrade(Broadsheet!R178,data!$H$4:$I$9)),"#",getgrade(Broadsheet!R178,data!$H$4:$I$9))</f>
        <v/>
      </c>
      <c r="AR67" s="188" t="str">
        <f>IF(ISERROR(getgrade(Broadsheet!S178,data!$H$4:$I$9)),"#",getgrade(Broadsheet!S178,data!$H$4:$I$9))</f>
        <v/>
      </c>
      <c r="AS67" s="188" t="str">
        <f>IF(ISERROR(getgrade(Broadsheet!T178,data!$H$4:$I$9)),"#",getgrade(Broadsheet!T178,data!$H$4:$I$9))</f>
        <v/>
      </c>
      <c r="AT67" s="188" t="str">
        <f>IF(ISERROR(getgrade(Broadsheet!U178,data!$H$4:$I$9)),"#",getgrade(Broadsheet!U178,data!$H$4:$I$9))</f>
        <v/>
      </c>
      <c r="AU67" s="188" t="str">
        <f>IF(ISERROR(getgrade(Broadsheet!V178,data!$H$4:$I$9)),"#",getgrade(Broadsheet!V178,data!$H$4:$I$9))</f>
        <v/>
      </c>
      <c r="AV67" s="188" t="str">
        <f>IF(ISERROR(getgrade(Broadsheet!W178,data!$H$4:$I$9)),"#",getgrade(Broadsheet!W178,data!$H$4:$I$9))</f>
        <v/>
      </c>
      <c r="AW67" s="188" t="str">
        <f>IF(ISERROR(getgrade(Broadsheet!X178,data!$H$4:$I$9)),"#",getgrade(Broadsheet!X178,data!$H$4:$I$9))</f>
        <v/>
      </c>
      <c r="AX67" s="188" t="str">
        <f>IF(ISERROR(getgrade(Broadsheet!Y178,data!$H$4:$I$9)),"#",getgrade(Broadsheet!Y178,data!$H$4:$I$9))</f>
        <v/>
      </c>
      <c r="AY67" s="188" t="str">
        <f>IF(ISERROR(getgrade(Broadsheet!Z178,data!$H$4:$I$9)),"#",getgrade(Broadsheet!Z178,data!$H$4:$I$9))</f>
        <v/>
      </c>
      <c r="AZ67" s="188" t="str">
        <f>IF(ISERROR(getgrade(Broadsheet!AA178,data!$H$4:$I$9)),"#",getgrade(Broadsheet!AA178,data!$H$4:$I$9))</f>
        <v/>
      </c>
      <c r="BA67" s="188" t="str">
        <f>IF(ISERROR(getgrade(Broadsheet!AB178,data!$H$4:$I$9)),"#",getgrade(Broadsheet!AB178,data!$H$4:$I$9))</f>
        <v/>
      </c>
      <c r="BB67" s="188" t="str">
        <f>IF(ISERROR(getgrade(Broadsheet!AC178,data!$H$4:$I$9)),"#",getgrade(Broadsheet!AC178,data!$H$4:$I$9))</f>
        <v/>
      </c>
      <c r="BC67" s="188" t="str">
        <f>IF(ISERROR(getgrade(Broadsheet!AD178,data!$H$4:$I$9)),"#",getgrade(Broadsheet!AD178,data!$H$4:$I$9))</f>
        <v/>
      </c>
      <c r="BD67" s="188" t="str">
        <f>IF(ISERROR(getgrade(Broadsheet!AE178,data!$H$4:$I$9)),"#",getgrade(Broadsheet!AE178,data!$H$4:$I$9))</f>
        <v/>
      </c>
      <c r="BE67" s="188" t="str">
        <f>IF(ISERROR(getgrade(Broadsheet!AF178,data!$H$4:$I$9)),"#",getgrade(Broadsheet!AF178,data!$H$4:$I$9))</f>
        <v/>
      </c>
      <c r="BF67" s="188" t="str">
        <f>IF(ISERROR(getgrade(Broadsheet!AG178,data!$H$4:$I$9)),"#",getgrade(Broadsheet!AG178,data!$H$4:$I$9))</f>
        <v/>
      </c>
      <c r="BG67" s="188" t="str">
        <f>IF(ISERROR(getgrade(Broadsheet!AH178,data!$H$4:$I$9)),"#",getgrade(Broadsheet!AH178,data!$H$4:$I$9))</f>
        <v/>
      </c>
      <c r="BH67" s="188" t="str">
        <f>IF(ISERROR(getgrade(Broadsheet!AI178,data!$H$4:$I$9)),"#",getgrade(Broadsheet!AI178,data!$H$4:$I$9))</f>
        <v/>
      </c>
      <c r="BI67" s="188" t="str">
        <f>IF(ISERROR(getgrade(Broadsheet!AJ178,data!$H$4:$I$9)),"#",getgrade(Broadsheet!AJ178,data!$H$4:$I$9))</f>
        <v/>
      </c>
      <c r="BJ67" s="188" t="str">
        <f>IF(ISERROR(getgrade(Broadsheet!AK178,data!$H$4:$I$9)),"#",getgrade(Broadsheet!AK178,data!$H$4:$I$9))</f>
        <v/>
      </c>
      <c r="BK67" s="188" t="str">
        <f>IF(ISERROR(getgrade(Broadsheet!AL178,data!$H$4:$I$9)),"#",getgrade(Broadsheet!AL178,data!$H$4:$I$9))</f>
        <v/>
      </c>
      <c r="BL67" s="188" t="str">
        <f>IF(ISERROR(getgrade(Broadsheet!AM178,data!$H$4:$I$9)),"#",getgrade(Broadsheet!AM178,data!$H$4:$I$9))</f>
        <v/>
      </c>
      <c r="BM67" s="188" t="str">
        <f>IF(ISERROR(getgrade(Broadsheet!AN178,data!$H$4:$I$9)),"#",getgrade(Broadsheet!AN178,data!$H$4:$I$9))</f>
        <v/>
      </c>
      <c r="BN67" s="188" t="str">
        <f>IF(ISERROR(getgrade(Broadsheet!AO178,data!$H$4:$I$9)),"#",getgrade(Broadsheet!AO178,data!$H$4:$I$9))</f>
        <v/>
      </c>
      <c r="BO67" s="188" t="str">
        <f>IF(ISERROR(getgrade(Broadsheet!AP178,data!$H$4:$I$9)),"#",getgrade(Broadsheet!AP178,data!$H$4:$I$9))</f>
        <v/>
      </c>
      <c r="BP67" s="188" t="str">
        <f>IF(ISERROR(getgrade(Broadsheet!AQ178,data!$H$4:$I$9)),"#",getgrade(Broadsheet!AQ178,data!$H$4:$I$9))</f>
        <v/>
      </c>
      <c r="BQ67" s="188" t="str">
        <f>IF(ISERROR(getgrade(Broadsheet!AR178,data!$H$4:$I$9)),"#",getgrade(Broadsheet!AR178,data!$H$4:$I$9))</f>
        <v/>
      </c>
      <c r="BR67" s="188" t="str">
        <f>IF(ISERROR(getgrade(Broadsheet!AS178,data!$H$4:$I$9)),"#",getgrade(Broadsheet!AS178,data!$H$4:$I$9))</f>
        <v/>
      </c>
      <c r="BS67" s="188" t="str">
        <f>IF(ISERROR(getgrade(Broadsheet!AT178,data!$H$4:$I$9)),"#",getgrade(Broadsheet!AT178,data!$H$4:$I$9))</f>
        <v/>
      </c>
      <c r="BT67" s="188" t="str">
        <f>IF(ISERROR(getgrade(Broadsheet!AU178,data!$H$4:$I$9)),"#",getgrade(Broadsheet!AU178,data!$H$4:$I$9))</f>
        <v/>
      </c>
      <c r="BU67" s="188" t="str">
        <f>IF(ISERROR(getgrade(Broadsheet!AV178,data!$H$4:$I$9)),"#",getgrade(Broadsheet!AV178,data!$H$4:$I$9))</f>
        <v/>
      </c>
      <c r="BV67" s="188" t="str">
        <f>IF(ISERROR(getgrade(Broadsheet!AW178,data!$H$4:$I$9)),"#",getgrade(Broadsheet!AW178,data!$H$4:$I$9))</f>
        <v/>
      </c>
      <c r="BW67" s="188" t="str">
        <f>IF(ISERROR(getgrade(Broadsheet!AX178,data!$H$4:$I$9)),"#",getgrade(Broadsheet!AX178,data!$H$4:$I$9))</f>
        <v/>
      </c>
      <c r="BX67" s="188" t="str">
        <f>IF(ISERROR(getgrade(Broadsheet!AY178,data!$H$4:$I$9)),"#",getgrade(Broadsheet!AY178,data!$H$4:$I$9))</f>
        <v/>
      </c>
      <c r="BY67" s="188" t="str">
        <f>IF(ISERROR(getgrade(Broadsheet!AZ178,data!$H$4:$I$9)),"#",getgrade(Broadsheet!AZ178,data!$H$4:$I$9))</f>
        <v/>
      </c>
      <c r="BZ67" s="188" t="str">
        <f>IF(ISERROR(getgrade(Broadsheet!BA178,data!$H$4:$I$9)),"#",getgrade(Broadsheet!BA178,data!$H$4:$I$9))</f>
        <v/>
      </c>
      <c r="CA67" s="188" t="str">
        <f>IF(ISERROR(getgrade(Broadsheet!BB178,data!$H$4:$I$9)),"#",getgrade(Broadsheet!BB178,data!$H$4:$I$9))</f>
        <v/>
      </c>
      <c r="CB67" s="188" t="str">
        <f>IF(ISERROR(getgrade(Broadsheet!BC178,data!$H$4:$I$9)),"#",getgrade(Broadsheet!BC178,data!$H$4:$I$9))</f>
        <v/>
      </c>
      <c r="CC67" s="188" t="str">
        <f>IF(ISERROR(getgrade(Broadsheet!BD178,data!$H$4:$I$9)),"#",getgrade(Broadsheet!BD178,data!$H$4:$I$9))</f>
        <v/>
      </c>
      <c r="CD67" s="188" t="str">
        <f>IF(ISERROR(getgrade(Broadsheet!BE178,data!$H$4:$I$9)),"#",getgrade(Broadsheet!BE178,data!$H$4:$I$9))</f>
        <v/>
      </c>
      <c r="CE67" s="188" t="str">
        <f>IF(ISERROR(getgrade(Broadsheet!BF178,data!$H$4:$I$9)),"#",getgrade(Broadsheet!BF178,data!$H$4:$I$9))</f>
        <v/>
      </c>
      <c r="CF67" s="188" t="str">
        <f>IF(ISERROR(getgrade(Broadsheet!BG178,data!$H$4:$I$9)),"#",getgrade(Broadsheet!BG178,data!$H$4:$I$9))</f>
        <v/>
      </c>
      <c r="CG67" s="188" t="str">
        <f>IF(ISERROR(getgrade(Broadsheet!BH178,data!$H$4:$I$9)),"#",getgrade(Broadsheet!BH178,data!$H$4:$I$9))</f>
        <v/>
      </c>
      <c r="CH67" s="188" t="str">
        <f>IF(ISERROR(getgrade(Broadsheet!BI178,data!$H$4:$I$9)),"#",getgrade(Broadsheet!BI178,data!$H$4:$I$9))</f>
        <v/>
      </c>
      <c r="CI67" s="188" t="str">
        <f>IF(ISERROR(getgrade(Broadsheet!BJ178,data!$H$4:$I$9)),"#",getgrade(Broadsheet!BJ178,data!$H$4:$I$9))</f>
        <v/>
      </c>
      <c r="CJ67" s="188"/>
      <c r="CK67" s="188"/>
      <c r="CL67" s="188"/>
      <c r="CM67" s="188"/>
      <c r="CN67" s="188"/>
      <c r="CO67" s="188"/>
      <c r="CP67" s="188"/>
      <c r="CQ67" s="188"/>
      <c r="CR67" s="188"/>
      <c r="CS67" s="188"/>
      <c r="CT67" s="188"/>
      <c r="CU67" s="188"/>
      <c r="CV67" s="188"/>
      <c r="CW67" s="188"/>
      <c r="CX67" s="188"/>
      <c r="CY67" s="188"/>
      <c r="CZ67" s="188"/>
      <c r="DA67" s="188"/>
      <c r="DB67" s="188"/>
      <c r="DC67" s="188"/>
      <c r="DD67" s="188"/>
      <c r="DE67" s="188"/>
      <c r="DF67" s="188"/>
      <c r="DG67" s="188"/>
      <c r="DH67" s="188"/>
      <c r="DI67" s="188"/>
      <c r="DJ67" s="188"/>
      <c r="DK67" s="188"/>
      <c r="DL67" s="188"/>
      <c r="DM67" s="188"/>
      <c r="DN67" s="188"/>
      <c r="DO67" s="188"/>
      <c r="DP67" s="188"/>
      <c r="DQ67" s="188"/>
      <c r="DR67" s="188"/>
      <c r="DS67" s="188"/>
      <c r="DT67" s="188"/>
      <c r="DU67" s="188"/>
      <c r="DV67" s="188"/>
      <c r="DW67" s="188"/>
      <c r="DX67" s="188"/>
      <c r="DY67" s="188"/>
      <c r="DZ67" s="188"/>
      <c r="EA67" s="188"/>
      <c r="EB67" s="188"/>
      <c r="EC67" s="188"/>
      <c r="ED67" s="188"/>
      <c r="EE67" s="188"/>
      <c r="EF67" s="188"/>
      <c r="EG67" s="188"/>
      <c r="EH67" s="188"/>
      <c r="EI67" s="188"/>
      <c r="EJ67" s="188"/>
      <c r="EK67" s="188"/>
      <c r="EL67" s="188"/>
      <c r="EM67" s="188"/>
      <c r="EN67" s="188"/>
      <c r="EO67" s="188"/>
      <c r="EP67" s="188"/>
      <c r="EQ67" s="188"/>
      <c r="ER67" s="188"/>
      <c r="ES67" s="188"/>
      <c r="ET67" s="188"/>
      <c r="EU67" s="188"/>
      <c r="EV67" s="188"/>
      <c r="EW67" s="188"/>
      <c r="EX67" s="188"/>
      <c r="EY67" s="188"/>
      <c r="EZ67" s="188"/>
    </row>
    <row r="68" spans="26:156" ht="15.75" x14ac:dyDescent="0.25">
      <c r="Z68" s="2"/>
      <c r="AA68" s="2"/>
      <c r="AB68" s="2"/>
      <c r="AC68" s="2"/>
      <c r="AD68" s="2"/>
      <c r="AE68" s="2"/>
      <c r="AG68" s="188" t="str">
        <f>IF(ISERROR(getgrade(Broadsheet!H179,data!$H$4:$I$9)),"#",getgrade(Broadsheet!H179,data!$H$4:$I$9))</f>
        <v/>
      </c>
      <c r="AH68" s="188" t="str">
        <f>IF(ISERROR(getgrade(Broadsheet!I179,data!$H$4:$I$9)),"#",getgrade(Broadsheet!I179,data!$H$4:$I$9))</f>
        <v/>
      </c>
      <c r="AI68" s="188" t="str">
        <f>IF(ISERROR(getgrade(Broadsheet!J179,data!$H$4:$I$9)),"#",getgrade(Broadsheet!J179,data!$H$4:$I$9))</f>
        <v/>
      </c>
      <c r="AJ68" s="188" t="str">
        <f>IF(ISERROR(getgrade(Broadsheet!K179,data!$H$4:$I$9)),"#",getgrade(Broadsheet!K179,data!$H$4:$I$9))</f>
        <v/>
      </c>
      <c r="AK68" s="188" t="str">
        <f>IF(ISERROR(getgrade(Broadsheet!L179,data!$H$4:$I$9)),"#",getgrade(Broadsheet!L179,data!$H$4:$I$9))</f>
        <v/>
      </c>
      <c r="AL68" s="188" t="str">
        <f>IF(ISERROR(getgrade(Broadsheet!M179,data!$H$4:$I$9)),"#",getgrade(Broadsheet!M179,data!$H$4:$I$9))</f>
        <v/>
      </c>
      <c r="AM68" s="188" t="str">
        <f>IF(ISERROR(getgrade(Broadsheet!N179,data!$H$4:$I$9)),"#",getgrade(Broadsheet!N179,data!$H$4:$I$9))</f>
        <v/>
      </c>
      <c r="AN68" s="188" t="str">
        <f>IF(ISERROR(getgrade(Broadsheet!O179,data!$H$4:$I$9)),"#",getgrade(Broadsheet!O179,data!$H$4:$I$9))</f>
        <v/>
      </c>
      <c r="AO68" s="188" t="str">
        <f>IF(ISERROR(getgrade(Broadsheet!P179,data!$H$4:$I$9)),"#",getgrade(Broadsheet!P179,data!$H$4:$I$9))</f>
        <v/>
      </c>
      <c r="AP68" s="188" t="str">
        <f>IF(ISERROR(getgrade(Broadsheet!Q179,data!$H$4:$I$9)),"#",getgrade(Broadsheet!Q179,data!$H$4:$I$9))</f>
        <v/>
      </c>
      <c r="AQ68" s="188" t="str">
        <f>IF(ISERROR(getgrade(Broadsheet!R179,data!$H$4:$I$9)),"#",getgrade(Broadsheet!R179,data!$H$4:$I$9))</f>
        <v/>
      </c>
      <c r="AR68" s="188" t="str">
        <f>IF(ISERROR(getgrade(Broadsheet!S179,data!$H$4:$I$9)),"#",getgrade(Broadsheet!S179,data!$H$4:$I$9))</f>
        <v/>
      </c>
      <c r="AS68" s="188" t="str">
        <f>IF(ISERROR(getgrade(Broadsheet!T179,data!$H$4:$I$9)),"#",getgrade(Broadsheet!T179,data!$H$4:$I$9))</f>
        <v/>
      </c>
      <c r="AT68" s="188" t="str">
        <f>IF(ISERROR(getgrade(Broadsheet!U179,data!$H$4:$I$9)),"#",getgrade(Broadsheet!U179,data!$H$4:$I$9))</f>
        <v/>
      </c>
      <c r="AU68" s="188" t="str">
        <f>IF(ISERROR(getgrade(Broadsheet!V179,data!$H$4:$I$9)),"#",getgrade(Broadsheet!V179,data!$H$4:$I$9))</f>
        <v/>
      </c>
      <c r="AV68" s="188" t="str">
        <f>IF(ISERROR(getgrade(Broadsheet!W179,data!$H$4:$I$9)),"#",getgrade(Broadsheet!W179,data!$H$4:$I$9))</f>
        <v/>
      </c>
      <c r="AW68" s="188" t="str">
        <f>IF(ISERROR(getgrade(Broadsheet!X179,data!$H$4:$I$9)),"#",getgrade(Broadsheet!X179,data!$H$4:$I$9))</f>
        <v/>
      </c>
      <c r="AX68" s="188" t="str">
        <f>IF(ISERROR(getgrade(Broadsheet!Y179,data!$H$4:$I$9)),"#",getgrade(Broadsheet!Y179,data!$H$4:$I$9))</f>
        <v/>
      </c>
      <c r="AY68" s="188" t="str">
        <f>IF(ISERROR(getgrade(Broadsheet!Z179,data!$H$4:$I$9)),"#",getgrade(Broadsheet!Z179,data!$H$4:$I$9))</f>
        <v/>
      </c>
      <c r="AZ68" s="188" t="str">
        <f>IF(ISERROR(getgrade(Broadsheet!AA179,data!$H$4:$I$9)),"#",getgrade(Broadsheet!AA179,data!$H$4:$I$9))</f>
        <v/>
      </c>
      <c r="BA68" s="188" t="str">
        <f>IF(ISERROR(getgrade(Broadsheet!AB179,data!$H$4:$I$9)),"#",getgrade(Broadsheet!AB179,data!$H$4:$I$9))</f>
        <v/>
      </c>
      <c r="BB68" s="188" t="str">
        <f>IF(ISERROR(getgrade(Broadsheet!AC179,data!$H$4:$I$9)),"#",getgrade(Broadsheet!AC179,data!$H$4:$I$9))</f>
        <v/>
      </c>
      <c r="BC68" s="188" t="str">
        <f>IF(ISERROR(getgrade(Broadsheet!AD179,data!$H$4:$I$9)),"#",getgrade(Broadsheet!AD179,data!$H$4:$I$9))</f>
        <v/>
      </c>
      <c r="BD68" s="188" t="str">
        <f>IF(ISERROR(getgrade(Broadsheet!AE179,data!$H$4:$I$9)),"#",getgrade(Broadsheet!AE179,data!$H$4:$I$9))</f>
        <v/>
      </c>
      <c r="BE68" s="188" t="str">
        <f>IF(ISERROR(getgrade(Broadsheet!AF179,data!$H$4:$I$9)),"#",getgrade(Broadsheet!AF179,data!$H$4:$I$9))</f>
        <v/>
      </c>
      <c r="BF68" s="188" t="str">
        <f>IF(ISERROR(getgrade(Broadsheet!AG179,data!$H$4:$I$9)),"#",getgrade(Broadsheet!AG179,data!$H$4:$I$9))</f>
        <v/>
      </c>
      <c r="BG68" s="188" t="str">
        <f>IF(ISERROR(getgrade(Broadsheet!AH179,data!$H$4:$I$9)),"#",getgrade(Broadsheet!AH179,data!$H$4:$I$9))</f>
        <v/>
      </c>
      <c r="BH68" s="188" t="str">
        <f>IF(ISERROR(getgrade(Broadsheet!AI179,data!$H$4:$I$9)),"#",getgrade(Broadsheet!AI179,data!$H$4:$I$9))</f>
        <v/>
      </c>
      <c r="BI68" s="188" t="str">
        <f>IF(ISERROR(getgrade(Broadsheet!AJ179,data!$H$4:$I$9)),"#",getgrade(Broadsheet!AJ179,data!$H$4:$I$9))</f>
        <v/>
      </c>
      <c r="BJ68" s="188" t="str">
        <f>IF(ISERROR(getgrade(Broadsheet!AK179,data!$H$4:$I$9)),"#",getgrade(Broadsheet!AK179,data!$H$4:$I$9))</f>
        <v/>
      </c>
      <c r="BK68" s="188" t="str">
        <f>IF(ISERROR(getgrade(Broadsheet!AL179,data!$H$4:$I$9)),"#",getgrade(Broadsheet!AL179,data!$H$4:$I$9))</f>
        <v/>
      </c>
      <c r="BL68" s="188" t="str">
        <f>IF(ISERROR(getgrade(Broadsheet!AM179,data!$H$4:$I$9)),"#",getgrade(Broadsheet!AM179,data!$H$4:$I$9))</f>
        <v/>
      </c>
      <c r="BM68" s="188" t="str">
        <f>IF(ISERROR(getgrade(Broadsheet!AN179,data!$H$4:$I$9)),"#",getgrade(Broadsheet!AN179,data!$H$4:$I$9))</f>
        <v/>
      </c>
      <c r="BN68" s="188" t="str">
        <f>IF(ISERROR(getgrade(Broadsheet!AO179,data!$H$4:$I$9)),"#",getgrade(Broadsheet!AO179,data!$H$4:$I$9))</f>
        <v/>
      </c>
      <c r="BO68" s="188" t="str">
        <f>IF(ISERROR(getgrade(Broadsheet!AP179,data!$H$4:$I$9)),"#",getgrade(Broadsheet!AP179,data!$H$4:$I$9))</f>
        <v/>
      </c>
      <c r="BP68" s="188" t="str">
        <f>IF(ISERROR(getgrade(Broadsheet!AQ179,data!$H$4:$I$9)),"#",getgrade(Broadsheet!AQ179,data!$H$4:$I$9))</f>
        <v/>
      </c>
      <c r="BQ68" s="188" t="str">
        <f>IF(ISERROR(getgrade(Broadsheet!AR179,data!$H$4:$I$9)),"#",getgrade(Broadsheet!AR179,data!$H$4:$I$9))</f>
        <v/>
      </c>
      <c r="BR68" s="188" t="str">
        <f>IF(ISERROR(getgrade(Broadsheet!AS179,data!$H$4:$I$9)),"#",getgrade(Broadsheet!AS179,data!$H$4:$I$9))</f>
        <v/>
      </c>
      <c r="BS68" s="188" t="str">
        <f>IF(ISERROR(getgrade(Broadsheet!AT179,data!$H$4:$I$9)),"#",getgrade(Broadsheet!AT179,data!$H$4:$I$9))</f>
        <v/>
      </c>
      <c r="BT68" s="188" t="str">
        <f>IF(ISERROR(getgrade(Broadsheet!AU179,data!$H$4:$I$9)),"#",getgrade(Broadsheet!AU179,data!$H$4:$I$9))</f>
        <v/>
      </c>
      <c r="BU68" s="188" t="str">
        <f>IF(ISERROR(getgrade(Broadsheet!AV179,data!$H$4:$I$9)),"#",getgrade(Broadsheet!AV179,data!$H$4:$I$9))</f>
        <v/>
      </c>
      <c r="BV68" s="188" t="str">
        <f>IF(ISERROR(getgrade(Broadsheet!AW179,data!$H$4:$I$9)),"#",getgrade(Broadsheet!AW179,data!$H$4:$I$9))</f>
        <v/>
      </c>
      <c r="BW68" s="188" t="str">
        <f>IF(ISERROR(getgrade(Broadsheet!AX179,data!$H$4:$I$9)),"#",getgrade(Broadsheet!AX179,data!$H$4:$I$9))</f>
        <v/>
      </c>
      <c r="BX68" s="188" t="str">
        <f>IF(ISERROR(getgrade(Broadsheet!AY179,data!$H$4:$I$9)),"#",getgrade(Broadsheet!AY179,data!$H$4:$I$9))</f>
        <v/>
      </c>
      <c r="BY68" s="188" t="str">
        <f>IF(ISERROR(getgrade(Broadsheet!AZ179,data!$H$4:$I$9)),"#",getgrade(Broadsheet!AZ179,data!$H$4:$I$9))</f>
        <v/>
      </c>
      <c r="BZ68" s="188" t="str">
        <f>IF(ISERROR(getgrade(Broadsheet!BA179,data!$H$4:$I$9)),"#",getgrade(Broadsheet!BA179,data!$H$4:$I$9))</f>
        <v/>
      </c>
      <c r="CA68" s="188" t="str">
        <f>IF(ISERROR(getgrade(Broadsheet!BB179,data!$H$4:$I$9)),"#",getgrade(Broadsheet!BB179,data!$H$4:$I$9))</f>
        <v/>
      </c>
      <c r="CB68" s="188" t="str">
        <f>IF(ISERROR(getgrade(Broadsheet!BC179,data!$H$4:$I$9)),"#",getgrade(Broadsheet!BC179,data!$H$4:$I$9))</f>
        <v/>
      </c>
      <c r="CC68" s="188" t="str">
        <f>IF(ISERROR(getgrade(Broadsheet!BD179,data!$H$4:$I$9)),"#",getgrade(Broadsheet!BD179,data!$H$4:$I$9))</f>
        <v/>
      </c>
      <c r="CD68" s="188" t="str">
        <f>IF(ISERROR(getgrade(Broadsheet!BE179,data!$H$4:$I$9)),"#",getgrade(Broadsheet!BE179,data!$H$4:$I$9))</f>
        <v/>
      </c>
      <c r="CE68" s="188" t="str">
        <f>IF(ISERROR(getgrade(Broadsheet!BF179,data!$H$4:$I$9)),"#",getgrade(Broadsheet!BF179,data!$H$4:$I$9))</f>
        <v/>
      </c>
      <c r="CF68" s="188" t="str">
        <f>IF(ISERROR(getgrade(Broadsheet!BG179,data!$H$4:$I$9)),"#",getgrade(Broadsheet!BG179,data!$H$4:$I$9))</f>
        <v/>
      </c>
      <c r="CG68" s="188" t="str">
        <f>IF(ISERROR(getgrade(Broadsheet!BH179,data!$H$4:$I$9)),"#",getgrade(Broadsheet!BH179,data!$H$4:$I$9))</f>
        <v/>
      </c>
      <c r="CH68" s="188" t="str">
        <f>IF(ISERROR(getgrade(Broadsheet!BI179,data!$H$4:$I$9)),"#",getgrade(Broadsheet!BI179,data!$H$4:$I$9))</f>
        <v/>
      </c>
      <c r="CI68" s="188" t="str">
        <f>IF(ISERROR(getgrade(Broadsheet!BJ179,data!$H$4:$I$9)),"#",getgrade(Broadsheet!BJ179,data!$H$4:$I$9))</f>
        <v/>
      </c>
      <c r="CJ68" s="188"/>
      <c r="CK68" s="188"/>
      <c r="CL68" s="188"/>
      <c r="CM68" s="188"/>
      <c r="CN68" s="188"/>
      <c r="CO68" s="188"/>
      <c r="CP68" s="188"/>
      <c r="CQ68" s="188"/>
      <c r="CR68" s="188"/>
      <c r="CS68" s="188"/>
      <c r="CT68" s="188"/>
      <c r="CU68" s="188"/>
      <c r="CV68" s="188"/>
      <c r="CW68" s="188"/>
      <c r="CX68" s="188"/>
      <c r="CY68" s="188"/>
      <c r="CZ68" s="188"/>
      <c r="DA68" s="188"/>
      <c r="DB68" s="188"/>
      <c r="DC68" s="188"/>
      <c r="DD68" s="188"/>
      <c r="DE68" s="188"/>
      <c r="DF68" s="188"/>
      <c r="DG68" s="188"/>
      <c r="DH68" s="188"/>
      <c r="DI68" s="188"/>
      <c r="DJ68" s="188"/>
      <c r="DK68" s="188"/>
      <c r="DL68" s="188"/>
      <c r="DM68" s="188"/>
      <c r="DN68" s="188"/>
      <c r="DO68" s="188"/>
      <c r="DP68" s="188"/>
      <c r="DQ68" s="188"/>
      <c r="DR68" s="188"/>
      <c r="DS68" s="188"/>
      <c r="DT68" s="188"/>
      <c r="DU68" s="188"/>
      <c r="DV68" s="188"/>
      <c r="DW68" s="188"/>
      <c r="DX68" s="188"/>
      <c r="DY68" s="188"/>
      <c r="DZ68" s="188"/>
      <c r="EA68" s="188"/>
      <c r="EB68" s="188"/>
      <c r="EC68" s="188"/>
      <c r="ED68" s="188"/>
      <c r="EE68" s="188"/>
      <c r="EF68" s="188"/>
      <c r="EG68" s="188"/>
      <c r="EH68" s="188"/>
      <c r="EI68" s="188"/>
      <c r="EJ68" s="188"/>
      <c r="EK68" s="188"/>
      <c r="EL68" s="188"/>
      <c r="EM68" s="188"/>
      <c r="EN68" s="188"/>
      <c r="EO68" s="188"/>
      <c r="EP68" s="188"/>
      <c r="EQ68" s="188"/>
      <c r="ER68" s="188"/>
      <c r="ES68" s="188"/>
      <c r="ET68" s="188"/>
      <c r="EU68" s="188"/>
      <c r="EV68" s="188"/>
      <c r="EW68" s="188"/>
      <c r="EX68" s="188"/>
      <c r="EY68" s="188"/>
      <c r="EZ68" s="188"/>
    </row>
    <row r="69" spans="26:156" ht="15.75" x14ac:dyDescent="0.25">
      <c r="Z69" s="2"/>
      <c r="AA69" s="2"/>
      <c r="AB69" s="2"/>
      <c r="AC69" s="2"/>
      <c r="AD69" s="2"/>
      <c r="AE69" s="2"/>
      <c r="AG69" s="188" t="str">
        <f>IF(ISERROR(getgrade(Broadsheet!H180,data!$H$4:$I$9)),"#",getgrade(Broadsheet!H180,data!$H$4:$I$9))</f>
        <v/>
      </c>
      <c r="AH69" s="188" t="str">
        <f>IF(ISERROR(getgrade(Broadsheet!I180,data!$H$4:$I$9)),"#",getgrade(Broadsheet!I180,data!$H$4:$I$9))</f>
        <v/>
      </c>
      <c r="AI69" s="188" t="str">
        <f>IF(ISERROR(getgrade(Broadsheet!J180,data!$H$4:$I$9)),"#",getgrade(Broadsheet!J180,data!$H$4:$I$9))</f>
        <v/>
      </c>
      <c r="AJ69" s="188" t="str">
        <f>IF(ISERROR(getgrade(Broadsheet!K180,data!$H$4:$I$9)),"#",getgrade(Broadsheet!K180,data!$H$4:$I$9))</f>
        <v/>
      </c>
      <c r="AK69" s="188" t="str">
        <f>IF(ISERROR(getgrade(Broadsheet!L180,data!$H$4:$I$9)),"#",getgrade(Broadsheet!L180,data!$H$4:$I$9))</f>
        <v/>
      </c>
      <c r="AL69" s="188" t="str">
        <f>IF(ISERROR(getgrade(Broadsheet!M180,data!$H$4:$I$9)),"#",getgrade(Broadsheet!M180,data!$H$4:$I$9))</f>
        <v/>
      </c>
      <c r="AM69" s="188" t="str">
        <f>IF(ISERROR(getgrade(Broadsheet!N180,data!$H$4:$I$9)),"#",getgrade(Broadsheet!N180,data!$H$4:$I$9))</f>
        <v/>
      </c>
      <c r="AN69" s="188" t="str">
        <f>IF(ISERROR(getgrade(Broadsheet!O180,data!$H$4:$I$9)),"#",getgrade(Broadsheet!O180,data!$H$4:$I$9))</f>
        <v/>
      </c>
      <c r="AO69" s="188" t="str">
        <f>IF(ISERROR(getgrade(Broadsheet!P180,data!$H$4:$I$9)),"#",getgrade(Broadsheet!P180,data!$H$4:$I$9))</f>
        <v/>
      </c>
      <c r="AP69" s="188" t="str">
        <f>IF(ISERROR(getgrade(Broadsheet!Q180,data!$H$4:$I$9)),"#",getgrade(Broadsheet!Q180,data!$H$4:$I$9))</f>
        <v/>
      </c>
      <c r="AQ69" s="188" t="str">
        <f>IF(ISERROR(getgrade(Broadsheet!R180,data!$H$4:$I$9)),"#",getgrade(Broadsheet!R180,data!$H$4:$I$9))</f>
        <v/>
      </c>
      <c r="AR69" s="188" t="str">
        <f>IF(ISERROR(getgrade(Broadsheet!S180,data!$H$4:$I$9)),"#",getgrade(Broadsheet!S180,data!$H$4:$I$9))</f>
        <v/>
      </c>
      <c r="AS69" s="188" t="str">
        <f>IF(ISERROR(getgrade(Broadsheet!T180,data!$H$4:$I$9)),"#",getgrade(Broadsheet!T180,data!$H$4:$I$9))</f>
        <v/>
      </c>
      <c r="AT69" s="188" t="str">
        <f>IF(ISERROR(getgrade(Broadsheet!U180,data!$H$4:$I$9)),"#",getgrade(Broadsheet!U180,data!$H$4:$I$9))</f>
        <v/>
      </c>
      <c r="AU69" s="188" t="str">
        <f>IF(ISERROR(getgrade(Broadsheet!V180,data!$H$4:$I$9)),"#",getgrade(Broadsheet!V180,data!$H$4:$I$9))</f>
        <v/>
      </c>
      <c r="AV69" s="188" t="str">
        <f>IF(ISERROR(getgrade(Broadsheet!W180,data!$H$4:$I$9)),"#",getgrade(Broadsheet!W180,data!$H$4:$I$9))</f>
        <v/>
      </c>
      <c r="AW69" s="188" t="str">
        <f>IF(ISERROR(getgrade(Broadsheet!X180,data!$H$4:$I$9)),"#",getgrade(Broadsheet!X180,data!$H$4:$I$9))</f>
        <v/>
      </c>
      <c r="AX69" s="188" t="str">
        <f>IF(ISERROR(getgrade(Broadsheet!Y180,data!$H$4:$I$9)),"#",getgrade(Broadsheet!Y180,data!$H$4:$I$9))</f>
        <v/>
      </c>
      <c r="AY69" s="188" t="str">
        <f>IF(ISERROR(getgrade(Broadsheet!Z180,data!$H$4:$I$9)),"#",getgrade(Broadsheet!Z180,data!$H$4:$I$9))</f>
        <v/>
      </c>
      <c r="AZ69" s="188" t="str">
        <f>IF(ISERROR(getgrade(Broadsheet!AA180,data!$H$4:$I$9)),"#",getgrade(Broadsheet!AA180,data!$H$4:$I$9))</f>
        <v/>
      </c>
      <c r="BA69" s="188" t="str">
        <f>IF(ISERROR(getgrade(Broadsheet!AB180,data!$H$4:$I$9)),"#",getgrade(Broadsheet!AB180,data!$H$4:$I$9))</f>
        <v/>
      </c>
      <c r="BB69" s="188" t="str">
        <f>IF(ISERROR(getgrade(Broadsheet!AC180,data!$H$4:$I$9)),"#",getgrade(Broadsheet!AC180,data!$H$4:$I$9))</f>
        <v/>
      </c>
      <c r="BC69" s="188" t="str">
        <f>IF(ISERROR(getgrade(Broadsheet!AD180,data!$H$4:$I$9)),"#",getgrade(Broadsheet!AD180,data!$H$4:$I$9))</f>
        <v/>
      </c>
      <c r="BD69" s="188" t="str">
        <f>IF(ISERROR(getgrade(Broadsheet!AE180,data!$H$4:$I$9)),"#",getgrade(Broadsheet!AE180,data!$H$4:$I$9))</f>
        <v/>
      </c>
      <c r="BE69" s="188" t="str">
        <f>IF(ISERROR(getgrade(Broadsheet!AF180,data!$H$4:$I$9)),"#",getgrade(Broadsheet!AF180,data!$H$4:$I$9))</f>
        <v/>
      </c>
      <c r="BF69" s="188" t="str">
        <f>IF(ISERROR(getgrade(Broadsheet!AG180,data!$H$4:$I$9)),"#",getgrade(Broadsheet!AG180,data!$H$4:$I$9))</f>
        <v/>
      </c>
      <c r="BG69" s="188" t="str">
        <f>IF(ISERROR(getgrade(Broadsheet!AH180,data!$H$4:$I$9)),"#",getgrade(Broadsheet!AH180,data!$H$4:$I$9))</f>
        <v/>
      </c>
      <c r="BH69" s="188" t="str">
        <f>IF(ISERROR(getgrade(Broadsheet!AI180,data!$H$4:$I$9)),"#",getgrade(Broadsheet!AI180,data!$H$4:$I$9))</f>
        <v/>
      </c>
      <c r="BI69" s="188" t="str">
        <f>IF(ISERROR(getgrade(Broadsheet!AJ180,data!$H$4:$I$9)),"#",getgrade(Broadsheet!AJ180,data!$H$4:$I$9))</f>
        <v/>
      </c>
      <c r="BJ69" s="188" t="str">
        <f>IF(ISERROR(getgrade(Broadsheet!AK180,data!$H$4:$I$9)),"#",getgrade(Broadsheet!AK180,data!$H$4:$I$9))</f>
        <v/>
      </c>
      <c r="BK69" s="188" t="str">
        <f>IF(ISERROR(getgrade(Broadsheet!AL180,data!$H$4:$I$9)),"#",getgrade(Broadsheet!AL180,data!$H$4:$I$9))</f>
        <v/>
      </c>
      <c r="BL69" s="188" t="str">
        <f>IF(ISERROR(getgrade(Broadsheet!AM180,data!$H$4:$I$9)),"#",getgrade(Broadsheet!AM180,data!$H$4:$I$9))</f>
        <v/>
      </c>
      <c r="BM69" s="188" t="str">
        <f>IF(ISERROR(getgrade(Broadsheet!AN180,data!$H$4:$I$9)),"#",getgrade(Broadsheet!AN180,data!$H$4:$I$9))</f>
        <v/>
      </c>
      <c r="BN69" s="188" t="str">
        <f>IF(ISERROR(getgrade(Broadsheet!AO180,data!$H$4:$I$9)),"#",getgrade(Broadsheet!AO180,data!$H$4:$I$9))</f>
        <v/>
      </c>
      <c r="BO69" s="188" t="str">
        <f>IF(ISERROR(getgrade(Broadsheet!AP180,data!$H$4:$I$9)),"#",getgrade(Broadsheet!AP180,data!$H$4:$I$9))</f>
        <v/>
      </c>
      <c r="BP69" s="188" t="str">
        <f>IF(ISERROR(getgrade(Broadsheet!AQ180,data!$H$4:$I$9)),"#",getgrade(Broadsheet!AQ180,data!$H$4:$I$9))</f>
        <v/>
      </c>
      <c r="BQ69" s="188" t="str">
        <f>IF(ISERROR(getgrade(Broadsheet!AR180,data!$H$4:$I$9)),"#",getgrade(Broadsheet!AR180,data!$H$4:$I$9))</f>
        <v/>
      </c>
      <c r="BR69" s="188" t="str">
        <f>IF(ISERROR(getgrade(Broadsheet!AS180,data!$H$4:$I$9)),"#",getgrade(Broadsheet!AS180,data!$H$4:$I$9))</f>
        <v/>
      </c>
      <c r="BS69" s="188" t="str">
        <f>IF(ISERROR(getgrade(Broadsheet!AT180,data!$H$4:$I$9)),"#",getgrade(Broadsheet!AT180,data!$H$4:$I$9))</f>
        <v/>
      </c>
      <c r="BT69" s="188" t="str">
        <f>IF(ISERROR(getgrade(Broadsheet!AU180,data!$H$4:$I$9)),"#",getgrade(Broadsheet!AU180,data!$H$4:$I$9))</f>
        <v/>
      </c>
      <c r="BU69" s="188" t="str">
        <f>IF(ISERROR(getgrade(Broadsheet!AV180,data!$H$4:$I$9)),"#",getgrade(Broadsheet!AV180,data!$H$4:$I$9))</f>
        <v/>
      </c>
      <c r="BV69" s="188" t="str">
        <f>IF(ISERROR(getgrade(Broadsheet!AW180,data!$H$4:$I$9)),"#",getgrade(Broadsheet!AW180,data!$H$4:$I$9))</f>
        <v/>
      </c>
      <c r="BW69" s="188" t="str">
        <f>IF(ISERROR(getgrade(Broadsheet!AX180,data!$H$4:$I$9)),"#",getgrade(Broadsheet!AX180,data!$H$4:$I$9))</f>
        <v/>
      </c>
      <c r="BX69" s="188" t="str">
        <f>IF(ISERROR(getgrade(Broadsheet!AY180,data!$H$4:$I$9)),"#",getgrade(Broadsheet!AY180,data!$H$4:$I$9))</f>
        <v/>
      </c>
      <c r="BY69" s="188" t="str">
        <f>IF(ISERROR(getgrade(Broadsheet!AZ180,data!$H$4:$I$9)),"#",getgrade(Broadsheet!AZ180,data!$H$4:$I$9))</f>
        <v/>
      </c>
      <c r="BZ69" s="188" t="str">
        <f>IF(ISERROR(getgrade(Broadsheet!BA180,data!$H$4:$I$9)),"#",getgrade(Broadsheet!BA180,data!$H$4:$I$9))</f>
        <v/>
      </c>
      <c r="CA69" s="188" t="str">
        <f>IF(ISERROR(getgrade(Broadsheet!BB180,data!$H$4:$I$9)),"#",getgrade(Broadsheet!BB180,data!$H$4:$I$9))</f>
        <v/>
      </c>
      <c r="CB69" s="188" t="str">
        <f>IF(ISERROR(getgrade(Broadsheet!BC180,data!$H$4:$I$9)),"#",getgrade(Broadsheet!BC180,data!$H$4:$I$9))</f>
        <v/>
      </c>
      <c r="CC69" s="188" t="str">
        <f>IF(ISERROR(getgrade(Broadsheet!BD180,data!$H$4:$I$9)),"#",getgrade(Broadsheet!BD180,data!$H$4:$I$9))</f>
        <v/>
      </c>
      <c r="CD69" s="188" t="str">
        <f>IF(ISERROR(getgrade(Broadsheet!BE180,data!$H$4:$I$9)),"#",getgrade(Broadsheet!BE180,data!$H$4:$I$9))</f>
        <v/>
      </c>
      <c r="CE69" s="188" t="str">
        <f>IF(ISERROR(getgrade(Broadsheet!BF180,data!$H$4:$I$9)),"#",getgrade(Broadsheet!BF180,data!$H$4:$I$9))</f>
        <v/>
      </c>
      <c r="CF69" s="188" t="str">
        <f>IF(ISERROR(getgrade(Broadsheet!BG180,data!$H$4:$I$9)),"#",getgrade(Broadsheet!BG180,data!$H$4:$I$9))</f>
        <v/>
      </c>
      <c r="CG69" s="188" t="str">
        <f>IF(ISERROR(getgrade(Broadsheet!BH180,data!$H$4:$I$9)),"#",getgrade(Broadsheet!BH180,data!$H$4:$I$9))</f>
        <v/>
      </c>
      <c r="CH69" s="188" t="str">
        <f>IF(ISERROR(getgrade(Broadsheet!BI180,data!$H$4:$I$9)),"#",getgrade(Broadsheet!BI180,data!$H$4:$I$9))</f>
        <v/>
      </c>
      <c r="CI69" s="188" t="str">
        <f>IF(ISERROR(getgrade(Broadsheet!BJ180,data!$H$4:$I$9)),"#",getgrade(Broadsheet!BJ180,data!$H$4:$I$9))</f>
        <v/>
      </c>
      <c r="CJ69" s="188"/>
      <c r="CK69" s="188"/>
      <c r="CL69" s="188"/>
      <c r="CM69" s="188"/>
      <c r="CN69" s="188"/>
      <c r="CO69" s="188"/>
      <c r="CP69" s="188"/>
      <c r="CQ69" s="188"/>
      <c r="CR69" s="188"/>
      <c r="CS69" s="188"/>
      <c r="CT69" s="188"/>
      <c r="CU69" s="188"/>
      <c r="CV69" s="188"/>
      <c r="CW69" s="188"/>
      <c r="CX69" s="188"/>
      <c r="CY69" s="188"/>
      <c r="CZ69" s="188"/>
      <c r="DA69" s="188"/>
      <c r="DB69" s="188"/>
      <c r="DC69" s="188"/>
      <c r="DD69" s="188"/>
      <c r="DE69" s="188"/>
      <c r="DF69" s="188"/>
      <c r="DG69" s="188"/>
      <c r="DH69" s="188"/>
      <c r="DI69" s="188"/>
      <c r="DJ69" s="188"/>
      <c r="DK69" s="188"/>
      <c r="DL69" s="188"/>
      <c r="DM69" s="188"/>
      <c r="DN69" s="188"/>
      <c r="DO69" s="188"/>
      <c r="DP69" s="188"/>
      <c r="DQ69" s="188"/>
      <c r="DR69" s="188"/>
      <c r="DS69" s="188"/>
      <c r="DT69" s="188"/>
      <c r="DU69" s="188"/>
      <c r="DV69" s="188"/>
      <c r="DW69" s="188"/>
      <c r="DX69" s="188"/>
      <c r="DY69" s="188"/>
      <c r="DZ69" s="188"/>
      <c r="EA69" s="188"/>
      <c r="EB69" s="188"/>
      <c r="EC69" s="188"/>
      <c r="ED69" s="188"/>
      <c r="EE69" s="188"/>
      <c r="EF69" s="188"/>
      <c r="EG69" s="188"/>
      <c r="EH69" s="188"/>
      <c r="EI69" s="188"/>
      <c r="EJ69" s="188"/>
      <c r="EK69" s="188"/>
      <c r="EL69" s="188"/>
      <c r="EM69" s="188"/>
      <c r="EN69" s="188"/>
      <c r="EO69" s="188"/>
      <c r="EP69" s="188"/>
      <c r="EQ69" s="188"/>
      <c r="ER69" s="188"/>
      <c r="ES69" s="188"/>
      <c r="ET69" s="188"/>
      <c r="EU69" s="188"/>
      <c r="EV69" s="188"/>
      <c r="EW69" s="188"/>
      <c r="EX69" s="188"/>
      <c r="EY69" s="188"/>
      <c r="EZ69" s="188"/>
    </row>
    <row r="70" spans="26:156" ht="15.75" x14ac:dyDescent="0.25">
      <c r="Z70" s="2"/>
      <c r="AA70" s="2"/>
      <c r="AB70" s="2"/>
      <c r="AC70" s="2"/>
      <c r="AD70" s="2"/>
      <c r="AE70" s="2"/>
      <c r="AG70" s="188" t="str">
        <f>IF(ISERROR(getgrade(Broadsheet!H181,data!$H$4:$I$9)),"#",getgrade(Broadsheet!H181,data!$H$4:$I$9))</f>
        <v/>
      </c>
      <c r="AH70" s="188" t="str">
        <f>IF(ISERROR(getgrade(Broadsheet!I181,data!$H$4:$I$9)),"#",getgrade(Broadsheet!I181,data!$H$4:$I$9))</f>
        <v/>
      </c>
      <c r="AI70" s="188" t="str">
        <f>IF(ISERROR(getgrade(Broadsheet!J181,data!$H$4:$I$9)),"#",getgrade(Broadsheet!J181,data!$H$4:$I$9))</f>
        <v/>
      </c>
      <c r="AJ70" s="188" t="str">
        <f>IF(ISERROR(getgrade(Broadsheet!K181,data!$H$4:$I$9)),"#",getgrade(Broadsheet!K181,data!$H$4:$I$9))</f>
        <v/>
      </c>
      <c r="AK70" s="188" t="str">
        <f>IF(ISERROR(getgrade(Broadsheet!L181,data!$H$4:$I$9)),"#",getgrade(Broadsheet!L181,data!$H$4:$I$9))</f>
        <v/>
      </c>
      <c r="AL70" s="188" t="str">
        <f>IF(ISERROR(getgrade(Broadsheet!M181,data!$H$4:$I$9)),"#",getgrade(Broadsheet!M181,data!$H$4:$I$9))</f>
        <v/>
      </c>
      <c r="AM70" s="188" t="str">
        <f>IF(ISERROR(getgrade(Broadsheet!N181,data!$H$4:$I$9)),"#",getgrade(Broadsheet!N181,data!$H$4:$I$9))</f>
        <v/>
      </c>
      <c r="AN70" s="188" t="str">
        <f>IF(ISERROR(getgrade(Broadsheet!O181,data!$H$4:$I$9)),"#",getgrade(Broadsheet!O181,data!$H$4:$I$9))</f>
        <v/>
      </c>
      <c r="AO70" s="188" t="str">
        <f>IF(ISERROR(getgrade(Broadsheet!P181,data!$H$4:$I$9)),"#",getgrade(Broadsheet!P181,data!$H$4:$I$9))</f>
        <v/>
      </c>
      <c r="AP70" s="188" t="str">
        <f>IF(ISERROR(getgrade(Broadsheet!Q181,data!$H$4:$I$9)),"#",getgrade(Broadsheet!Q181,data!$H$4:$I$9))</f>
        <v/>
      </c>
      <c r="AQ70" s="188" t="str">
        <f>IF(ISERROR(getgrade(Broadsheet!R181,data!$H$4:$I$9)),"#",getgrade(Broadsheet!R181,data!$H$4:$I$9))</f>
        <v/>
      </c>
      <c r="AR70" s="188" t="str">
        <f>IF(ISERROR(getgrade(Broadsheet!S181,data!$H$4:$I$9)),"#",getgrade(Broadsheet!S181,data!$H$4:$I$9))</f>
        <v/>
      </c>
      <c r="AS70" s="188" t="str">
        <f>IF(ISERROR(getgrade(Broadsheet!T181,data!$H$4:$I$9)),"#",getgrade(Broadsheet!T181,data!$H$4:$I$9))</f>
        <v/>
      </c>
      <c r="AT70" s="188" t="str">
        <f>IF(ISERROR(getgrade(Broadsheet!U181,data!$H$4:$I$9)),"#",getgrade(Broadsheet!U181,data!$H$4:$I$9))</f>
        <v/>
      </c>
      <c r="AU70" s="188" t="str">
        <f>IF(ISERROR(getgrade(Broadsheet!V181,data!$H$4:$I$9)),"#",getgrade(Broadsheet!V181,data!$H$4:$I$9))</f>
        <v/>
      </c>
      <c r="AV70" s="188" t="str">
        <f>IF(ISERROR(getgrade(Broadsheet!W181,data!$H$4:$I$9)),"#",getgrade(Broadsheet!W181,data!$H$4:$I$9))</f>
        <v/>
      </c>
      <c r="AW70" s="188" t="str">
        <f>IF(ISERROR(getgrade(Broadsheet!X181,data!$H$4:$I$9)),"#",getgrade(Broadsheet!X181,data!$H$4:$I$9))</f>
        <v/>
      </c>
      <c r="AX70" s="188" t="str">
        <f>IF(ISERROR(getgrade(Broadsheet!Y181,data!$H$4:$I$9)),"#",getgrade(Broadsheet!Y181,data!$H$4:$I$9))</f>
        <v/>
      </c>
      <c r="AY70" s="188" t="str">
        <f>IF(ISERROR(getgrade(Broadsheet!Z181,data!$H$4:$I$9)),"#",getgrade(Broadsheet!Z181,data!$H$4:$I$9))</f>
        <v/>
      </c>
      <c r="AZ70" s="188" t="str">
        <f>IF(ISERROR(getgrade(Broadsheet!AA181,data!$H$4:$I$9)),"#",getgrade(Broadsheet!AA181,data!$H$4:$I$9))</f>
        <v/>
      </c>
      <c r="BA70" s="188" t="str">
        <f>IF(ISERROR(getgrade(Broadsheet!AB181,data!$H$4:$I$9)),"#",getgrade(Broadsheet!AB181,data!$H$4:$I$9))</f>
        <v/>
      </c>
      <c r="BB70" s="188" t="str">
        <f>IF(ISERROR(getgrade(Broadsheet!AC181,data!$H$4:$I$9)),"#",getgrade(Broadsheet!AC181,data!$H$4:$I$9))</f>
        <v/>
      </c>
      <c r="BC70" s="188" t="str">
        <f>IF(ISERROR(getgrade(Broadsheet!AD181,data!$H$4:$I$9)),"#",getgrade(Broadsheet!AD181,data!$H$4:$I$9))</f>
        <v/>
      </c>
      <c r="BD70" s="188" t="str">
        <f>IF(ISERROR(getgrade(Broadsheet!AE181,data!$H$4:$I$9)),"#",getgrade(Broadsheet!AE181,data!$H$4:$I$9))</f>
        <v/>
      </c>
      <c r="BE70" s="188" t="str">
        <f>IF(ISERROR(getgrade(Broadsheet!AF181,data!$H$4:$I$9)),"#",getgrade(Broadsheet!AF181,data!$H$4:$I$9))</f>
        <v/>
      </c>
      <c r="BF70" s="188" t="str">
        <f>IF(ISERROR(getgrade(Broadsheet!AG181,data!$H$4:$I$9)),"#",getgrade(Broadsheet!AG181,data!$H$4:$I$9))</f>
        <v/>
      </c>
      <c r="BG70" s="188" t="str">
        <f>IF(ISERROR(getgrade(Broadsheet!AH181,data!$H$4:$I$9)),"#",getgrade(Broadsheet!AH181,data!$H$4:$I$9))</f>
        <v/>
      </c>
      <c r="BH70" s="188" t="str">
        <f>IF(ISERROR(getgrade(Broadsheet!AI181,data!$H$4:$I$9)),"#",getgrade(Broadsheet!AI181,data!$H$4:$I$9))</f>
        <v/>
      </c>
      <c r="BI70" s="188" t="str">
        <f>IF(ISERROR(getgrade(Broadsheet!AJ181,data!$H$4:$I$9)),"#",getgrade(Broadsheet!AJ181,data!$H$4:$I$9))</f>
        <v/>
      </c>
      <c r="BJ70" s="188" t="str">
        <f>IF(ISERROR(getgrade(Broadsheet!AK181,data!$H$4:$I$9)),"#",getgrade(Broadsheet!AK181,data!$H$4:$I$9))</f>
        <v/>
      </c>
      <c r="BK70" s="188" t="str">
        <f>IF(ISERROR(getgrade(Broadsheet!AL181,data!$H$4:$I$9)),"#",getgrade(Broadsheet!AL181,data!$H$4:$I$9))</f>
        <v/>
      </c>
      <c r="BL70" s="188" t="str">
        <f>IF(ISERROR(getgrade(Broadsheet!AM181,data!$H$4:$I$9)),"#",getgrade(Broadsheet!AM181,data!$H$4:$I$9))</f>
        <v/>
      </c>
      <c r="BM70" s="188" t="str">
        <f>IF(ISERROR(getgrade(Broadsheet!AN181,data!$H$4:$I$9)),"#",getgrade(Broadsheet!AN181,data!$H$4:$I$9))</f>
        <v/>
      </c>
      <c r="BN70" s="188" t="str">
        <f>IF(ISERROR(getgrade(Broadsheet!AO181,data!$H$4:$I$9)),"#",getgrade(Broadsheet!AO181,data!$H$4:$I$9))</f>
        <v/>
      </c>
      <c r="BO70" s="188" t="str">
        <f>IF(ISERROR(getgrade(Broadsheet!AP181,data!$H$4:$I$9)),"#",getgrade(Broadsheet!AP181,data!$H$4:$I$9))</f>
        <v/>
      </c>
      <c r="BP70" s="188" t="str">
        <f>IF(ISERROR(getgrade(Broadsheet!AQ181,data!$H$4:$I$9)),"#",getgrade(Broadsheet!AQ181,data!$H$4:$I$9))</f>
        <v/>
      </c>
      <c r="BQ70" s="188" t="str">
        <f>IF(ISERROR(getgrade(Broadsheet!AR181,data!$H$4:$I$9)),"#",getgrade(Broadsheet!AR181,data!$H$4:$I$9))</f>
        <v/>
      </c>
      <c r="BR70" s="188" t="str">
        <f>IF(ISERROR(getgrade(Broadsheet!AS181,data!$H$4:$I$9)),"#",getgrade(Broadsheet!AS181,data!$H$4:$I$9))</f>
        <v/>
      </c>
      <c r="BS70" s="188" t="str">
        <f>IF(ISERROR(getgrade(Broadsheet!AT181,data!$H$4:$I$9)),"#",getgrade(Broadsheet!AT181,data!$H$4:$I$9))</f>
        <v/>
      </c>
      <c r="BT70" s="188" t="str">
        <f>IF(ISERROR(getgrade(Broadsheet!AU181,data!$H$4:$I$9)),"#",getgrade(Broadsheet!AU181,data!$H$4:$I$9))</f>
        <v/>
      </c>
      <c r="BU70" s="188" t="str">
        <f>IF(ISERROR(getgrade(Broadsheet!AV181,data!$H$4:$I$9)),"#",getgrade(Broadsheet!AV181,data!$H$4:$I$9))</f>
        <v/>
      </c>
      <c r="BV70" s="188" t="str">
        <f>IF(ISERROR(getgrade(Broadsheet!AW181,data!$H$4:$I$9)),"#",getgrade(Broadsheet!AW181,data!$H$4:$I$9))</f>
        <v/>
      </c>
      <c r="BW70" s="188" t="str">
        <f>IF(ISERROR(getgrade(Broadsheet!AX181,data!$H$4:$I$9)),"#",getgrade(Broadsheet!AX181,data!$H$4:$I$9))</f>
        <v/>
      </c>
      <c r="BX70" s="188" t="str">
        <f>IF(ISERROR(getgrade(Broadsheet!AY181,data!$H$4:$I$9)),"#",getgrade(Broadsheet!AY181,data!$H$4:$I$9))</f>
        <v/>
      </c>
      <c r="BY70" s="188" t="str">
        <f>IF(ISERROR(getgrade(Broadsheet!AZ181,data!$H$4:$I$9)),"#",getgrade(Broadsheet!AZ181,data!$H$4:$I$9))</f>
        <v/>
      </c>
      <c r="BZ70" s="188" t="str">
        <f>IF(ISERROR(getgrade(Broadsheet!BA181,data!$H$4:$I$9)),"#",getgrade(Broadsheet!BA181,data!$H$4:$I$9))</f>
        <v/>
      </c>
      <c r="CA70" s="188" t="str">
        <f>IF(ISERROR(getgrade(Broadsheet!BB181,data!$H$4:$I$9)),"#",getgrade(Broadsheet!BB181,data!$H$4:$I$9))</f>
        <v/>
      </c>
      <c r="CB70" s="188" t="str">
        <f>IF(ISERROR(getgrade(Broadsheet!BC181,data!$H$4:$I$9)),"#",getgrade(Broadsheet!BC181,data!$H$4:$I$9))</f>
        <v/>
      </c>
      <c r="CC70" s="188" t="str">
        <f>IF(ISERROR(getgrade(Broadsheet!BD181,data!$H$4:$I$9)),"#",getgrade(Broadsheet!BD181,data!$H$4:$I$9))</f>
        <v/>
      </c>
      <c r="CD70" s="188" t="str">
        <f>IF(ISERROR(getgrade(Broadsheet!BE181,data!$H$4:$I$9)),"#",getgrade(Broadsheet!BE181,data!$H$4:$I$9))</f>
        <v/>
      </c>
      <c r="CE70" s="188" t="str">
        <f>IF(ISERROR(getgrade(Broadsheet!BF181,data!$H$4:$I$9)),"#",getgrade(Broadsheet!BF181,data!$H$4:$I$9))</f>
        <v/>
      </c>
      <c r="CF70" s="188" t="str">
        <f>IF(ISERROR(getgrade(Broadsheet!BG181,data!$H$4:$I$9)),"#",getgrade(Broadsheet!BG181,data!$H$4:$I$9))</f>
        <v/>
      </c>
      <c r="CG70" s="188" t="str">
        <f>IF(ISERROR(getgrade(Broadsheet!BH181,data!$H$4:$I$9)),"#",getgrade(Broadsheet!BH181,data!$H$4:$I$9))</f>
        <v/>
      </c>
      <c r="CH70" s="188" t="str">
        <f>IF(ISERROR(getgrade(Broadsheet!BI181,data!$H$4:$I$9)),"#",getgrade(Broadsheet!BI181,data!$H$4:$I$9))</f>
        <v/>
      </c>
      <c r="CI70" s="188" t="str">
        <f>IF(ISERROR(getgrade(Broadsheet!BJ181,data!$H$4:$I$9)),"#",getgrade(Broadsheet!BJ181,data!$H$4:$I$9))</f>
        <v/>
      </c>
      <c r="CJ70" s="188"/>
      <c r="CK70" s="188"/>
      <c r="CL70" s="188"/>
      <c r="CM70" s="188"/>
      <c r="CN70" s="188"/>
      <c r="CO70" s="188"/>
      <c r="CP70" s="188"/>
      <c r="CQ70" s="188"/>
      <c r="CR70" s="188"/>
      <c r="CS70" s="188"/>
      <c r="CT70" s="188"/>
      <c r="CU70" s="188"/>
      <c r="CV70" s="188"/>
      <c r="CW70" s="188"/>
      <c r="CX70" s="188"/>
      <c r="CY70" s="188"/>
      <c r="CZ70" s="188"/>
      <c r="DA70" s="188"/>
      <c r="DB70" s="188"/>
      <c r="DC70" s="188"/>
      <c r="DD70" s="188"/>
      <c r="DE70" s="188"/>
      <c r="DF70" s="188"/>
      <c r="DG70" s="188"/>
      <c r="DH70" s="188"/>
      <c r="DI70" s="188"/>
      <c r="DJ70" s="188"/>
      <c r="DK70" s="188"/>
      <c r="DL70" s="188"/>
      <c r="DM70" s="188"/>
      <c r="DN70" s="188"/>
      <c r="DO70" s="188"/>
      <c r="DP70" s="188"/>
      <c r="DQ70" s="188"/>
      <c r="DR70" s="188"/>
      <c r="DS70" s="188"/>
      <c r="DT70" s="188"/>
      <c r="DU70" s="188"/>
      <c r="DV70" s="188"/>
      <c r="DW70" s="188"/>
      <c r="DX70" s="188"/>
      <c r="DY70" s="188"/>
      <c r="DZ70" s="188"/>
      <c r="EA70" s="188"/>
      <c r="EB70" s="188"/>
      <c r="EC70" s="188"/>
      <c r="ED70" s="188"/>
      <c r="EE70" s="188"/>
      <c r="EF70" s="188"/>
      <c r="EG70" s="188"/>
      <c r="EH70" s="188"/>
      <c r="EI70" s="188"/>
      <c r="EJ70" s="188"/>
      <c r="EK70" s="188"/>
      <c r="EL70" s="188"/>
      <c r="EM70" s="188"/>
      <c r="EN70" s="188"/>
      <c r="EO70" s="188"/>
      <c r="EP70" s="188"/>
      <c r="EQ70" s="188"/>
      <c r="ER70" s="188"/>
      <c r="ES70" s="188"/>
      <c r="ET70" s="188"/>
      <c r="EU70" s="188"/>
      <c r="EV70" s="188"/>
      <c r="EW70" s="188"/>
      <c r="EX70" s="188"/>
      <c r="EY70" s="188"/>
      <c r="EZ70" s="188"/>
    </row>
    <row r="71" spans="26:156" ht="15.75" x14ac:dyDescent="0.25">
      <c r="Z71" s="2"/>
      <c r="AA71" s="2"/>
      <c r="AB71" s="2"/>
      <c r="AC71" s="2"/>
      <c r="AD71" s="2"/>
      <c r="AE71" s="2"/>
      <c r="AG71" s="188" t="str">
        <f>IF(ISERROR(getgrade(Broadsheet!H182,data!$H$4:$I$9)),"#",getgrade(Broadsheet!H182,data!$H$4:$I$9))</f>
        <v/>
      </c>
      <c r="AH71" s="188" t="str">
        <f>IF(ISERROR(getgrade(Broadsheet!I182,data!$H$4:$I$9)),"#",getgrade(Broadsheet!I182,data!$H$4:$I$9))</f>
        <v/>
      </c>
      <c r="AI71" s="188" t="str">
        <f>IF(ISERROR(getgrade(Broadsheet!J182,data!$H$4:$I$9)),"#",getgrade(Broadsheet!J182,data!$H$4:$I$9))</f>
        <v/>
      </c>
      <c r="AJ71" s="188" t="str">
        <f>IF(ISERROR(getgrade(Broadsheet!K182,data!$H$4:$I$9)),"#",getgrade(Broadsheet!K182,data!$H$4:$I$9))</f>
        <v/>
      </c>
      <c r="AK71" s="188" t="str">
        <f>IF(ISERROR(getgrade(Broadsheet!L182,data!$H$4:$I$9)),"#",getgrade(Broadsheet!L182,data!$H$4:$I$9))</f>
        <v/>
      </c>
      <c r="AL71" s="188" t="str">
        <f>IF(ISERROR(getgrade(Broadsheet!M182,data!$H$4:$I$9)),"#",getgrade(Broadsheet!M182,data!$H$4:$I$9))</f>
        <v/>
      </c>
      <c r="AM71" s="188" t="str">
        <f>IF(ISERROR(getgrade(Broadsheet!N182,data!$H$4:$I$9)),"#",getgrade(Broadsheet!N182,data!$H$4:$I$9))</f>
        <v/>
      </c>
      <c r="AN71" s="188" t="str">
        <f>IF(ISERROR(getgrade(Broadsheet!O182,data!$H$4:$I$9)),"#",getgrade(Broadsheet!O182,data!$H$4:$I$9))</f>
        <v/>
      </c>
      <c r="AO71" s="188" t="str">
        <f>IF(ISERROR(getgrade(Broadsheet!P182,data!$H$4:$I$9)),"#",getgrade(Broadsheet!P182,data!$H$4:$I$9))</f>
        <v/>
      </c>
      <c r="AP71" s="188" t="str">
        <f>IF(ISERROR(getgrade(Broadsheet!Q182,data!$H$4:$I$9)),"#",getgrade(Broadsheet!Q182,data!$H$4:$I$9))</f>
        <v/>
      </c>
      <c r="AQ71" s="188" t="str">
        <f>IF(ISERROR(getgrade(Broadsheet!R182,data!$H$4:$I$9)),"#",getgrade(Broadsheet!R182,data!$H$4:$I$9))</f>
        <v/>
      </c>
      <c r="AR71" s="188" t="str">
        <f>IF(ISERROR(getgrade(Broadsheet!S182,data!$H$4:$I$9)),"#",getgrade(Broadsheet!S182,data!$H$4:$I$9))</f>
        <v/>
      </c>
      <c r="AS71" s="188" t="str">
        <f>IF(ISERROR(getgrade(Broadsheet!T182,data!$H$4:$I$9)),"#",getgrade(Broadsheet!T182,data!$H$4:$I$9))</f>
        <v/>
      </c>
      <c r="AT71" s="188" t="str">
        <f>IF(ISERROR(getgrade(Broadsheet!U182,data!$H$4:$I$9)),"#",getgrade(Broadsheet!U182,data!$H$4:$I$9))</f>
        <v/>
      </c>
      <c r="AU71" s="188" t="str">
        <f>IF(ISERROR(getgrade(Broadsheet!V182,data!$H$4:$I$9)),"#",getgrade(Broadsheet!V182,data!$H$4:$I$9))</f>
        <v/>
      </c>
      <c r="AV71" s="188" t="str">
        <f>IF(ISERROR(getgrade(Broadsheet!W182,data!$H$4:$I$9)),"#",getgrade(Broadsheet!W182,data!$H$4:$I$9))</f>
        <v/>
      </c>
      <c r="AW71" s="188" t="str">
        <f>IF(ISERROR(getgrade(Broadsheet!X182,data!$H$4:$I$9)),"#",getgrade(Broadsheet!X182,data!$H$4:$I$9))</f>
        <v/>
      </c>
      <c r="AX71" s="188" t="str">
        <f>IF(ISERROR(getgrade(Broadsheet!Y182,data!$H$4:$I$9)),"#",getgrade(Broadsheet!Y182,data!$H$4:$I$9))</f>
        <v/>
      </c>
      <c r="AY71" s="188" t="str">
        <f>IF(ISERROR(getgrade(Broadsheet!Z182,data!$H$4:$I$9)),"#",getgrade(Broadsheet!Z182,data!$H$4:$I$9))</f>
        <v/>
      </c>
      <c r="AZ71" s="188" t="str">
        <f>IF(ISERROR(getgrade(Broadsheet!AA182,data!$H$4:$I$9)),"#",getgrade(Broadsheet!AA182,data!$H$4:$I$9))</f>
        <v/>
      </c>
      <c r="BA71" s="188" t="str">
        <f>IF(ISERROR(getgrade(Broadsheet!AB182,data!$H$4:$I$9)),"#",getgrade(Broadsheet!AB182,data!$H$4:$I$9))</f>
        <v/>
      </c>
      <c r="BB71" s="188" t="str">
        <f>IF(ISERROR(getgrade(Broadsheet!AC182,data!$H$4:$I$9)),"#",getgrade(Broadsheet!AC182,data!$H$4:$I$9))</f>
        <v/>
      </c>
      <c r="BC71" s="188" t="str">
        <f>IF(ISERROR(getgrade(Broadsheet!AD182,data!$H$4:$I$9)),"#",getgrade(Broadsheet!AD182,data!$H$4:$I$9))</f>
        <v/>
      </c>
      <c r="BD71" s="188" t="str">
        <f>IF(ISERROR(getgrade(Broadsheet!AE182,data!$H$4:$I$9)),"#",getgrade(Broadsheet!AE182,data!$H$4:$I$9))</f>
        <v/>
      </c>
      <c r="BE71" s="188" t="str">
        <f>IF(ISERROR(getgrade(Broadsheet!AF182,data!$H$4:$I$9)),"#",getgrade(Broadsheet!AF182,data!$H$4:$I$9))</f>
        <v/>
      </c>
      <c r="BF71" s="188" t="str">
        <f>IF(ISERROR(getgrade(Broadsheet!AG182,data!$H$4:$I$9)),"#",getgrade(Broadsheet!AG182,data!$H$4:$I$9))</f>
        <v/>
      </c>
      <c r="BG71" s="188" t="str">
        <f>IF(ISERROR(getgrade(Broadsheet!AH182,data!$H$4:$I$9)),"#",getgrade(Broadsheet!AH182,data!$H$4:$I$9))</f>
        <v/>
      </c>
      <c r="BH71" s="188" t="str">
        <f>IF(ISERROR(getgrade(Broadsheet!AI182,data!$H$4:$I$9)),"#",getgrade(Broadsheet!AI182,data!$H$4:$I$9))</f>
        <v/>
      </c>
      <c r="BI71" s="188" t="str">
        <f>IF(ISERROR(getgrade(Broadsheet!AJ182,data!$H$4:$I$9)),"#",getgrade(Broadsheet!AJ182,data!$H$4:$I$9))</f>
        <v/>
      </c>
      <c r="BJ71" s="188" t="str">
        <f>IF(ISERROR(getgrade(Broadsheet!AK182,data!$H$4:$I$9)),"#",getgrade(Broadsheet!AK182,data!$H$4:$I$9))</f>
        <v/>
      </c>
      <c r="BK71" s="188" t="str">
        <f>IF(ISERROR(getgrade(Broadsheet!AL182,data!$H$4:$I$9)),"#",getgrade(Broadsheet!AL182,data!$H$4:$I$9))</f>
        <v/>
      </c>
      <c r="BL71" s="188" t="str">
        <f>IF(ISERROR(getgrade(Broadsheet!AM182,data!$H$4:$I$9)),"#",getgrade(Broadsheet!AM182,data!$H$4:$I$9))</f>
        <v/>
      </c>
      <c r="BM71" s="188" t="str">
        <f>IF(ISERROR(getgrade(Broadsheet!AN182,data!$H$4:$I$9)),"#",getgrade(Broadsheet!AN182,data!$H$4:$I$9))</f>
        <v/>
      </c>
      <c r="BN71" s="188" t="str">
        <f>IF(ISERROR(getgrade(Broadsheet!AO182,data!$H$4:$I$9)),"#",getgrade(Broadsheet!AO182,data!$H$4:$I$9))</f>
        <v/>
      </c>
      <c r="BO71" s="188" t="str">
        <f>IF(ISERROR(getgrade(Broadsheet!AP182,data!$H$4:$I$9)),"#",getgrade(Broadsheet!AP182,data!$H$4:$I$9))</f>
        <v/>
      </c>
      <c r="BP71" s="188" t="str">
        <f>IF(ISERROR(getgrade(Broadsheet!AQ182,data!$H$4:$I$9)),"#",getgrade(Broadsheet!AQ182,data!$H$4:$I$9))</f>
        <v/>
      </c>
      <c r="BQ71" s="188" t="str">
        <f>IF(ISERROR(getgrade(Broadsheet!AR182,data!$H$4:$I$9)),"#",getgrade(Broadsheet!AR182,data!$H$4:$I$9))</f>
        <v/>
      </c>
      <c r="BR71" s="188" t="str">
        <f>IF(ISERROR(getgrade(Broadsheet!AS182,data!$H$4:$I$9)),"#",getgrade(Broadsheet!AS182,data!$H$4:$I$9))</f>
        <v/>
      </c>
      <c r="BS71" s="188" t="str">
        <f>IF(ISERROR(getgrade(Broadsheet!AT182,data!$H$4:$I$9)),"#",getgrade(Broadsheet!AT182,data!$H$4:$I$9))</f>
        <v/>
      </c>
      <c r="BT71" s="188" t="str">
        <f>IF(ISERROR(getgrade(Broadsheet!AU182,data!$H$4:$I$9)),"#",getgrade(Broadsheet!AU182,data!$H$4:$I$9))</f>
        <v/>
      </c>
      <c r="BU71" s="188" t="str">
        <f>IF(ISERROR(getgrade(Broadsheet!AV182,data!$H$4:$I$9)),"#",getgrade(Broadsheet!AV182,data!$H$4:$I$9))</f>
        <v/>
      </c>
      <c r="BV71" s="188" t="str">
        <f>IF(ISERROR(getgrade(Broadsheet!AW182,data!$H$4:$I$9)),"#",getgrade(Broadsheet!AW182,data!$H$4:$I$9))</f>
        <v/>
      </c>
      <c r="BW71" s="188" t="str">
        <f>IF(ISERROR(getgrade(Broadsheet!AX182,data!$H$4:$I$9)),"#",getgrade(Broadsheet!AX182,data!$H$4:$I$9))</f>
        <v/>
      </c>
      <c r="BX71" s="188" t="str">
        <f>IF(ISERROR(getgrade(Broadsheet!AY182,data!$H$4:$I$9)),"#",getgrade(Broadsheet!AY182,data!$H$4:$I$9))</f>
        <v/>
      </c>
      <c r="BY71" s="188" t="str">
        <f>IF(ISERROR(getgrade(Broadsheet!AZ182,data!$H$4:$I$9)),"#",getgrade(Broadsheet!AZ182,data!$H$4:$I$9))</f>
        <v/>
      </c>
      <c r="BZ71" s="188" t="str">
        <f>IF(ISERROR(getgrade(Broadsheet!BA182,data!$H$4:$I$9)),"#",getgrade(Broadsheet!BA182,data!$H$4:$I$9))</f>
        <v/>
      </c>
      <c r="CA71" s="188" t="str">
        <f>IF(ISERROR(getgrade(Broadsheet!BB182,data!$H$4:$I$9)),"#",getgrade(Broadsheet!BB182,data!$H$4:$I$9))</f>
        <v/>
      </c>
      <c r="CB71" s="188" t="str">
        <f>IF(ISERROR(getgrade(Broadsheet!BC182,data!$H$4:$I$9)),"#",getgrade(Broadsheet!BC182,data!$H$4:$I$9))</f>
        <v/>
      </c>
      <c r="CC71" s="188" t="str">
        <f>IF(ISERROR(getgrade(Broadsheet!BD182,data!$H$4:$I$9)),"#",getgrade(Broadsheet!BD182,data!$H$4:$I$9))</f>
        <v/>
      </c>
      <c r="CD71" s="188" t="str">
        <f>IF(ISERROR(getgrade(Broadsheet!BE182,data!$H$4:$I$9)),"#",getgrade(Broadsheet!BE182,data!$H$4:$I$9))</f>
        <v/>
      </c>
      <c r="CE71" s="188" t="str">
        <f>IF(ISERROR(getgrade(Broadsheet!BF182,data!$H$4:$I$9)),"#",getgrade(Broadsheet!BF182,data!$H$4:$I$9))</f>
        <v/>
      </c>
      <c r="CF71" s="188" t="str">
        <f>IF(ISERROR(getgrade(Broadsheet!BG182,data!$H$4:$I$9)),"#",getgrade(Broadsheet!BG182,data!$H$4:$I$9))</f>
        <v/>
      </c>
      <c r="CG71" s="188" t="str">
        <f>IF(ISERROR(getgrade(Broadsheet!BH182,data!$H$4:$I$9)),"#",getgrade(Broadsheet!BH182,data!$H$4:$I$9))</f>
        <v/>
      </c>
      <c r="CH71" s="188" t="str">
        <f>IF(ISERROR(getgrade(Broadsheet!BI182,data!$H$4:$I$9)),"#",getgrade(Broadsheet!BI182,data!$H$4:$I$9))</f>
        <v/>
      </c>
      <c r="CI71" s="188" t="str">
        <f>IF(ISERROR(getgrade(Broadsheet!BJ182,data!$H$4:$I$9)),"#",getgrade(Broadsheet!BJ182,data!$H$4:$I$9))</f>
        <v/>
      </c>
      <c r="CJ71" s="188"/>
      <c r="CK71" s="188"/>
      <c r="CL71" s="188"/>
      <c r="CM71" s="188"/>
      <c r="CN71" s="188"/>
      <c r="CO71" s="188"/>
      <c r="CP71" s="188"/>
      <c r="CQ71" s="188"/>
      <c r="CR71" s="188"/>
      <c r="CS71" s="188"/>
      <c r="CT71" s="188"/>
      <c r="CU71" s="188"/>
      <c r="CV71" s="188"/>
      <c r="CW71" s="188"/>
      <c r="CX71" s="188"/>
      <c r="CY71" s="188"/>
      <c r="CZ71" s="188"/>
      <c r="DA71" s="188"/>
      <c r="DB71" s="188"/>
      <c r="DC71" s="188"/>
      <c r="DD71" s="188"/>
      <c r="DE71" s="188"/>
      <c r="DF71" s="188"/>
      <c r="DG71" s="188"/>
      <c r="DH71" s="188"/>
      <c r="DI71" s="188"/>
      <c r="DJ71" s="188"/>
      <c r="DK71" s="188"/>
      <c r="DL71" s="188"/>
      <c r="DM71" s="188"/>
      <c r="DN71" s="188"/>
      <c r="DO71" s="188"/>
      <c r="DP71" s="188"/>
      <c r="DQ71" s="188"/>
      <c r="DR71" s="188"/>
      <c r="DS71" s="188"/>
      <c r="DT71" s="188"/>
      <c r="DU71" s="188"/>
      <c r="DV71" s="188"/>
      <c r="DW71" s="188"/>
      <c r="DX71" s="188"/>
      <c r="DY71" s="188"/>
      <c r="DZ71" s="188"/>
      <c r="EA71" s="188"/>
      <c r="EB71" s="188"/>
      <c r="EC71" s="188"/>
      <c r="ED71" s="188"/>
      <c r="EE71" s="188"/>
      <c r="EF71" s="188"/>
      <c r="EG71" s="188"/>
      <c r="EH71" s="188"/>
      <c r="EI71" s="188"/>
      <c r="EJ71" s="188"/>
      <c r="EK71" s="188"/>
      <c r="EL71" s="188"/>
      <c r="EM71" s="188"/>
      <c r="EN71" s="188"/>
      <c r="EO71" s="188"/>
      <c r="EP71" s="188"/>
      <c r="EQ71" s="188"/>
      <c r="ER71" s="188"/>
      <c r="ES71" s="188"/>
      <c r="ET71" s="188"/>
      <c r="EU71" s="188"/>
      <c r="EV71" s="188"/>
      <c r="EW71" s="188"/>
      <c r="EX71" s="188"/>
      <c r="EY71" s="188"/>
      <c r="EZ71" s="188"/>
    </row>
    <row r="72" spans="26:156" ht="15.75" x14ac:dyDescent="0.25">
      <c r="Z72" s="2"/>
      <c r="AA72" s="2"/>
      <c r="AB72" s="2"/>
      <c r="AC72" s="2"/>
      <c r="AD72" s="2"/>
      <c r="AE72" s="2"/>
      <c r="AG72" s="188" t="str">
        <f>IF(ISERROR(getgrade(Broadsheet!H183,data!$H$4:$I$9)),"#",getgrade(Broadsheet!H183,data!$H$4:$I$9))</f>
        <v/>
      </c>
      <c r="AH72" s="188" t="str">
        <f>IF(ISERROR(getgrade(Broadsheet!I183,data!$H$4:$I$9)),"#",getgrade(Broadsheet!I183,data!$H$4:$I$9))</f>
        <v/>
      </c>
      <c r="AI72" s="188" t="str">
        <f>IF(ISERROR(getgrade(Broadsheet!J183,data!$H$4:$I$9)),"#",getgrade(Broadsheet!J183,data!$H$4:$I$9))</f>
        <v/>
      </c>
      <c r="AJ72" s="188" t="str">
        <f>IF(ISERROR(getgrade(Broadsheet!K183,data!$H$4:$I$9)),"#",getgrade(Broadsheet!K183,data!$H$4:$I$9))</f>
        <v/>
      </c>
      <c r="AK72" s="188" t="str">
        <f>IF(ISERROR(getgrade(Broadsheet!L183,data!$H$4:$I$9)),"#",getgrade(Broadsheet!L183,data!$H$4:$I$9))</f>
        <v/>
      </c>
      <c r="AL72" s="188" t="str">
        <f>IF(ISERROR(getgrade(Broadsheet!M183,data!$H$4:$I$9)),"#",getgrade(Broadsheet!M183,data!$H$4:$I$9))</f>
        <v/>
      </c>
      <c r="AM72" s="188" t="str">
        <f>IF(ISERROR(getgrade(Broadsheet!N183,data!$H$4:$I$9)),"#",getgrade(Broadsheet!N183,data!$H$4:$I$9))</f>
        <v/>
      </c>
      <c r="AN72" s="188" t="str">
        <f>IF(ISERROR(getgrade(Broadsheet!O183,data!$H$4:$I$9)),"#",getgrade(Broadsheet!O183,data!$H$4:$I$9))</f>
        <v/>
      </c>
      <c r="AO72" s="188" t="str">
        <f>IF(ISERROR(getgrade(Broadsheet!P183,data!$H$4:$I$9)),"#",getgrade(Broadsheet!P183,data!$H$4:$I$9))</f>
        <v/>
      </c>
      <c r="AP72" s="188" t="str">
        <f>IF(ISERROR(getgrade(Broadsheet!Q183,data!$H$4:$I$9)),"#",getgrade(Broadsheet!Q183,data!$H$4:$I$9))</f>
        <v/>
      </c>
      <c r="AQ72" s="188" t="str">
        <f>IF(ISERROR(getgrade(Broadsheet!R183,data!$H$4:$I$9)),"#",getgrade(Broadsheet!R183,data!$H$4:$I$9))</f>
        <v/>
      </c>
      <c r="AR72" s="188" t="str">
        <f>IF(ISERROR(getgrade(Broadsheet!S183,data!$H$4:$I$9)),"#",getgrade(Broadsheet!S183,data!$H$4:$I$9))</f>
        <v/>
      </c>
      <c r="AS72" s="188" t="str">
        <f>IF(ISERROR(getgrade(Broadsheet!T183,data!$H$4:$I$9)),"#",getgrade(Broadsheet!T183,data!$H$4:$I$9))</f>
        <v/>
      </c>
      <c r="AT72" s="188" t="str">
        <f>IF(ISERROR(getgrade(Broadsheet!U183,data!$H$4:$I$9)),"#",getgrade(Broadsheet!U183,data!$H$4:$I$9))</f>
        <v/>
      </c>
      <c r="AU72" s="188" t="str">
        <f>IF(ISERROR(getgrade(Broadsheet!V183,data!$H$4:$I$9)),"#",getgrade(Broadsheet!V183,data!$H$4:$I$9))</f>
        <v/>
      </c>
      <c r="AV72" s="188" t="str">
        <f>IF(ISERROR(getgrade(Broadsheet!W183,data!$H$4:$I$9)),"#",getgrade(Broadsheet!W183,data!$H$4:$I$9))</f>
        <v/>
      </c>
      <c r="AW72" s="188" t="str">
        <f>IF(ISERROR(getgrade(Broadsheet!X183,data!$H$4:$I$9)),"#",getgrade(Broadsheet!X183,data!$H$4:$I$9))</f>
        <v/>
      </c>
      <c r="AX72" s="188" t="str">
        <f>IF(ISERROR(getgrade(Broadsheet!Y183,data!$H$4:$I$9)),"#",getgrade(Broadsheet!Y183,data!$H$4:$I$9))</f>
        <v/>
      </c>
      <c r="AY72" s="188" t="str">
        <f>IF(ISERROR(getgrade(Broadsheet!Z183,data!$H$4:$I$9)),"#",getgrade(Broadsheet!Z183,data!$H$4:$I$9))</f>
        <v/>
      </c>
      <c r="AZ72" s="188" t="str">
        <f>IF(ISERROR(getgrade(Broadsheet!AA183,data!$H$4:$I$9)),"#",getgrade(Broadsheet!AA183,data!$H$4:$I$9))</f>
        <v/>
      </c>
      <c r="BA72" s="188" t="str">
        <f>IF(ISERROR(getgrade(Broadsheet!AB183,data!$H$4:$I$9)),"#",getgrade(Broadsheet!AB183,data!$H$4:$I$9))</f>
        <v/>
      </c>
      <c r="BB72" s="188" t="str">
        <f>IF(ISERROR(getgrade(Broadsheet!AC183,data!$H$4:$I$9)),"#",getgrade(Broadsheet!AC183,data!$H$4:$I$9))</f>
        <v/>
      </c>
      <c r="BC72" s="188" t="str">
        <f>IF(ISERROR(getgrade(Broadsheet!AD183,data!$H$4:$I$9)),"#",getgrade(Broadsheet!AD183,data!$H$4:$I$9))</f>
        <v/>
      </c>
      <c r="BD72" s="188" t="str">
        <f>IF(ISERROR(getgrade(Broadsheet!AE183,data!$H$4:$I$9)),"#",getgrade(Broadsheet!AE183,data!$H$4:$I$9))</f>
        <v/>
      </c>
      <c r="BE72" s="188" t="str">
        <f>IF(ISERROR(getgrade(Broadsheet!AF183,data!$H$4:$I$9)),"#",getgrade(Broadsheet!AF183,data!$H$4:$I$9))</f>
        <v/>
      </c>
      <c r="BF72" s="188" t="str">
        <f>IF(ISERROR(getgrade(Broadsheet!AG183,data!$H$4:$I$9)),"#",getgrade(Broadsheet!AG183,data!$H$4:$I$9))</f>
        <v/>
      </c>
      <c r="BG72" s="188" t="str">
        <f>IF(ISERROR(getgrade(Broadsheet!AH183,data!$H$4:$I$9)),"#",getgrade(Broadsheet!AH183,data!$H$4:$I$9))</f>
        <v/>
      </c>
      <c r="BH72" s="188" t="str">
        <f>IF(ISERROR(getgrade(Broadsheet!AI183,data!$H$4:$I$9)),"#",getgrade(Broadsheet!AI183,data!$H$4:$I$9))</f>
        <v/>
      </c>
      <c r="BI72" s="188" t="str">
        <f>IF(ISERROR(getgrade(Broadsheet!AJ183,data!$H$4:$I$9)),"#",getgrade(Broadsheet!AJ183,data!$H$4:$I$9))</f>
        <v/>
      </c>
      <c r="BJ72" s="188" t="str">
        <f>IF(ISERROR(getgrade(Broadsheet!AK183,data!$H$4:$I$9)),"#",getgrade(Broadsheet!AK183,data!$H$4:$I$9))</f>
        <v/>
      </c>
      <c r="BK72" s="188" t="str">
        <f>IF(ISERROR(getgrade(Broadsheet!AL183,data!$H$4:$I$9)),"#",getgrade(Broadsheet!AL183,data!$H$4:$I$9))</f>
        <v/>
      </c>
      <c r="BL72" s="188" t="str">
        <f>IF(ISERROR(getgrade(Broadsheet!AM183,data!$H$4:$I$9)),"#",getgrade(Broadsheet!AM183,data!$H$4:$I$9))</f>
        <v/>
      </c>
      <c r="BM72" s="188" t="str">
        <f>IF(ISERROR(getgrade(Broadsheet!AN183,data!$H$4:$I$9)),"#",getgrade(Broadsheet!AN183,data!$H$4:$I$9))</f>
        <v/>
      </c>
      <c r="BN72" s="188" t="str">
        <f>IF(ISERROR(getgrade(Broadsheet!AO183,data!$H$4:$I$9)),"#",getgrade(Broadsheet!AO183,data!$H$4:$I$9))</f>
        <v/>
      </c>
      <c r="BO72" s="188" t="str">
        <f>IF(ISERROR(getgrade(Broadsheet!AP183,data!$H$4:$I$9)),"#",getgrade(Broadsheet!AP183,data!$H$4:$I$9))</f>
        <v/>
      </c>
      <c r="BP72" s="188" t="str">
        <f>IF(ISERROR(getgrade(Broadsheet!AQ183,data!$H$4:$I$9)),"#",getgrade(Broadsheet!AQ183,data!$H$4:$I$9))</f>
        <v/>
      </c>
      <c r="BQ72" s="188" t="str">
        <f>IF(ISERROR(getgrade(Broadsheet!AR183,data!$H$4:$I$9)),"#",getgrade(Broadsheet!AR183,data!$H$4:$I$9))</f>
        <v/>
      </c>
      <c r="BR72" s="188" t="str">
        <f>IF(ISERROR(getgrade(Broadsheet!AS183,data!$H$4:$I$9)),"#",getgrade(Broadsheet!AS183,data!$H$4:$I$9))</f>
        <v/>
      </c>
      <c r="BS72" s="188" t="str">
        <f>IF(ISERROR(getgrade(Broadsheet!AT183,data!$H$4:$I$9)),"#",getgrade(Broadsheet!AT183,data!$H$4:$I$9))</f>
        <v/>
      </c>
      <c r="BT72" s="188" t="str">
        <f>IF(ISERROR(getgrade(Broadsheet!AU183,data!$H$4:$I$9)),"#",getgrade(Broadsheet!AU183,data!$H$4:$I$9))</f>
        <v/>
      </c>
      <c r="BU72" s="188" t="str">
        <f>IF(ISERROR(getgrade(Broadsheet!AV183,data!$H$4:$I$9)),"#",getgrade(Broadsheet!AV183,data!$H$4:$I$9))</f>
        <v/>
      </c>
      <c r="BV72" s="188" t="str">
        <f>IF(ISERROR(getgrade(Broadsheet!AW183,data!$H$4:$I$9)),"#",getgrade(Broadsheet!AW183,data!$H$4:$I$9))</f>
        <v/>
      </c>
      <c r="BW72" s="188" t="str">
        <f>IF(ISERROR(getgrade(Broadsheet!AX183,data!$H$4:$I$9)),"#",getgrade(Broadsheet!AX183,data!$H$4:$I$9))</f>
        <v/>
      </c>
      <c r="BX72" s="188" t="str">
        <f>IF(ISERROR(getgrade(Broadsheet!AY183,data!$H$4:$I$9)),"#",getgrade(Broadsheet!AY183,data!$H$4:$I$9))</f>
        <v/>
      </c>
      <c r="BY72" s="188" t="str">
        <f>IF(ISERROR(getgrade(Broadsheet!AZ183,data!$H$4:$I$9)),"#",getgrade(Broadsheet!AZ183,data!$H$4:$I$9))</f>
        <v/>
      </c>
      <c r="BZ72" s="188" t="str">
        <f>IF(ISERROR(getgrade(Broadsheet!BA183,data!$H$4:$I$9)),"#",getgrade(Broadsheet!BA183,data!$H$4:$I$9))</f>
        <v/>
      </c>
      <c r="CA72" s="188" t="str">
        <f>IF(ISERROR(getgrade(Broadsheet!BB183,data!$H$4:$I$9)),"#",getgrade(Broadsheet!BB183,data!$H$4:$I$9))</f>
        <v/>
      </c>
      <c r="CB72" s="188" t="str">
        <f>IF(ISERROR(getgrade(Broadsheet!BC183,data!$H$4:$I$9)),"#",getgrade(Broadsheet!BC183,data!$H$4:$I$9))</f>
        <v/>
      </c>
      <c r="CC72" s="188" t="str">
        <f>IF(ISERROR(getgrade(Broadsheet!BD183,data!$H$4:$I$9)),"#",getgrade(Broadsheet!BD183,data!$H$4:$I$9))</f>
        <v/>
      </c>
      <c r="CD72" s="188" t="str">
        <f>IF(ISERROR(getgrade(Broadsheet!BE183,data!$H$4:$I$9)),"#",getgrade(Broadsheet!BE183,data!$H$4:$I$9))</f>
        <v/>
      </c>
      <c r="CE72" s="188" t="str">
        <f>IF(ISERROR(getgrade(Broadsheet!BF183,data!$H$4:$I$9)),"#",getgrade(Broadsheet!BF183,data!$H$4:$I$9))</f>
        <v/>
      </c>
      <c r="CF72" s="188" t="str">
        <f>IF(ISERROR(getgrade(Broadsheet!BG183,data!$H$4:$I$9)),"#",getgrade(Broadsheet!BG183,data!$H$4:$I$9))</f>
        <v/>
      </c>
      <c r="CG72" s="188" t="str">
        <f>IF(ISERROR(getgrade(Broadsheet!BH183,data!$H$4:$I$9)),"#",getgrade(Broadsheet!BH183,data!$H$4:$I$9))</f>
        <v/>
      </c>
      <c r="CH72" s="188" t="str">
        <f>IF(ISERROR(getgrade(Broadsheet!BI183,data!$H$4:$I$9)),"#",getgrade(Broadsheet!BI183,data!$H$4:$I$9))</f>
        <v/>
      </c>
      <c r="CI72" s="188" t="str">
        <f>IF(ISERROR(getgrade(Broadsheet!BJ183,data!$H$4:$I$9)),"#",getgrade(Broadsheet!BJ183,data!$H$4:$I$9))</f>
        <v/>
      </c>
      <c r="CJ72" s="188"/>
      <c r="CK72" s="188"/>
      <c r="CL72" s="188"/>
      <c r="CM72" s="188"/>
      <c r="CN72" s="188"/>
      <c r="CO72" s="188"/>
      <c r="CP72" s="188"/>
      <c r="CQ72" s="188"/>
      <c r="CR72" s="188"/>
      <c r="CS72" s="188"/>
      <c r="CT72" s="188"/>
      <c r="CU72" s="188"/>
      <c r="CV72" s="188"/>
      <c r="CW72" s="188"/>
      <c r="CX72" s="188"/>
      <c r="CY72" s="188"/>
      <c r="CZ72" s="188"/>
      <c r="DA72" s="188"/>
      <c r="DB72" s="188"/>
      <c r="DC72" s="188"/>
      <c r="DD72" s="188"/>
      <c r="DE72" s="188"/>
      <c r="DF72" s="188"/>
      <c r="DG72" s="188"/>
      <c r="DH72" s="188"/>
      <c r="DI72" s="188"/>
      <c r="DJ72" s="188"/>
      <c r="DK72" s="188"/>
      <c r="DL72" s="188"/>
      <c r="DM72" s="188"/>
      <c r="DN72" s="188"/>
      <c r="DO72" s="188"/>
      <c r="DP72" s="188"/>
      <c r="DQ72" s="188"/>
      <c r="DR72" s="188"/>
      <c r="DS72" s="188"/>
      <c r="DT72" s="188"/>
      <c r="DU72" s="188"/>
      <c r="DV72" s="188"/>
      <c r="DW72" s="188"/>
      <c r="DX72" s="188"/>
      <c r="DY72" s="188"/>
      <c r="DZ72" s="188"/>
      <c r="EA72" s="188"/>
      <c r="EB72" s="188"/>
      <c r="EC72" s="188"/>
      <c r="ED72" s="188"/>
      <c r="EE72" s="188"/>
      <c r="EF72" s="188"/>
      <c r="EG72" s="188"/>
      <c r="EH72" s="188"/>
      <c r="EI72" s="188"/>
      <c r="EJ72" s="188"/>
      <c r="EK72" s="188"/>
      <c r="EL72" s="188"/>
      <c r="EM72" s="188"/>
      <c r="EN72" s="188"/>
      <c r="EO72" s="188"/>
      <c r="EP72" s="188"/>
      <c r="EQ72" s="188"/>
      <c r="ER72" s="188"/>
      <c r="ES72" s="188"/>
      <c r="ET72" s="188"/>
      <c r="EU72" s="188"/>
      <c r="EV72" s="188"/>
      <c r="EW72" s="188"/>
      <c r="EX72" s="188"/>
      <c r="EY72" s="188"/>
      <c r="EZ72" s="188"/>
    </row>
    <row r="73" spans="26:156" ht="15.75" x14ac:dyDescent="0.25">
      <c r="Z73" s="2"/>
      <c r="AA73" s="2"/>
      <c r="AB73" s="2"/>
      <c r="AC73" s="2"/>
      <c r="AD73" s="2"/>
      <c r="AE73" s="2"/>
      <c r="AG73" s="188" t="str">
        <f>IF(ISERROR(getgrade(Broadsheet!H184,data!$H$4:$I$9)),"#",getgrade(Broadsheet!H184,data!$H$4:$I$9))</f>
        <v/>
      </c>
      <c r="AH73" s="188" t="str">
        <f>IF(ISERROR(getgrade(Broadsheet!I184,data!$H$4:$I$9)),"#",getgrade(Broadsheet!I184,data!$H$4:$I$9))</f>
        <v/>
      </c>
      <c r="AI73" s="188" t="str">
        <f>IF(ISERROR(getgrade(Broadsheet!J184,data!$H$4:$I$9)),"#",getgrade(Broadsheet!J184,data!$H$4:$I$9))</f>
        <v/>
      </c>
      <c r="AJ73" s="188" t="str">
        <f>IF(ISERROR(getgrade(Broadsheet!K184,data!$H$4:$I$9)),"#",getgrade(Broadsheet!K184,data!$H$4:$I$9))</f>
        <v/>
      </c>
      <c r="AK73" s="188" t="str">
        <f>IF(ISERROR(getgrade(Broadsheet!L184,data!$H$4:$I$9)),"#",getgrade(Broadsheet!L184,data!$H$4:$I$9))</f>
        <v/>
      </c>
      <c r="AL73" s="188" t="str">
        <f>IF(ISERROR(getgrade(Broadsheet!M184,data!$H$4:$I$9)),"#",getgrade(Broadsheet!M184,data!$H$4:$I$9))</f>
        <v/>
      </c>
      <c r="AM73" s="188" t="str">
        <f>IF(ISERROR(getgrade(Broadsheet!N184,data!$H$4:$I$9)),"#",getgrade(Broadsheet!N184,data!$H$4:$I$9))</f>
        <v/>
      </c>
      <c r="AN73" s="188" t="str">
        <f>IF(ISERROR(getgrade(Broadsheet!O184,data!$H$4:$I$9)),"#",getgrade(Broadsheet!O184,data!$H$4:$I$9))</f>
        <v/>
      </c>
      <c r="AO73" s="188" t="str">
        <f>IF(ISERROR(getgrade(Broadsheet!P184,data!$H$4:$I$9)),"#",getgrade(Broadsheet!P184,data!$H$4:$I$9))</f>
        <v/>
      </c>
      <c r="AP73" s="188" t="str">
        <f>IF(ISERROR(getgrade(Broadsheet!Q184,data!$H$4:$I$9)),"#",getgrade(Broadsheet!Q184,data!$H$4:$I$9))</f>
        <v/>
      </c>
      <c r="AQ73" s="188" t="str">
        <f>IF(ISERROR(getgrade(Broadsheet!R184,data!$H$4:$I$9)),"#",getgrade(Broadsheet!R184,data!$H$4:$I$9))</f>
        <v/>
      </c>
      <c r="AR73" s="188" t="str">
        <f>IF(ISERROR(getgrade(Broadsheet!S184,data!$H$4:$I$9)),"#",getgrade(Broadsheet!S184,data!$H$4:$I$9))</f>
        <v/>
      </c>
      <c r="AS73" s="188" t="str">
        <f>IF(ISERROR(getgrade(Broadsheet!T184,data!$H$4:$I$9)),"#",getgrade(Broadsheet!T184,data!$H$4:$I$9))</f>
        <v/>
      </c>
      <c r="AT73" s="188" t="str">
        <f>IF(ISERROR(getgrade(Broadsheet!U184,data!$H$4:$I$9)),"#",getgrade(Broadsheet!U184,data!$H$4:$I$9))</f>
        <v/>
      </c>
      <c r="AU73" s="188" t="str">
        <f>IF(ISERROR(getgrade(Broadsheet!V184,data!$H$4:$I$9)),"#",getgrade(Broadsheet!V184,data!$H$4:$I$9))</f>
        <v/>
      </c>
      <c r="AV73" s="188" t="str">
        <f>IF(ISERROR(getgrade(Broadsheet!W184,data!$H$4:$I$9)),"#",getgrade(Broadsheet!W184,data!$H$4:$I$9))</f>
        <v/>
      </c>
      <c r="AW73" s="188" t="str">
        <f>IF(ISERROR(getgrade(Broadsheet!X184,data!$H$4:$I$9)),"#",getgrade(Broadsheet!X184,data!$H$4:$I$9))</f>
        <v/>
      </c>
      <c r="AX73" s="188" t="str">
        <f>IF(ISERROR(getgrade(Broadsheet!Y184,data!$H$4:$I$9)),"#",getgrade(Broadsheet!Y184,data!$H$4:$I$9))</f>
        <v/>
      </c>
      <c r="AY73" s="188" t="str">
        <f>IF(ISERROR(getgrade(Broadsheet!Z184,data!$H$4:$I$9)),"#",getgrade(Broadsheet!Z184,data!$H$4:$I$9))</f>
        <v/>
      </c>
      <c r="AZ73" s="188" t="str">
        <f>IF(ISERROR(getgrade(Broadsheet!AA184,data!$H$4:$I$9)),"#",getgrade(Broadsheet!AA184,data!$H$4:$I$9))</f>
        <v/>
      </c>
      <c r="BA73" s="188" t="str">
        <f>IF(ISERROR(getgrade(Broadsheet!AB184,data!$H$4:$I$9)),"#",getgrade(Broadsheet!AB184,data!$H$4:$I$9))</f>
        <v/>
      </c>
      <c r="BB73" s="188" t="str">
        <f>IF(ISERROR(getgrade(Broadsheet!AC184,data!$H$4:$I$9)),"#",getgrade(Broadsheet!AC184,data!$H$4:$I$9))</f>
        <v/>
      </c>
      <c r="BC73" s="188" t="str">
        <f>IF(ISERROR(getgrade(Broadsheet!AD184,data!$H$4:$I$9)),"#",getgrade(Broadsheet!AD184,data!$H$4:$I$9))</f>
        <v/>
      </c>
      <c r="BD73" s="188" t="str">
        <f>IF(ISERROR(getgrade(Broadsheet!AE184,data!$H$4:$I$9)),"#",getgrade(Broadsheet!AE184,data!$H$4:$I$9))</f>
        <v/>
      </c>
      <c r="BE73" s="188" t="str">
        <f>IF(ISERROR(getgrade(Broadsheet!AF184,data!$H$4:$I$9)),"#",getgrade(Broadsheet!AF184,data!$H$4:$I$9))</f>
        <v/>
      </c>
      <c r="BF73" s="188" t="str">
        <f>IF(ISERROR(getgrade(Broadsheet!AG184,data!$H$4:$I$9)),"#",getgrade(Broadsheet!AG184,data!$H$4:$I$9))</f>
        <v/>
      </c>
      <c r="BG73" s="188" t="str">
        <f>IF(ISERROR(getgrade(Broadsheet!AH184,data!$H$4:$I$9)),"#",getgrade(Broadsheet!AH184,data!$H$4:$I$9))</f>
        <v/>
      </c>
      <c r="BH73" s="188" t="str">
        <f>IF(ISERROR(getgrade(Broadsheet!AI184,data!$H$4:$I$9)),"#",getgrade(Broadsheet!AI184,data!$H$4:$I$9))</f>
        <v/>
      </c>
      <c r="BI73" s="188" t="str">
        <f>IF(ISERROR(getgrade(Broadsheet!AJ184,data!$H$4:$I$9)),"#",getgrade(Broadsheet!AJ184,data!$H$4:$I$9))</f>
        <v/>
      </c>
      <c r="BJ73" s="188" t="str">
        <f>IF(ISERROR(getgrade(Broadsheet!AK184,data!$H$4:$I$9)),"#",getgrade(Broadsheet!AK184,data!$H$4:$I$9))</f>
        <v/>
      </c>
      <c r="BK73" s="188" t="str">
        <f>IF(ISERROR(getgrade(Broadsheet!AL184,data!$H$4:$I$9)),"#",getgrade(Broadsheet!AL184,data!$H$4:$I$9))</f>
        <v/>
      </c>
      <c r="BL73" s="188" t="str">
        <f>IF(ISERROR(getgrade(Broadsheet!AM184,data!$H$4:$I$9)),"#",getgrade(Broadsheet!AM184,data!$H$4:$I$9))</f>
        <v/>
      </c>
      <c r="BM73" s="188" t="str">
        <f>IF(ISERROR(getgrade(Broadsheet!AN184,data!$H$4:$I$9)),"#",getgrade(Broadsheet!AN184,data!$H$4:$I$9))</f>
        <v/>
      </c>
      <c r="BN73" s="188" t="str">
        <f>IF(ISERROR(getgrade(Broadsheet!AO184,data!$H$4:$I$9)),"#",getgrade(Broadsheet!AO184,data!$H$4:$I$9))</f>
        <v/>
      </c>
      <c r="BO73" s="188" t="str">
        <f>IF(ISERROR(getgrade(Broadsheet!AP184,data!$H$4:$I$9)),"#",getgrade(Broadsheet!AP184,data!$H$4:$I$9))</f>
        <v/>
      </c>
      <c r="BP73" s="188" t="str">
        <f>IF(ISERROR(getgrade(Broadsheet!AQ184,data!$H$4:$I$9)),"#",getgrade(Broadsheet!AQ184,data!$H$4:$I$9))</f>
        <v/>
      </c>
      <c r="BQ73" s="188" t="str">
        <f>IF(ISERROR(getgrade(Broadsheet!AR184,data!$H$4:$I$9)),"#",getgrade(Broadsheet!AR184,data!$H$4:$I$9))</f>
        <v/>
      </c>
      <c r="BR73" s="188" t="str">
        <f>IF(ISERROR(getgrade(Broadsheet!AS184,data!$H$4:$I$9)),"#",getgrade(Broadsheet!AS184,data!$H$4:$I$9))</f>
        <v/>
      </c>
      <c r="BS73" s="188" t="str">
        <f>IF(ISERROR(getgrade(Broadsheet!AT184,data!$H$4:$I$9)),"#",getgrade(Broadsheet!AT184,data!$H$4:$I$9))</f>
        <v/>
      </c>
      <c r="BT73" s="188" t="str">
        <f>IF(ISERROR(getgrade(Broadsheet!AU184,data!$H$4:$I$9)),"#",getgrade(Broadsheet!AU184,data!$H$4:$I$9))</f>
        <v/>
      </c>
      <c r="BU73" s="188" t="str">
        <f>IF(ISERROR(getgrade(Broadsheet!AV184,data!$H$4:$I$9)),"#",getgrade(Broadsheet!AV184,data!$H$4:$I$9))</f>
        <v/>
      </c>
      <c r="BV73" s="188" t="str">
        <f>IF(ISERROR(getgrade(Broadsheet!AW184,data!$H$4:$I$9)),"#",getgrade(Broadsheet!AW184,data!$H$4:$I$9))</f>
        <v/>
      </c>
      <c r="BW73" s="188" t="str">
        <f>IF(ISERROR(getgrade(Broadsheet!AX184,data!$H$4:$I$9)),"#",getgrade(Broadsheet!AX184,data!$H$4:$I$9))</f>
        <v/>
      </c>
      <c r="BX73" s="188" t="str">
        <f>IF(ISERROR(getgrade(Broadsheet!AY184,data!$H$4:$I$9)),"#",getgrade(Broadsheet!AY184,data!$H$4:$I$9))</f>
        <v/>
      </c>
      <c r="BY73" s="188" t="str">
        <f>IF(ISERROR(getgrade(Broadsheet!AZ184,data!$H$4:$I$9)),"#",getgrade(Broadsheet!AZ184,data!$H$4:$I$9))</f>
        <v/>
      </c>
      <c r="BZ73" s="188" t="str">
        <f>IF(ISERROR(getgrade(Broadsheet!BA184,data!$H$4:$I$9)),"#",getgrade(Broadsheet!BA184,data!$H$4:$I$9))</f>
        <v/>
      </c>
      <c r="CA73" s="188" t="str">
        <f>IF(ISERROR(getgrade(Broadsheet!BB184,data!$H$4:$I$9)),"#",getgrade(Broadsheet!BB184,data!$H$4:$I$9))</f>
        <v/>
      </c>
      <c r="CB73" s="188" t="str">
        <f>IF(ISERROR(getgrade(Broadsheet!BC184,data!$H$4:$I$9)),"#",getgrade(Broadsheet!BC184,data!$H$4:$I$9))</f>
        <v/>
      </c>
      <c r="CC73" s="188" t="str">
        <f>IF(ISERROR(getgrade(Broadsheet!BD184,data!$H$4:$I$9)),"#",getgrade(Broadsheet!BD184,data!$H$4:$I$9))</f>
        <v/>
      </c>
      <c r="CD73" s="188" t="str">
        <f>IF(ISERROR(getgrade(Broadsheet!BE184,data!$H$4:$I$9)),"#",getgrade(Broadsheet!BE184,data!$H$4:$I$9))</f>
        <v/>
      </c>
      <c r="CE73" s="188" t="str">
        <f>IF(ISERROR(getgrade(Broadsheet!BF184,data!$H$4:$I$9)),"#",getgrade(Broadsheet!BF184,data!$H$4:$I$9))</f>
        <v/>
      </c>
      <c r="CF73" s="188" t="str">
        <f>IF(ISERROR(getgrade(Broadsheet!BG184,data!$H$4:$I$9)),"#",getgrade(Broadsheet!BG184,data!$H$4:$I$9))</f>
        <v/>
      </c>
      <c r="CG73" s="188" t="str">
        <f>IF(ISERROR(getgrade(Broadsheet!BH184,data!$H$4:$I$9)),"#",getgrade(Broadsheet!BH184,data!$H$4:$I$9))</f>
        <v/>
      </c>
      <c r="CH73" s="188" t="str">
        <f>IF(ISERROR(getgrade(Broadsheet!BI184,data!$H$4:$I$9)),"#",getgrade(Broadsheet!BI184,data!$H$4:$I$9))</f>
        <v/>
      </c>
      <c r="CI73" s="188" t="str">
        <f>IF(ISERROR(getgrade(Broadsheet!BJ184,data!$H$4:$I$9)),"#",getgrade(Broadsheet!BJ184,data!$H$4:$I$9))</f>
        <v/>
      </c>
      <c r="CJ73" s="188"/>
      <c r="CK73" s="188"/>
      <c r="CL73" s="188"/>
      <c r="CM73" s="188"/>
      <c r="CN73" s="188"/>
      <c r="CO73" s="188"/>
      <c r="CP73" s="188"/>
      <c r="CQ73" s="188"/>
      <c r="CR73" s="188"/>
      <c r="CS73" s="188"/>
      <c r="CT73" s="188"/>
      <c r="CU73" s="188"/>
      <c r="CV73" s="188"/>
      <c r="CW73" s="188"/>
      <c r="CX73" s="188"/>
      <c r="CY73" s="188"/>
      <c r="CZ73" s="188"/>
      <c r="DA73" s="188"/>
      <c r="DB73" s="188"/>
      <c r="DC73" s="188"/>
      <c r="DD73" s="188"/>
      <c r="DE73" s="188"/>
      <c r="DF73" s="188"/>
      <c r="DG73" s="188"/>
      <c r="DH73" s="188"/>
      <c r="DI73" s="188"/>
      <c r="DJ73" s="188"/>
      <c r="DK73" s="188"/>
      <c r="DL73" s="188"/>
      <c r="DM73" s="188"/>
      <c r="DN73" s="188"/>
      <c r="DO73" s="188"/>
      <c r="DP73" s="188"/>
      <c r="DQ73" s="188"/>
      <c r="DR73" s="188"/>
      <c r="DS73" s="188"/>
      <c r="DT73" s="188"/>
      <c r="DU73" s="188"/>
      <c r="DV73" s="188"/>
      <c r="DW73" s="188"/>
      <c r="DX73" s="188"/>
      <c r="DY73" s="188"/>
      <c r="DZ73" s="188"/>
      <c r="EA73" s="188"/>
      <c r="EB73" s="188"/>
      <c r="EC73" s="188"/>
      <c r="ED73" s="188"/>
      <c r="EE73" s="188"/>
      <c r="EF73" s="188"/>
      <c r="EG73" s="188"/>
      <c r="EH73" s="188"/>
      <c r="EI73" s="188"/>
      <c r="EJ73" s="188"/>
      <c r="EK73" s="188"/>
      <c r="EL73" s="188"/>
      <c r="EM73" s="188"/>
      <c r="EN73" s="188"/>
      <c r="EO73" s="188"/>
      <c r="EP73" s="188"/>
      <c r="EQ73" s="188"/>
      <c r="ER73" s="188"/>
      <c r="ES73" s="188"/>
      <c r="ET73" s="188"/>
      <c r="EU73" s="188"/>
      <c r="EV73" s="188"/>
      <c r="EW73" s="188"/>
      <c r="EX73" s="188"/>
      <c r="EY73" s="188"/>
      <c r="EZ73" s="188"/>
    </row>
    <row r="74" spans="26:156" ht="15.75" x14ac:dyDescent="0.25">
      <c r="Z74" s="2"/>
      <c r="AA74" s="2"/>
      <c r="AB74" s="2"/>
      <c r="AC74" s="2"/>
      <c r="AD74" s="2"/>
      <c r="AE74" s="2"/>
      <c r="AG74" s="188" t="str">
        <f>IF(ISERROR(getgrade(Broadsheet!H185,data!$H$4:$I$9)),"#",getgrade(Broadsheet!H185,data!$H$4:$I$9))</f>
        <v/>
      </c>
      <c r="AH74" s="188" t="str">
        <f>IF(ISERROR(getgrade(Broadsheet!I185,data!$H$4:$I$9)),"#",getgrade(Broadsheet!I185,data!$H$4:$I$9))</f>
        <v/>
      </c>
      <c r="AI74" s="188" t="str">
        <f>IF(ISERROR(getgrade(Broadsheet!J185,data!$H$4:$I$9)),"#",getgrade(Broadsheet!J185,data!$H$4:$I$9))</f>
        <v/>
      </c>
      <c r="AJ74" s="188" t="str">
        <f>IF(ISERROR(getgrade(Broadsheet!K185,data!$H$4:$I$9)),"#",getgrade(Broadsheet!K185,data!$H$4:$I$9))</f>
        <v/>
      </c>
      <c r="AK74" s="188" t="str">
        <f>IF(ISERROR(getgrade(Broadsheet!L185,data!$H$4:$I$9)),"#",getgrade(Broadsheet!L185,data!$H$4:$I$9))</f>
        <v/>
      </c>
      <c r="AL74" s="188" t="str">
        <f>IF(ISERROR(getgrade(Broadsheet!M185,data!$H$4:$I$9)),"#",getgrade(Broadsheet!M185,data!$H$4:$I$9))</f>
        <v/>
      </c>
      <c r="AM74" s="188" t="str">
        <f>IF(ISERROR(getgrade(Broadsheet!N185,data!$H$4:$I$9)),"#",getgrade(Broadsheet!N185,data!$H$4:$I$9))</f>
        <v/>
      </c>
      <c r="AN74" s="188" t="str">
        <f>IF(ISERROR(getgrade(Broadsheet!O185,data!$H$4:$I$9)),"#",getgrade(Broadsheet!O185,data!$H$4:$I$9))</f>
        <v/>
      </c>
      <c r="AO74" s="188" t="str">
        <f>IF(ISERROR(getgrade(Broadsheet!P185,data!$H$4:$I$9)),"#",getgrade(Broadsheet!P185,data!$H$4:$I$9))</f>
        <v/>
      </c>
      <c r="AP74" s="188" t="str">
        <f>IF(ISERROR(getgrade(Broadsheet!Q185,data!$H$4:$I$9)),"#",getgrade(Broadsheet!Q185,data!$H$4:$I$9))</f>
        <v/>
      </c>
      <c r="AQ74" s="188" t="str">
        <f>IF(ISERROR(getgrade(Broadsheet!R185,data!$H$4:$I$9)),"#",getgrade(Broadsheet!R185,data!$H$4:$I$9))</f>
        <v/>
      </c>
      <c r="AR74" s="188" t="str">
        <f>IF(ISERROR(getgrade(Broadsheet!S185,data!$H$4:$I$9)),"#",getgrade(Broadsheet!S185,data!$H$4:$I$9))</f>
        <v/>
      </c>
      <c r="AS74" s="188" t="str">
        <f>IF(ISERROR(getgrade(Broadsheet!T185,data!$H$4:$I$9)),"#",getgrade(Broadsheet!T185,data!$H$4:$I$9))</f>
        <v/>
      </c>
      <c r="AT74" s="188" t="str">
        <f>IF(ISERROR(getgrade(Broadsheet!U185,data!$H$4:$I$9)),"#",getgrade(Broadsheet!U185,data!$H$4:$I$9))</f>
        <v/>
      </c>
      <c r="AU74" s="188" t="str">
        <f>IF(ISERROR(getgrade(Broadsheet!V185,data!$H$4:$I$9)),"#",getgrade(Broadsheet!V185,data!$H$4:$I$9))</f>
        <v/>
      </c>
      <c r="AV74" s="188" t="str">
        <f>IF(ISERROR(getgrade(Broadsheet!W185,data!$H$4:$I$9)),"#",getgrade(Broadsheet!W185,data!$H$4:$I$9))</f>
        <v/>
      </c>
      <c r="AW74" s="188" t="str">
        <f>IF(ISERROR(getgrade(Broadsheet!X185,data!$H$4:$I$9)),"#",getgrade(Broadsheet!X185,data!$H$4:$I$9))</f>
        <v/>
      </c>
      <c r="AX74" s="188" t="str">
        <f>IF(ISERROR(getgrade(Broadsheet!Y185,data!$H$4:$I$9)),"#",getgrade(Broadsheet!Y185,data!$H$4:$I$9))</f>
        <v/>
      </c>
      <c r="AY74" s="188" t="str">
        <f>IF(ISERROR(getgrade(Broadsheet!Z185,data!$H$4:$I$9)),"#",getgrade(Broadsheet!Z185,data!$H$4:$I$9))</f>
        <v/>
      </c>
      <c r="AZ74" s="188" t="str">
        <f>IF(ISERROR(getgrade(Broadsheet!AA185,data!$H$4:$I$9)),"#",getgrade(Broadsheet!AA185,data!$H$4:$I$9))</f>
        <v/>
      </c>
      <c r="BA74" s="188" t="str">
        <f>IF(ISERROR(getgrade(Broadsheet!AB185,data!$H$4:$I$9)),"#",getgrade(Broadsheet!AB185,data!$H$4:$I$9))</f>
        <v/>
      </c>
      <c r="BB74" s="188" t="str">
        <f>IF(ISERROR(getgrade(Broadsheet!AC185,data!$H$4:$I$9)),"#",getgrade(Broadsheet!AC185,data!$H$4:$I$9))</f>
        <v/>
      </c>
      <c r="BC74" s="188" t="str">
        <f>IF(ISERROR(getgrade(Broadsheet!AD185,data!$H$4:$I$9)),"#",getgrade(Broadsheet!AD185,data!$H$4:$I$9))</f>
        <v/>
      </c>
      <c r="BD74" s="188" t="str">
        <f>IF(ISERROR(getgrade(Broadsheet!AE185,data!$H$4:$I$9)),"#",getgrade(Broadsheet!AE185,data!$H$4:$I$9))</f>
        <v/>
      </c>
      <c r="BE74" s="188" t="str">
        <f>IF(ISERROR(getgrade(Broadsheet!AF185,data!$H$4:$I$9)),"#",getgrade(Broadsheet!AF185,data!$H$4:$I$9))</f>
        <v/>
      </c>
      <c r="BF74" s="188" t="str">
        <f>IF(ISERROR(getgrade(Broadsheet!AG185,data!$H$4:$I$9)),"#",getgrade(Broadsheet!AG185,data!$H$4:$I$9))</f>
        <v/>
      </c>
      <c r="BG74" s="188" t="str">
        <f>IF(ISERROR(getgrade(Broadsheet!AH185,data!$H$4:$I$9)),"#",getgrade(Broadsheet!AH185,data!$H$4:$I$9))</f>
        <v/>
      </c>
      <c r="BH74" s="188" t="str">
        <f>IF(ISERROR(getgrade(Broadsheet!AI185,data!$H$4:$I$9)),"#",getgrade(Broadsheet!AI185,data!$H$4:$I$9))</f>
        <v/>
      </c>
      <c r="BI74" s="188" t="str">
        <f>IF(ISERROR(getgrade(Broadsheet!AJ185,data!$H$4:$I$9)),"#",getgrade(Broadsheet!AJ185,data!$H$4:$I$9))</f>
        <v/>
      </c>
      <c r="BJ74" s="188" t="str">
        <f>IF(ISERROR(getgrade(Broadsheet!AK185,data!$H$4:$I$9)),"#",getgrade(Broadsheet!AK185,data!$H$4:$I$9))</f>
        <v/>
      </c>
      <c r="BK74" s="188" t="str">
        <f>IF(ISERROR(getgrade(Broadsheet!AL185,data!$H$4:$I$9)),"#",getgrade(Broadsheet!AL185,data!$H$4:$I$9))</f>
        <v/>
      </c>
      <c r="BL74" s="188" t="str">
        <f>IF(ISERROR(getgrade(Broadsheet!AM185,data!$H$4:$I$9)),"#",getgrade(Broadsheet!AM185,data!$H$4:$I$9))</f>
        <v/>
      </c>
      <c r="BM74" s="188" t="str">
        <f>IF(ISERROR(getgrade(Broadsheet!AN185,data!$H$4:$I$9)),"#",getgrade(Broadsheet!AN185,data!$H$4:$I$9))</f>
        <v/>
      </c>
      <c r="BN74" s="188" t="str">
        <f>IF(ISERROR(getgrade(Broadsheet!AO185,data!$H$4:$I$9)),"#",getgrade(Broadsheet!AO185,data!$H$4:$I$9))</f>
        <v/>
      </c>
      <c r="BO74" s="188" t="str">
        <f>IF(ISERROR(getgrade(Broadsheet!AP185,data!$H$4:$I$9)),"#",getgrade(Broadsheet!AP185,data!$H$4:$I$9))</f>
        <v/>
      </c>
      <c r="BP74" s="188" t="str">
        <f>IF(ISERROR(getgrade(Broadsheet!AQ185,data!$H$4:$I$9)),"#",getgrade(Broadsheet!AQ185,data!$H$4:$I$9))</f>
        <v/>
      </c>
      <c r="BQ74" s="188" t="str">
        <f>IF(ISERROR(getgrade(Broadsheet!AR185,data!$H$4:$I$9)),"#",getgrade(Broadsheet!AR185,data!$H$4:$I$9))</f>
        <v/>
      </c>
      <c r="BR74" s="188" t="str">
        <f>IF(ISERROR(getgrade(Broadsheet!AS185,data!$H$4:$I$9)),"#",getgrade(Broadsheet!AS185,data!$H$4:$I$9))</f>
        <v/>
      </c>
      <c r="BS74" s="188" t="str">
        <f>IF(ISERROR(getgrade(Broadsheet!AT185,data!$H$4:$I$9)),"#",getgrade(Broadsheet!AT185,data!$H$4:$I$9))</f>
        <v/>
      </c>
      <c r="BT74" s="188" t="str">
        <f>IF(ISERROR(getgrade(Broadsheet!AU185,data!$H$4:$I$9)),"#",getgrade(Broadsheet!AU185,data!$H$4:$I$9))</f>
        <v/>
      </c>
      <c r="BU74" s="188" t="str">
        <f>IF(ISERROR(getgrade(Broadsheet!AV185,data!$H$4:$I$9)),"#",getgrade(Broadsheet!AV185,data!$H$4:$I$9))</f>
        <v/>
      </c>
      <c r="BV74" s="188" t="str">
        <f>IF(ISERROR(getgrade(Broadsheet!AW185,data!$H$4:$I$9)),"#",getgrade(Broadsheet!AW185,data!$H$4:$I$9))</f>
        <v/>
      </c>
      <c r="BW74" s="188" t="str">
        <f>IF(ISERROR(getgrade(Broadsheet!AX185,data!$H$4:$I$9)),"#",getgrade(Broadsheet!AX185,data!$H$4:$I$9))</f>
        <v/>
      </c>
      <c r="BX74" s="188" t="str">
        <f>IF(ISERROR(getgrade(Broadsheet!AY185,data!$H$4:$I$9)),"#",getgrade(Broadsheet!AY185,data!$H$4:$I$9))</f>
        <v/>
      </c>
      <c r="BY74" s="188" t="str">
        <f>IF(ISERROR(getgrade(Broadsheet!AZ185,data!$H$4:$I$9)),"#",getgrade(Broadsheet!AZ185,data!$H$4:$I$9))</f>
        <v/>
      </c>
      <c r="BZ74" s="188" t="str">
        <f>IF(ISERROR(getgrade(Broadsheet!BA185,data!$H$4:$I$9)),"#",getgrade(Broadsheet!BA185,data!$H$4:$I$9))</f>
        <v/>
      </c>
      <c r="CA74" s="188" t="str">
        <f>IF(ISERROR(getgrade(Broadsheet!BB185,data!$H$4:$I$9)),"#",getgrade(Broadsheet!BB185,data!$H$4:$I$9))</f>
        <v/>
      </c>
      <c r="CB74" s="188" t="str">
        <f>IF(ISERROR(getgrade(Broadsheet!BC185,data!$H$4:$I$9)),"#",getgrade(Broadsheet!BC185,data!$H$4:$I$9))</f>
        <v/>
      </c>
      <c r="CC74" s="188" t="str">
        <f>IF(ISERROR(getgrade(Broadsheet!BD185,data!$H$4:$I$9)),"#",getgrade(Broadsheet!BD185,data!$H$4:$I$9))</f>
        <v/>
      </c>
      <c r="CD74" s="188" t="str">
        <f>IF(ISERROR(getgrade(Broadsheet!BE185,data!$H$4:$I$9)),"#",getgrade(Broadsheet!BE185,data!$H$4:$I$9))</f>
        <v/>
      </c>
      <c r="CE74" s="188" t="str">
        <f>IF(ISERROR(getgrade(Broadsheet!BF185,data!$H$4:$I$9)),"#",getgrade(Broadsheet!BF185,data!$H$4:$I$9))</f>
        <v/>
      </c>
      <c r="CF74" s="188" t="str">
        <f>IF(ISERROR(getgrade(Broadsheet!BG185,data!$H$4:$I$9)),"#",getgrade(Broadsheet!BG185,data!$H$4:$I$9))</f>
        <v/>
      </c>
      <c r="CG74" s="188" t="str">
        <f>IF(ISERROR(getgrade(Broadsheet!BH185,data!$H$4:$I$9)),"#",getgrade(Broadsheet!BH185,data!$H$4:$I$9))</f>
        <v/>
      </c>
      <c r="CH74" s="188" t="str">
        <f>IF(ISERROR(getgrade(Broadsheet!BI185,data!$H$4:$I$9)),"#",getgrade(Broadsheet!BI185,data!$H$4:$I$9))</f>
        <v/>
      </c>
      <c r="CI74" s="188" t="str">
        <f>IF(ISERROR(getgrade(Broadsheet!BJ185,data!$H$4:$I$9)),"#",getgrade(Broadsheet!BJ185,data!$H$4:$I$9))</f>
        <v/>
      </c>
      <c r="CJ74" s="188"/>
      <c r="CK74" s="188"/>
      <c r="CL74" s="188"/>
      <c r="CM74" s="188"/>
      <c r="CN74" s="188"/>
      <c r="CO74" s="188"/>
      <c r="CP74" s="188"/>
      <c r="CQ74" s="188"/>
      <c r="CR74" s="188"/>
      <c r="CS74" s="188"/>
      <c r="CT74" s="188"/>
      <c r="CU74" s="188"/>
      <c r="CV74" s="188"/>
      <c r="CW74" s="188"/>
      <c r="CX74" s="188"/>
      <c r="CY74" s="188"/>
      <c r="CZ74" s="188"/>
      <c r="DA74" s="188"/>
      <c r="DB74" s="188"/>
      <c r="DC74" s="188"/>
      <c r="DD74" s="188"/>
      <c r="DE74" s="188"/>
      <c r="DF74" s="188"/>
      <c r="DG74" s="188"/>
      <c r="DH74" s="188"/>
      <c r="DI74" s="188"/>
      <c r="DJ74" s="188"/>
      <c r="DK74" s="188"/>
      <c r="DL74" s="188"/>
      <c r="DM74" s="188"/>
      <c r="DN74" s="188"/>
      <c r="DO74" s="188"/>
      <c r="DP74" s="188"/>
      <c r="DQ74" s="188"/>
      <c r="DR74" s="188"/>
      <c r="DS74" s="188"/>
      <c r="DT74" s="188"/>
      <c r="DU74" s="188"/>
      <c r="DV74" s="188"/>
      <c r="DW74" s="188"/>
      <c r="DX74" s="188"/>
      <c r="DY74" s="188"/>
      <c r="DZ74" s="188"/>
      <c r="EA74" s="188"/>
      <c r="EB74" s="188"/>
      <c r="EC74" s="188"/>
      <c r="ED74" s="188"/>
      <c r="EE74" s="188"/>
      <c r="EF74" s="188"/>
      <c r="EG74" s="188"/>
      <c r="EH74" s="188"/>
      <c r="EI74" s="188"/>
      <c r="EJ74" s="188"/>
      <c r="EK74" s="188"/>
      <c r="EL74" s="188"/>
      <c r="EM74" s="188"/>
      <c r="EN74" s="188"/>
      <c r="EO74" s="188"/>
      <c r="EP74" s="188"/>
      <c r="EQ74" s="188"/>
      <c r="ER74" s="188"/>
      <c r="ES74" s="188"/>
      <c r="ET74" s="188"/>
      <c r="EU74" s="188"/>
      <c r="EV74" s="188"/>
      <c r="EW74" s="188"/>
      <c r="EX74" s="188"/>
      <c r="EY74" s="188"/>
      <c r="EZ74" s="188"/>
    </row>
    <row r="75" spans="26:156" ht="15.75" x14ac:dyDescent="0.25">
      <c r="Z75" s="2"/>
      <c r="AA75" s="2"/>
      <c r="AB75" s="2"/>
      <c r="AC75" s="2"/>
      <c r="AD75" s="2"/>
      <c r="AE75" s="2"/>
      <c r="AG75" s="188" t="str">
        <f>IF(ISERROR(getgrade(Broadsheet!H186,data!$H$4:$I$9)),"#",getgrade(Broadsheet!H186,data!$H$4:$I$9))</f>
        <v/>
      </c>
      <c r="AH75" s="188" t="str">
        <f>IF(ISERROR(getgrade(Broadsheet!I186,data!$H$4:$I$9)),"#",getgrade(Broadsheet!I186,data!$H$4:$I$9))</f>
        <v/>
      </c>
      <c r="AI75" s="188" t="str">
        <f>IF(ISERROR(getgrade(Broadsheet!J186,data!$H$4:$I$9)),"#",getgrade(Broadsheet!J186,data!$H$4:$I$9))</f>
        <v/>
      </c>
      <c r="AJ75" s="188" t="str">
        <f>IF(ISERROR(getgrade(Broadsheet!K186,data!$H$4:$I$9)),"#",getgrade(Broadsheet!K186,data!$H$4:$I$9))</f>
        <v/>
      </c>
      <c r="AK75" s="188" t="str">
        <f>IF(ISERROR(getgrade(Broadsheet!L186,data!$H$4:$I$9)),"#",getgrade(Broadsheet!L186,data!$H$4:$I$9))</f>
        <v/>
      </c>
      <c r="AL75" s="188" t="str">
        <f>IF(ISERROR(getgrade(Broadsheet!M186,data!$H$4:$I$9)),"#",getgrade(Broadsheet!M186,data!$H$4:$I$9))</f>
        <v/>
      </c>
      <c r="AM75" s="188" t="str">
        <f>IF(ISERROR(getgrade(Broadsheet!N186,data!$H$4:$I$9)),"#",getgrade(Broadsheet!N186,data!$H$4:$I$9))</f>
        <v/>
      </c>
      <c r="AN75" s="188" t="str">
        <f>IF(ISERROR(getgrade(Broadsheet!O186,data!$H$4:$I$9)),"#",getgrade(Broadsheet!O186,data!$H$4:$I$9))</f>
        <v/>
      </c>
      <c r="AO75" s="188" t="str">
        <f>IF(ISERROR(getgrade(Broadsheet!P186,data!$H$4:$I$9)),"#",getgrade(Broadsheet!P186,data!$H$4:$I$9))</f>
        <v/>
      </c>
      <c r="AP75" s="188" t="str">
        <f>IF(ISERROR(getgrade(Broadsheet!Q186,data!$H$4:$I$9)),"#",getgrade(Broadsheet!Q186,data!$H$4:$I$9))</f>
        <v/>
      </c>
      <c r="AQ75" s="188" t="str">
        <f>IF(ISERROR(getgrade(Broadsheet!R186,data!$H$4:$I$9)),"#",getgrade(Broadsheet!R186,data!$H$4:$I$9))</f>
        <v/>
      </c>
      <c r="AR75" s="188" t="str">
        <f>IF(ISERROR(getgrade(Broadsheet!S186,data!$H$4:$I$9)),"#",getgrade(Broadsheet!S186,data!$H$4:$I$9))</f>
        <v/>
      </c>
      <c r="AS75" s="188" t="str">
        <f>IF(ISERROR(getgrade(Broadsheet!T186,data!$H$4:$I$9)),"#",getgrade(Broadsheet!T186,data!$H$4:$I$9))</f>
        <v/>
      </c>
      <c r="AT75" s="188" t="str">
        <f>IF(ISERROR(getgrade(Broadsheet!U186,data!$H$4:$I$9)),"#",getgrade(Broadsheet!U186,data!$H$4:$I$9))</f>
        <v/>
      </c>
      <c r="AU75" s="188" t="str">
        <f>IF(ISERROR(getgrade(Broadsheet!V186,data!$H$4:$I$9)),"#",getgrade(Broadsheet!V186,data!$H$4:$I$9))</f>
        <v/>
      </c>
      <c r="AV75" s="188" t="str">
        <f>IF(ISERROR(getgrade(Broadsheet!W186,data!$H$4:$I$9)),"#",getgrade(Broadsheet!W186,data!$H$4:$I$9))</f>
        <v/>
      </c>
      <c r="AW75" s="188" t="str">
        <f>IF(ISERROR(getgrade(Broadsheet!X186,data!$H$4:$I$9)),"#",getgrade(Broadsheet!X186,data!$H$4:$I$9))</f>
        <v/>
      </c>
      <c r="AX75" s="188" t="str">
        <f>IF(ISERROR(getgrade(Broadsheet!Y186,data!$H$4:$I$9)),"#",getgrade(Broadsheet!Y186,data!$H$4:$I$9))</f>
        <v/>
      </c>
      <c r="AY75" s="188" t="str">
        <f>IF(ISERROR(getgrade(Broadsheet!Z186,data!$H$4:$I$9)),"#",getgrade(Broadsheet!Z186,data!$H$4:$I$9))</f>
        <v/>
      </c>
      <c r="AZ75" s="188" t="str">
        <f>IF(ISERROR(getgrade(Broadsheet!AA186,data!$H$4:$I$9)),"#",getgrade(Broadsheet!AA186,data!$H$4:$I$9))</f>
        <v/>
      </c>
      <c r="BA75" s="188" t="str">
        <f>IF(ISERROR(getgrade(Broadsheet!AB186,data!$H$4:$I$9)),"#",getgrade(Broadsheet!AB186,data!$H$4:$I$9))</f>
        <v/>
      </c>
      <c r="BB75" s="188" t="str">
        <f>IF(ISERROR(getgrade(Broadsheet!AC186,data!$H$4:$I$9)),"#",getgrade(Broadsheet!AC186,data!$H$4:$I$9))</f>
        <v/>
      </c>
      <c r="BC75" s="188" t="str">
        <f>IF(ISERROR(getgrade(Broadsheet!AD186,data!$H$4:$I$9)),"#",getgrade(Broadsheet!AD186,data!$H$4:$I$9))</f>
        <v/>
      </c>
      <c r="BD75" s="188" t="str">
        <f>IF(ISERROR(getgrade(Broadsheet!AE186,data!$H$4:$I$9)),"#",getgrade(Broadsheet!AE186,data!$H$4:$I$9))</f>
        <v/>
      </c>
      <c r="BE75" s="188" t="str">
        <f>IF(ISERROR(getgrade(Broadsheet!AF186,data!$H$4:$I$9)),"#",getgrade(Broadsheet!AF186,data!$H$4:$I$9))</f>
        <v/>
      </c>
      <c r="BF75" s="188" t="str">
        <f>IF(ISERROR(getgrade(Broadsheet!AG186,data!$H$4:$I$9)),"#",getgrade(Broadsheet!AG186,data!$H$4:$I$9))</f>
        <v/>
      </c>
      <c r="BG75" s="188" t="str">
        <f>IF(ISERROR(getgrade(Broadsheet!AH186,data!$H$4:$I$9)),"#",getgrade(Broadsheet!AH186,data!$H$4:$I$9))</f>
        <v/>
      </c>
      <c r="BH75" s="188" t="str">
        <f>IF(ISERROR(getgrade(Broadsheet!AI186,data!$H$4:$I$9)),"#",getgrade(Broadsheet!AI186,data!$H$4:$I$9))</f>
        <v/>
      </c>
      <c r="BI75" s="188" t="str">
        <f>IF(ISERROR(getgrade(Broadsheet!AJ186,data!$H$4:$I$9)),"#",getgrade(Broadsheet!AJ186,data!$H$4:$I$9))</f>
        <v/>
      </c>
      <c r="BJ75" s="188" t="str">
        <f>IF(ISERROR(getgrade(Broadsheet!AK186,data!$H$4:$I$9)),"#",getgrade(Broadsheet!AK186,data!$H$4:$I$9))</f>
        <v/>
      </c>
      <c r="BK75" s="188" t="str">
        <f>IF(ISERROR(getgrade(Broadsheet!AL186,data!$H$4:$I$9)),"#",getgrade(Broadsheet!AL186,data!$H$4:$I$9))</f>
        <v/>
      </c>
      <c r="BL75" s="188" t="str">
        <f>IF(ISERROR(getgrade(Broadsheet!AM186,data!$H$4:$I$9)),"#",getgrade(Broadsheet!AM186,data!$H$4:$I$9))</f>
        <v/>
      </c>
      <c r="BM75" s="188" t="str">
        <f>IF(ISERROR(getgrade(Broadsheet!AN186,data!$H$4:$I$9)),"#",getgrade(Broadsheet!AN186,data!$H$4:$I$9))</f>
        <v/>
      </c>
      <c r="BN75" s="188" t="str">
        <f>IF(ISERROR(getgrade(Broadsheet!AO186,data!$H$4:$I$9)),"#",getgrade(Broadsheet!AO186,data!$H$4:$I$9))</f>
        <v/>
      </c>
      <c r="BO75" s="188" t="str">
        <f>IF(ISERROR(getgrade(Broadsheet!AP186,data!$H$4:$I$9)),"#",getgrade(Broadsheet!AP186,data!$H$4:$I$9))</f>
        <v/>
      </c>
      <c r="BP75" s="188" t="str">
        <f>IF(ISERROR(getgrade(Broadsheet!AQ186,data!$H$4:$I$9)),"#",getgrade(Broadsheet!AQ186,data!$H$4:$I$9))</f>
        <v/>
      </c>
      <c r="BQ75" s="188" t="str">
        <f>IF(ISERROR(getgrade(Broadsheet!AR186,data!$H$4:$I$9)),"#",getgrade(Broadsheet!AR186,data!$H$4:$I$9))</f>
        <v/>
      </c>
      <c r="BR75" s="188" t="str">
        <f>IF(ISERROR(getgrade(Broadsheet!AS186,data!$H$4:$I$9)),"#",getgrade(Broadsheet!AS186,data!$H$4:$I$9))</f>
        <v/>
      </c>
      <c r="BS75" s="188" t="str">
        <f>IF(ISERROR(getgrade(Broadsheet!AT186,data!$H$4:$I$9)),"#",getgrade(Broadsheet!AT186,data!$H$4:$I$9))</f>
        <v/>
      </c>
      <c r="BT75" s="188" t="str">
        <f>IF(ISERROR(getgrade(Broadsheet!AU186,data!$H$4:$I$9)),"#",getgrade(Broadsheet!AU186,data!$H$4:$I$9))</f>
        <v/>
      </c>
      <c r="BU75" s="188" t="str">
        <f>IF(ISERROR(getgrade(Broadsheet!AV186,data!$H$4:$I$9)),"#",getgrade(Broadsheet!AV186,data!$H$4:$I$9))</f>
        <v/>
      </c>
      <c r="BV75" s="188" t="str">
        <f>IF(ISERROR(getgrade(Broadsheet!AW186,data!$H$4:$I$9)),"#",getgrade(Broadsheet!AW186,data!$H$4:$I$9))</f>
        <v/>
      </c>
      <c r="BW75" s="188" t="str">
        <f>IF(ISERROR(getgrade(Broadsheet!AX186,data!$H$4:$I$9)),"#",getgrade(Broadsheet!AX186,data!$H$4:$I$9))</f>
        <v/>
      </c>
      <c r="BX75" s="188" t="str">
        <f>IF(ISERROR(getgrade(Broadsheet!AY186,data!$H$4:$I$9)),"#",getgrade(Broadsheet!AY186,data!$H$4:$I$9))</f>
        <v/>
      </c>
      <c r="BY75" s="188" t="str">
        <f>IF(ISERROR(getgrade(Broadsheet!AZ186,data!$H$4:$I$9)),"#",getgrade(Broadsheet!AZ186,data!$H$4:$I$9))</f>
        <v/>
      </c>
      <c r="BZ75" s="188" t="str">
        <f>IF(ISERROR(getgrade(Broadsheet!BA186,data!$H$4:$I$9)),"#",getgrade(Broadsheet!BA186,data!$H$4:$I$9))</f>
        <v/>
      </c>
      <c r="CA75" s="188" t="str">
        <f>IF(ISERROR(getgrade(Broadsheet!BB186,data!$H$4:$I$9)),"#",getgrade(Broadsheet!BB186,data!$H$4:$I$9))</f>
        <v/>
      </c>
      <c r="CB75" s="188" t="str">
        <f>IF(ISERROR(getgrade(Broadsheet!BC186,data!$H$4:$I$9)),"#",getgrade(Broadsheet!BC186,data!$H$4:$I$9))</f>
        <v/>
      </c>
      <c r="CC75" s="188" t="str">
        <f>IF(ISERROR(getgrade(Broadsheet!BD186,data!$H$4:$I$9)),"#",getgrade(Broadsheet!BD186,data!$H$4:$I$9))</f>
        <v/>
      </c>
      <c r="CD75" s="188" t="str">
        <f>IF(ISERROR(getgrade(Broadsheet!BE186,data!$H$4:$I$9)),"#",getgrade(Broadsheet!BE186,data!$H$4:$I$9))</f>
        <v/>
      </c>
      <c r="CE75" s="188" t="str">
        <f>IF(ISERROR(getgrade(Broadsheet!BF186,data!$H$4:$I$9)),"#",getgrade(Broadsheet!BF186,data!$H$4:$I$9))</f>
        <v/>
      </c>
      <c r="CF75" s="188" t="str">
        <f>IF(ISERROR(getgrade(Broadsheet!BG186,data!$H$4:$I$9)),"#",getgrade(Broadsheet!BG186,data!$H$4:$I$9))</f>
        <v/>
      </c>
      <c r="CG75" s="188" t="str">
        <f>IF(ISERROR(getgrade(Broadsheet!BH186,data!$H$4:$I$9)),"#",getgrade(Broadsheet!BH186,data!$H$4:$I$9))</f>
        <v/>
      </c>
      <c r="CH75" s="188" t="str">
        <f>IF(ISERROR(getgrade(Broadsheet!BI186,data!$H$4:$I$9)),"#",getgrade(Broadsheet!BI186,data!$H$4:$I$9))</f>
        <v/>
      </c>
      <c r="CI75" s="188" t="str">
        <f>IF(ISERROR(getgrade(Broadsheet!BJ186,data!$H$4:$I$9)),"#",getgrade(Broadsheet!BJ186,data!$H$4:$I$9))</f>
        <v/>
      </c>
      <c r="CJ75" s="188"/>
      <c r="CK75" s="188"/>
      <c r="CL75" s="188"/>
      <c r="CM75" s="188"/>
      <c r="CN75" s="188"/>
      <c r="CO75" s="188"/>
      <c r="CP75" s="188"/>
      <c r="CQ75" s="188"/>
      <c r="CR75" s="188"/>
      <c r="CS75" s="188"/>
      <c r="CT75" s="188"/>
      <c r="CU75" s="188"/>
      <c r="CV75" s="188"/>
      <c r="CW75" s="188"/>
      <c r="CX75" s="188"/>
      <c r="CY75" s="188"/>
      <c r="CZ75" s="188"/>
      <c r="DA75" s="188"/>
      <c r="DB75" s="188"/>
      <c r="DC75" s="188"/>
      <c r="DD75" s="188"/>
      <c r="DE75" s="188"/>
      <c r="DF75" s="188"/>
      <c r="DG75" s="188"/>
      <c r="DH75" s="188"/>
      <c r="DI75" s="188"/>
      <c r="DJ75" s="188"/>
      <c r="DK75" s="188"/>
      <c r="DL75" s="188"/>
      <c r="DM75" s="188"/>
      <c r="DN75" s="188"/>
      <c r="DO75" s="188"/>
      <c r="DP75" s="188"/>
      <c r="DQ75" s="188"/>
      <c r="DR75" s="188"/>
      <c r="DS75" s="188"/>
      <c r="DT75" s="188"/>
      <c r="DU75" s="188"/>
      <c r="DV75" s="188"/>
      <c r="DW75" s="188"/>
      <c r="DX75" s="188"/>
      <c r="DY75" s="188"/>
      <c r="DZ75" s="188"/>
      <c r="EA75" s="188"/>
      <c r="EB75" s="188"/>
      <c r="EC75" s="188"/>
      <c r="ED75" s="188"/>
      <c r="EE75" s="188"/>
      <c r="EF75" s="188"/>
      <c r="EG75" s="188"/>
      <c r="EH75" s="188"/>
      <c r="EI75" s="188"/>
      <c r="EJ75" s="188"/>
      <c r="EK75" s="188"/>
      <c r="EL75" s="188"/>
      <c r="EM75" s="188"/>
      <c r="EN75" s="188"/>
      <c r="EO75" s="188"/>
      <c r="EP75" s="188"/>
      <c r="EQ75" s="188"/>
      <c r="ER75" s="188"/>
      <c r="ES75" s="188"/>
      <c r="ET75" s="188"/>
      <c r="EU75" s="188"/>
      <c r="EV75" s="188"/>
      <c r="EW75" s="188"/>
      <c r="EX75" s="188"/>
      <c r="EY75" s="188"/>
      <c r="EZ75" s="188"/>
    </row>
    <row r="76" spans="26:156" x14ac:dyDescent="0.2">
      <c r="AG76" s="188" t="str">
        <f>IF(ISERROR(getgrade(Broadsheet!H187,data!$H$4:$I$9)),"#",getgrade(Broadsheet!H187,data!$H$4:$I$9))</f>
        <v/>
      </c>
      <c r="AH76" s="188" t="str">
        <f>IF(ISERROR(getgrade(Broadsheet!I187,data!$H$4:$I$9)),"#",getgrade(Broadsheet!I187,data!$H$4:$I$9))</f>
        <v/>
      </c>
      <c r="AI76" s="188" t="str">
        <f>IF(ISERROR(getgrade(Broadsheet!J187,data!$H$4:$I$9)),"#",getgrade(Broadsheet!J187,data!$H$4:$I$9))</f>
        <v/>
      </c>
      <c r="AJ76" s="188" t="str">
        <f>IF(ISERROR(getgrade(Broadsheet!K187,data!$H$4:$I$9)),"#",getgrade(Broadsheet!K187,data!$H$4:$I$9))</f>
        <v/>
      </c>
      <c r="AK76" s="188" t="str">
        <f>IF(ISERROR(getgrade(Broadsheet!L187,data!$H$4:$I$9)),"#",getgrade(Broadsheet!L187,data!$H$4:$I$9))</f>
        <v/>
      </c>
      <c r="AL76" s="188" t="str">
        <f>IF(ISERROR(getgrade(Broadsheet!M187,data!$H$4:$I$9)),"#",getgrade(Broadsheet!M187,data!$H$4:$I$9))</f>
        <v/>
      </c>
      <c r="AM76" s="188" t="str">
        <f>IF(ISERROR(getgrade(Broadsheet!N187,data!$H$4:$I$9)),"#",getgrade(Broadsheet!N187,data!$H$4:$I$9))</f>
        <v/>
      </c>
      <c r="AN76" s="188" t="str">
        <f>IF(ISERROR(getgrade(Broadsheet!O187,data!$H$4:$I$9)),"#",getgrade(Broadsheet!O187,data!$H$4:$I$9))</f>
        <v/>
      </c>
      <c r="AO76" s="188" t="str">
        <f>IF(ISERROR(getgrade(Broadsheet!P187,data!$H$4:$I$9)),"#",getgrade(Broadsheet!P187,data!$H$4:$I$9))</f>
        <v/>
      </c>
      <c r="AP76" s="188" t="str">
        <f>IF(ISERROR(getgrade(Broadsheet!Q187,data!$H$4:$I$9)),"#",getgrade(Broadsheet!Q187,data!$H$4:$I$9))</f>
        <v/>
      </c>
      <c r="AQ76" s="188" t="str">
        <f>IF(ISERROR(getgrade(Broadsheet!R187,data!$H$4:$I$9)),"#",getgrade(Broadsheet!R187,data!$H$4:$I$9))</f>
        <v/>
      </c>
      <c r="AR76" s="188" t="str">
        <f>IF(ISERROR(getgrade(Broadsheet!S187,data!$H$4:$I$9)),"#",getgrade(Broadsheet!S187,data!$H$4:$I$9))</f>
        <v/>
      </c>
      <c r="AS76" s="188" t="str">
        <f>IF(ISERROR(getgrade(Broadsheet!T187,data!$H$4:$I$9)),"#",getgrade(Broadsheet!T187,data!$H$4:$I$9))</f>
        <v/>
      </c>
      <c r="AT76" s="188" t="str">
        <f>IF(ISERROR(getgrade(Broadsheet!U187,data!$H$4:$I$9)),"#",getgrade(Broadsheet!U187,data!$H$4:$I$9))</f>
        <v/>
      </c>
      <c r="AU76" s="188" t="str">
        <f>IF(ISERROR(getgrade(Broadsheet!V187,data!$H$4:$I$9)),"#",getgrade(Broadsheet!V187,data!$H$4:$I$9))</f>
        <v/>
      </c>
      <c r="AV76" s="188" t="str">
        <f>IF(ISERROR(getgrade(Broadsheet!W187,data!$H$4:$I$9)),"#",getgrade(Broadsheet!W187,data!$H$4:$I$9))</f>
        <v/>
      </c>
      <c r="AW76" s="188" t="str">
        <f>IF(ISERROR(getgrade(Broadsheet!X187,data!$H$4:$I$9)),"#",getgrade(Broadsheet!X187,data!$H$4:$I$9))</f>
        <v/>
      </c>
      <c r="AX76" s="188" t="str">
        <f>IF(ISERROR(getgrade(Broadsheet!Y187,data!$H$4:$I$9)),"#",getgrade(Broadsheet!Y187,data!$H$4:$I$9))</f>
        <v/>
      </c>
      <c r="AY76" s="188" t="str">
        <f>IF(ISERROR(getgrade(Broadsheet!Z187,data!$H$4:$I$9)),"#",getgrade(Broadsheet!Z187,data!$H$4:$I$9))</f>
        <v/>
      </c>
      <c r="AZ76" s="188" t="str">
        <f>IF(ISERROR(getgrade(Broadsheet!AA187,data!$H$4:$I$9)),"#",getgrade(Broadsheet!AA187,data!$H$4:$I$9))</f>
        <v/>
      </c>
      <c r="BA76" s="188" t="str">
        <f>IF(ISERROR(getgrade(Broadsheet!AB187,data!$H$4:$I$9)),"#",getgrade(Broadsheet!AB187,data!$H$4:$I$9))</f>
        <v/>
      </c>
      <c r="BB76" s="188" t="str">
        <f>IF(ISERROR(getgrade(Broadsheet!AC187,data!$H$4:$I$9)),"#",getgrade(Broadsheet!AC187,data!$H$4:$I$9))</f>
        <v/>
      </c>
      <c r="BC76" s="188" t="str">
        <f>IF(ISERROR(getgrade(Broadsheet!AD187,data!$H$4:$I$9)),"#",getgrade(Broadsheet!AD187,data!$H$4:$I$9))</f>
        <v/>
      </c>
      <c r="BD76" s="188" t="str">
        <f>IF(ISERROR(getgrade(Broadsheet!AE187,data!$H$4:$I$9)),"#",getgrade(Broadsheet!AE187,data!$H$4:$I$9))</f>
        <v/>
      </c>
      <c r="BE76" s="188" t="str">
        <f>IF(ISERROR(getgrade(Broadsheet!AF187,data!$H$4:$I$9)),"#",getgrade(Broadsheet!AF187,data!$H$4:$I$9))</f>
        <v/>
      </c>
      <c r="BF76" s="188" t="str">
        <f>IF(ISERROR(getgrade(Broadsheet!AG187,data!$H$4:$I$9)),"#",getgrade(Broadsheet!AG187,data!$H$4:$I$9))</f>
        <v/>
      </c>
      <c r="BG76" s="188" t="str">
        <f>IF(ISERROR(getgrade(Broadsheet!AH187,data!$H$4:$I$9)),"#",getgrade(Broadsheet!AH187,data!$H$4:$I$9))</f>
        <v/>
      </c>
      <c r="BH76" s="188" t="str">
        <f>IF(ISERROR(getgrade(Broadsheet!AI187,data!$H$4:$I$9)),"#",getgrade(Broadsheet!AI187,data!$H$4:$I$9))</f>
        <v/>
      </c>
      <c r="BI76" s="188" t="str">
        <f>IF(ISERROR(getgrade(Broadsheet!AJ187,data!$H$4:$I$9)),"#",getgrade(Broadsheet!AJ187,data!$H$4:$I$9))</f>
        <v/>
      </c>
      <c r="BJ76" s="188" t="str">
        <f>IF(ISERROR(getgrade(Broadsheet!AK187,data!$H$4:$I$9)),"#",getgrade(Broadsheet!AK187,data!$H$4:$I$9))</f>
        <v/>
      </c>
      <c r="BK76" s="188" t="str">
        <f>IF(ISERROR(getgrade(Broadsheet!AL187,data!$H$4:$I$9)),"#",getgrade(Broadsheet!AL187,data!$H$4:$I$9))</f>
        <v/>
      </c>
      <c r="BL76" s="188" t="str">
        <f>IF(ISERROR(getgrade(Broadsheet!AM187,data!$H$4:$I$9)),"#",getgrade(Broadsheet!AM187,data!$H$4:$I$9))</f>
        <v/>
      </c>
      <c r="BM76" s="188" t="str">
        <f>IF(ISERROR(getgrade(Broadsheet!AN187,data!$H$4:$I$9)),"#",getgrade(Broadsheet!AN187,data!$H$4:$I$9))</f>
        <v/>
      </c>
      <c r="BN76" s="188" t="str">
        <f>IF(ISERROR(getgrade(Broadsheet!AO187,data!$H$4:$I$9)),"#",getgrade(Broadsheet!AO187,data!$H$4:$I$9))</f>
        <v/>
      </c>
      <c r="BO76" s="188" t="str">
        <f>IF(ISERROR(getgrade(Broadsheet!AP187,data!$H$4:$I$9)),"#",getgrade(Broadsheet!AP187,data!$H$4:$I$9))</f>
        <v/>
      </c>
      <c r="BP76" s="188" t="str">
        <f>IF(ISERROR(getgrade(Broadsheet!AQ187,data!$H$4:$I$9)),"#",getgrade(Broadsheet!AQ187,data!$H$4:$I$9))</f>
        <v/>
      </c>
      <c r="BQ76" s="188" t="str">
        <f>IF(ISERROR(getgrade(Broadsheet!AR187,data!$H$4:$I$9)),"#",getgrade(Broadsheet!AR187,data!$H$4:$I$9))</f>
        <v/>
      </c>
      <c r="BR76" s="188" t="str">
        <f>IF(ISERROR(getgrade(Broadsheet!AS187,data!$H$4:$I$9)),"#",getgrade(Broadsheet!AS187,data!$H$4:$I$9))</f>
        <v/>
      </c>
      <c r="BS76" s="188" t="str">
        <f>IF(ISERROR(getgrade(Broadsheet!AT187,data!$H$4:$I$9)),"#",getgrade(Broadsheet!AT187,data!$H$4:$I$9))</f>
        <v/>
      </c>
      <c r="BT76" s="188" t="str">
        <f>IF(ISERROR(getgrade(Broadsheet!AU187,data!$H$4:$I$9)),"#",getgrade(Broadsheet!AU187,data!$H$4:$I$9))</f>
        <v/>
      </c>
      <c r="BU76" s="188" t="str">
        <f>IF(ISERROR(getgrade(Broadsheet!AV187,data!$H$4:$I$9)),"#",getgrade(Broadsheet!AV187,data!$H$4:$I$9))</f>
        <v/>
      </c>
      <c r="BV76" s="188" t="str">
        <f>IF(ISERROR(getgrade(Broadsheet!AW187,data!$H$4:$I$9)),"#",getgrade(Broadsheet!AW187,data!$H$4:$I$9))</f>
        <v/>
      </c>
      <c r="BW76" s="188" t="str">
        <f>IF(ISERROR(getgrade(Broadsheet!AX187,data!$H$4:$I$9)),"#",getgrade(Broadsheet!AX187,data!$H$4:$I$9))</f>
        <v/>
      </c>
      <c r="BX76" s="188" t="str">
        <f>IF(ISERROR(getgrade(Broadsheet!AY187,data!$H$4:$I$9)),"#",getgrade(Broadsheet!AY187,data!$H$4:$I$9))</f>
        <v/>
      </c>
      <c r="BY76" s="188" t="str">
        <f>IF(ISERROR(getgrade(Broadsheet!AZ187,data!$H$4:$I$9)),"#",getgrade(Broadsheet!AZ187,data!$H$4:$I$9))</f>
        <v/>
      </c>
      <c r="BZ76" s="188" t="str">
        <f>IF(ISERROR(getgrade(Broadsheet!BA187,data!$H$4:$I$9)),"#",getgrade(Broadsheet!BA187,data!$H$4:$I$9))</f>
        <v/>
      </c>
      <c r="CA76" s="188" t="str">
        <f>IF(ISERROR(getgrade(Broadsheet!BB187,data!$H$4:$I$9)),"#",getgrade(Broadsheet!BB187,data!$H$4:$I$9))</f>
        <v/>
      </c>
      <c r="CB76" s="188" t="str">
        <f>IF(ISERROR(getgrade(Broadsheet!BC187,data!$H$4:$I$9)),"#",getgrade(Broadsheet!BC187,data!$H$4:$I$9))</f>
        <v/>
      </c>
      <c r="CC76" s="188" t="str">
        <f>IF(ISERROR(getgrade(Broadsheet!BD187,data!$H$4:$I$9)),"#",getgrade(Broadsheet!BD187,data!$H$4:$I$9))</f>
        <v/>
      </c>
      <c r="CD76" s="188" t="str">
        <f>IF(ISERROR(getgrade(Broadsheet!BE187,data!$H$4:$I$9)),"#",getgrade(Broadsheet!BE187,data!$H$4:$I$9))</f>
        <v/>
      </c>
      <c r="CE76" s="188" t="str">
        <f>IF(ISERROR(getgrade(Broadsheet!BF187,data!$H$4:$I$9)),"#",getgrade(Broadsheet!BF187,data!$H$4:$I$9))</f>
        <v/>
      </c>
      <c r="CF76" s="188" t="str">
        <f>IF(ISERROR(getgrade(Broadsheet!BG187,data!$H$4:$I$9)),"#",getgrade(Broadsheet!BG187,data!$H$4:$I$9))</f>
        <v/>
      </c>
      <c r="CG76" s="188" t="str">
        <f>IF(ISERROR(getgrade(Broadsheet!BH187,data!$H$4:$I$9)),"#",getgrade(Broadsheet!BH187,data!$H$4:$I$9))</f>
        <v/>
      </c>
      <c r="CH76" s="188" t="str">
        <f>IF(ISERROR(getgrade(Broadsheet!BI187,data!$H$4:$I$9)),"#",getgrade(Broadsheet!BI187,data!$H$4:$I$9))</f>
        <v/>
      </c>
      <c r="CI76" s="188" t="str">
        <f>IF(ISERROR(getgrade(Broadsheet!BJ187,data!$H$4:$I$9)),"#",getgrade(Broadsheet!BJ187,data!$H$4:$I$9))</f>
        <v/>
      </c>
      <c r="CJ76" s="188"/>
      <c r="CK76" s="188"/>
      <c r="CL76" s="188"/>
      <c r="CM76" s="188"/>
      <c r="CN76" s="188"/>
      <c r="CO76" s="188"/>
      <c r="CP76" s="188"/>
      <c r="CQ76" s="188"/>
      <c r="CR76" s="188"/>
      <c r="CS76" s="188"/>
      <c r="CT76" s="188"/>
      <c r="CU76" s="188"/>
      <c r="CV76" s="188"/>
      <c r="CW76" s="188"/>
      <c r="CX76" s="188"/>
      <c r="CY76" s="188"/>
      <c r="CZ76" s="188"/>
      <c r="DA76" s="188"/>
      <c r="DB76" s="188"/>
      <c r="DC76" s="188"/>
      <c r="DD76" s="188"/>
      <c r="DE76" s="188"/>
      <c r="DF76" s="188"/>
      <c r="DG76" s="188"/>
      <c r="DH76" s="188"/>
      <c r="DI76" s="188"/>
      <c r="DJ76" s="188"/>
      <c r="DK76" s="188"/>
      <c r="DL76" s="188"/>
      <c r="DM76" s="188"/>
      <c r="DN76" s="188"/>
      <c r="DO76" s="188"/>
      <c r="DP76" s="188"/>
      <c r="DQ76" s="188"/>
      <c r="DR76" s="188"/>
      <c r="DS76" s="188"/>
      <c r="DT76" s="188"/>
      <c r="DU76" s="188"/>
      <c r="DV76" s="188"/>
      <c r="DW76" s="188"/>
      <c r="DX76" s="188"/>
      <c r="DY76" s="188"/>
      <c r="DZ76" s="188"/>
      <c r="EA76" s="188"/>
      <c r="EB76" s="188"/>
      <c r="EC76" s="188"/>
      <c r="ED76" s="188"/>
      <c r="EE76" s="188"/>
      <c r="EF76" s="188"/>
      <c r="EG76" s="188"/>
      <c r="EH76" s="188"/>
      <c r="EI76" s="188"/>
      <c r="EJ76" s="188"/>
      <c r="EK76" s="188"/>
      <c r="EL76" s="188"/>
      <c r="EM76" s="188"/>
      <c r="EN76" s="188"/>
      <c r="EO76" s="188"/>
      <c r="EP76" s="188"/>
      <c r="EQ76" s="188"/>
      <c r="ER76" s="188"/>
      <c r="ES76" s="188"/>
      <c r="ET76" s="188"/>
      <c r="EU76" s="188"/>
      <c r="EV76" s="188"/>
      <c r="EW76" s="188"/>
      <c r="EX76" s="188"/>
      <c r="EY76" s="188"/>
      <c r="EZ76" s="188"/>
    </row>
    <row r="77" spans="26:156" x14ac:dyDescent="0.2">
      <c r="AG77" s="188" t="str">
        <f>IF(ISERROR(getgrade(Broadsheet!H188,data!$H$4:$I$9)),"#",getgrade(Broadsheet!H188,data!$H$4:$I$9))</f>
        <v/>
      </c>
      <c r="AH77" s="188" t="str">
        <f>IF(ISERROR(getgrade(Broadsheet!I188,data!$H$4:$I$9)),"#",getgrade(Broadsheet!I188,data!$H$4:$I$9))</f>
        <v/>
      </c>
      <c r="AI77" s="188" t="str">
        <f>IF(ISERROR(getgrade(Broadsheet!J188,data!$H$4:$I$9)),"#",getgrade(Broadsheet!J188,data!$H$4:$I$9))</f>
        <v/>
      </c>
      <c r="AJ77" s="188" t="str">
        <f>IF(ISERROR(getgrade(Broadsheet!K188,data!$H$4:$I$9)),"#",getgrade(Broadsheet!K188,data!$H$4:$I$9))</f>
        <v/>
      </c>
      <c r="AK77" s="188" t="str">
        <f>IF(ISERROR(getgrade(Broadsheet!L188,data!$H$4:$I$9)),"#",getgrade(Broadsheet!L188,data!$H$4:$I$9))</f>
        <v/>
      </c>
      <c r="AL77" s="188" t="str">
        <f>IF(ISERROR(getgrade(Broadsheet!M188,data!$H$4:$I$9)),"#",getgrade(Broadsheet!M188,data!$H$4:$I$9))</f>
        <v/>
      </c>
      <c r="AM77" s="188" t="str">
        <f>IF(ISERROR(getgrade(Broadsheet!N188,data!$H$4:$I$9)),"#",getgrade(Broadsheet!N188,data!$H$4:$I$9))</f>
        <v/>
      </c>
      <c r="AN77" s="188" t="str">
        <f>IF(ISERROR(getgrade(Broadsheet!O188,data!$H$4:$I$9)),"#",getgrade(Broadsheet!O188,data!$H$4:$I$9))</f>
        <v/>
      </c>
      <c r="AO77" s="188" t="str">
        <f>IF(ISERROR(getgrade(Broadsheet!P188,data!$H$4:$I$9)),"#",getgrade(Broadsheet!P188,data!$H$4:$I$9))</f>
        <v/>
      </c>
      <c r="AP77" s="188" t="str">
        <f>IF(ISERROR(getgrade(Broadsheet!Q188,data!$H$4:$I$9)),"#",getgrade(Broadsheet!Q188,data!$H$4:$I$9))</f>
        <v/>
      </c>
      <c r="AQ77" s="188" t="str">
        <f>IF(ISERROR(getgrade(Broadsheet!R188,data!$H$4:$I$9)),"#",getgrade(Broadsheet!R188,data!$H$4:$I$9))</f>
        <v/>
      </c>
      <c r="AR77" s="188" t="str">
        <f>IF(ISERROR(getgrade(Broadsheet!S188,data!$H$4:$I$9)),"#",getgrade(Broadsheet!S188,data!$H$4:$I$9))</f>
        <v/>
      </c>
      <c r="AS77" s="188" t="str">
        <f>IF(ISERROR(getgrade(Broadsheet!T188,data!$H$4:$I$9)),"#",getgrade(Broadsheet!T188,data!$H$4:$I$9))</f>
        <v/>
      </c>
      <c r="AT77" s="188" t="str">
        <f>IF(ISERROR(getgrade(Broadsheet!U188,data!$H$4:$I$9)),"#",getgrade(Broadsheet!U188,data!$H$4:$I$9))</f>
        <v/>
      </c>
      <c r="AU77" s="188" t="str">
        <f>IF(ISERROR(getgrade(Broadsheet!V188,data!$H$4:$I$9)),"#",getgrade(Broadsheet!V188,data!$H$4:$I$9))</f>
        <v/>
      </c>
      <c r="AV77" s="188" t="str">
        <f>IF(ISERROR(getgrade(Broadsheet!W188,data!$H$4:$I$9)),"#",getgrade(Broadsheet!W188,data!$H$4:$I$9))</f>
        <v/>
      </c>
      <c r="AW77" s="188" t="str">
        <f>IF(ISERROR(getgrade(Broadsheet!X188,data!$H$4:$I$9)),"#",getgrade(Broadsheet!X188,data!$H$4:$I$9))</f>
        <v/>
      </c>
      <c r="AX77" s="188" t="str">
        <f>IF(ISERROR(getgrade(Broadsheet!Y188,data!$H$4:$I$9)),"#",getgrade(Broadsheet!Y188,data!$H$4:$I$9))</f>
        <v/>
      </c>
      <c r="AY77" s="188" t="str">
        <f>IF(ISERROR(getgrade(Broadsheet!Z188,data!$H$4:$I$9)),"#",getgrade(Broadsheet!Z188,data!$H$4:$I$9))</f>
        <v/>
      </c>
      <c r="AZ77" s="188" t="str">
        <f>IF(ISERROR(getgrade(Broadsheet!AA188,data!$H$4:$I$9)),"#",getgrade(Broadsheet!AA188,data!$H$4:$I$9))</f>
        <v/>
      </c>
      <c r="BA77" s="188" t="str">
        <f>IF(ISERROR(getgrade(Broadsheet!AB188,data!$H$4:$I$9)),"#",getgrade(Broadsheet!AB188,data!$H$4:$I$9))</f>
        <v/>
      </c>
      <c r="BB77" s="188" t="str">
        <f>IF(ISERROR(getgrade(Broadsheet!AC188,data!$H$4:$I$9)),"#",getgrade(Broadsheet!AC188,data!$H$4:$I$9))</f>
        <v/>
      </c>
      <c r="BC77" s="188" t="str">
        <f>IF(ISERROR(getgrade(Broadsheet!AD188,data!$H$4:$I$9)),"#",getgrade(Broadsheet!AD188,data!$H$4:$I$9))</f>
        <v/>
      </c>
      <c r="BD77" s="188" t="str">
        <f>IF(ISERROR(getgrade(Broadsheet!AE188,data!$H$4:$I$9)),"#",getgrade(Broadsheet!AE188,data!$H$4:$I$9))</f>
        <v/>
      </c>
      <c r="BE77" s="188" t="str">
        <f>IF(ISERROR(getgrade(Broadsheet!AF188,data!$H$4:$I$9)),"#",getgrade(Broadsheet!AF188,data!$H$4:$I$9))</f>
        <v/>
      </c>
      <c r="BF77" s="188" t="str">
        <f>IF(ISERROR(getgrade(Broadsheet!AG188,data!$H$4:$I$9)),"#",getgrade(Broadsheet!AG188,data!$H$4:$I$9))</f>
        <v/>
      </c>
      <c r="BG77" s="188" t="str">
        <f>IF(ISERROR(getgrade(Broadsheet!AH188,data!$H$4:$I$9)),"#",getgrade(Broadsheet!AH188,data!$H$4:$I$9))</f>
        <v/>
      </c>
      <c r="BH77" s="188" t="str">
        <f>IF(ISERROR(getgrade(Broadsheet!AI188,data!$H$4:$I$9)),"#",getgrade(Broadsheet!AI188,data!$H$4:$I$9))</f>
        <v/>
      </c>
      <c r="BI77" s="188" t="str">
        <f>IF(ISERROR(getgrade(Broadsheet!AJ188,data!$H$4:$I$9)),"#",getgrade(Broadsheet!AJ188,data!$H$4:$I$9))</f>
        <v/>
      </c>
      <c r="BJ77" s="188" t="str">
        <f>IF(ISERROR(getgrade(Broadsheet!AK188,data!$H$4:$I$9)),"#",getgrade(Broadsheet!AK188,data!$H$4:$I$9))</f>
        <v/>
      </c>
      <c r="BK77" s="188" t="str">
        <f>IF(ISERROR(getgrade(Broadsheet!AL188,data!$H$4:$I$9)),"#",getgrade(Broadsheet!AL188,data!$H$4:$I$9))</f>
        <v/>
      </c>
      <c r="BL77" s="188" t="str">
        <f>IF(ISERROR(getgrade(Broadsheet!AM188,data!$H$4:$I$9)),"#",getgrade(Broadsheet!AM188,data!$H$4:$I$9))</f>
        <v/>
      </c>
      <c r="BM77" s="188" t="str">
        <f>IF(ISERROR(getgrade(Broadsheet!AN188,data!$H$4:$I$9)),"#",getgrade(Broadsheet!AN188,data!$H$4:$I$9))</f>
        <v/>
      </c>
      <c r="BN77" s="188" t="str">
        <f>IF(ISERROR(getgrade(Broadsheet!AO188,data!$H$4:$I$9)),"#",getgrade(Broadsheet!AO188,data!$H$4:$I$9))</f>
        <v/>
      </c>
      <c r="BO77" s="188" t="str">
        <f>IF(ISERROR(getgrade(Broadsheet!AP188,data!$H$4:$I$9)),"#",getgrade(Broadsheet!AP188,data!$H$4:$I$9))</f>
        <v/>
      </c>
      <c r="BP77" s="188" t="str">
        <f>IF(ISERROR(getgrade(Broadsheet!AQ188,data!$H$4:$I$9)),"#",getgrade(Broadsheet!AQ188,data!$H$4:$I$9))</f>
        <v/>
      </c>
      <c r="BQ77" s="188" t="str">
        <f>IF(ISERROR(getgrade(Broadsheet!AR188,data!$H$4:$I$9)),"#",getgrade(Broadsheet!AR188,data!$H$4:$I$9))</f>
        <v/>
      </c>
      <c r="BR77" s="188" t="str">
        <f>IF(ISERROR(getgrade(Broadsheet!AS188,data!$H$4:$I$9)),"#",getgrade(Broadsheet!AS188,data!$H$4:$I$9))</f>
        <v/>
      </c>
      <c r="BS77" s="188" t="str">
        <f>IF(ISERROR(getgrade(Broadsheet!AT188,data!$H$4:$I$9)),"#",getgrade(Broadsheet!AT188,data!$H$4:$I$9))</f>
        <v/>
      </c>
      <c r="BT77" s="188" t="str">
        <f>IF(ISERROR(getgrade(Broadsheet!AU188,data!$H$4:$I$9)),"#",getgrade(Broadsheet!AU188,data!$H$4:$I$9))</f>
        <v/>
      </c>
      <c r="BU77" s="188" t="str">
        <f>IF(ISERROR(getgrade(Broadsheet!AV188,data!$H$4:$I$9)),"#",getgrade(Broadsheet!AV188,data!$H$4:$I$9))</f>
        <v/>
      </c>
      <c r="BV77" s="188" t="str">
        <f>IF(ISERROR(getgrade(Broadsheet!AW188,data!$H$4:$I$9)),"#",getgrade(Broadsheet!AW188,data!$H$4:$I$9))</f>
        <v/>
      </c>
      <c r="BW77" s="188" t="str">
        <f>IF(ISERROR(getgrade(Broadsheet!AX188,data!$H$4:$I$9)),"#",getgrade(Broadsheet!AX188,data!$H$4:$I$9))</f>
        <v/>
      </c>
      <c r="BX77" s="188" t="str">
        <f>IF(ISERROR(getgrade(Broadsheet!AY188,data!$H$4:$I$9)),"#",getgrade(Broadsheet!AY188,data!$H$4:$I$9))</f>
        <v/>
      </c>
      <c r="BY77" s="188" t="str">
        <f>IF(ISERROR(getgrade(Broadsheet!AZ188,data!$H$4:$I$9)),"#",getgrade(Broadsheet!AZ188,data!$H$4:$I$9))</f>
        <v/>
      </c>
      <c r="BZ77" s="188" t="str">
        <f>IF(ISERROR(getgrade(Broadsheet!BA188,data!$H$4:$I$9)),"#",getgrade(Broadsheet!BA188,data!$H$4:$I$9))</f>
        <v/>
      </c>
      <c r="CA77" s="188" t="str">
        <f>IF(ISERROR(getgrade(Broadsheet!BB188,data!$H$4:$I$9)),"#",getgrade(Broadsheet!BB188,data!$H$4:$I$9))</f>
        <v/>
      </c>
      <c r="CB77" s="188" t="str">
        <f>IF(ISERROR(getgrade(Broadsheet!BC188,data!$H$4:$I$9)),"#",getgrade(Broadsheet!BC188,data!$H$4:$I$9))</f>
        <v/>
      </c>
      <c r="CC77" s="188" t="str">
        <f>IF(ISERROR(getgrade(Broadsheet!BD188,data!$H$4:$I$9)),"#",getgrade(Broadsheet!BD188,data!$H$4:$I$9))</f>
        <v/>
      </c>
      <c r="CD77" s="188" t="str">
        <f>IF(ISERROR(getgrade(Broadsheet!BE188,data!$H$4:$I$9)),"#",getgrade(Broadsheet!BE188,data!$H$4:$I$9))</f>
        <v/>
      </c>
      <c r="CE77" s="188" t="str">
        <f>IF(ISERROR(getgrade(Broadsheet!BF188,data!$H$4:$I$9)),"#",getgrade(Broadsheet!BF188,data!$H$4:$I$9))</f>
        <v/>
      </c>
      <c r="CF77" s="188" t="str">
        <f>IF(ISERROR(getgrade(Broadsheet!BG188,data!$H$4:$I$9)),"#",getgrade(Broadsheet!BG188,data!$H$4:$I$9))</f>
        <v/>
      </c>
      <c r="CG77" s="188" t="str">
        <f>IF(ISERROR(getgrade(Broadsheet!BH188,data!$H$4:$I$9)),"#",getgrade(Broadsheet!BH188,data!$H$4:$I$9))</f>
        <v/>
      </c>
      <c r="CH77" s="188" t="str">
        <f>IF(ISERROR(getgrade(Broadsheet!BI188,data!$H$4:$I$9)),"#",getgrade(Broadsheet!BI188,data!$H$4:$I$9))</f>
        <v/>
      </c>
      <c r="CI77" s="188" t="str">
        <f>IF(ISERROR(getgrade(Broadsheet!BJ188,data!$H$4:$I$9)),"#",getgrade(Broadsheet!BJ188,data!$H$4:$I$9))</f>
        <v/>
      </c>
      <c r="CJ77" s="188"/>
      <c r="CK77" s="188"/>
      <c r="CL77" s="188"/>
      <c r="CM77" s="188"/>
      <c r="CN77" s="188"/>
      <c r="CO77" s="188"/>
      <c r="CP77" s="188"/>
      <c r="CQ77" s="188"/>
      <c r="CR77" s="188"/>
      <c r="CS77" s="188"/>
      <c r="CT77" s="188"/>
      <c r="CU77" s="188"/>
      <c r="CV77" s="188"/>
      <c r="CW77" s="188"/>
      <c r="CX77" s="188"/>
      <c r="CY77" s="188"/>
      <c r="CZ77" s="188"/>
      <c r="DA77" s="188"/>
      <c r="DB77" s="188"/>
      <c r="DC77" s="188"/>
      <c r="DD77" s="188"/>
      <c r="DE77" s="188"/>
      <c r="DF77" s="188"/>
      <c r="DG77" s="188"/>
      <c r="DH77" s="188"/>
      <c r="DI77" s="188"/>
      <c r="DJ77" s="188"/>
      <c r="DK77" s="188"/>
      <c r="DL77" s="188"/>
      <c r="DM77" s="188"/>
      <c r="DN77" s="188"/>
      <c r="DO77" s="188"/>
      <c r="DP77" s="188"/>
      <c r="DQ77" s="188"/>
      <c r="DR77" s="188"/>
      <c r="DS77" s="188"/>
      <c r="DT77" s="188"/>
      <c r="DU77" s="188"/>
      <c r="DV77" s="188"/>
      <c r="DW77" s="188"/>
      <c r="DX77" s="188"/>
      <c r="DY77" s="188"/>
      <c r="DZ77" s="188"/>
      <c r="EA77" s="188"/>
      <c r="EB77" s="188"/>
      <c r="EC77" s="188"/>
      <c r="ED77" s="188"/>
      <c r="EE77" s="188"/>
      <c r="EF77" s="188"/>
      <c r="EG77" s="188"/>
      <c r="EH77" s="188"/>
      <c r="EI77" s="188"/>
      <c r="EJ77" s="188"/>
      <c r="EK77" s="188"/>
      <c r="EL77" s="188"/>
      <c r="EM77" s="188"/>
      <c r="EN77" s="188"/>
      <c r="EO77" s="188"/>
      <c r="EP77" s="188"/>
      <c r="EQ77" s="188"/>
      <c r="ER77" s="188"/>
      <c r="ES77" s="188"/>
      <c r="ET77" s="188"/>
      <c r="EU77" s="188"/>
      <c r="EV77" s="188"/>
      <c r="EW77" s="188"/>
      <c r="EX77" s="188"/>
      <c r="EY77" s="188"/>
      <c r="EZ77" s="188"/>
    </row>
    <row r="78" spans="26:156" x14ac:dyDescent="0.2">
      <c r="AG78" s="188" t="str">
        <f>IF(ISERROR(getgrade(Broadsheet!H189,data!$H$4:$I$9)),"#",getgrade(Broadsheet!H189,data!$H$4:$I$9))</f>
        <v/>
      </c>
      <c r="AH78" s="188" t="str">
        <f>IF(ISERROR(getgrade(Broadsheet!I189,data!$H$4:$I$9)),"#",getgrade(Broadsheet!I189,data!$H$4:$I$9))</f>
        <v/>
      </c>
      <c r="AI78" s="188" t="str">
        <f>IF(ISERROR(getgrade(Broadsheet!J189,data!$H$4:$I$9)),"#",getgrade(Broadsheet!J189,data!$H$4:$I$9))</f>
        <v/>
      </c>
      <c r="AJ78" s="188" t="str">
        <f>IF(ISERROR(getgrade(Broadsheet!K189,data!$H$4:$I$9)),"#",getgrade(Broadsheet!K189,data!$H$4:$I$9))</f>
        <v/>
      </c>
      <c r="AK78" s="188" t="str">
        <f>IF(ISERROR(getgrade(Broadsheet!L189,data!$H$4:$I$9)),"#",getgrade(Broadsheet!L189,data!$H$4:$I$9))</f>
        <v/>
      </c>
      <c r="AL78" s="188" t="str">
        <f>IF(ISERROR(getgrade(Broadsheet!M189,data!$H$4:$I$9)),"#",getgrade(Broadsheet!M189,data!$H$4:$I$9))</f>
        <v/>
      </c>
      <c r="AM78" s="188" t="str">
        <f>IF(ISERROR(getgrade(Broadsheet!N189,data!$H$4:$I$9)),"#",getgrade(Broadsheet!N189,data!$H$4:$I$9))</f>
        <v/>
      </c>
      <c r="AN78" s="188" t="str">
        <f>IF(ISERROR(getgrade(Broadsheet!O189,data!$H$4:$I$9)),"#",getgrade(Broadsheet!O189,data!$H$4:$I$9))</f>
        <v/>
      </c>
      <c r="AO78" s="188" t="str">
        <f>IF(ISERROR(getgrade(Broadsheet!P189,data!$H$4:$I$9)),"#",getgrade(Broadsheet!P189,data!$H$4:$I$9))</f>
        <v/>
      </c>
      <c r="AP78" s="188" t="str">
        <f>IF(ISERROR(getgrade(Broadsheet!Q189,data!$H$4:$I$9)),"#",getgrade(Broadsheet!Q189,data!$H$4:$I$9))</f>
        <v/>
      </c>
      <c r="AQ78" s="188" t="str">
        <f>IF(ISERROR(getgrade(Broadsheet!R189,data!$H$4:$I$9)),"#",getgrade(Broadsheet!R189,data!$H$4:$I$9))</f>
        <v/>
      </c>
      <c r="AR78" s="188" t="str">
        <f>IF(ISERROR(getgrade(Broadsheet!S189,data!$H$4:$I$9)),"#",getgrade(Broadsheet!S189,data!$H$4:$I$9))</f>
        <v/>
      </c>
      <c r="AS78" s="188" t="str">
        <f>IF(ISERROR(getgrade(Broadsheet!T189,data!$H$4:$I$9)),"#",getgrade(Broadsheet!T189,data!$H$4:$I$9))</f>
        <v/>
      </c>
      <c r="AT78" s="188" t="str">
        <f>IF(ISERROR(getgrade(Broadsheet!U189,data!$H$4:$I$9)),"#",getgrade(Broadsheet!U189,data!$H$4:$I$9))</f>
        <v/>
      </c>
      <c r="AU78" s="188" t="str">
        <f>IF(ISERROR(getgrade(Broadsheet!V189,data!$H$4:$I$9)),"#",getgrade(Broadsheet!V189,data!$H$4:$I$9))</f>
        <v/>
      </c>
      <c r="AV78" s="188" t="str">
        <f>IF(ISERROR(getgrade(Broadsheet!W189,data!$H$4:$I$9)),"#",getgrade(Broadsheet!W189,data!$H$4:$I$9))</f>
        <v/>
      </c>
      <c r="AW78" s="188" t="str">
        <f>IF(ISERROR(getgrade(Broadsheet!X189,data!$H$4:$I$9)),"#",getgrade(Broadsheet!X189,data!$H$4:$I$9))</f>
        <v/>
      </c>
      <c r="AX78" s="188" t="str">
        <f>IF(ISERROR(getgrade(Broadsheet!Y189,data!$H$4:$I$9)),"#",getgrade(Broadsheet!Y189,data!$H$4:$I$9))</f>
        <v/>
      </c>
      <c r="AY78" s="188" t="str">
        <f>IF(ISERROR(getgrade(Broadsheet!Z189,data!$H$4:$I$9)),"#",getgrade(Broadsheet!Z189,data!$H$4:$I$9))</f>
        <v/>
      </c>
      <c r="AZ78" s="188" t="str">
        <f>IF(ISERROR(getgrade(Broadsheet!AA189,data!$H$4:$I$9)),"#",getgrade(Broadsheet!AA189,data!$H$4:$I$9))</f>
        <v/>
      </c>
      <c r="BA78" s="188" t="str">
        <f>IF(ISERROR(getgrade(Broadsheet!AB189,data!$H$4:$I$9)),"#",getgrade(Broadsheet!AB189,data!$H$4:$I$9))</f>
        <v/>
      </c>
      <c r="BB78" s="188" t="str">
        <f>IF(ISERROR(getgrade(Broadsheet!AC189,data!$H$4:$I$9)),"#",getgrade(Broadsheet!AC189,data!$H$4:$I$9))</f>
        <v/>
      </c>
      <c r="BC78" s="188" t="str">
        <f>IF(ISERROR(getgrade(Broadsheet!AD189,data!$H$4:$I$9)),"#",getgrade(Broadsheet!AD189,data!$H$4:$I$9))</f>
        <v/>
      </c>
      <c r="BD78" s="188" t="str">
        <f>IF(ISERROR(getgrade(Broadsheet!AE189,data!$H$4:$I$9)),"#",getgrade(Broadsheet!AE189,data!$H$4:$I$9))</f>
        <v/>
      </c>
      <c r="BE78" s="188" t="str">
        <f>IF(ISERROR(getgrade(Broadsheet!AF189,data!$H$4:$I$9)),"#",getgrade(Broadsheet!AF189,data!$H$4:$I$9))</f>
        <v/>
      </c>
      <c r="BF78" s="188" t="str">
        <f>IF(ISERROR(getgrade(Broadsheet!AG189,data!$H$4:$I$9)),"#",getgrade(Broadsheet!AG189,data!$H$4:$I$9))</f>
        <v/>
      </c>
      <c r="BG78" s="188" t="str">
        <f>IF(ISERROR(getgrade(Broadsheet!AH189,data!$H$4:$I$9)),"#",getgrade(Broadsheet!AH189,data!$H$4:$I$9))</f>
        <v/>
      </c>
      <c r="BH78" s="188" t="str">
        <f>IF(ISERROR(getgrade(Broadsheet!AI189,data!$H$4:$I$9)),"#",getgrade(Broadsheet!AI189,data!$H$4:$I$9))</f>
        <v/>
      </c>
      <c r="BI78" s="188" t="str">
        <f>IF(ISERROR(getgrade(Broadsheet!AJ189,data!$H$4:$I$9)),"#",getgrade(Broadsheet!AJ189,data!$H$4:$I$9))</f>
        <v/>
      </c>
      <c r="BJ78" s="188" t="str">
        <f>IF(ISERROR(getgrade(Broadsheet!AK189,data!$H$4:$I$9)),"#",getgrade(Broadsheet!AK189,data!$H$4:$I$9))</f>
        <v/>
      </c>
      <c r="BK78" s="188" t="str">
        <f>IF(ISERROR(getgrade(Broadsheet!AL189,data!$H$4:$I$9)),"#",getgrade(Broadsheet!AL189,data!$H$4:$I$9))</f>
        <v/>
      </c>
      <c r="BL78" s="188" t="str">
        <f>IF(ISERROR(getgrade(Broadsheet!AM189,data!$H$4:$I$9)),"#",getgrade(Broadsheet!AM189,data!$H$4:$I$9))</f>
        <v/>
      </c>
      <c r="BM78" s="188" t="str">
        <f>IF(ISERROR(getgrade(Broadsheet!AN189,data!$H$4:$I$9)),"#",getgrade(Broadsheet!AN189,data!$H$4:$I$9))</f>
        <v/>
      </c>
      <c r="BN78" s="188" t="str">
        <f>IF(ISERROR(getgrade(Broadsheet!AO189,data!$H$4:$I$9)),"#",getgrade(Broadsheet!AO189,data!$H$4:$I$9))</f>
        <v/>
      </c>
      <c r="BO78" s="188" t="str">
        <f>IF(ISERROR(getgrade(Broadsheet!AP189,data!$H$4:$I$9)),"#",getgrade(Broadsheet!AP189,data!$H$4:$I$9))</f>
        <v/>
      </c>
      <c r="BP78" s="188" t="str">
        <f>IF(ISERROR(getgrade(Broadsheet!AQ189,data!$H$4:$I$9)),"#",getgrade(Broadsheet!AQ189,data!$H$4:$I$9))</f>
        <v/>
      </c>
      <c r="BQ78" s="188" t="str">
        <f>IF(ISERROR(getgrade(Broadsheet!AR189,data!$H$4:$I$9)),"#",getgrade(Broadsheet!AR189,data!$H$4:$I$9))</f>
        <v/>
      </c>
      <c r="BR78" s="188" t="str">
        <f>IF(ISERROR(getgrade(Broadsheet!AS189,data!$H$4:$I$9)),"#",getgrade(Broadsheet!AS189,data!$H$4:$I$9))</f>
        <v/>
      </c>
      <c r="BS78" s="188" t="str">
        <f>IF(ISERROR(getgrade(Broadsheet!AT189,data!$H$4:$I$9)),"#",getgrade(Broadsheet!AT189,data!$H$4:$I$9))</f>
        <v/>
      </c>
      <c r="BT78" s="188" t="str">
        <f>IF(ISERROR(getgrade(Broadsheet!AU189,data!$H$4:$I$9)),"#",getgrade(Broadsheet!AU189,data!$H$4:$I$9))</f>
        <v/>
      </c>
      <c r="BU78" s="188" t="str">
        <f>IF(ISERROR(getgrade(Broadsheet!AV189,data!$H$4:$I$9)),"#",getgrade(Broadsheet!AV189,data!$H$4:$I$9))</f>
        <v/>
      </c>
      <c r="BV78" s="188" t="str">
        <f>IF(ISERROR(getgrade(Broadsheet!AW189,data!$H$4:$I$9)),"#",getgrade(Broadsheet!AW189,data!$H$4:$I$9))</f>
        <v/>
      </c>
      <c r="BW78" s="188" t="str">
        <f>IF(ISERROR(getgrade(Broadsheet!AX189,data!$H$4:$I$9)),"#",getgrade(Broadsheet!AX189,data!$H$4:$I$9))</f>
        <v/>
      </c>
      <c r="BX78" s="188" t="str">
        <f>IF(ISERROR(getgrade(Broadsheet!AY189,data!$H$4:$I$9)),"#",getgrade(Broadsheet!AY189,data!$H$4:$I$9))</f>
        <v/>
      </c>
      <c r="BY78" s="188" t="str">
        <f>IF(ISERROR(getgrade(Broadsheet!AZ189,data!$H$4:$I$9)),"#",getgrade(Broadsheet!AZ189,data!$H$4:$I$9))</f>
        <v/>
      </c>
      <c r="BZ78" s="188" t="str">
        <f>IF(ISERROR(getgrade(Broadsheet!BA189,data!$H$4:$I$9)),"#",getgrade(Broadsheet!BA189,data!$H$4:$I$9))</f>
        <v/>
      </c>
      <c r="CA78" s="188" t="str">
        <f>IF(ISERROR(getgrade(Broadsheet!BB189,data!$H$4:$I$9)),"#",getgrade(Broadsheet!BB189,data!$H$4:$I$9))</f>
        <v/>
      </c>
      <c r="CB78" s="188" t="str">
        <f>IF(ISERROR(getgrade(Broadsheet!BC189,data!$H$4:$I$9)),"#",getgrade(Broadsheet!BC189,data!$H$4:$I$9))</f>
        <v/>
      </c>
      <c r="CC78" s="188" t="str">
        <f>IF(ISERROR(getgrade(Broadsheet!BD189,data!$H$4:$I$9)),"#",getgrade(Broadsheet!BD189,data!$H$4:$I$9))</f>
        <v/>
      </c>
      <c r="CD78" s="188" t="str">
        <f>IF(ISERROR(getgrade(Broadsheet!BE189,data!$H$4:$I$9)),"#",getgrade(Broadsheet!BE189,data!$H$4:$I$9))</f>
        <v/>
      </c>
      <c r="CE78" s="188" t="str">
        <f>IF(ISERROR(getgrade(Broadsheet!BF189,data!$H$4:$I$9)),"#",getgrade(Broadsheet!BF189,data!$H$4:$I$9))</f>
        <v/>
      </c>
      <c r="CF78" s="188" t="str">
        <f>IF(ISERROR(getgrade(Broadsheet!BG189,data!$H$4:$I$9)),"#",getgrade(Broadsheet!BG189,data!$H$4:$I$9))</f>
        <v/>
      </c>
      <c r="CG78" s="188" t="str">
        <f>IF(ISERROR(getgrade(Broadsheet!BH189,data!$H$4:$I$9)),"#",getgrade(Broadsheet!BH189,data!$H$4:$I$9))</f>
        <v/>
      </c>
      <c r="CH78" s="188" t="str">
        <f>IF(ISERROR(getgrade(Broadsheet!BI189,data!$H$4:$I$9)),"#",getgrade(Broadsheet!BI189,data!$H$4:$I$9))</f>
        <v/>
      </c>
      <c r="CI78" s="188" t="str">
        <f>IF(ISERROR(getgrade(Broadsheet!BJ189,data!$H$4:$I$9)),"#",getgrade(Broadsheet!BJ189,data!$H$4:$I$9))</f>
        <v/>
      </c>
      <c r="CJ78" s="188"/>
      <c r="CK78" s="188"/>
      <c r="CL78" s="188"/>
      <c r="CM78" s="188"/>
      <c r="CN78" s="188"/>
      <c r="CO78" s="188"/>
      <c r="CP78" s="188"/>
      <c r="CQ78" s="188"/>
      <c r="CR78" s="188"/>
      <c r="CS78" s="188"/>
      <c r="CT78" s="188"/>
      <c r="CU78" s="188"/>
      <c r="CV78" s="188"/>
      <c r="CW78" s="188"/>
      <c r="CX78" s="188"/>
      <c r="CY78" s="188"/>
      <c r="CZ78" s="188"/>
      <c r="DA78" s="188"/>
      <c r="DB78" s="188"/>
      <c r="DC78" s="188"/>
      <c r="DD78" s="188"/>
      <c r="DE78" s="188"/>
      <c r="DF78" s="188"/>
      <c r="DG78" s="188"/>
      <c r="DH78" s="188"/>
      <c r="DI78" s="188"/>
      <c r="DJ78" s="188"/>
      <c r="DK78" s="188"/>
      <c r="DL78" s="188"/>
      <c r="DM78" s="188"/>
      <c r="DN78" s="188"/>
      <c r="DO78" s="188"/>
      <c r="DP78" s="188"/>
      <c r="DQ78" s="188"/>
      <c r="DR78" s="188"/>
      <c r="DS78" s="188"/>
      <c r="DT78" s="188"/>
      <c r="DU78" s="188"/>
      <c r="DV78" s="188"/>
      <c r="DW78" s="188"/>
      <c r="DX78" s="188"/>
      <c r="DY78" s="188"/>
      <c r="DZ78" s="188"/>
      <c r="EA78" s="188"/>
      <c r="EB78" s="188"/>
      <c r="EC78" s="188"/>
      <c r="ED78" s="188"/>
      <c r="EE78" s="188"/>
      <c r="EF78" s="188"/>
      <c r="EG78" s="188"/>
      <c r="EH78" s="188"/>
      <c r="EI78" s="188"/>
      <c r="EJ78" s="188"/>
      <c r="EK78" s="188"/>
      <c r="EL78" s="188"/>
      <c r="EM78" s="188"/>
      <c r="EN78" s="188"/>
      <c r="EO78" s="188"/>
      <c r="EP78" s="188"/>
      <c r="EQ78" s="188"/>
      <c r="ER78" s="188"/>
      <c r="ES78" s="188"/>
      <c r="ET78" s="188"/>
      <c r="EU78" s="188"/>
      <c r="EV78" s="188"/>
      <c r="EW78" s="188"/>
      <c r="EX78" s="188"/>
      <c r="EY78" s="188"/>
      <c r="EZ78" s="188"/>
    </row>
    <row r="79" spans="26:156" x14ac:dyDescent="0.2">
      <c r="AG79" s="188" t="str">
        <f>IF(ISERROR(getgrade(Broadsheet!H190,data!$H$4:$I$9)),"#",getgrade(Broadsheet!H190,data!$H$4:$I$9))</f>
        <v/>
      </c>
      <c r="AH79" s="188" t="str">
        <f>IF(ISERROR(getgrade(Broadsheet!I190,data!$H$4:$I$9)),"#",getgrade(Broadsheet!I190,data!$H$4:$I$9))</f>
        <v/>
      </c>
      <c r="AI79" s="188" t="str">
        <f>IF(ISERROR(getgrade(Broadsheet!J190,data!$H$4:$I$9)),"#",getgrade(Broadsheet!J190,data!$H$4:$I$9))</f>
        <v/>
      </c>
      <c r="AJ79" s="188" t="str">
        <f>IF(ISERROR(getgrade(Broadsheet!K190,data!$H$4:$I$9)),"#",getgrade(Broadsheet!K190,data!$H$4:$I$9))</f>
        <v/>
      </c>
      <c r="AK79" s="188" t="str">
        <f>IF(ISERROR(getgrade(Broadsheet!L190,data!$H$4:$I$9)),"#",getgrade(Broadsheet!L190,data!$H$4:$I$9))</f>
        <v/>
      </c>
      <c r="AL79" s="188" t="str">
        <f>IF(ISERROR(getgrade(Broadsheet!M190,data!$H$4:$I$9)),"#",getgrade(Broadsheet!M190,data!$H$4:$I$9))</f>
        <v/>
      </c>
      <c r="AM79" s="188" t="str">
        <f>IF(ISERROR(getgrade(Broadsheet!N190,data!$H$4:$I$9)),"#",getgrade(Broadsheet!N190,data!$H$4:$I$9))</f>
        <v/>
      </c>
      <c r="AN79" s="188" t="str">
        <f>IF(ISERROR(getgrade(Broadsheet!O190,data!$H$4:$I$9)),"#",getgrade(Broadsheet!O190,data!$H$4:$I$9))</f>
        <v/>
      </c>
      <c r="AO79" s="188" t="str">
        <f>IF(ISERROR(getgrade(Broadsheet!P190,data!$H$4:$I$9)),"#",getgrade(Broadsheet!P190,data!$H$4:$I$9))</f>
        <v/>
      </c>
      <c r="AP79" s="188" t="str">
        <f>IF(ISERROR(getgrade(Broadsheet!Q190,data!$H$4:$I$9)),"#",getgrade(Broadsheet!Q190,data!$H$4:$I$9))</f>
        <v/>
      </c>
      <c r="AQ79" s="188" t="str">
        <f>IF(ISERROR(getgrade(Broadsheet!R190,data!$H$4:$I$9)),"#",getgrade(Broadsheet!R190,data!$H$4:$I$9))</f>
        <v/>
      </c>
      <c r="AR79" s="188" t="str">
        <f>IF(ISERROR(getgrade(Broadsheet!S190,data!$H$4:$I$9)),"#",getgrade(Broadsheet!S190,data!$H$4:$I$9))</f>
        <v/>
      </c>
      <c r="AS79" s="188" t="str">
        <f>IF(ISERROR(getgrade(Broadsheet!T190,data!$H$4:$I$9)),"#",getgrade(Broadsheet!T190,data!$H$4:$I$9))</f>
        <v/>
      </c>
      <c r="AT79" s="188" t="str">
        <f>IF(ISERROR(getgrade(Broadsheet!U190,data!$H$4:$I$9)),"#",getgrade(Broadsheet!U190,data!$H$4:$I$9))</f>
        <v/>
      </c>
      <c r="AU79" s="188" t="str">
        <f>IF(ISERROR(getgrade(Broadsheet!V190,data!$H$4:$I$9)),"#",getgrade(Broadsheet!V190,data!$H$4:$I$9))</f>
        <v/>
      </c>
      <c r="AV79" s="188" t="str">
        <f>IF(ISERROR(getgrade(Broadsheet!W190,data!$H$4:$I$9)),"#",getgrade(Broadsheet!W190,data!$H$4:$I$9))</f>
        <v/>
      </c>
      <c r="AW79" s="188" t="str">
        <f>IF(ISERROR(getgrade(Broadsheet!X190,data!$H$4:$I$9)),"#",getgrade(Broadsheet!X190,data!$H$4:$I$9))</f>
        <v/>
      </c>
      <c r="AX79" s="188" t="str">
        <f>IF(ISERROR(getgrade(Broadsheet!Y190,data!$H$4:$I$9)),"#",getgrade(Broadsheet!Y190,data!$H$4:$I$9))</f>
        <v/>
      </c>
      <c r="AY79" s="188" t="str">
        <f>IF(ISERROR(getgrade(Broadsheet!Z190,data!$H$4:$I$9)),"#",getgrade(Broadsheet!Z190,data!$H$4:$I$9))</f>
        <v/>
      </c>
      <c r="AZ79" s="188" t="str">
        <f>IF(ISERROR(getgrade(Broadsheet!AA190,data!$H$4:$I$9)),"#",getgrade(Broadsheet!AA190,data!$H$4:$I$9))</f>
        <v/>
      </c>
      <c r="BA79" s="188" t="str">
        <f>IF(ISERROR(getgrade(Broadsheet!AB190,data!$H$4:$I$9)),"#",getgrade(Broadsheet!AB190,data!$H$4:$I$9))</f>
        <v/>
      </c>
      <c r="BB79" s="188" t="str">
        <f>IF(ISERROR(getgrade(Broadsheet!AC190,data!$H$4:$I$9)),"#",getgrade(Broadsheet!AC190,data!$H$4:$I$9))</f>
        <v/>
      </c>
      <c r="BC79" s="188" t="str">
        <f>IF(ISERROR(getgrade(Broadsheet!AD190,data!$H$4:$I$9)),"#",getgrade(Broadsheet!AD190,data!$H$4:$I$9))</f>
        <v/>
      </c>
      <c r="BD79" s="188" t="str">
        <f>IF(ISERROR(getgrade(Broadsheet!AE190,data!$H$4:$I$9)),"#",getgrade(Broadsheet!AE190,data!$H$4:$I$9))</f>
        <v/>
      </c>
      <c r="BE79" s="188" t="str">
        <f>IF(ISERROR(getgrade(Broadsheet!AF190,data!$H$4:$I$9)),"#",getgrade(Broadsheet!AF190,data!$H$4:$I$9))</f>
        <v/>
      </c>
      <c r="BF79" s="188" t="str">
        <f>IF(ISERROR(getgrade(Broadsheet!AG190,data!$H$4:$I$9)),"#",getgrade(Broadsheet!AG190,data!$H$4:$I$9))</f>
        <v/>
      </c>
      <c r="BG79" s="188" t="str">
        <f>IF(ISERROR(getgrade(Broadsheet!AH190,data!$H$4:$I$9)),"#",getgrade(Broadsheet!AH190,data!$H$4:$I$9))</f>
        <v/>
      </c>
      <c r="BH79" s="188" t="str">
        <f>IF(ISERROR(getgrade(Broadsheet!AI190,data!$H$4:$I$9)),"#",getgrade(Broadsheet!AI190,data!$H$4:$I$9))</f>
        <v/>
      </c>
      <c r="BI79" s="188" t="str">
        <f>IF(ISERROR(getgrade(Broadsheet!AJ190,data!$H$4:$I$9)),"#",getgrade(Broadsheet!AJ190,data!$H$4:$I$9))</f>
        <v/>
      </c>
      <c r="BJ79" s="188" t="str">
        <f>IF(ISERROR(getgrade(Broadsheet!AK190,data!$H$4:$I$9)),"#",getgrade(Broadsheet!AK190,data!$H$4:$I$9))</f>
        <v/>
      </c>
      <c r="BK79" s="188" t="str">
        <f>IF(ISERROR(getgrade(Broadsheet!AL190,data!$H$4:$I$9)),"#",getgrade(Broadsheet!AL190,data!$H$4:$I$9))</f>
        <v/>
      </c>
      <c r="BL79" s="188" t="str">
        <f>IF(ISERROR(getgrade(Broadsheet!AM190,data!$H$4:$I$9)),"#",getgrade(Broadsheet!AM190,data!$H$4:$I$9))</f>
        <v/>
      </c>
      <c r="BM79" s="188" t="str">
        <f>IF(ISERROR(getgrade(Broadsheet!AN190,data!$H$4:$I$9)),"#",getgrade(Broadsheet!AN190,data!$H$4:$I$9))</f>
        <v/>
      </c>
      <c r="BN79" s="188" t="str">
        <f>IF(ISERROR(getgrade(Broadsheet!AO190,data!$H$4:$I$9)),"#",getgrade(Broadsheet!AO190,data!$H$4:$I$9))</f>
        <v/>
      </c>
      <c r="BO79" s="188" t="str">
        <f>IF(ISERROR(getgrade(Broadsheet!AP190,data!$H$4:$I$9)),"#",getgrade(Broadsheet!AP190,data!$H$4:$I$9))</f>
        <v/>
      </c>
      <c r="BP79" s="188" t="str">
        <f>IF(ISERROR(getgrade(Broadsheet!AQ190,data!$H$4:$I$9)),"#",getgrade(Broadsheet!AQ190,data!$H$4:$I$9))</f>
        <v/>
      </c>
      <c r="BQ79" s="188" t="str">
        <f>IF(ISERROR(getgrade(Broadsheet!AR190,data!$H$4:$I$9)),"#",getgrade(Broadsheet!AR190,data!$H$4:$I$9))</f>
        <v/>
      </c>
      <c r="BR79" s="188" t="str">
        <f>IF(ISERROR(getgrade(Broadsheet!AS190,data!$H$4:$I$9)),"#",getgrade(Broadsheet!AS190,data!$H$4:$I$9))</f>
        <v/>
      </c>
      <c r="BS79" s="188" t="str">
        <f>IF(ISERROR(getgrade(Broadsheet!AT190,data!$H$4:$I$9)),"#",getgrade(Broadsheet!AT190,data!$H$4:$I$9))</f>
        <v/>
      </c>
      <c r="BT79" s="188" t="str">
        <f>IF(ISERROR(getgrade(Broadsheet!AU190,data!$H$4:$I$9)),"#",getgrade(Broadsheet!AU190,data!$H$4:$I$9))</f>
        <v/>
      </c>
      <c r="BU79" s="188" t="str">
        <f>IF(ISERROR(getgrade(Broadsheet!AV190,data!$H$4:$I$9)),"#",getgrade(Broadsheet!AV190,data!$H$4:$I$9))</f>
        <v/>
      </c>
      <c r="BV79" s="188" t="str">
        <f>IF(ISERROR(getgrade(Broadsheet!AW190,data!$H$4:$I$9)),"#",getgrade(Broadsheet!AW190,data!$H$4:$I$9))</f>
        <v/>
      </c>
      <c r="BW79" s="188" t="str">
        <f>IF(ISERROR(getgrade(Broadsheet!AX190,data!$H$4:$I$9)),"#",getgrade(Broadsheet!AX190,data!$H$4:$I$9))</f>
        <v/>
      </c>
      <c r="BX79" s="188" t="str">
        <f>IF(ISERROR(getgrade(Broadsheet!AY190,data!$H$4:$I$9)),"#",getgrade(Broadsheet!AY190,data!$H$4:$I$9))</f>
        <v/>
      </c>
      <c r="BY79" s="188" t="str">
        <f>IF(ISERROR(getgrade(Broadsheet!AZ190,data!$H$4:$I$9)),"#",getgrade(Broadsheet!AZ190,data!$H$4:$I$9))</f>
        <v/>
      </c>
      <c r="BZ79" s="188" t="str">
        <f>IF(ISERROR(getgrade(Broadsheet!BA190,data!$H$4:$I$9)),"#",getgrade(Broadsheet!BA190,data!$H$4:$I$9))</f>
        <v/>
      </c>
      <c r="CA79" s="188" t="str">
        <f>IF(ISERROR(getgrade(Broadsheet!BB190,data!$H$4:$I$9)),"#",getgrade(Broadsheet!BB190,data!$H$4:$I$9))</f>
        <v/>
      </c>
      <c r="CB79" s="188" t="str">
        <f>IF(ISERROR(getgrade(Broadsheet!BC190,data!$H$4:$I$9)),"#",getgrade(Broadsheet!BC190,data!$H$4:$I$9))</f>
        <v/>
      </c>
      <c r="CC79" s="188" t="str">
        <f>IF(ISERROR(getgrade(Broadsheet!BD190,data!$H$4:$I$9)),"#",getgrade(Broadsheet!BD190,data!$H$4:$I$9))</f>
        <v/>
      </c>
      <c r="CD79" s="188" t="str">
        <f>IF(ISERROR(getgrade(Broadsheet!BE190,data!$H$4:$I$9)),"#",getgrade(Broadsheet!BE190,data!$H$4:$I$9))</f>
        <v/>
      </c>
      <c r="CE79" s="188" t="str">
        <f>IF(ISERROR(getgrade(Broadsheet!BF190,data!$H$4:$I$9)),"#",getgrade(Broadsheet!BF190,data!$H$4:$I$9))</f>
        <v/>
      </c>
      <c r="CF79" s="188" t="str">
        <f>IF(ISERROR(getgrade(Broadsheet!BG190,data!$H$4:$I$9)),"#",getgrade(Broadsheet!BG190,data!$H$4:$I$9))</f>
        <v/>
      </c>
      <c r="CG79" s="188" t="str">
        <f>IF(ISERROR(getgrade(Broadsheet!BH190,data!$H$4:$I$9)),"#",getgrade(Broadsheet!BH190,data!$H$4:$I$9))</f>
        <v/>
      </c>
      <c r="CH79" s="188" t="str">
        <f>IF(ISERROR(getgrade(Broadsheet!BI190,data!$H$4:$I$9)),"#",getgrade(Broadsheet!BI190,data!$H$4:$I$9))</f>
        <v/>
      </c>
      <c r="CI79" s="188" t="str">
        <f>IF(ISERROR(getgrade(Broadsheet!BJ190,data!$H$4:$I$9)),"#",getgrade(Broadsheet!BJ190,data!$H$4:$I$9))</f>
        <v/>
      </c>
      <c r="CJ79" s="188"/>
      <c r="CK79" s="188"/>
      <c r="CL79" s="188"/>
      <c r="CM79" s="188"/>
      <c r="CN79" s="188"/>
      <c r="CO79" s="188"/>
      <c r="CP79" s="188"/>
      <c r="CQ79" s="188"/>
      <c r="CR79" s="188"/>
      <c r="CS79" s="188"/>
      <c r="CT79" s="188"/>
      <c r="CU79" s="188"/>
      <c r="CV79" s="188"/>
      <c r="CW79" s="188"/>
      <c r="CX79" s="188"/>
      <c r="CY79" s="188"/>
      <c r="CZ79" s="188"/>
      <c r="DA79" s="188"/>
      <c r="DB79" s="188"/>
      <c r="DC79" s="188"/>
      <c r="DD79" s="188"/>
      <c r="DE79" s="188"/>
      <c r="DF79" s="188"/>
      <c r="DG79" s="188"/>
      <c r="DH79" s="188"/>
      <c r="DI79" s="188"/>
      <c r="DJ79" s="188"/>
      <c r="DK79" s="188"/>
      <c r="DL79" s="188"/>
      <c r="DM79" s="188"/>
      <c r="DN79" s="188"/>
      <c r="DO79" s="188"/>
      <c r="DP79" s="188"/>
      <c r="DQ79" s="188"/>
      <c r="DR79" s="188"/>
      <c r="DS79" s="188"/>
      <c r="DT79" s="188"/>
      <c r="DU79" s="188"/>
      <c r="DV79" s="188"/>
      <c r="DW79" s="188"/>
      <c r="DX79" s="188"/>
      <c r="DY79" s="188"/>
      <c r="DZ79" s="188"/>
      <c r="EA79" s="188"/>
      <c r="EB79" s="188"/>
      <c r="EC79" s="188"/>
      <c r="ED79" s="188"/>
      <c r="EE79" s="188"/>
      <c r="EF79" s="188"/>
      <c r="EG79" s="188"/>
      <c r="EH79" s="188"/>
      <c r="EI79" s="188"/>
      <c r="EJ79" s="188"/>
      <c r="EK79" s="188"/>
      <c r="EL79" s="188"/>
      <c r="EM79" s="188"/>
      <c r="EN79" s="188"/>
      <c r="EO79" s="188"/>
      <c r="EP79" s="188"/>
      <c r="EQ79" s="188"/>
      <c r="ER79" s="188"/>
      <c r="ES79" s="188"/>
      <c r="ET79" s="188"/>
      <c r="EU79" s="188"/>
      <c r="EV79" s="188"/>
      <c r="EW79" s="188"/>
      <c r="EX79" s="188"/>
      <c r="EY79" s="188"/>
      <c r="EZ79" s="188"/>
    </row>
    <row r="80" spans="26:156" x14ac:dyDescent="0.2">
      <c r="AG80" s="188" t="str">
        <f>IF(ISERROR(getgrade(Broadsheet!H191,data!$H$4:$I$9)),"#",getgrade(Broadsheet!H191,data!$H$4:$I$9))</f>
        <v/>
      </c>
      <c r="AH80" s="188" t="str">
        <f>IF(ISERROR(getgrade(Broadsheet!I191,data!$H$4:$I$9)),"#",getgrade(Broadsheet!I191,data!$H$4:$I$9))</f>
        <v/>
      </c>
      <c r="AI80" s="188" t="str">
        <f>IF(ISERROR(getgrade(Broadsheet!J191,data!$H$4:$I$9)),"#",getgrade(Broadsheet!J191,data!$H$4:$I$9))</f>
        <v/>
      </c>
      <c r="AJ80" s="188" t="str">
        <f>IF(ISERROR(getgrade(Broadsheet!K191,data!$H$4:$I$9)),"#",getgrade(Broadsheet!K191,data!$H$4:$I$9))</f>
        <v/>
      </c>
      <c r="AK80" s="188" t="str">
        <f>IF(ISERROR(getgrade(Broadsheet!L191,data!$H$4:$I$9)),"#",getgrade(Broadsheet!L191,data!$H$4:$I$9))</f>
        <v/>
      </c>
      <c r="AL80" s="188" t="str">
        <f>IF(ISERROR(getgrade(Broadsheet!M191,data!$H$4:$I$9)),"#",getgrade(Broadsheet!M191,data!$H$4:$I$9))</f>
        <v/>
      </c>
      <c r="AM80" s="188" t="str">
        <f>IF(ISERROR(getgrade(Broadsheet!N191,data!$H$4:$I$9)),"#",getgrade(Broadsheet!N191,data!$H$4:$I$9))</f>
        <v/>
      </c>
      <c r="AN80" s="188" t="str">
        <f>IF(ISERROR(getgrade(Broadsheet!O191,data!$H$4:$I$9)),"#",getgrade(Broadsheet!O191,data!$H$4:$I$9))</f>
        <v/>
      </c>
      <c r="AO80" s="188" t="str">
        <f>IF(ISERROR(getgrade(Broadsheet!P191,data!$H$4:$I$9)),"#",getgrade(Broadsheet!P191,data!$H$4:$I$9))</f>
        <v/>
      </c>
      <c r="AP80" s="188" t="str">
        <f>IF(ISERROR(getgrade(Broadsheet!Q191,data!$H$4:$I$9)),"#",getgrade(Broadsheet!Q191,data!$H$4:$I$9))</f>
        <v/>
      </c>
      <c r="AQ80" s="188" t="str">
        <f>IF(ISERROR(getgrade(Broadsheet!R191,data!$H$4:$I$9)),"#",getgrade(Broadsheet!R191,data!$H$4:$I$9))</f>
        <v/>
      </c>
      <c r="AR80" s="188" t="str">
        <f>IF(ISERROR(getgrade(Broadsheet!S191,data!$H$4:$I$9)),"#",getgrade(Broadsheet!S191,data!$H$4:$I$9))</f>
        <v/>
      </c>
      <c r="AS80" s="188" t="str">
        <f>IF(ISERROR(getgrade(Broadsheet!T191,data!$H$4:$I$9)),"#",getgrade(Broadsheet!T191,data!$H$4:$I$9))</f>
        <v/>
      </c>
      <c r="AT80" s="188" t="str">
        <f>IF(ISERROR(getgrade(Broadsheet!U191,data!$H$4:$I$9)),"#",getgrade(Broadsheet!U191,data!$H$4:$I$9))</f>
        <v/>
      </c>
      <c r="AU80" s="188" t="str">
        <f>IF(ISERROR(getgrade(Broadsheet!V191,data!$H$4:$I$9)),"#",getgrade(Broadsheet!V191,data!$H$4:$I$9))</f>
        <v/>
      </c>
      <c r="AV80" s="188" t="str">
        <f>IF(ISERROR(getgrade(Broadsheet!W191,data!$H$4:$I$9)),"#",getgrade(Broadsheet!W191,data!$H$4:$I$9))</f>
        <v/>
      </c>
      <c r="AW80" s="188" t="str">
        <f>IF(ISERROR(getgrade(Broadsheet!X191,data!$H$4:$I$9)),"#",getgrade(Broadsheet!X191,data!$H$4:$I$9))</f>
        <v/>
      </c>
      <c r="AX80" s="188" t="str">
        <f>IF(ISERROR(getgrade(Broadsheet!Y191,data!$H$4:$I$9)),"#",getgrade(Broadsheet!Y191,data!$H$4:$I$9))</f>
        <v/>
      </c>
      <c r="AY80" s="188" t="str">
        <f>IF(ISERROR(getgrade(Broadsheet!Z191,data!$H$4:$I$9)),"#",getgrade(Broadsheet!Z191,data!$H$4:$I$9))</f>
        <v/>
      </c>
      <c r="AZ80" s="188" t="str">
        <f>IF(ISERROR(getgrade(Broadsheet!AA191,data!$H$4:$I$9)),"#",getgrade(Broadsheet!AA191,data!$H$4:$I$9))</f>
        <v/>
      </c>
      <c r="BA80" s="188" t="str">
        <f>IF(ISERROR(getgrade(Broadsheet!AB191,data!$H$4:$I$9)),"#",getgrade(Broadsheet!AB191,data!$H$4:$I$9))</f>
        <v/>
      </c>
      <c r="BB80" s="188" t="str">
        <f>IF(ISERROR(getgrade(Broadsheet!AC191,data!$H$4:$I$9)),"#",getgrade(Broadsheet!AC191,data!$H$4:$I$9))</f>
        <v/>
      </c>
      <c r="BC80" s="188" t="str">
        <f>IF(ISERROR(getgrade(Broadsheet!AD191,data!$H$4:$I$9)),"#",getgrade(Broadsheet!AD191,data!$H$4:$I$9))</f>
        <v/>
      </c>
      <c r="BD80" s="188" t="str">
        <f>IF(ISERROR(getgrade(Broadsheet!AE191,data!$H$4:$I$9)),"#",getgrade(Broadsheet!AE191,data!$H$4:$I$9))</f>
        <v/>
      </c>
      <c r="BE80" s="188" t="str">
        <f>IF(ISERROR(getgrade(Broadsheet!AF191,data!$H$4:$I$9)),"#",getgrade(Broadsheet!AF191,data!$H$4:$I$9))</f>
        <v/>
      </c>
      <c r="BF80" s="188" t="str">
        <f>IF(ISERROR(getgrade(Broadsheet!AG191,data!$H$4:$I$9)),"#",getgrade(Broadsheet!AG191,data!$H$4:$I$9))</f>
        <v/>
      </c>
      <c r="BG80" s="188" t="str">
        <f>IF(ISERROR(getgrade(Broadsheet!AH191,data!$H$4:$I$9)),"#",getgrade(Broadsheet!AH191,data!$H$4:$I$9))</f>
        <v/>
      </c>
      <c r="BH80" s="188" t="str">
        <f>IF(ISERROR(getgrade(Broadsheet!AI191,data!$H$4:$I$9)),"#",getgrade(Broadsheet!AI191,data!$H$4:$I$9))</f>
        <v/>
      </c>
      <c r="BI80" s="188" t="str">
        <f>IF(ISERROR(getgrade(Broadsheet!AJ191,data!$H$4:$I$9)),"#",getgrade(Broadsheet!AJ191,data!$H$4:$I$9))</f>
        <v/>
      </c>
      <c r="BJ80" s="188" t="str">
        <f>IF(ISERROR(getgrade(Broadsheet!AK191,data!$H$4:$I$9)),"#",getgrade(Broadsheet!AK191,data!$H$4:$I$9))</f>
        <v/>
      </c>
      <c r="BK80" s="188" t="str">
        <f>IF(ISERROR(getgrade(Broadsheet!AL191,data!$H$4:$I$9)),"#",getgrade(Broadsheet!AL191,data!$H$4:$I$9))</f>
        <v/>
      </c>
      <c r="BL80" s="188" t="str">
        <f>IF(ISERROR(getgrade(Broadsheet!AM191,data!$H$4:$I$9)),"#",getgrade(Broadsheet!AM191,data!$H$4:$I$9))</f>
        <v/>
      </c>
      <c r="BM80" s="188" t="str">
        <f>IF(ISERROR(getgrade(Broadsheet!AN191,data!$H$4:$I$9)),"#",getgrade(Broadsheet!AN191,data!$H$4:$I$9))</f>
        <v/>
      </c>
      <c r="BN80" s="188" t="str">
        <f>IF(ISERROR(getgrade(Broadsheet!AO191,data!$H$4:$I$9)),"#",getgrade(Broadsheet!AO191,data!$H$4:$I$9))</f>
        <v/>
      </c>
      <c r="BO80" s="188" t="str">
        <f>IF(ISERROR(getgrade(Broadsheet!AP191,data!$H$4:$I$9)),"#",getgrade(Broadsheet!AP191,data!$H$4:$I$9))</f>
        <v/>
      </c>
      <c r="BP80" s="188" t="str">
        <f>IF(ISERROR(getgrade(Broadsheet!AQ191,data!$H$4:$I$9)),"#",getgrade(Broadsheet!AQ191,data!$H$4:$I$9))</f>
        <v/>
      </c>
      <c r="BQ80" s="188" t="str">
        <f>IF(ISERROR(getgrade(Broadsheet!AR191,data!$H$4:$I$9)),"#",getgrade(Broadsheet!AR191,data!$H$4:$I$9))</f>
        <v/>
      </c>
      <c r="BR80" s="188" t="str">
        <f>IF(ISERROR(getgrade(Broadsheet!AS191,data!$H$4:$I$9)),"#",getgrade(Broadsheet!AS191,data!$H$4:$I$9))</f>
        <v/>
      </c>
      <c r="BS80" s="188" t="str">
        <f>IF(ISERROR(getgrade(Broadsheet!AT191,data!$H$4:$I$9)),"#",getgrade(Broadsheet!AT191,data!$H$4:$I$9))</f>
        <v/>
      </c>
      <c r="BT80" s="188" t="str">
        <f>IF(ISERROR(getgrade(Broadsheet!AU191,data!$H$4:$I$9)),"#",getgrade(Broadsheet!AU191,data!$H$4:$I$9))</f>
        <v/>
      </c>
      <c r="BU80" s="188" t="str">
        <f>IF(ISERROR(getgrade(Broadsheet!AV191,data!$H$4:$I$9)),"#",getgrade(Broadsheet!AV191,data!$H$4:$I$9))</f>
        <v/>
      </c>
      <c r="BV80" s="188" t="str">
        <f>IF(ISERROR(getgrade(Broadsheet!AW191,data!$H$4:$I$9)),"#",getgrade(Broadsheet!AW191,data!$H$4:$I$9))</f>
        <v/>
      </c>
      <c r="BW80" s="188" t="str">
        <f>IF(ISERROR(getgrade(Broadsheet!AX191,data!$H$4:$I$9)),"#",getgrade(Broadsheet!AX191,data!$H$4:$I$9))</f>
        <v/>
      </c>
      <c r="BX80" s="188" t="str">
        <f>IF(ISERROR(getgrade(Broadsheet!AY191,data!$H$4:$I$9)),"#",getgrade(Broadsheet!AY191,data!$H$4:$I$9))</f>
        <v/>
      </c>
      <c r="BY80" s="188" t="str">
        <f>IF(ISERROR(getgrade(Broadsheet!AZ191,data!$H$4:$I$9)),"#",getgrade(Broadsheet!AZ191,data!$H$4:$I$9))</f>
        <v/>
      </c>
      <c r="BZ80" s="188" t="str">
        <f>IF(ISERROR(getgrade(Broadsheet!BA191,data!$H$4:$I$9)),"#",getgrade(Broadsheet!BA191,data!$H$4:$I$9))</f>
        <v/>
      </c>
      <c r="CA80" s="188" t="str">
        <f>IF(ISERROR(getgrade(Broadsheet!BB191,data!$H$4:$I$9)),"#",getgrade(Broadsheet!BB191,data!$H$4:$I$9))</f>
        <v/>
      </c>
      <c r="CB80" s="188" t="str">
        <f>IF(ISERROR(getgrade(Broadsheet!BC191,data!$H$4:$I$9)),"#",getgrade(Broadsheet!BC191,data!$H$4:$I$9))</f>
        <v/>
      </c>
      <c r="CC80" s="188" t="str">
        <f>IF(ISERROR(getgrade(Broadsheet!BD191,data!$H$4:$I$9)),"#",getgrade(Broadsheet!BD191,data!$H$4:$I$9))</f>
        <v/>
      </c>
      <c r="CD80" s="188" t="str">
        <f>IF(ISERROR(getgrade(Broadsheet!BE191,data!$H$4:$I$9)),"#",getgrade(Broadsheet!BE191,data!$H$4:$I$9))</f>
        <v/>
      </c>
      <c r="CE80" s="188" t="str">
        <f>IF(ISERROR(getgrade(Broadsheet!BF191,data!$H$4:$I$9)),"#",getgrade(Broadsheet!BF191,data!$H$4:$I$9))</f>
        <v/>
      </c>
      <c r="CF80" s="188" t="str">
        <f>IF(ISERROR(getgrade(Broadsheet!BG191,data!$H$4:$I$9)),"#",getgrade(Broadsheet!BG191,data!$H$4:$I$9))</f>
        <v/>
      </c>
      <c r="CG80" s="188" t="str">
        <f>IF(ISERROR(getgrade(Broadsheet!BH191,data!$H$4:$I$9)),"#",getgrade(Broadsheet!BH191,data!$H$4:$I$9))</f>
        <v/>
      </c>
      <c r="CH80" s="188" t="str">
        <f>IF(ISERROR(getgrade(Broadsheet!BI191,data!$H$4:$I$9)),"#",getgrade(Broadsheet!BI191,data!$H$4:$I$9))</f>
        <v/>
      </c>
      <c r="CI80" s="188" t="str">
        <f>IF(ISERROR(getgrade(Broadsheet!BJ191,data!$H$4:$I$9)),"#",getgrade(Broadsheet!BJ191,data!$H$4:$I$9))</f>
        <v/>
      </c>
      <c r="CJ80" s="188"/>
      <c r="CK80" s="188"/>
      <c r="CL80" s="188"/>
      <c r="CM80" s="188"/>
      <c r="CN80" s="188"/>
      <c r="CO80" s="188"/>
      <c r="CP80" s="188"/>
      <c r="CQ80" s="188"/>
      <c r="CR80" s="188"/>
      <c r="CS80" s="188"/>
      <c r="CT80" s="188"/>
      <c r="CU80" s="188"/>
      <c r="CV80" s="188"/>
      <c r="CW80" s="188"/>
      <c r="CX80" s="188"/>
      <c r="CY80" s="188"/>
      <c r="CZ80" s="188"/>
      <c r="DA80" s="188"/>
      <c r="DB80" s="188"/>
      <c r="DC80" s="188"/>
      <c r="DD80" s="188"/>
      <c r="DE80" s="188"/>
      <c r="DF80" s="188"/>
      <c r="DG80" s="188"/>
      <c r="DH80" s="188"/>
      <c r="DI80" s="188"/>
      <c r="DJ80" s="188"/>
      <c r="DK80" s="188"/>
      <c r="DL80" s="188"/>
      <c r="DM80" s="188"/>
      <c r="DN80" s="188"/>
      <c r="DO80" s="188"/>
      <c r="DP80" s="188"/>
      <c r="DQ80" s="188"/>
      <c r="DR80" s="188"/>
      <c r="DS80" s="188"/>
      <c r="DT80" s="188"/>
      <c r="DU80" s="188"/>
      <c r="DV80" s="188"/>
      <c r="DW80" s="188"/>
      <c r="DX80" s="188"/>
      <c r="DY80" s="188"/>
      <c r="DZ80" s="188"/>
      <c r="EA80" s="188"/>
      <c r="EB80" s="188"/>
      <c r="EC80" s="188"/>
      <c r="ED80" s="188"/>
      <c r="EE80" s="188"/>
      <c r="EF80" s="188"/>
      <c r="EG80" s="188"/>
      <c r="EH80" s="188"/>
      <c r="EI80" s="188"/>
      <c r="EJ80" s="188"/>
      <c r="EK80" s="188"/>
      <c r="EL80" s="188"/>
      <c r="EM80" s="188"/>
      <c r="EN80" s="188"/>
      <c r="EO80" s="188"/>
      <c r="EP80" s="188"/>
      <c r="EQ80" s="188"/>
      <c r="ER80" s="188"/>
      <c r="ES80" s="188"/>
      <c r="ET80" s="188"/>
      <c r="EU80" s="188"/>
      <c r="EV80" s="188"/>
      <c r="EW80" s="188"/>
      <c r="EX80" s="188"/>
      <c r="EY80" s="188"/>
      <c r="EZ80" s="188"/>
    </row>
    <row r="81" spans="33:156" x14ac:dyDescent="0.2">
      <c r="AG81" s="188" t="str">
        <f>IF(ISERROR(getgrade(Broadsheet!H192,data!$H$4:$I$9)),"#",getgrade(Broadsheet!H192,data!$H$4:$I$9))</f>
        <v/>
      </c>
      <c r="AH81" s="188" t="str">
        <f>IF(ISERROR(getgrade(Broadsheet!I192,data!$H$4:$I$9)),"#",getgrade(Broadsheet!I192,data!$H$4:$I$9))</f>
        <v/>
      </c>
      <c r="AI81" s="188" t="str">
        <f>IF(ISERROR(getgrade(Broadsheet!J192,data!$H$4:$I$9)),"#",getgrade(Broadsheet!J192,data!$H$4:$I$9))</f>
        <v/>
      </c>
      <c r="AJ81" s="188" t="str">
        <f>IF(ISERROR(getgrade(Broadsheet!K192,data!$H$4:$I$9)),"#",getgrade(Broadsheet!K192,data!$H$4:$I$9))</f>
        <v/>
      </c>
      <c r="AK81" s="188" t="str">
        <f>IF(ISERROR(getgrade(Broadsheet!L192,data!$H$4:$I$9)),"#",getgrade(Broadsheet!L192,data!$H$4:$I$9))</f>
        <v/>
      </c>
      <c r="AL81" s="188" t="str">
        <f>IF(ISERROR(getgrade(Broadsheet!M192,data!$H$4:$I$9)),"#",getgrade(Broadsheet!M192,data!$H$4:$I$9))</f>
        <v/>
      </c>
      <c r="AM81" s="188" t="str">
        <f>IF(ISERROR(getgrade(Broadsheet!N192,data!$H$4:$I$9)),"#",getgrade(Broadsheet!N192,data!$H$4:$I$9))</f>
        <v/>
      </c>
      <c r="AN81" s="188" t="str">
        <f>IF(ISERROR(getgrade(Broadsheet!O192,data!$H$4:$I$9)),"#",getgrade(Broadsheet!O192,data!$H$4:$I$9))</f>
        <v/>
      </c>
      <c r="AO81" s="188" t="str">
        <f>IF(ISERROR(getgrade(Broadsheet!P192,data!$H$4:$I$9)),"#",getgrade(Broadsheet!P192,data!$H$4:$I$9))</f>
        <v/>
      </c>
      <c r="AP81" s="188" t="str">
        <f>IF(ISERROR(getgrade(Broadsheet!Q192,data!$H$4:$I$9)),"#",getgrade(Broadsheet!Q192,data!$H$4:$I$9))</f>
        <v/>
      </c>
      <c r="AQ81" s="188" t="str">
        <f>IF(ISERROR(getgrade(Broadsheet!R192,data!$H$4:$I$9)),"#",getgrade(Broadsheet!R192,data!$H$4:$I$9))</f>
        <v/>
      </c>
      <c r="AR81" s="188" t="str">
        <f>IF(ISERROR(getgrade(Broadsheet!S192,data!$H$4:$I$9)),"#",getgrade(Broadsheet!S192,data!$H$4:$I$9))</f>
        <v/>
      </c>
      <c r="AS81" s="188" t="str">
        <f>IF(ISERROR(getgrade(Broadsheet!T192,data!$H$4:$I$9)),"#",getgrade(Broadsheet!T192,data!$H$4:$I$9))</f>
        <v/>
      </c>
      <c r="AT81" s="188" t="str">
        <f>IF(ISERROR(getgrade(Broadsheet!U192,data!$H$4:$I$9)),"#",getgrade(Broadsheet!U192,data!$H$4:$I$9))</f>
        <v/>
      </c>
      <c r="AU81" s="188" t="str">
        <f>IF(ISERROR(getgrade(Broadsheet!V192,data!$H$4:$I$9)),"#",getgrade(Broadsheet!V192,data!$H$4:$I$9))</f>
        <v/>
      </c>
      <c r="AV81" s="188" t="str">
        <f>IF(ISERROR(getgrade(Broadsheet!W192,data!$H$4:$I$9)),"#",getgrade(Broadsheet!W192,data!$H$4:$I$9))</f>
        <v/>
      </c>
      <c r="AW81" s="188" t="str">
        <f>IF(ISERROR(getgrade(Broadsheet!X192,data!$H$4:$I$9)),"#",getgrade(Broadsheet!X192,data!$H$4:$I$9))</f>
        <v/>
      </c>
      <c r="AX81" s="188" t="str">
        <f>IF(ISERROR(getgrade(Broadsheet!Y192,data!$H$4:$I$9)),"#",getgrade(Broadsheet!Y192,data!$H$4:$I$9))</f>
        <v/>
      </c>
      <c r="AY81" s="188" t="str">
        <f>IF(ISERROR(getgrade(Broadsheet!Z192,data!$H$4:$I$9)),"#",getgrade(Broadsheet!Z192,data!$H$4:$I$9))</f>
        <v/>
      </c>
      <c r="AZ81" s="188" t="str">
        <f>IF(ISERROR(getgrade(Broadsheet!AA192,data!$H$4:$I$9)),"#",getgrade(Broadsheet!AA192,data!$H$4:$I$9))</f>
        <v/>
      </c>
      <c r="BA81" s="188" t="str">
        <f>IF(ISERROR(getgrade(Broadsheet!AB192,data!$H$4:$I$9)),"#",getgrade(Broadsheet!AB192,data!$H$4:$I$9))</f>
        <v/>
      </c>
      <c r="BB81" s="188" t="str">
        <f>IF(ISERROR(getgrade(Broadsheet!AC192,data!$H$4:$I$9)),"#",getgrade(Broadsheet!AC192,data!$H$4:$I$9))</f>
        <v/>
      </c>
      <c r="BC81" s="188" t="str">
        <f>IF(ISERROR(getgrade(Broadsheet!AD192,data!$H$4:$I$9)),"#",getgrade(Broadsheet!AD192,data!$H$4:$I$9))</f>
        <v/>
      </c>
      <c r="BD81" s="188" t="str">
        <f>IF(ISERROR(getgrade(Broadsheet!AE192,data!$H$4:$I$9)),"#",getgrade(Broadsheet!AE192,data!$H$4:$I$9))</f>
        <v/>
      </c>
      <c r="BE81" s="188" t="str">
        <f>IF(ISERROR(getgrade(Broadsheet!AF192,data!$H$4:$I$9)),"#",getgrade(Broadsheet!AF192,data!$H$4:$I$9))</f>
        <v/>
      </c>
      <c r="BF81" s="188" t="str">
        <f>IF(ISERROR(getgrade(Broadsheet!AG192,data!$H$4:$I$9)),"#",getgrade(Broadsheet!AG192,data!$H$4:$I$9))</f>
        <v/>
      </c>
      <c r="BG81" s="188" t="str">
        <f>IF(ISERROR(getgrade(Broadsheet!AH192,data!$H$4:$I$9)),"#",getgrade(Broadsheet!AH192,data!$H$4:$I$9))</f>
        <v/>
      </c>
      <c r="BH81" s="188" t="str">
        <f>IF(ISERROR(getgrade(Broadsheet!AI192,data!$H$4:$I$9)),"#",getgrade(Broadsheet!AI192,data!$H$4:$I$9))</f>
        <v/>
      </c>
      <c r="BI81" s="188" t="str">
        <f>IF(ISERROR(getgrade(Broadsheet!AJ192,data!$H$4:$I$9)),"#",getgrade(Broadsheet!AJ192,data!$H$4:$I$9))</f>
        <v/>
      </c>
      <c r="BJ81" s="188" t="str">
        <f>IF(ISERROR(getgrade(Broadsheet!AK192,data!$H$4:$I$9)),"#",getgrade(Broadsheet!AK192,data!$H$4:$I$9))</f>
        <v/>
      </c>
      <c r="BK81" s="188" t="str">
        <f>IF(ISERROR(getgrade(Broadsheet!AL192,data!$H$4:$I$9)),"#",getgrade(Broadsheet!AL192,data!$H$4:$I$9))</f>
        <v/>
      </c>
      <c r="BL81" s="188" t="str">
        <f>IF(ISERROR(getgrade(Broadsheet!AM192,data!$H$4:$I$9)),"#",getgrade(Broadsheet!AM192,data!$H$4:$I$9))</f>
        <v/>
      </c>
      <c r="BM81" s="188" t="str">
        <f>IF(ISERROR(getgrade(Broadsheet!AN192,data!$H$4:$I$9)),"#",getgrade(Broadsheet!AN192,data!$H$4:$I$9))</f>
        <v/>
      </c>
      <c r="BN81" s="188" t="str">
        <f>IF(ISERROR(getgrade(Broadsheet!AO192,data!$H$4:$I$9)),"#",getgrade(Broadsheet!AO192,data!$H$4:$I$9))</f>
        <v/>
      </c>
      <c r="BO81" s="188" t="str">
        <f>IF(ISERROR(getgrade(Broadsheet!AP192,data!$H$4:$I$9)),"#",getgrade(Broadsheet!AP192,data!$H$4:$I$9))</f>
        <v/>
      </c>
      <c r="BP81" s="188" t="str">
        <f>IF(ISERROR(getgrade(Broadsheet!AQ192,data!$H$4:$I$9)),"#",getgrade(Broadsheet!AQ192,data!$H$4:$I$9))</f>
        <v/>
      </c>
      <c r="BQ81" s="188" t="str">
        <f>IF(ISERROR(getgrade(Broadsheet!AR192,data!$H$4:$I$9)),"#",getgrade(Broadsheet!AR192,data!$H$4:$I$9))</f>
        <v/>
      </c>
      <c r="BR81" s="188" t="str">
        <f>IF(ISERROR(getgrade(Broadsheet!AS192,data!$H$4:$I$9)),"#",getgrade(Broadsheet!AS192,data!$H$4:$I$9))</f>
        <v/>
      </c>
      <c r="BS81" s="188" t="str">
        <f>IF(ISERROR(getgrade(Broadsheet!AT192,data!$H$4:$I$9)),"#",getgrade(Broadsheet!AT192,data!$H$4:$I$9))</f>
        <v/>
      </c>
      <c r="BT81" s="188" t="str">
        <f>IF(ISERROR(getgrade(Broadsheet!AU192,data!$H$4:$I$9)),"#",getgrade(Broadsheet!AU192,data!$H$4:$I$9))</f>
        <v/>
      </c>
      <c r="BU81" s="188" t="str">
        <f>IF(ISERROR(getgrade(Broadsheet!AV192,data!$H$4:$I$9)),"#",getgrade(Broadsheet!AV192,data!$H$4:$I$9))</f>
        <v/>
      </c>
      <c r="BV81" s="188" t="str">
        <f>IF(ISERROR(getgrade(Broadsheet!AW192,data!$H$4:$I$9)),"#",getgrade(Broadsheet!AW192,data!$H$4:$I$9))</f>
        <v/>
      </c>
      <c r="BW81" s="188" t="str">
        <f>IF(ISERROR(getgrade(Broadsheet!AX192,data!$H$4:$I$9)),"#",getgrade(Broadsheet!AX192,data!$H$4:$I$9))</f>
        <v/>
      </c>
      <c r="BX81" s="188" t="str">
        <f>IF(ISERROR(getgrade(Broadsheet!AY192,data!$H$4:$I$9)),"#",getgrade(Broadsheet!AY192,data!$H$4:$I$9))</f>
        <v/>
      </c>
      <c r="BY81" s="188" t="str">
        <f>IF(ISERROR(getgrade(Broadsheet!AZ192,data!$H$4:$I$9)),"#",getgrade(Broadsheet!AZ192,data!$H$4:$I$9))</f>
        <v/>
      </c>
      <c r="BZ81" s="188" t="str">
        <f>IF(ISERROR(getgrade(Broadsheet!BA192,data!$H$4:$I$9)),"#",getgrade(Broadsheet!BA192,data!$H$4:$I$9))</f>
        <v/>
      </c>
      <c r="CA81" s="188" t="str">
        <f>IF(ISERROR(getgrade(Broadsheet!BB192,data!$H$4:$I$9)),"#",getgrade(Broadsheet!BB192,data!$H$4:$I$9))</f>
        <v/>
      </c>
      <c r="CB81" s="188" t="str">
        <f>IF(ISERROR(getgrade(Broadsheet!BC192,data!$H$4:$I$9)),"#",getgrade(Broadsheet!BC192,data!$H$4:$I$9))</f>
        <v/>
      </c>
      <c r="CC81" s="188" t="str">
        <f>IF(ISERROR(getgrade(Broadsheet!BD192,data!$H$4:$I$9)),"#",getgrade(Broadsheet!BD192,data!$H$4:$I$9))</f>
        <v/>
      </c>
      <c r="CD81" s="188" t="str">
        <f>IF(ISERROR(getgrade(Broadsheet!BE192,data!$H$4:$I$9)),"#",getgrade(Broadsheet!BE192,data!$H$4:$I$9))</f>
        <v/>
      </c>
      <c r="CE81" s="188" t="str">
        <f>IF(ISERROR(getgrade(Broadsheet!BF192,data!$H$4:$I$9)),"#",getgrade(Broadsheet!BF192,data!$H$4:$I$9))</f>
        <v/>
      </c>
      <c r="CF81" s="188" t="str">
        <f>IF(ISERROR(getgrade(Broadsheet!BG192,data!$H$4:$I$9)),"#",getgrade(Broadsheet!BG192,data!$H$4:$I$9))</f>
        <v/>
      </c>
      <c r="CG81" s="188" t="str">
        <f>IF(ISERROR(getgrade(Broadsheet!BH192,data!$H$4:$I$9)),"#",getgrade(Broadsheet!BH192,data!$H$4:$I$9))</f>
        <v/>
      </c>
      <c r="CH81" s="188" t="str">
        <f>IF(ISERROR(getgrade(Broadsheet!BI192,data!$H$4:$I$9)),"#",getgrade(Broadsheet!BI192,data!$H$4:$I$9))</f>
        <v/>
      </c>
      <c r="CI81" s="188" t="str">
        <f>IF(ISERROR(getgrade(Broadsheet!BJ192,data!$H$4:$I$9)),"#",getgrade(Broadsheet!BJ192,data!$H$4:$I$9))</f>
        <v/>
      </c>
      <c r="CJ81" s="188"/>
      <c r="CK81" s="188"/>
      <c r="CL81" s="188"/>
      <c r="CM81" s="188"/>
      <c r="CN81" s="188"/>
      <c r="CO81" s="188"/>
      <c r="CP81" s="188"/>
      <c r="CQ81" s="188"/>
      <c r="CR81" s="188"/>
      <c r="CS81" s="188"/>
      <c r="CT81" s="188"/>
      <c r="CU81" s="188"/>
      <c r="CV81" s="188"/>
      <c r="CW81" s="188"/>
      <c r="CX81" s="188"/>
      <c r="CY81" s="188"/>
      <c r="CZ81" s="188"/>
      <c r="DA81" s="188"/>
      <c r="DB81" s="188"/>
      <c r="DC81" s="188"/>
      <c r="DD81" s="188"/>
      <c r="DE81" s="188"/>
      <c r="DF81" s="188"/>
      <c r="DG81" s="188"/>
      <c r="DH81" s="188"/>
      <c r="DI81" s="188"/>
      <c r="DJ81" s="188"/>
      <c r="DK81" s="188"/>
      <c r="DL81" s="188"/>
      <c r="DM81" s="188"/>
      <c r="DN81" s="188"/>
      <c r="DO81" s="188"/>
      <c r="DP81" s="188"/>
      <c r="DQ81" s="188"/>
      <c r="DR81" s="188"/>
      <c r="DS81" s="188"/>
      <c r="DT81" s="188"/>
      <c r="DU81" s="188"/>
      <c r="DV81" s="188"/>
      <c r="DW81" s="188"/>
      <c r="DX81" s="188"/>
      <c r="DY81" s="188"/>
      <c r="DZ81" s="188"/>
      <c r="EA81" s="188"/>
      <c r="EB81" s="188"/>
      <c r="EC81" s="188"/>
      <c r="ED81" s="188"/>
      <c r="EE81" s="188"/>
      <c r="EF81" s="188"/>
      <c r="EG81" s="188"/>
      <c r="EH81" s="188"/>
      <c r="EI81" s="188"/>
      <c r="EJ81" s="188"/>
      <c r="EK81" s="188"/>
      <c r="EL81" s="188"/>
      <c r="EM81" s="188"/>
      <c r="EN81" s="188"/>
      <c r="EO81" s="188"/>
      <c r="EP81" s="188"/>
      <c r="EQ81" s="188"/>
      <c r="ER81" s="188"/>
      <c r="ES81" s="188"/>
      <c r="ET81" s="188"/>
      <c r="EU81" s="188"/>
      <c r="EV81" s="188"/>
      <c r="EW81" s="188"/>
      <c r="EX81" s="188"/>
      <c r="EY81" s="188"/>
      <c r="EZ81" s="188"/>
    </row>
    <row r="82" spans="33:156" x14ac:dyDescent="0.2">
      <c r="AG82" s="188" t="str">
        <f>IF(ISERROR(getgrade(Broadsheet!H193,data!$H$4:$I$9)),"#",getgrade(Broadsheet!H193,data!$H$4:$I$9))</f>
        <v/>
      </c>
      <c r="AH82" s="188" t="str">
        <f>IF(ISERROR(getgrade(Broadsheet!I193,data!$H$4:$I$9)),"#",getgrade(Broadsheet!I193,data!$H$4:$I$9))</f>
        <v/>
      </c>
      <c r="AI82" s="188" t="str">
        <f>IF(ISERROR(getgrade(Broadsheet!J193,data!$H$4:$I$9)),"#",getgrade(Broadsheet!J193,data!$H$4:$I$9))</f>
        <v/>
      </c>
      <c r="AJ82" s="188" t="str">
        <f>IF(ISERROR(getgrade(Broadsheet!K193,data!$H$4:$I$9)),"#",getgrade(Broadsheet!K193,data!$H$4:$I$9))</f>
        <v/>
      </c>
      <c r="AK82" s="188" t="str">
        <f>IF(ISERROR(getgrade(Broadsheet!L193,data!$H$4:$I$9)),"#",getgrade(Broadsheet!L193,data!$H$4:$I$9))</f>
        <v/>
      </c>
      <c r="AL82" s="188" t="str">
        <f>IF(ISERROR(getgrade(Broadsheet!M193,data!$H$4:$I$9)),"#",getgrade(Broadsheet!M193,data!$H$4:$I$9))</f>
        <v/>
      </c>
      <c r="AM82" s="188" t="str">
        <f>IF(ISERROR(getgrade(Broadsheet!N193,data!$H$4:$I$9)),"#",getgrade(Broadsheet!N193,data!$H$4:$I$9))</f>
        <v/>
      </c>
      <c r="AN82" s="188" t="str">
        <f>IF(ISERROR(getgrade(Broadsheet!O193,data!$H$4:$I$9)),"#",getgrade(Broadsheet!O193,data!$H$4:$I$9))</f>
        <v/>
      </c>
      <c r="AO82" s="188" t="str">
        <f>IF(ISERROR(getgrade(Broadsheet!P193,data!$H$4:$I$9)),"#",getgrade(Broadsheet!P193,data!$H$4:$I$9))</f>
        <v/>
      </c>
      <c r="AP82" s="188" t="str">
        <f>IF(ISERROR(getgrade(Broadsheet!Q193,data!$H$4:$I$9)),"#",getgrade(Broadsheet!Q193,data!$H$4:$I$9))</f>
        <v/>
      </c>
      <c r="AQ82" s="188" t="str">
        <f>IF(ISERROR(getgrade(Broadsheet!R193,data!$H$4:$I$9)),"#",getgrade(Broadsheet!R193,data!$H$4:$I$9))</f>
        <v/>
      </c>
      <c r="AR82" s="188" t="str">
        <f>IF(ISERROR(getgrade(Broadsheet!S193,data!$H$4:$I$9)),"#",getgrade(Broadsheet!S193,data!$H$4:$I$9))</f>
        <v/>
      </c>
      <c r="AS82" s="188" t="str">
        <f>IF(ISERROR(getgrade(Broadsheet!T193,data!$H$4:$I$9)),"#",getgrade(Broadsheet!T193,data!$H$4:$I$9))</f>
        <v/>
      </c>
      <c r="AT82" s="188" t="str">
        <f>IF(ISERROR(getgrade(Broadsheet!U193,data!$H$4:$I$9)),"#",getgrade(Broadsheet!U193,data!$H$4:$I$9))</f>
        <v/>
      </c>
      <c r="AU82" s="188" t="str">
        <f>IF(ISERROR(getgrade(Broadsheet!V193,data!$H$4:$I$9)),"#",getgrade(Broadsheet!V193,data!$H$4:$I$9))</f>
        <v/>
      </c>
      <c r="AV82" s="188" t="str">
        <f>IF(ISERROR(getgrade(Broadsheet!W193,data!$H$4:$I$9)),"#",getgrade(Broadsheet!W193,data!$H$4:$I$9))</f>
        <v/>
      </c>
      <c r="AW82" s="188" t="str">
        <f>IF(ISERROR(getgrade(Broadsheet!X193,data!$H$4:$I$9)),"#",getgrade(Broadsheet!X193,data!$H$4:$I$9))</f>
        <v/>
      </c>
      <c r="AX82" s="188" t="str">
        <f>IF(ISERROR(getgrade(Broadsheet!Y193,data!$H$4:$I$9)),"#",getgrade(Broadsheet!Y193,data!$H$4:$I$9))</f>
        <v/>
      </c>
      <c r="AY82" s="188" t="str">
        <f>IF(ISERROR(getgrade(Broadsheet!Z193,data!$H$4:$I$9)),"#",getgrade(Broadsheet!Z193,data!$H$4:$I$9))</f>
        <v/>
      </c>
      <c r="AZ82" s="188" t="str">
        <f>IF(ISERROR(getgrade(Broadsheet!AA193,data!$H$4:$I$9)),"#",getgrade(Broadsheet!AA193,data!$H$4:$I$9))</f>
        <v/>
      </c>
      <c r="BA82" s="188" t="str">
        <f>IF(ISERROR(getgrade(Broadsheet!AB193,data!$H$4:$I$9)),"#",getgrade(Broadsheet!AB193,data!$H$4:$I$9))</f>
        <v/>
      </c>
      <c r="BB82" s="188" t="str">
        <f>IF(ISERROR(getgrade(Broadsheet!AC193,data!$H$4:$I$9)),"#",getgrade(Broadsheet!AC193,data!$H$4:$I$9))</f>
        <v/>
      </c>
      <c r="BC82" s="188" t="str">
        <f>IF(ISERROR(getgrade(Broadsheet!AD193,data!$H$4:$I$9)),"#",getgrade(Broadsheet!AD193,data!$H$4:$I$9))</f>
        <v/>
      </c>
      <c r="BD82" s="188" t="str">
        <f>IF(ISERROR(getgrade(Broadsheet!AE193,data!$H$4:$I$9)),"#",getgrade(Broadsheet!AE193,data!$H$4:$I$9))</f>
        <v/>
      </c>
      <c r="BE82" s="188" t="str">
        <f>IF(ISERROR(getgrade(Broadsheet!AF193,data!$H$4:$I$9)),"#",getgrade(Broadsheet!AF193,data!$H$4:$I$9))</f>
        <v/>
      </c>
      <c r="BF82" s="188" t="str">
        <f>IF(ISERROR(getgrade(Broadsheet!AG193,data!$H$4:$I$9)),"#",getgrade(Broadsheet!AG193,data!$H$4:$I$9))</f>
        <v/>
      </c>
      <c r="BG82" s="188" t="str">
        <f>IF(ISERROR(getgrade(Broadsheet!AH193,data!$H$4:$I$9)),"#",getgrade(Broadsheet!AH193,data!$H$4:$I$9))</f>
        <v/>
      </c>
      <c r="BH82" s="188" t="str">
        <f>IF(ISERROR(getgrade(Broadsheet!AI193,data!$H$4:$I$9)),"#",getgrade(Broadsheet!AI193,data!$H$4:$I$9))</f>
        <v/>
      </c>
      <c r="BI82" s="188" t="str">
        <f>IF(ISERROR(getgrade(Broadsheet!AJ193,data!$H$4:$I$9)),"#",getgrade(Broadsheet!AJ193,data!$H$4:$I$9))</f>
        <v/>
      </c>
      <c r="BJ82" s="188" t="str">
        <f>IF(ISERROR(getgrade(Broadsheet!AK193,data!$H$4:$I$9)),"#",getgrade(Broadsheet!AK193,data!$H$4:$I$9))</f>
        <v/>
      </c>
      <c r="BK82" s="188" t="str">
        <f>IF(ISERROR(getgrade(Broadsheet!AL193,data!$H$4:$I$9)),"#",getgrade(Broadsheet!AL193,data!$H$4:$I$9))</f>
        <v/>
      </c>
      <c r="BL82" s="188" t="str">
        <f>IF(ISERROR(getgrade(Broadsheet!AM193,data!$H$4:$I$9)),"#",getgrade(Broadsheet!AM193,data!$H$4:$I$9))</f>
        <v/>
      </c>
      <c r="BM82" s="188" t="str">
        <f>IF(ISERROR(getgrade(Broadsheet!AN193,data!$H$4:$I$9)),"#",getgrade(Broadsheet!AN193,data!$H$4:$I$9))</f>
        <v/>
      </c>
      <c r="BN82" s="188" t="str">
        <f>IF(ISERROR(getgrade(Broadsheet!AO193,data!$H$4:$I$9)),"#",getgrade(Broadsheet!AO193,data!$H$4:$I$9))</f>
        <v/>
      </c>
      <c r="BO82" s="188" t="str">
        <f>IF(ISERROR(getgrade(Broadsheet!AP193,data!$H$4:$I$9)),"#",getgrade(Broadsheet!AP193,data!$H$4:$I$9))</f>
        <v/>
      </c>
      <c r="BP82" s="188" t="str">
        <f>IF(ISERROR(getgrade(Broadsheet!AQ193,data!$H$4:$I$9)),"#",getgrade(Broadsheet!AQ193,data!$H$4:$I$9))</f>
        <v/>
      </c>
      <c r="BQ82" s="188" t="str">
        <f>IF(ISERROR(getgrade(Broadsheet!AR193,data!$H$4:$I$9)),"#",getgrade(Broadsheet!AR193,data!$H$4:$I$9))</f>
        <v/>
      </c>
      <c r="BR82" s="188" t="str">
        <f>IF(ISERROR(getgrade(Broadsheet!AS193,data!$H$4:$I$9)),"#",getgrade(Broadsheet!AS193,data!$H$4:$I$9))</f>
        <v/>
      </c>
      <c r="BS82" s="188" t="str">
        <f>IF(ISERROR(getgrade(Broadsheet!AT193,data!$H$4:$I$9)),"#",getgrade(Broadsheet!AT193,data!$H$4:$I$9))</f>
        <v/>
      </c>
      <c r="BT82" s="188" t="str">
        <f>IF(ISERROR(getgrade(Broadsheet!AU193,data!$H$4:$I$9)),"#",getgrade(Broadsheet!AU193,data!$H$4:$I$9))</f>
        <v/>
      </c>
      <c r="BU82" s="188" t="str">
        <f>IF(ISERROR(getgrade(Broadsheet!AV193,data!$H$4:$I$9)),"#",getgrade(Broadsheet!AV193,data!$H$4:$I$9))</f>
        <v/>
      </c>
      <c r="BV82" s="188" t="str">
        <f>IF(ISERROR(getgrade(Broadsheet!AW193,data!$H$4:$I$9)),"#",getgrade(Broadsheet!AW193,data!$H$4:$I$9))</f>
        <v/>
      </c>
      <c r="BW82" s="188" t="str">
        <f>IF(ISERROR(getgrade(Broadsheet!AX193,data!$H$4:$I$9)),"#",getgrade(Broadsheet!AX193,data!$H$4:$I$9))</f>
        <v/>
      </c>
      <c r="BX82" s="188" t="str">
        <f>IF(ISERROR(getgrade(Broadsheet!AY193,data!$H$4:$I$9)),"#",getgrade(Broadsheet!AY193,data!$H$4:$I$9))</f>
        <v/>
      </c>
      <c r="BY82" s="188" t="str">
        <f>IF(ISERROR(getgrade(Broadsheet!AZ193,data!$H$4:$I$9)),"#",getgrade(Broadsheet!AZ193,data!$H$4:$I$9))</f>
        <v/>
      </c>
      <c r="BZ82" s="188" t="str">
        <f>IF(ISERROR(getgrade(Broadsheet!BA193,data!$H$4:$I$9)),"#",getgrade(Broadsheet!BA193,data!$H$4:$I$9))</f>
        <v/>
      </c>
      <c r="CA82" s="188" t="str">
        <f>IF(ISERROR(getgrade(Broadsheet!BB193,data!$H$4:$I$9)),"#",getgrade(Broadsheet!BB193,data!$H$4:$I$9))</f>
        <v/>
      </c>
      <c r="CB82" s="188" t="str">
        <f>IF(ISERROR(getgrade(Broadsheet!BC193,data!$H$4:$I$9)),"#",getgrade(Broadsheet!BC193,data!$H$4:$I$9))</f>
        <v/>
      </c>
      <c r="CC82" s="188" t="str">
        <f>IF(ISERROR(getgrade(Broadsheet!BD193,data!$H$4:$I$9)),"#",getgrade(Broadsheet!BD193,data!$H$4:$I$9))</f>
        <v/>
      </c>
      <c r="CD82" s="188" t="str">
        <f>IF(ISERROR(getgrade(Broadsheet!BE193,data!$H$4:$I$9)),"#",getgrade(Broadsheet!BE193,data!$H$4:$I$9))</f>
        <v/>
      </c>
      <c r="CE82" s="188" t="str">
        <f>IF(ISERROR(getgrade(Broadsheet!BF193,data!$H$4:$I$9)),"#",getgrade(Broadsheet!BF193,data!$H$4:$I$9))</f>
        <v/>
      </c>
      <c r="CF82" s="188" t="str">
        <f>IF(ISERROR(getgrade(Broadsheet!BG193,data!$H$4:$I$9)),"#",getgrade(Broadsheet!BG193,data!$H$4:$I$9))</f>
        <v/>
      </c>
      <c r="CG82" s="188" t="str">
        <f>IF(ISERROR(getgrade(Broadsheet!BH193,data!$H$4:$I$9)),"#",getgrade(Broadsheet!BH193,data!$H$4:$I$9))</f>
        <v/>
      </c>
      <c r="CH82" s="188" t="str">
        <f>IF(ISERROR(getgrade(Broadsheet!BI193,data!$H$4:$I$9)),"#",getgrade(Broadsheet!BI193,data!$H$4:$I$9))</f>
        <v/>
      </c>
      <c r="CI82" s="188" t="str">
        <f>IF(ISERROR(getgrade(Broadsheet!BJ193,data!$H$4:$I$9)),"#",getgrade(Broadsheet!BJ193,data!$H$4:$I$9))</f>
        <v/>
      </c>
      <c r="CJ82" s="188"/>
      <c r="CK82" s="188"/>
      <c r="CL82" s="188"/>
      <c r="CM82" s="188"/>
      <c r="CN82" s="188"/>
      <c r="CO82" s="188"/>
      <c r="CP82" s="188"/>
      <c r="CQ82" s="188"/>
      <c r="CR82" s="188"/>
      <c r="CS82" s="188"/>
      <c r="CT82" s="188"/>
      <c r="CU82" s="188"/>
      <c r="CV82" s="188"/>
      <c r="CW82" s="188"/>
      <c r="CX82" s="188"/>
      <c r="CY82" s="188"/>
      <c r="CZ82" s="188"/>
      <c r="DA82" s="188"/>
      <c r="DB82" s="188"/>
      <c r="DC82" s="188"/>
      <c r="DD82" s="188"/>
      <c r="DE82" s="188"/>
      <c r="DF82" s="188"/>
      <c r="DG82" s="188"/>
      <c r="DH82" s="188"/>
      <c r="DI82" s="188"/>
      <c r="DJ82" s="188"/>
      <c r="DK82" s="188"/>
      <c r="DL82" s="188"/>
      <c r="DM82" s="188"/>
      <c r="DN82" s="188"/>
      <c r="DO82" s="188"/>
      <c r="DP82" s="188"/>
      <c r="DQ82" s="188"/>
      <c r="DR82" s="188"/>
      <c r="DS82" s="188"/>
      <c r="DT82" s="188"/>
      <c r="DU82" s="188"/>
      <c r="DV82" s="188"/>
      <c r="DW82" s="188"/>
      <c r="DX82" s="188"/>
      <c r="DY82" s="188"/>
      <c r="DZ82" s="188"/>
      <c r="EA82" s="188"/>
      <c r="EB82" s="188"/>
      <c r="EC82" s="188"/>
      <c r="ED82" s="188"/>
      <c r="EE82" s="188"/>
      <c r="EF82" s="188"/>
      <c r="EG82" s="188"/>
      <c r="EH82" s="188"/>
      <c r="EI82" s="188"/>
      <c r="EJ82" s="188"/>
      <c r="EK82" s="188"/>
      <c r="EL82" s="188"/>
      <c r="EM82" s="188"/>
      <c r="EN82" s="188"/>
      <c r="EO82" s="188"/>
      <c r="EP82" s="188"/>
      <c r="EQ82" s="188"/>
      <c r="ER82" s="188"/>
      <c r="ES82" s="188"/>
      <c r="ET82" s="188"/>
      <c r="EU82" s="188"/>
      <c r="EV82" s="188"/>
      <c r="EW82" s="188"/>
      <c r="EX82" s="188"/>
      <c r="EY82" s="188"/>
      <c r="EZ82" s="188"/>
    </row>
    <row r="83" spans="33:156" x14ac:dyDescent="0.2">
      <c r="AG83" s="188" t="str">
        <f>IF(ISERROR(getgrade(Broadsheet!H194,data!$H$4:$I$9)),"#",getgrade(Broadsheet!H194,data!$H$4:$I$9))</f>
        <v/>
      </c>
      <c r="AH83" s="188" t="str">
        <f>IF(ISERROR(getgrade(Broadsheet!I194,data!$H$4:$I$9)),"#",getgrade(Broadsheet!I194,data!$H$4:$I$9))</f>
        <v/>
      </c>
      <c r="AI83" s="188" t="str">
        <f>IF(ISERROR(getgrade(Broadsheet!J194,data!$H$4:$I$9)),"#",getgrade(Broadsheet!J194,data!$H$4:$I$9))</f>
        <v/>
      </c>
      <c r="AJ83" s="188" t="str">
        <f>IF(ISERROR(getgrade(Broadsheet!K194,data!$H$4:$I$9)),"#",getgrade(Broadsheet!K194,data!$H$4:$I$9))</f>
        <v/>
      </c>
      <c r="AK83" s="188" t="str">
        <f>IF(ISERROR(getgrade(Broadsheet!L194,data!$H$4:$I$9)),"#",getgrade(Broadsheet!L194,data!$H$4:$I$9))</f>
        <v/>
      </c>
      <c r="AL83" s="188" t="str">
        <f>IF(ISERROR(getgrade(Broadsheet!M194,data!$H$4:$I$9)),"#",getgrade(Broadsheet!M194,data!$H$4:$I$9))</f>
        <v/>
      </c>
      <c r="AM83" s="188" t="str">
        <f>IF(ISERROR(getgrade(Broadsheet!N194,data!$H$4:$I$9)),"#",getgrade(Broadsheet!N194,data!$H$4:$I$9))</f>
        <v/>
      </c>
      <c r="AN83" s="188" t="str">
        <f>IF(ISERROR(getgrade(Broadsheet!O194,data!$H$4:$I$9)),"#",getgrade(Broadsheet!O194,data!$H$4:$I$9))</f>
        <v/>
      </c>
      <c r="AO83" s="188" t="str">
        <f>IF(ISERROR(getgrade(Broadsheet!P194,data!$H$4:$I$9)),"#",getgrade(Broadsheet!P194,data!$H$4:$I$9))</f>
        <v/>
      </c>
      <c r="AP83" s="188" t="str">
        <f>IF(ISERROR(getgrade(Broadsheet!Q194,data!$H$4:$I$9)),"#",getgrade(Broadsheet!Q194,data!$H$4:$I$9))</f>
        <v/>
      </c>
      <c r="AQ83" s="188" t="str">
        <f>IF(ISERROR(getgrade(Broadsheet!R194,data!$H$4:$I$9)),"#",getgrade(Broadsheet!R194,data!$H$4:$I$9))</f>
        <v/>
      </c>
      <c r="AR83" s="188" t="str">
        <f>IF(ISERROR(getgrade(Broadsheet!S194,data!$H$4:$I$9)),"#",getgrade(Broadsheet!S194,data!$H$4:$I$9))</f>
        <v/>
      </c>
      <c r="AS83" s="188" t="str">
        <f>IF(ISERROR(getgrade(Broadsheet!T194,data!$H$4:$I$9)),"#",getgrade(Broadsheet!T194,data!$H$4:$I$9))</f>
        <v/>
      </c>
      <c r="AT83" s="188" t="str">
        <f>IF(ISERROR(getgrade(Broadsheet!U194,data!$H$4:$I$9)),"#",getgrade(Broadsheet!U194,data!$H$4:$I$9))</f>
        <v/>
      </c>
      <c r="AU83" s="188" t="str">
        <f>IF(ISERROR(getgrade(Broadsheet!V194,data!$H$4:$I$9)),"#",getgrade(Broadsheet!V194,data!$H$4:$I$9))</f>
        <v/>
      </c>
      <c r="AV83" s="188" t="str">
        <f>IF(ISERROR(getgrade(Broadsheet!W194,data!$H$4:$I$9)),"#",getgrade(Broadsheet!W194,data!$H$4:$I$9))</f>
        <v/>
      </c>
      <c r="AW83" s="188" t="str">
        <f>IF(ISERROR(getgrade(Broadsheet!X194,data!$H$4:$I$9)),"#",getgrade(Broadsheet!X194,data!$H$4:$I$9))</f>
        <v/>
      </c>
      <c r="AX83" s="188" t="str">
        <f>IF(ISERROR(getgrade(Broadsheet!Y194,data!$H$4:$I$9)),"#",getgrade(Broadsheet!Y194,data!$H$4:$I$9))</f>
        <v/>
      </c>
      <c r="AY83" s="188" t="str">
        <f>IF(ISERROR(getgrade(Broadsheet!Z194,data!$H$4:$I$9)),"#",getgrade(Broadsheet!Z194,data!$H$4:$I$9))</f>
        <v/>
      </c>
      <c r="AZ83" s="188" t="str">
        <f>IF(ISERROR(getgrade(Broadsheet!AA194,data!$H$4:$I$9)),"#",getgrade(Broadsheet!AA194,data!$H$4:$I$9))</f>
        <v/>
      </c>
      <c r="BA83" s="188" t="str">
        <f>IF(ISERROR(getgrade(Broadsheet!AB194,data!$H$4:$I$9)),"#",getgrade(Broadsheet!AB194,data!$H$4:$I$9))</f>
        <v/>
      </c>
      <c r="BB83" s="188" t="str">
        <f>IF(ISERROR(getgrade(Broadsheet!AC194,data!$H$4:$I$9)),"#",getgrade(Broadsheet!AC194,data!$H$4:$I$9))</f>
        <v/>
      </c>
      <c r="BC83" s="188" t="str">
        <f>IF(ISERROR(getgrade(Broadsheet!AD194,data!$H$4:$I$9)),"#",getgrade(Broadsheet!AD194,data!$H$4:$I$9))</f>
        <v/>
      </c>
      <c r="BD83" s="188" t="str">
        <f>IF(ISERROR(getgrade(Broadsheet!AE194,data!$H$4:$I$9)),"#",getgrade(Broadsheet!AE194,data!$H$4:$I$9))</f>
        <v/>
      </c>
      <c r="BE83" s="188" t="str">
        <f>IF(ISERROR(getgrade(Broadsheet!AF194,data!$H$4:$I$9)),"#",getgrade(Broadsheet!AF194,data!$H$4:$I$9))</f>
        <v/>
      </c>
      <c r="BF83" s="188" t="str">
        <f>IF(ISERROR(getgrade(Broadsheet!AG194,data!$H$4:$I$9)),"#",getgrade(Broadsheet!AG194,data!$H$4:$I$9))</f>
        <v/>
      </c>
      <c r="BG83" s="188" t="str">
        <f>IF(ISERROR(getgrade(Broadsheet!AH194,data!$H$4:$I$9)),"#",getgrade(Broadsheet!AH194,data!$H$4:$I$9))</f>
        <v/>
      </c>
      <c r="BH83" s="188" t="str">
        <f>IF(ISERROR(getgrade(Broadsheet!AI194,data!$H$4:$I$9)),"#",getgrade(Broadsheet!AI194,data!$H$4:$I$9))</f>
        <v/>
      </c>
      <c r="BI83" s="188" t="str">
        <f>IF(ISERROR(getgrade(Broadsheet!AJ194,data!$H$4:$I$9)),"#",getgrade(Broadsheet!AJ194,data!$H$4:$I$9))</f>
        <v/>
      </c>
      <c r="BJ83" s="188" t="str">
        <f>IF(ISERROR(getgrade(Broadsheet!AK194,data!$H$4:$I$9)),"#",getgrade(Broadsheet!AK194,data!$H$4:$I$9))</f>
        <v/>
      </c>
      <c r="BK83" s="188" t="str">
        <f>IF(ISERROR(getgrade(Broadsheet!AL194,data!$H$4:$I$9)),"#",getgrade(Broadsheet!AL194,data!$H$4:$I$9))</f>
        <v/>
      </c>
      <c r="BL83" s="188" t="str">
        <f>IF(ISERROR(getgrade(Broadsheet!AM194,data!$H$4:$I$9)),"#",getgrade(Broadsheet!AM194,data!$H$4:$I$9))</f>
        <v/>
      </c>
      <c r="BM83" s="188" t="str">
        <f>IF(ISERROR(getgrade(Broadsheet!AN194,data!$H$4:$I$9)),"#",getgrade(Broadsheet!AN194,data!$H$4:$I$9))</f>
        <v/>
      </c>
      <c r="BN83" s="188" t="str">
        <f>IF(ISERROR(getgrade(Broadsheet!AO194,data!$H$4:$I$9)),"#",getgrade(Broadsheet!AO194,data!$H$4:$I$9))</f>
        <v/>
      </c>
      <c r="BO83" s="188" t="str">
        <f>IF(ISERROR(getgrade(Broadsheet!AP194,data!$H$4:$I$9)),"#",getgrade(Broadsheet!AP194,data!$H$4:$I$9))</f>
        <v/>
      </c>
      <c r="BP83" s="188" t="str">
        <f>IF(ISERROR(getgrade(Broadsheet!AQ194,data!$H$4:$I$9)),"#",getgrade(Broadsheet!AQ194,data!$H$4:$I$9))</f>
        <v/>
      </c>
      <c r="BQ83" s="188" t="str">
        <f>IF(ISERROR(getgrade(Broadsheet!AR194,data!$H$4:$I$9)),"#",getgrade(Broadsheet!AR194,data!$H$4:$I$9))</f>
        <v/>
      </c>
      <c r="BR83" s="188" t="str">
        <f>IF(ISERROR(getgrade(Broadsheet!AS194,data!$H$4:$I$9)),"#",getgrade(Broadsheet!AS194,data!$H$4:$I$9))</f>
        <v/>
      </c>
      <c r="BS83" s="188" t="str">
        <f>IF(ISERROR(getgrade(Broadsheet!AT194,data!$H$4:$I$9)),"#",getgrade(Broadsheet!AT194,data!$H$4:$I$9))</f>
        <v/>
      </c>
      <c r="BT83" s="188" t="str">
        <f>IF(ISERROR(getgrade(Broadsheet!AU194,data!$H$4:$I$9)),"#",getgrade(Broadsheet!AU194,data!$H$4:$I$9))</f>
        <v/>
      </c>
      <c r="BU83" s="188" t="str">
        <f>IF(ISERROR(getgrade(Broadsheet!AV194,data!$H$4:$I$9)),"#",getgrade(Broadsheet!AV194,data!$H$4:$I$9))</f>
        <v/>
      </c>
      <c r="BV83" s="188" t="str">
        <f>IF(ISERROR(getgrade(Broadsheet!AW194,data!$H$4:$I$9)),"#",getgrade(Broadsheet!AW194,data!$H$4:$I$9))</f>
        <v/>
      </c>
      <c r="BW83" s="188" t="str">
        <f>IF(ISERROR(getgrade(Broadsheet!AX194,data!$H$4:$I$9)),"#",getgrade(Broadsheet!AX194,data!$H$4:$I$9))</f>
        <v/>
      </c>
      <c r="BX83" s="188" t="str">
        <f>IF(ISERROR(getgrade(Broadsheet!AY194,data!$H$4:$I$9)),"#",getgrade(Broadsheet!AY194,data!$H$4:$I$9))</f>
        <v/>
      </c>
      <c r="BY83" s="188" t="str">
        <f>IF(ISERROR(getgrade(Broadsheet!AZ194,data!$H$4:$I$9)),"#",getgrade(Broadsheet!AZ194,data!$H$4:$I$9))</f>
        <v/>
      </c>
      <c r="BZ83" s="188" t="str">
        <f>IF(ISERROR(getgrade(Broadsheet!BA194,data!$H$4:$I$9)),"#",getgrade(Broadsheet!BA194,data!$H$4:$I$9))</f>
        <v/>
      </c>
      <c r="CA83" s="188" t="str">
        <f>IF(ISERROR(getgrade(Broadsheet!BB194,data!$H$4:$I$9)),"#",getgrade(Broadsheet!BB194,data!$H$4:$I$9))</f>
        <v/>
      </c>
      <c r="CB83" s="188" t="str">
        <f>IF(ISERROR(getgrade(Broadsheet!BC194,data!$H$4:$I$9)),"#",getgrade(Broadsheet!BC194,data!$H$4:$I$9))</f>
        <v/>
      </c>
      <c r="CC83" s="188" t="str">
        <f>IF(ISERROR(getgrade(Broadsheet!BD194,data!$H$4:$I$9)),"#",getgrade(Broadsheet!BD194,data!$H$4:$I$9))</f>
        <v/>
      </c>
      <c r="CD83" s="188" t="str">
        <f>IF(ISERROR(getgrade(Broadsheet!BE194,data!$H$4:$I$9)),"#",getgrade(Broadsheet!BE194,data!$H$4:$I$9))</f>
        <v/>
      </c>
      <c r="CE83" s="188" t="str">
        <f>IF(ISERROR(getgrade(Broadsheet!BF194,data!$H$4:$I$9)),"#",getgrade(Broadsheet!BF194,data!$H$4:$I$9))</f>
        <v/>
      </c>
      <c r="CF83" s="188" t="str">
        <f>IF(ISERROR(getgrade(Broadsheet!BG194,data!$H$4:$I$9)),"#",getgrade(Broadsheet!BG194,data!$H$4:$I$9))</f>
        <v/>
      </c>
      <c r="CG83" s="188" t="str">
        <f>IF(ISERROR(getgrade(Broadsheet!BH194,data!$H$4:$I$9)),"#",getgrade(Broadsheet!BH194,data!$H$4:$I$9))</f>
        <v/>
      </c>
      <c r="CH83" s="188" t="str">
        <f>IF(ISERROR(getgrade(Broadsheet!BI194,data!$H$4:$I$9)),"#",getgrade(Broadsheet!BI194,data!$H$4:$I$9))</f>
        <v/>
      </c>
      <c r="CI83" s="188" t="str">
        <f>IF(ISERROR(getgrade(Broadsheet!BJ194,data!$H$4:$I$9)),"#",getgrade(Broadsheet!BJ194,data!$H$4:$I$9))</f>
        <v/>
      </c>
      <c r="CJ83" s="188"/>
      <c r="CK83" s="188"/>
      <c r="CL83" s="188"/>
      <c r="CM83" s="188"/>
      <c r="CN83" s="188"/>
      <c r="CO83" s="188"/>
      <c r="CP83" s="188"/>
      <c r="CQ83" s="188"/>
      <c r="CR83" s="188"/>
      <c r="CS83" s="188"/>
      <c r="CT83" s="188"/>
      <c r="CU83" s="188"/>
      <c r="CV83" s="188"/>
      <c r="CW83" s="188"/>
      <c r="CX83" s="188"/>
      <c r="CY83" s="188"/>
      <c r="CZ83" s="188"/>
      <c r="DA83" s="188"/>
      <c r="DB83" s="188"/>
      <c r="DC83" s="188"/>
      <c r="DD83" s="188"/>
      <c r="DE83" s="188"/>
      <c r="DF83" s="188"/>
      <c r="DG83" s="188"/>
      <c r="DH83" s="188"/>
      <c r="DI83" s="188"/>
      <c r="DJ83" s="188"/>
      <c r="DK83" s="188"/>
      <c r="DL83" s="188"/>
      <c r="DM83" s="188"/>
      <c r="DN83" s="188"/>
      <c r="DO83" s="188"/>
      <c r="DP83" s="188"/>
      <c r="DQ83" s="188"/>
      <c r="DR83" s="188"/>
      <c r="DS83" s="188"/>
      <c r="DT83" s="188"/>
      <c r="DU83" s="188"/>
      <c r="DV83" s="188"/>
      <c r="DW83" s="188"/>
      <c r="DX83" s="188"/>
      <c r="DY83" s="188"/>
      <c r="DZ83" s="188"/>
      <c r="EA83" s="188"/>
      <c r="EB83" s="188"/>
      <c r="EC83" s="188"/>
      <c r="ED83" s="188"/>
      <c r="EE83" s="188"/>
      <c r="EF83" s="188"/>
      <c r="EG83" s="188"/>
      <c r="EH83" s="188"/>
      <c r="EI83" s="188"/>
      <c r="EJ83" s="188"/>
      <c r="EK83" s="188"/>
      <c r="EL83" s="188"/>
      <c r="EM83" s="188"/>
      <c r="EN83" s="188"/>
      <c r="EO83" s="188"/>
      <c r="EP83" s="188"/>
      <c r="EQ83" s="188"/>
      <c r="ER83" s="188"/>
      <c r="ES83" s="188"/>
      <c r="ET83" s="188"/>
      <c r="EU83" s="188"/>
      <c r="EV83" s="188"/>
      <c r="EW83" s="188"/>
      <c r="EX83" s="188"/>
      <c r="EY83" s="188"/>
      <c r="EZ83" s="188"/>
    </row>
    <row r="84" spans="33:156" x14ac:dyDescent="0.2">
      <c r="AG84" s="188" t="str">
        <f>IF(ISERROR(getgrade(Broadsheet!H195,data!$H$4:$I$9)),"#",getgrade(Broadsheet!H195,data!$H$4:$I$9))</f>
        <v/>
      </c>
      <c r="AH84" s="188" t="str">
        <f>IF(ISERROR(getgrade(Broadsheet!I195,data!$H$4:$I$9)),"#",getgrade(Broadsheet!I195,data!$H$4:$I$9))</f>
        <v/>
      </c>
      <c r="AI84" s="188" t="str">
        <f>IF(ISERROR(getgrade(Broadsheet!J195,data!$H$4:$I$9)),"#",getgrade(Broadsheet!J195,data!$H$4:$I$9))</f>
        <v/>
      </c>
      <c r="AJ84" s="188" t="str">
        <f>IF(ISERROR(getgrade(Broadsheet!K195,data!$H$4:$I$9)),"#",getgrade(Broadsheet!K195,data!$H$4:$I$9))</f>
        <v/>
      </c>
      <c r="AK84" s="188" t="str">
        <f>IF(ISERROR(getgrade(Broadsheet!L195,data!$H$4:$I$9)),"#",getgrade(Broadsheet!L195,data!$H$4:$I$9))</f>
        <v/>
      </c>
      <c r="AL84" s="188" t="str">
        <f>IF(ISERROR(getgrade(Broadsheet!M195,data!$H$4:$I$9)),"#",getgrade(Broadsheet!M195,data!$H$4:$I$9))</f>
        <v/>
      </c>
      <c r="AM84" s="188" t="str">
        <f>IF(ISERROR(getgrade(Broadsheet!N195,data!$H$4:$I$9)),"#",getgrade(Broadsheet!N195,data!$H$4:$I$9))</f>
        <v/>
      </c>
      <c r="AN84" s="188" t="str">
        <f>IF(ISERROR(getgrade(Broadsheet!O195,data!$H$4:$I$9)),"#",getgrade(Broadsheet!O195,data!$H$4:$I$9))</f>
        <v/>
      </c>
      <c r="AO84" s="188" t="str">
        <f>IF(ISERROR(getgrade(Broadsheet!P195,data!$H$4:$I$9)),"#",getgrade(Broadsheet!P195,data!$H$4:$I$9))</f>
        <v/>
      </c>
      <c r="AP84" s="188" t="str">
        <f>IF(ISERROR(getgrade(Broadsheet!Q195,data!$H$4:$I$9)),"#",getgrade(Broadsheet!Q195,data!$H$4:$I$9))</f>
        <v/>
      </c>
      <c r="AQ84" s="188" t="str">
        <f>IF(ISERROR(getgrade(Broadsheet!R195,data!$H$4:$I$9)),"#",getgrade(Broadsheet!R195,data!$H$4:$I$9))</f>
        <v/>
      </c>
      <c r="AR84" s="188" t="str">
        <f>IF(ISERROR(getgrade(Broadsheet!S195,data!$H$4:$I$9)),"#",getgrade(Broadsheet!S195,data!$H$4:$I$9))</f>
        <v/>
      </c>
      <c r="AS84" s="188" t="str">
        <f>IF(ISERROR(getgrade(Broadsheet!T195,data!$H$4:$I$9)),"#",getgrade(Broadsheet!T195,data!$H$4:$I$9))</f>
        <v/>
      </c>
      <c r="AT84" s="188" t="str">
        <f>IF(ISERROR(getgrade(Broadsheet!U195,data!$H$4:$I$9)),"#",getgrade(Broadsheet!U195,data!$H$4:$I$9))</f>
        <v/>
      </c>
      <c r="AU84" s="188" t="str">
        <f>IF(ISERROR(getgrade(Broadsheet!V195,data!$H$4:$I$9)),"#",getgrade(Broadsheet!V195,data!$H$4:$I$9))</f>
        <v/>
      </c>
      <c r="AV84" s="188" t="str">
        <f>IF(ISERROR(getgrade(Broadsheet!W195,data!$H$4:$I$9)),"#",getgrade(Broadsheet!W195,data!$H$4:$I$9))</f>
        <v/>
      </c>
      <c r="AW84" s="188" t="str">
        <f>IF(ISERROR(getgrade(Broadsheet!X195,data!$H$4:$I$9)),"#",getgrade(Broadsheet!X195,data!$H$4:$I$9))</f>
        <v/>
      </c>
      <c r="AX84" s="188" t="str">
        <f>IF(ISERROR(getgrade(Broadsheet!Y195,data!$H$4:$I$9)),"#",getgrade(Broadsheet!Y195,data!$H$4:$I$9))</f>
        <v/>
      </c>
      <c r="AY84" s="188" t="str">
        <f>IF(ISERROR(getgrade(Broadsheet!Z195,data!$H$4:$I$9)),"#",getgrade(Broadsheet!Z195,data!$H$4:$I$9))</f>
        <v/>
      </c>
      <c r="AZ84" s="188" t="str">
        <f>IF(ISERROR(getgrade(Broadsheet!AA195,data!$H$4:$I$9)),"#",getgrade(Broadsheet!AA195,data!$H$4:$I$9))</f>
        <v/>
      </c>
      <c r="BA84" s="188" t="str">
        <f>IF(ISERROR(getgrade(Broadsheet!AB195,data!$H$4:$I$9)),"#",getgrade(Broadsheet!AB195,data!$H$4:$I$9))</f>
        <v/>
      </c>
      <c r="BB84" s="188" t="str">
        <f>IF(ISERROR(getgrade(Broadsheet!AC195,data!$H$4:$I$9)),"#",getgrade(Broadsheet!AC195,data!$H$4:$I$9))</f>
        <v/>
      </c>
      <c r="BC84" s="188" t="str">
        <f>IF(ISERROR(getgrade(Broadsheet!AD195,data!$H$4:$I$9)),"#",getgrade(Broadsheet!AD195,data!$H$4:$I$9))</f>
        <v/>
      </c>
      <c r="BD84" s="188" t="str">
        <f>IF(ISERROR(getgrade(Broadsheet!AE195,data!$H$4:$I$9)),"#",getgrade(Broadsheet!AE195,data!$H$4:$I$9))</f>
        <v/>
      </c>
      <c r="BE84" s="188" t="str">
        <f>IF(ISERROR(getgrade(Broadsheet!AF195,data!$H$4:$I$9)),"#",getgrade(Broadsheet!AF195,data!$H$4:$I$9))</f>
        <v/>
      </c>
      <c r="BF84" s="188" t="str">
        <f>IF(ISERROR(getgrade(Broadsheet!AG195,data!$H$4:$I$9)),"#",getgrade(Broadsheet!AG195,data!$H$4:$I$9))</f>
        <v/>
      </c>
      <c r="BG84" s="188" t="str">
        <f>IF(ISERROR(getgrade(Broadsheet!AH195,data!$H$4:$I$9)),"#",getgrade(Broadsheet!AH195,data!$H$4:$I$9))</f>
        <v/>
      </c>
      <c r="BH84" s="188" t="str">
        <f>IF(ISERROR(getgrade(Broadsheet!AI195,data!$H$4:$I$9)),"#",getgrade(Broadsheet!AI195,data!$H$4:$I$9))</f>
        <v/>
      </c>
      <c r="BI84" s="188" t="str">
        <f>IF(ISERROR(getgrade(Broadsheet!AJ195,data!$H$4:$I$9)),"#",getgrade(Broadsheet!AJ195,data!$H$4:$I$9))</f>
        <v/>
      </c>
      <c r="BJ84" s="188" t="str">
        <f>IF(ISERROR(getgrade(Broadsheet!AK195,data!$H$4:$I$9)),"#",getgrade(Broadsheet!AK195,data!$H$4:$I$9))</f>
        <v/>
      </c>
      <c r="BK84" s="188" t="str">
        <f>IF(ISERROR(getgrade(Broadsheet!AL195,data!$H$4:$I$9)),"#",getgrade(Broadsheet!AL195,data!$H$4:$I$9))</f>
        <v/>
      </c>
      <c r="BL84" s="188" t="str">
        <f>IF(ISERROR(getgrade(Broadsheet!AM195,data!$H$4:$I$9)),"#",getgrade(Broadsheet!AM195,data!$H$4:$I$9))</f>
        <v/>
      </c>
      <c r="BM84" s="188" t="str">
        <f>IF(ISERROR(getgrade(Broadsheet!AN195,data!$H$4:$I$9)),"#",getgrade(Broadsheet!AN195,data!$H$4:$I$9))</f>
        <v/>
      </c>
      <c r="BN84" s="188" t="str">
        <f>IF(ISERROR(getgrade(Broadsheet!AO195,data!$H$4:$I$9)),"#",getgrade(Broadsheet!AO195,data!$H$4:$I$9))</f>
        <v/>
      </c>
      <c r="BO84" s="188" t="str">
        <f>IF(ISERROR(getgrade(Broadsheet!AP195,data!$H$4:$I$9)),"#",getgrade(Broadsheet!AP195,data!$H$4:$I$9))</f>
        <v/>
      </c>
      <c r="BP84" s="188" t="str">
        <f>IF(ISERROR(getgrade(Broadsheet!AQ195,data!$H$4:$I$9)),"#",getgrade(Broadsheet!AQ195,data!$H$4:$I$9))</f>
        <v/>
      </c>
      <c r="BQ84" s="188" t="str">
        <f>IF(ISERROR(getgrade(Broadsheet!AR195,data!$H$4:$I$9)),"#",getgrade(Broadsheet!AR195,data!$H$4:$I$9))</f>
        <v/>
      </c>
      <c r="BR84" s="188" t="str">
        <f>IF(ISERROR(getgrade(Broadsheet!AS195,data!$H$4:$I$9)),"#",getgrade(Broadsheet!AS195,data!$H$4:$I$9))</f>
        <v/>
      </c>
      <c r="BS84" s="188" t="str">
        <f>IF(ISERROR(getgrade(Broadsheet!AT195,data!$H$4:$I$9)),"#",getgrade(Broadsheet!AT195,data!$H$4:$I$9))</f>
        <v/>
      </c>
      <c r="BT84" s="188" t="str">
        <f>IF(ISERROR(getgrade(Broadsheet!AU195,data!$H$4:$I$9)),"#",getgrade(Broadsheet!AU195,data!$H$4:$I$9))</f>
        <v/>
      </c>
      <c r="BU84" s="188" t="str">
        <f>IF(ISERROR(getgrade(Broadsheet!AV195,data!$H$4:$I$9)),"#",getgrade(Broadsheet!AV195,data!$H$4:$I$9))</f>
        <v/>
      </c>
      <c r="BV84" s="188" t="str">
        <f>IF(ISERROR(getgrade(Broadsheet!AW195,data!$H$4:$I$9)),"#",getgrade(Broadsheet!AW195,data!$H$4:$I$9))</f>
        <v/>
      </c>
      <c r="BW84" s="188" t="str">
        <f>IF(ISERROR(getgrade(Broadsheet!AX195,data!$H$4:$I$9)),"#",getgrade(Broadsheet!AX195,data!$H$4:$I$9))</f>
        <v/>
      </c>
      <c r="BX84" s="188" t="str">
        <f>IF(ISERROR(getgrade(Broadsheet!AY195,data!$H$4:$I$9)),"#",getgrade(Broadsheet!AY195,data!$H$4:$I$9))</f>
        <v/>
      </c>
      <c r="BY84" s="188" t="str">
        <f>IF(ISERROR(getgrade(Broadsheet!AZ195,data!$H$4:$I$9)),"#",getgrade(Broadsheet!AZ195,data!$H$4:$I$9))</f>
        <v/>
      </c>
      <c r="BZ84" s="188" t="str">
        <f>IF(ISERROR(getgrade(Broadsheet!BA195,data!$H$4:$I$9)),"#",getgrade(Broadsheet!BA195,data!$H$4:$I$9))</f>
        <v/>
      </c>
      <c r="CA84" s="188" t="str">
        <f>IF(ISERROR(getgrade(Broadsheet!BB195,data!$H$4:$I$9)),"#",getgrade(Broadsheet!BB195,data!$H$4:$I$9))</f>
        <v/>
      </c>
      <c r="CB84" s="188" t="str">
        <f>IF(ISERROR(getgrade(Broadsheet!BC195,data!$H$4:$I$9)),"#",getgrade(Broadsheet!BC195,data!$H$4:$I$9))</f>
        <v/>
      </c>
      <c r="CC84" s="188" t="str">
        <f>IF(ISERROR(getgrade(Broadsheet!BD195,data!$H$4:$I$9)),"#",getgrade(Broadsheet!BD195,data!$H$4:$I$9))</f>
        <v/>
      </c>
      <c r="CD84" s="188" t="str">
        <f>IF(ISERROR(getgrade(Broadsheet!BE195,data!$H$4:$I$9)),"#",getgrade(Broadsheet!BE195,data!$H$4:$I$9))</f>
        <v/>
      </c>
      <c r="CE84" s="188" t="str">
        <f>IF(ISERROR(getgrade(Broadsheet!BF195,data!$H$4:$I$9)),"#",getgrade(Broadsheet!BF195,data!$H$4:$I$9))</f>
        <v/>
      </c>
      <c r="CF84" s="188" t="str">
        <f>IF(ISERROR(getgrade(Broadsheet!BG195,data!$H$4:$I$9)),"#",getgrade(Broadsheet!BG195,data!$H$4:$I$9))</f>
        <v/>
      </c>
      <c r="CG84" s="188" t="str">
        <f>IF(ISERROR(getgrade(Broadsheet!BH195,data!$H$4:$I$9)),"#",getgrade(Broadsheet!BH195,data!$H$4:$I$9))</f>
        <v/>
      </c>
      <c r="CH84" s="188" t="str">
        <f>IF(ISERROR(getgrade(Broadsheet!BI195,data!$H$4:$I$9)),"#",getgrade(Broadsheet!BI195,data!$H$4:$I$9))</f>
        <v/>
      </c>
      <c r="CI84" s="188" t="str">
        <f>IF(ISERROR(getgrade(Broadsheet!BJ195,data!$H$4:$I$9)),"#",getgrade(Broadsheet!BJ195,data!$H$4:$I$9))</f>
        <v/>
      </c>
      <c r="CJ84" s="188"/>
      <c r="CK84" s="188"/>
      <c r="CL84" s="188"/>
      <c r="CM84" s="188"/>
      <c r="CN84" s="188"/>
      <c r="CO84" s="188"/>
      <c r="CP84" s="188"/>
      <c r="CQ84" s="188"/>
      <c r="CR84" s="188"/>
      <c r="CS84" s="188"/>
      <c r="CT84" s="188"/>
      <c r="CU84" s="188"/>
      <c r="CV84" s="188"/>
      <c r="CW84" s="188"/>
      <c r="CX84" s="188"/>
      <c r="CY84" s="188"/>
      <c r="CZ84" s="188"/>
      <c r="DA84" s="188"/>
      <c r="DB84" s="188"/>
      <c r="DC84" s="188"/>
      <c r="DD84" s="188"/>
      <c r="DE84" s="188"/>
      <c r="DF84" s="188"/>
      <c r="DG84" s="188"/>
      <c r="DH84" s="188"/>
      <c r="DI84" s="188"/>
      <c r="DJ84" s="188"/>
      <c r="DK84" s="188"/>
      <c r="DL84" s="188"/>
      <c r="DM84" s="188"/>
      <c r="DN84" s="188"/>
      <c r="DO84" s="188"/>
      <c r="DP84" s="188"/>
      <c r="DQ84" s="188"/>
      <c r="DR84" s="188"/>
      <c r="DS84" s="188"/>
      <c r="DT84" s="188"/>
      <c r="DU84" s="188"/>
      <c r="DV84" s="188"/>
      <c r="DW84" s="188"/>
      <c r="DX84" s="188"/>
      <c r="DY84" s="188"/>
      <c r="DZ84" s="188"/>
      <c r="EA84" s="188"/>
      <c r="EB84" s="188"/>
      <c r="EC84" s="188"/>
      <c r="ED84" s="188"/>
      <c r="EE84" s="188"/>
      <c r="EF84" s="188"/>
      <c r="EG84" s="188"/>
      <c r="EH84" s="188"/>
      <c r="EI84" s="188"/>
      <c r="EJ84" s="188"/>
      <c r="EK84" s="188"/>
      <c r="EL84" s="188"/>
      <c r="EM84" s="188"/>
      <c r="EN84" s="188"/>
      <c r="EO84" s="188"/>
      <c r="EP84" s="188"/>
      <c r="EQ84" s="188"/>
      <c r="ER84" s="188"/>
      <c r="ES84" s="188"/>
      <c r="ET84" s="188"/>
      <c r="EU84" s="188"/>
      <c r="EV84" s="188"/>
      <c r="EW84" s="188"/>
      <c r="EX84" s="188"/>
      <c r="EY84" s="188"/>
      <c r="EZ84" s="188"/>
    </row>
    <row r="85" spans="33:156" x14ac:dyDescent="0.2">
      <c r="AG85" s="188" t="str">
        <f>IF(ISERROR(getgrade(Broadsheet!H196,data!$H$4:$I$9)),"#",getgrade(Broadsheet!H196,data!$H$4:$I$9))</f>
        <v/>
      </c>
      <c r="AH85" s="188" t="str">
        <f>IF(ISERROR(getgrade(Broadsheet!I196,data!$H$4:$I$9)),"#",getgrade(Broadsheet!I196,data!$H$4:$I$9))</f>
        <v/>
      </c>
      <c r="AI85" s="188" t="str">
        <f>IF(ISERROR(getgrade(Broadsheet!J196,data!$H$4:$I$9)),"#",getgrade(Broadsheet!J196,data!$H$4:$I$9))</f>
        <v/>
      </c>
      <c r="AJ85" s="188" t="str">
        <f>IF(ISERROR(getgrade(Broadsheet!K196,data!$H$4:$I$9)),"#",getgrade(Broadsheet!K196,data!$H$4:$I$9))</f>
        <v/>
      </c>
      <c r="AK85" s="188" t="str">
        <f>IF(ISERROR(getgrade(Broadsheet!L196,data!$H$4:$I$9)),"#",getgrade(Broadsheet!L196,data!$H$4:$I$9))</f>
        <v/>
      </c>
      <c r="AL85" s="188" t="str">
        <f>IF(ISERROR(getgrade(Broadsheet!M196,data!$H$4:$I$9)),"#",getgrade(Broadsheet!M196,data!$H$4:$I$9))</f>
        <v/>
      </c>
      <c r="AM85" s="188" t="str">
        <f>IF(ISERROR(getgrade(Broadsheet!N196,data!$H$4:$I$9)),"#",getgrade(Broadsheet!N196,data!$H$4:$I$9))</f>
        <v/>
      </c>
      <c r="AN85" s="188" t="str">
        <f>IF(ISERROR(getgrade(Broadsheet!O196,data!$H$4:$I$9)),"#",getgrade(Broadsheet!O196,data!$H$4:$I$9))</f>
        <v/>
      </c>
      <c r="AO85" s="188" t="str">
        <f>IF(ISERROR(getgrade(Broadsheet!P196,data!$H$4:$I$9)),"#",getgrade(Broadsheet!P196,data!$H$4:$I$9))</f>
        <v/>
      </c>
      <c r="AP85" s="188" t="str">
        <f>IF(ISERROR(getgrade(Broadsheet!Q196,data!$H$4:$I$9)),"#",getgrade(Broadsheet!Q196,data!$H$4:$I$9))</f>
        <v/>
      </c>
      <c r="AQ85" s="188" t="str">
        <f>IF(ISERROR(getgrade(Broadsheet!R196,data!$H$4:$I$9)),"#",getgrade(Broadsheet!R196,data!$H$4:$I$9))</f>
        <v/>
      </c>
      <c r="AR85" s="188" t="str">
        <f>IF(ISERROR(getgrade(Broadsheet!S196,data!$H$4:$I$9)),"#",getgrade(Broadsheet!S196,data!$H$4:$I$9))</f>
        <v/>
      </c>
      <c r="AS85" s="188" t="str">
        <f>IF(ISERROR(getgrade(Broadsheet!T196,data!$H$4:$I$9)),"#",getgrade(Broadsheet!T196,data!$H$4:$I$9))</f>
        <v/>
      </c>
      <c r="AT85" s="188" t="str">
        <f>IF(ISERROR(getgrade(Broadsheet!U196,data!$H$4:$I$9)),"#",getgrade(Broadsheet!U196,data!$H$4:$I$9))</f>
        <v/>
      </c>
      <c r="AU85" s="188" t="str">
        <f>IF(ISERROR(getgrade(Broadsheet!V196,data!$H$4:$I$9)),"#",getgrade(Broadsheet!V196,data!$H$4:$I$9))</f>
        <v/>
      </c>
      <c r="AV85" s="188" t="str">
        <f>IF(ISERROR(getgrade(Broadsheet!W196,data!$H$4:$I$9)),"#",getgrade(Broadsheet!W196,data!$H$4:$I$9))</f>
        <v/>
      </c>
      <c r="AW85" s="188" t="str">
        <f>IF(ISERROR(getgrade(Broadsheet!X196,data!$H$4:$I$9)),"#",getgrade(Broadsheet!X196,data!$H$4:$I$9))</f>
        <v/>
      </c>
      <c r="AX85" s="188" t="str">
        <f>IF(ISERROR(getgrade(Broadsheet!Y196,data!$H$4:$I$9)),"#",getgrade(Broadsheet!Y196,data!$H$4:$I$9))</f>
        <v/>
      </c>
      <c r="AY85" s="188" t="str">
        <f>IF(ISERROR(getgrade(Broadsheet!Z196,data!$H$4:$I$9)),"#",getgrade(Broadsheet!Z196,data!$H$4:$I$9))</f>
        <v/>
      </c>
      <c r="AZ85" s="188" t="str">
        <f>IF(ISERROR(getgrade(Broadsheet!AA196,data!$H$4:$I$9)),"#",getgrade(Broadsheet!AA196,data!$H$4:$I$9))</f>
        <v/>
      </c>
      <c r="BA85" s="188" t="str">
        <f>IF(ISERROR(getgrade(Broadsheet!AB196,data!$H$4:$I$9)),"#",getgrade(Broadsheet!AB196,data!$H$4:$I$9))</f>
        <v/>
      </c>
      <c r="BB85" s="188" t="str">
        <f>IF(ISERROR(getgrade(Broadsheet!AC196,data!$H$4:$I$9)),"#",getgrade(Broadsheet!AC196,data!$H$4:$I$9))</f>
        <v/>
      </c>
      <c r="BC85" s="188" t="str">
        <f>IF(ISERROR(getgrade(Broadsheet!AD196,data!$H$4:$I$9)),"#",getgrade(Broadsheet!AD196,data!$H$4:$I$9))</f>
        <v/>
      </c>
      <c r="BD85" s="188" t="str">
        <f>IF(ISERROR(getgrade(Broadsheet!AE196,data!$H$4:$I$9)),"#",getgrade(Broadsheet!AE196,data!$H$4:$I$9))</f>
        <v/>
      </c>
      <c r="BE85" s="188" t="str">
        <f>IF(ISERROR(getgrade(Broadsheet!AF196,data!$H$4:$I$9)),"#",getgrade(Broadsheet!AF196,data!$H$4:$I$9))</f>
        <v/>
      </c>
      <c r="BF85" s="188" t="str">
        <f>IF(ISERROR(getgrade(Broadsheet!AG196,data!$H$4:$I$9)),"#",getgrade(Broadsheet!AG196,data!$H$4:$I$9))</f>
        <v/>
      </c>
      <c r="BG85" s="188" t="str">
        <f>IF(ISERROR(getgrade(Broadsheet!AH196,data!$H$4:$I$9)),"#",getgrade(Broadsheet!AH196,data!$H$4:$I$9))</f>
        <v/>
      </c>
      <c r="BH85" s="188" t="str">
        <f>IF(ISERROR(getgrade(Broadsheet!AI196,data!$H$4:$I$9)),"#",getgrade(Broadsheet!AI196,data!$H$4:$I$9))</f>
        <v/>
      </c>
      <c r="BI85" s="188" t="str">
        <f>IF(ISERROR(getgrade(Broadsheet!AJ196,data!$H$4:$I$9)),"#",getgrade(Broadsheet!AJ196,data!$H$4:$I$9))</f>
        <v/>
      </c>
      <c r="BJ85" s="188" t="str">
        <f>IF(ISERROR(getgrade(Broadsheet!AK196,data!$H$4:$I$9)),"#",getgrade(Broadsheet!AK196,data!$H$4:$I$9))</f>
        <v/>
      </c>
      <c r="BK85" s="188" t="str">
        <f>IF(ISERROR(getgrade(Broadsheet!AL196,data!$H$4:$I$9)),"#",getgrade(Broadsheet!AL196,data!$H$4:$I$9))</f>
        <v/>
      </c>
      <c r="BL85" s="188" t="str">
        <f>IF(ISERROR(getgrade(Broadsheet!AM196,data!$H$4:$I$9)),"#",getgrade(Broadsheet!AM196,data!$H$4:$I$9))</f>
        <v/>
      </c>
      <c r="BM85" s="188" t="str">
        <f>IF(ISERROR(getgrade(Broadsheet!AN196,data!$H$4:$I$9)),"#",getgrade(Broadsheet!AN196,data!$H$4:$I$9))</f>
        <v/>
      </c>
      <c r="BN85" s="188" t="str">
        <f>IF(ISERROR(getgrade(Broadsheet!AO196,data!$H$4:$I$9)),"#",getgrade(Broadsheet!AO196,data!$H$4:$I$9))</f>
        <v/>
      </c>
      <c r="BO85" s="188" t="str">
        <f>IF(ISERROR(getgrade(Broadsheet!AP196,data!$H$4:$I$9)),"#",getgrade(Broadsheet!AP196,data!$H$4:$I$9))</f>
        <v/>
      </c>
      <c r="BP85" s="188" t="str">
        <f>IF(ISERROR(getgrade(Broadsheet!AQ196,data!$H$4:$I$9)),"#",getgrade(Broadsheet!AQ196,data!$H$4:$I$9))</f>
        <v/>
      </c>
      <c r="BQ85" s="188" t="str">
        <f>IF(ISERROR(getgrade(Broadsheet!AR196,data!$H$4:$I$9)),"#",getgrade(Broadsheet!AR196,data!$H$4:$I$9))</f>
        <v/>
      </c>
      <c r="BR85" s="188" t="str">
        <f>IF(ISERROR(getgrade(Broadsheet!AS196,data!$H$4:$I$9)),"#",getgrade(Broadsheet!AS196,data!$H$4:$I$9))</f>
        <v/>
      </c>
      <c r="BS85" s="188" t="str">
        <f>IF(ISERROR(getgrade(Broadsheet!AT196,data!$H$4:$I$9)),"#",getgrade(Broadsheet!AT196,data!$H$4:$I$9))</f>
        <v/>
      </c>
      <c r="BT85" s="188" t="str">
        <f>IF(ISERROR(getgrade(Broadsheet!AU196,data!$H$4:$I$9)),"#",getgrade(Broadsheet!AU196,data!$H$4:$I$9))</f>
        <v/>
      </c>
      <c r="BU85" s="188" t="str">
        <f>IF(ISERROR(getgrade(Broadsheet!AV196,data!$H$4:$I$9)),"#",getgrade(Broadsheet!AV196,data!$H$4:$I$9))</f>
        <v/>
      </c>
      <c r="BV85" s="188" t="str">
        <f>IF(ISERROR(getgrade(Broadsheet!AW196,data!$H$4:$I$9)),"#",getgrade(Broadsheet!AW196,data!$H$4:$I$9))</f>
        <v/>
      </c>
      <c r="BW85" s="188" t="str">
        <f>IF(ISERROR(getgrade(Broadsheet!AX196,data!$H$4:$I$9)),"#",getgrade(Broadsheet!AX196,data!$H$4:$I$9))</f>
        <v/>
      </c>
      <c r="BX85" s="188" t="str">
        <f>IF(ISERROR(getgrade(Broadsheet!AY196,data!$H$4:$I$9)),"#",getgrade(Broadsheet!AY196,data!$H$4:$I$9))</f>
        <v/>
      </c>
      <c r="BY85" s="188" t="str">
        <f>IF(ISERROR(getgrade(Broadsheet!AZ196,data!$H$4:$I$9)),"#",getgrade(Broadsheet!AZ196,data!$H$4:$I$9))</f>
        <v/>
      </c>
      <c r="BZ85" s="188" t="str">
        <f>IF(ISERROR(getgrade(Broadsheet!BA196,data!$H$4:$I$9)),"#",getgrade(Broadsheet!BA196,data!$H$4:$I$9))</f>
        <v/>
      </c>
      <c r="CA85" s="188" t="str">
        <f>IF(ISERROR(getgrade(Broadsheet!BB196,data!$H$4:$I$9)),"#",getgrade(Broadsheet!BB196,data!$H$4:$I$9))</f>
        <v/>
      </c>
      <c r="CB85" s="188" t="str">
        <f>IF(ISERROR(getgrade(Broadsheet!BC196,data!$H$4:$I$9)),"#",getgrade(Broadsheet!BC196,data!$H$4:$I$9))</f>
        <v/>
      </c>
      <c r="CC85" s="188" t="str">
        <f>IF(ISERROR(getgrade(Broadsheet!BD196,data!$H$4:$I$9)),"#",getgrade(Broadsheet!BD196,data!$H$4:$I$9))</f>
        <v/>
      </c>
      <c r="CD85" s="188" t="str">
        <f>IF(ISERROR(getgrade(Broadsheet!BE196,data!$H$4:$I$9)),"#",getgrade(Broadsheet!BE196,data!$H$4:$I$9))</f>
        <v/>
      </c>
      <c r="CE85" s="188" t="str">
        <f>IF(ISERROR(getgrade(Broadsheet!BF196,data!$H$4:$I$9)),"#",getgrade(Broadsheet!BF196,data!$H$4:$I$9))</f>
        <v/>
      </c>
      <c r="CF85" s="188" t="str">
        <f>IF(ISERROR(getgrade(Broadsheet!BG196,data!$H$4:$I$9)),"#",getgrade(Broadsheet!BG196,data!$H$4:$I$9))</f>
        <v/>
      </c>
      <c r="CG85" s="188" t="str">
        <f>IF(ISERROR(getgrade(Broadsheet!BH196,data!$H$4:$I$9)),"#",getgrade(Broadsheet!BH196,data!$H$4:$I$9))</f>
        <v/>
      </c>
      <c r="CH85" s="188" t="str">
        <f>IF(ISERROR(getgrade(Broadsheet!BI196,data!$H$4:$I$9)),"#",getgrade(Broadsheet!BI196,data!$H$4:$I$9))</f>
        <v/>
      </c>
      <c r="CI85" s="188" t="str">
        <f>IF(ISERROR(getgrade(Broadsheet!BJ196,data!$H$4:$I$9)),"#",getgrade(Broadsheet!BJ196,data!$H$4:$I$9))</f>
        <v/>
      </c>
      <c r="CJ85" s="188"/>
      <c r="CK85" s="188"/>
      <c r="CL85" s="188"/>
      <c r="CM85" s="188"/>
      <c r="CN85" s="188"/>
      <c r="CO85" s="188"/>
      <c r="CP85" s="188"/>
      <c r="CQ85" s="188"/>
      <c r="CR85" s="188"/>
      <c r="CS85" s="188"/>
      <c r="CT85" s="188"/>
      <c r="CU85" s="188"/>
      <c r="CV85" s="188"/>
      <c r="CW85" s="188"/>
      <c r="CX85" s="188"/>
      <c r="CY85" s="188"/>
      <c r="CZ85" s="188"/>
      <c r="DA85" s="188"/>
      <c r="DB85" s="188"/>
      <c r="DC85" s="188"/>
      <c r="DD85" s="188"/>
      <c r="DE85" s="188"/>
      <c r="DF85" s="188"/>
      <c r="DG85" s="188"/>
      <c r="DH85" s="188"/>
      <c r="DI85" s="188"/>
      <c r="DJ85" s="188"/>
      <c r="DK85" s="188"/>
      <c r="DL85" s="188"/>
      <c r="DM85" s="188"/>
      <c r="DN85" s="188"/>
      <c r="DO85" s="188"/>
      <c r="DP85" s="188"/>
      <c r="DQ85" s="188"/>
      <c r="DR85" s="188"/>
      <c r="DS85" s="188"/>
      <c r="DT85" s="188"/>
      <c r="DU85" s="188"/>
      <c r="DV85" s="188"/>
      <c r="DW85" s="188"/>
      <c r="DX85" s="188"/>
      <c r="DY85" s="188"/>
      <c r="DZ85" s="188"/>
      <c r="EA85" s="188"/>
      <c r="EB85" s="188"/>
      <c r="EC85" s="188"/>
      <c r="ED85" s="188"/>
      <c r="EE85" s="188"/>
      <c r="EF85" s="188"/>
      <c r="EG85" s="188"/>
      <c r="EH85" s="188"/>
      <c r="EI85" s="188"/>
      <c r="EJ85" s="188"/>
      <c r="EK85" s="188"/>
      <c r="EL85" s="188"/>
      <c r="EM85" s="188"/>
      <c r="EN85" s="188"/>
      <c r="EO85" s="188"/>
      <c r="EP85" s="188"/>
      <c r="EQ85" s="188"/>
      <c r="ER85" s="188"/>
      <c r="ES85" s="188"/>
      <c r="ET85" s="188"/>
      <c r="EU85" s="188"/>
      <c r="EV85" s="188"/>
      <c r="EW85" s="188"/>
      <c r="EX85" s="188"/>
      <c r="EY85" s="188"/>
      <c r="EZ85" s="188"/>
    </row>
    <row r="86" spans="33:156" x14ac:dyDescent="0.2">
      <c r="AG86" s="188" t="str">
        <f>IF(ISERROR(getgrade(Broadsheet!H197,data!$H$4:$I$9)),"#",getgrade(Broadsheet!H197,data!$H$4:$I$9))</f>
        <v/>
      </c>
      <c r="AH86" s="188" t="str">
        <f>IF(ISERROR(getgrade(Broadsheet!I197,data!$H$4:$I$9)),"#",getgrade(Broadsheet!I197,data!$H$4:$I$9))</f>
        <v/>
      </c>
      <c r="AI86" s="188" t="str">
        <f>IF(ISERROR(getgrade(Broadsheet!J197,data!$H$4:$I$9)),"#",getgrade(Broadsheet!J197,data!$H$4:$I$9))</f>
        <v/>
      </c>
      <c r="AJ86" s="188" t="str">
        <f>IF(ISERROR(getgrade(Broadsheet!K197,data!$H$4:$I$9)),"#",getgrade(Broadsheet!K197,data!$H$4:$I$9))</f>
        <v/>
      </c>
      <c r="AK86" s="188" t="str">
        <f>IF(ISERROR(getgrade(Broadsheet!L197,data!$H$4:$I$9)),"#",getgrade(Broadsheet!L197,data!$H$4:$I$9))</f>
        <v/>
      </c>
      <c r="AL86" s="188" t="str">
        <f>IF(ISERROR(getgrade(Broadsheet!M197,data!$H$4:$I$9)),"#",getgrade(Broadsheet!M197,data!$H$4:$I$9))</f>
        <v/>
      </c>
      <c r="AM86" s="188" t="str">
        <f>IF(ISERROR(getgrade(Broadsheet!N197,data!$H$4:$I$9)),"#",getgrade(Broadsheet!N197,data!$H$4:$I$9))</f>
        <v/>
      </c>
      <c r="AN86" s="188" t="str">
        <f>IF(ISERROR(getgrade(Broadsheet!O197,data!$H$4:$I$9)),"#",getgrade(Broadsheet!O197,data!$H$4:$I$9))</f>
        <v/>
      </c>
      <c r="AO86" s="188" t="str">
        <f>IF(ISERROR(getgrade(Broadsheet!P197,data!$H$4:$I$9)),"#",getgrade(Broadsheet!P197,data!$H$4:$I$9))</f>
        <v/>
      </c>
      <c r="AP86" s="188" t="str">
        <f>IF(ISERROR(getgrade(Broadsheet!Q197,data!$H$4:$I$9)),"#",getgrade(Broadsheet!Q197,data!$H$4:$I$9))</f>
        <v/>
      </c>
      <c r="AQ86" s="188" t="str">
        <f>IF(ISERROR(getgrade(Broadsheet!R197,data!$H$4:$I$9)),"#",getgrade(Broadsheet!R197,data!$H$4:$I$9))</f>
        <v/>
      </c>
      <c r="AR86" s="188" t="str">
        <f>IF(ISERROR(getgrade(Broadsheet!S197,data!$H$4:$I$9)),"#",getgrade(Broadsheet!S197,data!$H$4:$I$9))</f>
        <v/>
      </c>
      <c r="AS86" s="188" t="str">
        <f>IF(ISERROR(getgrade(Broadsheet!T197,data!$H$4:$I$9)),"#",getgrade(Broadsheet!T197,data!$H$4:$I$9))</f>
        <v/>
      </c>
      <c r="AT86" s="188" t="str">
        <f>IF(ISERROR(getgrade(Broadsheet!U197,data!$H$4:$I$9)),"#",getgrade(Broadsheet!U197,data!$H$4:$I$9))</f>
        <v/>
      </c>
      <c r="AU86" s="188" t="str">
        <f>IF(ISERROR(getgrade(Broadsheet!V197,data!$H$4:$I$9)),"#",getgrade(Broadsheet!V197,data!$H$4:$I$9))</f>
        <v/>
      </c>
      <c r="AV86" s="188" t="str">
        <f>IF(ISERROR(getgrade(Broadsheet!W197,data!$H$4:$I$9)),"#",getgrade(Broadsheet!W197,data!$H$4:$I$9))</f>
        <v/>
      </c>
      <c r="AW86" s="188" t="str">
        <f>IF(ISERROR(getgrade(Broadsheet!X197,data!$H$4:$I$9)),"#",getgrade(Broadsheet!X197,data!$H$4:$I$9))</f>
        <v/>
      </c>
      <c r="AX86" s="188" t="str">
        <f>IF(ISERROR(getgrade(Broadsheet!Y197,data!$H$4:$I$9)),"#",getgrade(Broadsheet!Y197,data!$H$4:$I$9))</f>
        <v/>
      </c>
      <c r="AY86" s="188" t="str">
        <f>IF(ISERROR(getgrade(Broadsheet!Z197,data!$H$4:$I$9)),"#",getgrade(Broadsheet!Z197,data!$H$4:$I$9))</f>
        <v/>
      </c>
      <c r="AZ86" s="188" t="str">
        <f>IF(ISERROR(getgrade(Broadsheet!AA197,data!$H$4:$I$9)),"#",getgrade(Broadsheet!AA197,data!$H$4:$I$9))</f>
        <v/>
      </c>
      <c r="BA86" s="188" t="str">
        <f>IF(ISERROR(getgrade(Broadsheet!AB197,data!$H$4:$I$9)),"#",getgrade(Broadsheet!AB197,data!$H$4:$I$9))</f>
        <v/>
      </c>
      <c r="BB86" s="188" t="str">
        <f>IF(ISERROR(getgrade(Broadsheet!AC197,data!$H$4:$I$9)),"#",getgrade(Broadsheet!AC197,data!$H$4:$I$9))</f>
        <v/>
      </c>
      <c r="BC86" s="188" t="str">
        <f>IF(ISERROR(getgrade(Broadsheet!AD197,data!$H$4:$I$9)),"#",getgrade(Broadsheet!AD197,data!$H$4:$I$9))</f>
        <v/>
      </c>
      <c r="BD86" s="188" t="str">
        <f>IF(ISERROR(getgrade(Broadsheet!AE197,data!$H$4:$I$9)),"#",getgrade(Broadsheet!AE197,data!$H$4:$I$9))</f>
        <v/>
      </c>
      <c r="BE86" s="188" t="str">
        <f>IF(ISERROR(getgrade(Broadsheet!AF197,data!$H$4:$I$9)),"#",getgrade(Broadsheet!AF197,data!$H$4:$I$9))</f>
        <v/>
      </c>
      <c r="BF86" s="188" t="str">
        <f>IF(ISERROR(getgrade(Broadsheet!AG197,data!$H$4:$I$9)),"#",getgrade(Broadsheet!AG197,data!$H$4:$I$9))</f>
        <v/>
      </c>
      <c r="BG86" s="188" t="str">
        <f>IF(ISERROR(getgrade(Broadsheet!AH197,data!$H$4:$I$9)),"#",getgrade(Broadsheet!AH197,data!$H$4:$I$9))</f>
        <v/>
      </c>
      <c r="BH86" s="188" t="str">
        <f>IF(ISERROR(getgrade(Broadsheet!AI197,data!$H$4:$I$9)),"#",getgrade(Broadsheet!AI197,data!$H$4:$I$9))</f>
        <v/>
      </c>
      <c r="BI86" s="188" t="str">
        <f>IF(ISERROR(getgrade(Broadsheet!AJ197,data!$H$4:$I$9)),"#",getgrade(Broadsheet!AJ197,data!$H$4:$I$9))</f>
        <v/>
      </c>
      <c r="BJ86" s="188" t="str">
        <f>IF(ISERROR(getgrade(Broadsheet!AK197,data!$H$4:$I$9)),"#",getgrade(Broadsheet!AK197,data!$H$4:$I$9))</f>
        <v/>
      </c>
      <c r="BK86" s="188" t="str">
        <f>IF(ISERROR(getgrade(Broadsheet!AL197,data!$H$4:$I$9)),"#",getgrade(Broadsheet!AL197,data!$H$4:$I$9))</f>
        <v/>
      </c>
      <c r="BL86" s="188" t="str">
        <f>IF(ISERROR(getgrade(Broadsheet!AM197,data!$H$4:$I$9)),"#",getgrade(Broadsheet!AM197,data!$H$4:$I$9))</f>
        <v/>
      </c>
      <c r="BM86" s="188" t="str">
        <f>IF(ISERROR(getgrade(Broadsheet!AN197,data!$H$4:$I$9)),"#",getgrade(Broadsheet!AN197,data!$H$4:$I$9))</f>
        <v/>
      </c>
      <c r="BN86" s="188" t="str">
        <f>IF(ISERROR(getgrade(Broadsheet!AO197,data!$H$4:$I$9)),"#",getgrade(Broadsheet!AO197,data!$H$4:$I$9))</f>
        <v/>
      </c>
      <c r="BO86" s="188" t="str">
        <f>IF(ISERROR(getgrade(Broadsheet!AP197,data!$H$4:$I$9)),"#",getgrade(Broadsheet!AP197,data!$H$4:$I$9))</f>
        <v/>
      </c>
      <c r="BP86" s="188" t="str">
        <f>IF(ISERROR(getgrade(Broadsheet!AQ197,data!$H$4:$I$9)),"#",getgrade(Broadsheet!AQ197,data!$H$4:$I$9))</f>
        <v/>
      </c>
      <c r="BQ86" s="188" t="str">
        <f>IF(ISERROR(getgrade(Broadsheet!AR197,data!$H$4:$I$9)),"#",getgrade(Broadsheet!AR197,data!$H$4:$I$9))</f>
        <v/>
      </c>
      <c r="BR86" s="188" t="str">
        <f>IF(ISERROR(getgrade(Broadsheet!AS197,data!$H$4:$I$9)),"#",getgrade(Broadsheet!AS197,data!$H$4:$I$9))</f>
        <v/>
      </c>
      <c r="BS86" s="188" t="str">
        <f>IF(ISERROR(getgrade(Broadsheet!AT197,data!$H$4:$I$9)),"#",getgrade(Broadsheet!AT197,data!$H$4:$I$9))</f>
        <v/>
      </c>
      <c r="BT86" s="188" t="str">
        <f>IF(ISERROR(getgrade(Broadsheet!AU197,data!$H$4:$I$9)),"#",getgrade(Broadsheet!AU197,data!$H$4:$I$9))</f>
        <v/>
      </c>
      <c r="BU86" s="188" t="str">
        <f>IF(ISERROR(getgrade(Broadsheet!AV197,data!$H$4:$I$9)),"#",getgrade(Broadsheet!AV197,data!$H$4:$I$9))</f>
        <v/>
      </c>
      <c r="BV86" s="188" t="str">
        <f>IF(ISERROR(getgrade(Broadsheet!AW197,data!$H$4:$I$9)),"#",getgrade(Broadsheet!AW197,data!$H$4:$I$9))</f>
        <v/>
      </c>
      <c r="BW86" s="188" t="str">
        <f>IF(ISERROR(getgrade(Broadsheet!AX197,data!$H$4:$I$9)),"#",getgrade(Broadsheet!AX197,data!$H$4:$I$9))</f>
        <v/>
      </c>
      <c r="BX86" s="188" t="str">
        <f>IF(ISERROR(getgrade(Broadsheet!AY197,data!$H$4:$I$9)),"#",getgrade(Broadsheet!AY197,data!$H$4:$I$9))</f>
        <v/>
      </c>
      <c r="BY86" s="188" t="str">
        <f>IF(ISERROR(getgrade(Broadsheet!AZ197,data!$H$4:$I$9)),"#",getgrade(Broadsheet!AZ197,data!$H$4:$I$9))</f>
        <v/>
      </c>
      <c r="BZ86" s="188" t="str">
        <f>IF(ISERROR(getgrade(Broadsheet!BA197,data!$H$4:$I$9)),"#",getgrade(Broadsheet!BA197,data!$H$4:$I$9))</f>
        <v/>
      </c>
      <c r="CA86" s="188" t="str">
        <f>IF(ISERROR(getgrade(Broadsheet!BB197,data!$H$4:$I$9)),"#",getgrade(Broadsheet!BB197,data!$H$4:$I$9))</f>
        <v/>
      </c>
      <c r="CB86" s="188" t="str">
        <f>IF(ISERROR(getgrade(Broadsheet!BC197,data!$H$4:$I$9)),"#",getgrade(Broadsheet!BC197,data!$H$4:$I$9))</f>
        <v/>
      </c>
      <c r="CC86" s="188" t="str">
        <f>IF(ISERROR(getgrade(Broadsheet!BD197,data!$H$4:$I$9)),"#",getgrade(Broadsheet!BD197,data!$H$4:$I$9))</f>
        <v/>
      </c>
      <c r="CD86" s="188" t="str">
        <f>IF(ISERROR(getgrade(Broadsheet!BE197,data!$H$4:$I$9)),"#",getgrade(Broadsheet!BE197,data!$H$4:$I$9))</f>
        <v/>
      </c>
      <c r="CE86" s="188" t="str">
        <f>IF(ISERROR(getgrade(Broadsheet!BF197,data!$H$4:$I$9)),"#",getgrade(Broadsheet!BF197,data!$H$4:$I$9))</f>
        <v/>
      </c>
      <c r="CF86" s="188" t="str">
        <f>IF(ISERROR(getgrade(Broadsheet!BG197,data!$H$4:$I$9)),"#",getgrade(Broadsheet!BG197,data!$H$4:$I$9))</f>
        <v/>
      </c>
      <c r="CG86" s="188" t="str">
        <f>IF(ISERROR(getgrade(Broadsheet!BH197,data!$H$4:$I$9)),"#",getgrade(Broadsheet!BH197,data!$H$4:$I$9))</f>
        <v/>
      </c>
      <c r="CH86" s="188" t="str">
        <f>IF(ISERROR(getgrade(Broadsheet!BI197,data!$H$4:$I$9)),"#",getgrade(Broadsheet!BI197,data!$H$4:$I$9))</f>
        <v/>
      </c>
      <c r="CI86" s="188" t="str">
        <f>IF(ISERROR(getgrade(Broadsheet!BJ197,data!$H$4:$I$9)),"#",getgrade(Broadsheet!BJ197,data!$H$4:$I$9))</f>
        <v/>
      </c>
      <c r="CJ86" s="188"/>
      <c r="CK86" s="188"/>
      <c r="CL86" s="188"/>
      <c r="CM86" s="188"/>
      <c r="CN86" s="188"/>
      <c r="CO86" s="188"/>
      <c r="CP86" s="188"/>
      <c r="CQ86" s="188"/>
      <c r="CR86" s="188"/>
      <c r="CS86" s="188"/>
      <c r="CT86" s="188"/>
      <c r="CU86" s="188"/>
      <c r="CV86" s="188"/>
      <c r="CW86" s="188"/>
      <c r="CX86" s="188"/>
      <c r="CY86" s="188"/>
      <c r="CZ86" s="188"/>
      <c r="DA86" s="188"/>
      <c r="DB86" s="188"/>
      <c r="DC86" s="188"/>
      <c r="DD86" s="188"/>
      <c r="DE86" s="188"/>
      <c r="DF86" s="188"/>
      <c r="DG86" s="188"/>
      <c r="DH86" s="188"/>
      <c r="DI86" s="188"/>
      <c r="DJ86" s="188"/>
      <c r="DK86" s="188"/>
      <c r="DL86" s="188"/>
      <c r="DM86" s="188"/>
      <c r="DN86" s="188"/>
      <c r="DO86" s="188"/>
      <c r="DP86" s="188"/>
      <c r="DQ86" s="188"/>
      <c r="DR86" s="188"/>
      <c r="DS86" s="188"/>
      <c r="DT86" s="188"/>
      <c r="DU86" s="188"/>
      <c r="DV86" s="188"/>
      <c r="DW86" s="188"/>
      <c r="DX86" s="188"/>
      <c r="DY86" s="188"/>
      <c r="DZ86" s="188"/>
      <c r="EA86" s="188"/>
      <c r="EB86" s="188"/>
      <c r="EC86" s="188"/>
      <c r="ED86" s="188"/>
      <c r="EE86" s="188"/>
      <c r="EF86" s="188"/>
      <c r="EG86" s="188"/>
      <c r="EH86" s="188"/>
      <c r="EI86" s="188"/>
      <c r="EJ86" s="188"/>
      <c r="EK86" s="188"/>
      <c r="EL86" s="188"/>
      <c r="EM86" s="188"/>
      <c r="EN86" s="188"/>
      <c r="EO86" s="188"/>
      <c r="EP86" s="188"/>
      <c r="EQ86" s="188"/>
      <c r="ER86" s="188"/>
      <c r="ES86" s="188"/>
      <c r="ET86" s="188"/>
      <c r="EU86" s="188"/>
      <c r="EV86" s="188"/>
      <c r="EW86" s="188"/>
      <c r="EX86" s="188"/>
      <c r="EY86" s="188"/>
      <c r="EZ86" s="188"/>
    </row>
    <row r="87" spans="33:156" x14ac:dyDescent="0.2">
      <c r="AG87" s="188" t="str">
        <f>IF(ISERROR(getgrade(Broadsheet!H198,data!$H$4:$I$9)),"#",getgrade(Broadsheet!H198,data!$H$4:$I$9))</f>
        <v/>
      </c>
      <c r="AH87" s="188" t="str">
        <f>IF(ISERROR(getgrade(Broadsheet!I198,data!$H$4:$I$9)),"#",getgrade(Broadsheet!I198,data!$H$4:$I$9))</f>
        <v/>
      </c>
      <c r="AI87" s="188" t="str">
        <f>IF(ISERROR(getgrade(Broadsheet!J198,data!$H$4:$I$9)),"#",getgrade(Broadsheet!J198,data!$H$4:$I$9))</f>
        <v/>
      </c>
      <c r="AJ87" s="188" t="str">
        <f>IF(ISERROR(getgrade(Broadsheet!K198,data!$H$4:$I$9)),"#",getgrade(Broadsheet!K198,data!$H$4:$I$9))</f>
        <v/>
      </c>
      <c r="AK87" s="188" t="str">
        <f>IF(ISERROR(getgrade(Broadsheet!L198,data!$H$4:$I$9)),"#",getgrade(Broadsheet!L198,data!$H$4:$I$9))</f>
        <v/>
      </c>
      <c r="AL87" s="188" t="str">
        <f>IF(ISERROR(getgrade(Broadsheet!M198,data!$H$4:$I$9)),"#",getgrade(Broadsheet!M198,data!$H$4:$I$9))</f>
        <v/>
      </c>
      <c r="AM87" s="188" t="str">
        <f>IF(ISERROR(getgrade(Broadsheet!N198,data!$H$4:$I$9)),"#",getgrade(Broadsheet!N198,data!$H$4:$I$9))</f>
        <v/>
      </c>
      <c r="AN87" s="188" t="str">
        <f>IF(ISERROR(getgrade(Broadsheet!O198,data!$H$4:$I$9)),"#",getgrade(Broadsheet!O198,data!$H$4:$I$9))</f>
        <v/>
      </c>
      <c r="AO87" s="188" t="str">
        <f>IF(ISERROR(getgrade(Broadsheet!P198,data!$H$4:$I$9)),"#",getgrade(Broadsheet!P198,data!$H$4:$I$9))</f>
        <v/>
      </c>
      <c r="AP87" s="188" t="str">
        <f>IF(ISERROR(getgrade(Broadsheet!Q198,data!$H$4:$I$9)),"#",getgrade(Broadsheet!Q198,data!$H$4:$I$9))</f>
        <v/>
      </c>
      <c r="AQ87" s="188" t="str">
        <f>IF(ISERROR(getgrade(Broadsheet!R198,data!$H$4:$I$9)),"#",getgrade(Broadsheet!R198,data!$H$4:$I$9))</f>
        <v/>
      </c>
      <c r="AR87" s="188" t="str">
        <f>IF(ISERROR(getgrade(Broadsheet!S198,data!$H$4:$I$9)),"#",getgrade(Broadsheet!S198,data!$H$4:$I$9))</f>
        <v/>
      </c>
      <c r="AS87" s="188" t="str">
        <f>IF(ISERROR(getgrade(Broadsheet!T198,data!$H$4:$I$9)),"#",getgrade(Broadsheet!T198,data!$H$4:$I$9))</f>
        <v/>
      </c>
      <c r="AT87" s="188" t="str">
        <f>IF(ISERROR(getgrade(Broadsheet!U198,data!$H$4:$I$9)),"#",getgrade(Broadsheet!U198,data!$H$4:$I$9))</f>
        <v/>
      </c>
      <c r="AU87" s="188" t="str">
        <f>IF(ISERROR(getgrade(Broadsheet!V198,data!$H$4:$I$9)),"#",getgrade(Broadsheet!V198,data!$H$4:$I$9))</f>
        <v/>
      </c>
      <c r="AV87" s="188" t="str">
        <f>IF(ISERROR(getgrade(Broadsheet!W198,data!$H$4:$I$9)),"#",getgrade(Broadsheet!W198,data!$H$4:$I$9))</f>
        <v/>
      </c>
      <c r="AW87" s="188" t="str">
        <f>IF(ISERROR(getgrade(Broadsheet!X198,data!$H$4:$I$9)),"#",getgrade(Broadsheet!X198,data!$H$4:$I$9))</f>
        <v/>
      </c>
      <c r="AX87" s="188" t="str">
        <f>IF(ISERROR(getgrade(Broadsheet!Y198,data!$H$4:$I$9)),"#",getgrade(Broadsheet!Y198,data!$H$4:$I$9))</f>
        <v/>
      </c>
      <c r="AY87" s="188" t="str">
        <f>IF(ISERROR(getgrade(Broadsheet!Z198,data!$H$4:$I$9)),"#",getgrade(Broadsheet!Z198,data!$H$4:$I$9))</f>
        <v/>
      </c>
      <c r="AZ87" s="188" t="str">
        <f>IF(ISERROR(getgrade(Broadsheet!AA198,data!$H$4:$I$9)),"#",getgrade(Broadsheet!AA198,data!$H$4:$I$9))</f>
        <v/>
      </c>
      <c r="BA87" s="188" t="str">
        <f>IF(ISERROR(getgrade(Broadsheet!AB198,data!$H$4:$I$9)),"#",getgrade(Broadsheet!AB198,data!$H$4:$I$9))</f>
        <v/>
      </c>
      <c r="BB87" s="188" t="str">
        <f>IF(ISERROR(getgrade(Broadsheet!AC198,data!$H$4:$I$9)),"#",getgrade(Broadsheet!AC198,data!$H$4:$I$9))</f>
        <v/>
      </c>
      <c r="BC87" s="188" t="str">
        <f>IF(ISERROR(getgrade(Broadsheet!AD198,data!$H$4:$I$9)),"#",getgrade(Broadsheet!AD198,data!$H$4:$I$9))</f>
        <v/>
      </c>
      <c r="BD87" s="188" t="str">
        <f>IF(ISERROR(getgrade(Broadsheet!AE198,data!$H$4:$I$9)),"#",getgrade(Broadsheet!AE198,data!$H$4:$I$9))</f>
        <v/>
      </c>
      <c r="BE87" s="188" t="str">
        <f>IF(ISERROR(getgrade(Broadsheet!AF198,data!$H$4:$I$9)),"#",getgrade(Broadsheet!AF198,data!$H$4:$I$9))</f>
        <v/>
      </c>
      <c r="BF87" s="188" t="str">
        <f>IF(ISERROR(getgrade(Broadsheet!AG198,data!$H$4:$I$9)),"#",getgrade(Broadsheet!AG198,data!$H$4:$I$9))</f>
        <v/>
      </c>
      <c r="BG87" s="188" t="str">
        <f>IF(ISERROR(getgrade(Broadsheet!AH198,data!$H$4:$I$9)),"#",getgrade(Broadsheet!AH198,data!$H$4:$I$9))</f>
        <v/>
      </c>
      <c r="BH87" s="188" t="str">
        <f>IF(ISERROR(getgrade(Broadsheet!AI198,data!$H$4:$I$9)),"#",getgrade(Broadsheet!AI198,data!$H$4:$I$9))</f>
        <v/>
      </c>
      <c r="BI87" s="188" t="str">
        <f>IF(ISERROR(getgrade(Broadsheet!AJ198,data!$H$4:$I$9)),"#",getgrade(Broadsheet!AJ198,data!$H$4:$I$9))</f>
        <v/>
      </c>
      <c r="BJ87" s="188" t="str">
        <f>IF(ISERROR(getgrade(Broadsheet!AK198,data!$H$4:$I$9)),"#",getgrade(Broadsheet!AK198,data!$H$4:$I$9))</f>
        <v/>
      </c>
      <c r="BK87" s="188" t="str">
        <f>IF(ISERROR(getgrade(Broadsheet!AL198,data!$H$4:$I$9)),"#",getgrade(Broadsheet!AL198,data!$H$4:$I$9))</f>
        <v/>
      </c>
      <c r="BL87" s="188" t="str">
        <f>IF(ISERROR(getgrade(Broadsheet!AM198,data!$H$4:$I$9)),"#",getgrade(Broadsheet!AM198,data!$H$4:$I$9))</f>
        <v/>
      </c>
      <c r="BM87" s="188" t="str">
        <f>IF(ISERROR(getgrade(Broadsheet!AN198,data!$H$4:$I$9)),"#",getgrade(Broadsheet!AN198,data!$H$4:$I$9))</f>
        <v/>
      </c>
      <c r="BN87" s="188" t="str">
        <f>IF(ISERROR(getgrade(Broadsheet!AO198,data!$H$4:$I$9)),"#",getgrade(Broadsheet!AO198,data!$H$4:$I$9))</f>
        <v/>
      </c>
      <c r="BO87" s="188" t="str">
        <f>IF(ISERROR(getgrade(Broadsheet!AP198,data!$H$4:$I$9)),"#",getgrade(Broadsheet!AP198,data!$H$4:$I$9))</f>
        <v/>
      </c>
      <c r="BP87" s="188" t="str">
        <f>IF(ISERROR(getgrade(Broadsheet!AQ198,data!$H$4:$I$9)),"#",getgrade(Broadsheet!AQ198,data!$H$4:$I$9))</f>
        <v/>
      </c>
      <c r="BQ87" s="188" t="str">
        <f>IF(ISERROR(getgrade(Broadsheet!AR198,data!$H$4:$I$9)),"#",getgrade(Broadsheet!AR198,data!$H$4:$I$9))</f>
        <v/>
      </c>
      <c r="BR87" s="188" t="str">
        <f>IF(ISERROR(getgrade(Broadsheet!AS198,data!$H$4:$I$9)),"#",getgrade(Broadsheet!AS198,data!$H$4:$I$9))</f>
        <v/>
      </c>
      <c r="BS87" s="188" t="str">
        <f>IF(ISERROR(getgrade(Broadsheet!AT198,data!$H$4:$I$9)),"#",getgrade(Broadsheet!AT198,data!$H$4:$I$9))</f>
        <v/>
      </c>
      <c r="BT87" s="188" t="str">
        <f>IF(ISERROR(getgrade(Broadsheet!AU198,data!$H$4:$I$9)),"#",getgrade(Broadsheet!AU198,data!$H$4:$I$9))</f>
        <v/>
      </c>
      <c r="BU87" s="188" t="str">
        <f>IF(ISERROR(getgrade(Broadsheet!AV198,data!$H$4:$I$9)),"#",getgrade(Broadsheet!AV198,data!$H$4:$I$9))</f>
        <v/>
      </c>
      <c r="BV87" s="188" t="str">
        <f>IF(ISERROR(getgrade(Broadsheet!AW198,data!$H$4:$I$9)),"#",getgrade(Broadsheet!AW198,data!$H$4:$I$9))</f>
        <v/>
      </c>
      <c r="BW87" s="188" t="str">
        <f>IF(ISERROR(getgrade(Broadsheet!AX198,data!$H$4:$I$9)),"#",getgrade(Broadsheet!AX198,data!$H$4:$I$9))</f>
        <v/>
      </c>
      <c r="BX87" s="188" t="str">
        <f>IF(ISERROR(getgrade(Broadsheet!AY198,data!$H$4:$I$9)),"#",getgrade(Broadsheet!AY198,data!$H$4:$I$9))</f>
        <v/>
      </c>
      <c r="BY87" s="188" t="str">
        <f>IF(ISERROR(getgrade(Broadsheet!AZ198,data!$H$4:$I$9)),"#",getgrade(Broadsheet!AZ198,data!$H$4:$I$9))</f>
        <v/>
      </c>
      <c r="BZ87" s="188" t="str">
        <f>IF(ISERROR(getgrade(Broadsheet!BA198,data!$H$4:$I$9)),"#",getgrade(Broadsheet!BA198,data!$H$4:$I$9))</f>
        <v/>
      </c>
      <c r="CA87" s="188" t="str">
        <f>IF(ISERROR(getgrade(Broadsheet!BB198,data!$H$4:$I$9)),"#",getgrade(Broadsheet!BB198,data!$H$4:$I$9))</f>
        <v/>
      </c>
      <c r="CB87" s="188" t="str">
        <f>IF(ISERROR(getgrade(Broadsheet!BC198,data!$H$4:$I$9)),"#",getgrade(Broadsheet!BC198,data!$H$4:$I$9))</f>
        <v/>
      </c>
      <c r="CC87" s="188" t="str">
        <f>IF(ISERROR(getgrade(Broadsheet!BD198,data!$H$4:$I$9)),"#",getgrade(Broadsheet!BD198,data!$H$4:$I$9))</f>
        <v/>
      </c>
      <c r="CD87" s="188" t="str">
        <f>IF(ISERROR(getgrade(Broadsheet!BE198,data!$H$4:$I$9)),"#",getgrade(Broadsheet!BE198,data!$H$4:$I$9))</f>
        <v/>
      </c>
      <c r="CE87" s="188" t="str">
        <f>IF(ISERROR(getgrade(Broadsheet!BF198,data!$H$4:$I$9)),"#",getgrade(Broadsheet!BF198,data!$H$4:$I$9))</f>
        <v/>
      </c>
      <c r="CF87" s="188" t="str">
        <f>IF(ISERROR(getgrade(Broadsheet!BG198,data!$H$4:$I$9)),"#",getgrade(Broadsheet!BG198,data!$H$4:$I$9))</f>
        <v/>
      </c>
      <c r="CG87" s="188" t="str">
        <f>IF(ISERROR(getgrade(Broadsheet!BH198,data!$H$4:$I$9)),"#",getgrade(Broadsheet!BH198,data!$H$4:$I$9))</f>
        <v/>
      </c>
      <c r="CH87" s="188" t="str">
        <f>IF(ISERROR(getgrade(Broadsheet!BI198,data!$H$4:$I$9)),"#",getgrade(Broadsheet!BI198,data!$H$4:$I$9))</f>
        <v/>
      </c>
      <c r="CI87" s="188" t="str">
        <f>IF(ISERROR(getgrade(Broadsheet!BJ198,data!$H$4:$I$9)),"#",getgrade(Broadsheet!BJ198,data!$H$4:$I$9))</f>
        <v/>
      </c>
      <c r="CJ87" s="188"/>
      <c r="CK87" s="188"/>
      <c r="CL87" s="188"/>
      <c r="CM87" s="188"/>
      <c r="CN87" s="188"/>
      <c r="CO87" s="188"/>
      <c r="CP87" s="188"/>
      <c r="CQ87" s="188"/>
      <c r="CR87" s="188"/>
      <c r="CS87" s="188"/>
      <c r="CT87" s="188"/>
      <c r="CU87" s="188"/>
      <c r="CV87" s="188"/>
      <c r="CW87" s="188"/>
      <c r="CX87" s="188"/>
      <c r="CY87" s="188"/>
      <c r="CZ87" s="188"/>
      <c r="DA87" s="188"/>
      <c r="DB87" s="188"/>
      <c r="DC87" s="188"/>
      <c r="DD87" s="188"/>
      <c r="DE87" s="188"/>
      <c r="DF87" s="188"/>
      <c r="DG87" s="188"/>
      <c r="DH87" s="188"/>
      <c r="DI87" s="188"/>
      <c r="DJ87" s="188"/>
      <c r="DK87" s="188"/>
      <c r="DL87" s="188"/>
      <c r="DM87" s="188"/>
      <c r="DN87" s="188"/>
      <c r="DO87" s="188"/>
      <c r="DP87" s="188"/>
      <c r="DQ87" s="188"/>
      <c r="DR87" s="188"/>
      <c r="DS87" s="188"/>
      <c r="DT87" s="188"/>
      <c r="DU87" s="188"/>
      <c r="DV87" s="188"/>
      <c r="DW87" s="188"/>
      <c r="DX87" s="188"/>
      <c r="DY87" s="188"/>
      <c r="DZ87" s="188"/>
      <c r="EA87" s="188"/>
      <c r="EB87" s="188"/>
      <c r="EC87" s="188"/>
      <c r="ED87" s="188"/>
      <c r="EE87" s="188"/>
      <c r="EF87" s="188"/>
      <c r="EG87" s="188"/>
      <c r="EH87" s="188"/>
      <c r="EI87" s="188"/>
      <c r="EJ87" s="188"/>
      <c r="EK87" s="188"/>
      <c r="EL87" s="188"/>
      <c r="EM87" s="188"/>
      <c r="EN87" s="188"/>
      <c r="EO87" s="188"/>
      <c r="EP87" s="188"/>
      <c r="EQ87" s="188"/>
      <c r="ER87" s="188"/>
      <c r="ES87" s="188"/>
      <c r="ET87" s="188"/>
      <c r="EU87" s="188"/>
      <c r="EV87" s="188"/>
      <c r="EW87" s="188"/>
      <c r="EX87" s="188"/>
      <c r="EY87" s="188"/>
      <c r="EZ87" s="188"/>
    </row>
    <row r="88" spans="33:156" x14ac:dyDescent="0.2">
      <c r="AG88" s="188" t="str">
        <f>IF(ISERROR(getgrade(Broadsheet!H199,data!$H$4:$I$9)),"#",getgrade(Broadsheet!H199,data!$H$4:$I$9))</f>
        <v/>
      </c>
      <c r="AH88" s="188" t="str">
        <f>IF(ISERROR(getgrade(Broadsheet!I199,data!$H$4:$I$9)),"#",getgrade(Broadsheet!I199,data!$H$4:$I$9))</f>
        <v/>
      </c>
      <c r="AI88" s="188" t="str">
        <f>IF(ISERROR(getgrade(Broadsheet!J199,data!$H$4:$I$9)),"#",getgrade(Broadsheet!J199,data!$H$4:$I$9))</f>
        <v/>
      </c>
      <c r="AJ88" s="188" t="str">
        <f>IF(ISERROR(getgrade(Broadsheet!K199,data!$H$4:$I$9)),"#",getgrade(Broadsheet!K199,data!$H$4:$I$9))</f>
        <v/>
      </c>
      <c r="AK88" s="188" t="str">
        <f>IF(ISERROR(getgrade(Broadsheet!L199,data!$H$4:$I$9)),"#",getgrade(Broadsheet!L199,data!$H$4:$I$9))</f>
        <v/>
      </c>
      <c r="AL88" s="188" t="str">
        <f>IF(ISERROR(getgrade(Broadsheet!M199,data!$H$4:$I$9)),"#",getgrade(Broadsheet!M199,data!$H$4:$I$9))</f>
        <v/>
      </c>
      <c r="AM88" s="188" t="str">
        <f>IF(ISERROR(getgrade(Broadsheet!N199,data!$H$4:$I$9)),"#",getgrade(Broadsheet!N199,data!$H$4:$I$9))</f>
        <v/>
      </c>
      <c r="AN88" s="188" t="str">
        <f>IF(ISERROR(getgrade(Broadsheet!O199,data!$H$4:$I$9)),"#",getgrade(Broadsheet!O199,data!$H$4:$I$9))</f>
        <v/>
      </c>
      <c r="AO88" s="188" t="str">
        <f>IF(ISERROR(getgrade(Broadsheet!P199,data!$H$4:$I$9)),"#",getgrade(Broadsheet!P199,data!$H$4:$I$9))</f>
        <v/>
      </c>
      <c r="AP88" s="188" t="str">
        <f>IF(ISERROR(getgrade(Broadsheet!Q199,data!$H$4:$I$9)),"#",getgrade(Broadsheet!Q199,data!$H$4:$I$9))</f>
        <v/>
      </c>
      <c r="AQ88" s="188" t="str">
        <f>IF(ISERROR(getgrade(Broadsheet!R199,data!$H$4:$I$9)),"#",getgrade(Broadsheet!R199,data!$H$4:$I$9))</f>
        <v/>
      </c>
      <c r="AR88" s="188" t="str">
        <f>IF(ISERROR(getgrade(Broadsheet!S199,data!$H$4:$I$9)),"#",getgrade(Broadsheet!S199,data!$H$4:$I$9))</f>
        <v/>
      </c>
      <c r="AS88" s="188" t="str">
        <f>IF(ISERROR(getgrade(Broadsheet!T199,data!$H$4:$I$9)),"#",getgrade(Broadsheet!T199,data!$H$4:$I$9))</f>
        <v/>
      </c>
      <c r="AT88" s="188" t="str">
        <f>IF(ISERROR(getgrade(Broadsheet!U199,data!$H$4:$I$9)),"#",getgrade(Broadsheet!U199,data!$H$4:$I$9))</f>
        <v/>
      </c>
      <c r="AU88" s="188" t="str">
        <f>IF(ISERROR(getgrade(Broadsheet!V199,data!$H$4:$I$9)),"#",getgrade(Broadsheet!V199,data!$H$4:$I$9))</f>
        <v/>
      </c>
      <c r="AV88" s="188" t="str">
        <f>IF(ISERROR(getgrade(Broadsheet!W199,data!$H$4:$I$9)),"#",getgrade(Broadsheet!W199,data!$H$4:$I$9))</f>
        <v/>
      </c>
      <c r="AW88" s="188" t="str">
        <f>IF(ISERROR(getgrade(Broadsheet!X199,data!$H$4:$I$9)),"#",getgrade(Broadsheet!X199,data!$H$4:$I$9))</f>
        <v/>
      </c>
      <c r="AX88" s="188" t="str">
        <f>IF(ISERROR(getgrade(Broadsheet!Y199,data!$H$4:$I$9)),"#",getgrade(Broadsheet!Y199,data!$H$4:$I$9))</f>
        <v/>
      </c>
      <c r="AY88" s="188" t="str">
        <f>IF(ISERROR(getgrade(Broadsheet!Z199,data!$H$4:$I$9)),"#",getgrade(Broadsheet!Z199,data!$H$4:$I$9))</f>
        <v/>
      </c>
      <c r="AZ88" s="188" t="str">
        <f>IF(ISERROR(getgrade(Broadsheet!AA199,data!$H$4:$I$9)),"#",getgrade(Broadsheet!AA199,data!$H$4:$I$9))</f>
        <v/>
      </c>
      <c r="BA88" s="188" t="str">
        <f>IF(ISERROR(getgrade(Broadsheet!AB199,data!$H$4:$I$9)),"#",getgrade(Broadsheet!AB199,data!$H$4:$I$9))</f>
        <v/>
      </c>
      <c r="BB88" s="188" t="str">
        <f>IF(ISERROR(getgrade(Broadsheet!AC199,data!$H$4:$I$9)),"#",getgrade(Broadsheet!AC199,data!$H$4:$I$9))</f>
        <v/>
      </c>
      <c r="BC88" s="188" t="str">
        <f>IF(ISERROR(getgrade(Broadsheet!AD199,data!$H$4:$I$9)),"#",getgrade(Broadsheet!AD199,data!$H$4:$I$9))</f>
        <v/>
      </c>
      <c r="BD88" s="188" t="str">
        <f>IF(ISERROR(getgrade(Broadsheet!AE199,data!$H$4:$I$9)),"#",getgrade(Broadsheet!AE199,data!$H$4:$I$9))</f>
        <v/>
      </c>
      <c r="BE88" s="188" t="str">
        <f>IF(ISERROR(getgrade(Broadsheet!AF199,data!$H$4:$I$9)),"#",getgrade(Broadsheet!AF199,data!$H$4:$I$9))</f>
        <v/>
      </c>
      <c r="BF88" s="188" t="str">
        <f>IF(ISERROR(getgrade(Broadsheet!AG199,data!$H$4:$I$9)),"#",getgrade(Broadsheet!AG199,data!$H$4:$I$9))</f>
        <v/>
      </c>
      <c r="BG88" s="188" t="str">
        <f>IF(ISERROR(getgrade(Broadsheet!AH199,data!$H$4:$I$9)),"#",getgrade(Broadsheet!AH199,data!$H$4:$I$9))</f>
        <v/>
      </c>
      <c r="BH88" s="188" t="str">
        <f>IF(ISERROR(getgrade(Broadsheet!AI199,data!$H$4:$I$9)),"#",getgrade(Broadsheet!AI199,data!$H$4:$I$9))</f>
        <v/>
      </c>
      <c r="BI88" s="188" t="str">
        <f>IF(ISERROR(getgrade(Broadsheet!AJ199,data!$H$4:$I$9)),"#",getgrade(Broadsheet!AJ199,data!$H$4:$I$9))</f>
        <v/>
      </c>
      <c r="BJ88" s="188" t="str">
        <f>IF(ISERROR(getgrade(Broadsheet!AK199,data!$H$4:$I$9)),"#",getgrade(Broadsheet!AK199,data!$H$4:$I$9))</f>
        <v/>
      </c>
      <c r="BK88" s="188" t="str">
        <f>IF(ISERROR(getgrade(Broadsheet!AL199,data!$H$4:$I$9)),"#",getgrade(Broadsheet!AL199,data!$H$4:$I$9))</f>
        <v/>
      </c>
      <c r="BL88" s="188" t="str">
        <f>IF(ISERROR(getgrade(Broadsheet!AM199,data!$H$4:$I$9)),"#",getgrade(Broadsheet!AM199,data!$H$4:$I$9))</f>
        <v/>
      </c>
      <c r="BM88" s="188" t="str">
        <f>IF(ISERROR(getgrade(Broadsheet!AN199,data!$H$4:$I$9)),"#",getgrade(Broadsheet!AN199,data!$H$4:$I$9))</f>
        <v/>
      </c>
      <c r="BN88" s="188" t="str">
        <f>IF(ISERROR(getgrade(Broadsheet!AO199,data!$H$4:$I$9)),"#",getgrade(Broadsheet!AO199,data!$H$4:$I$9))</f>
        <v/>
      </c>
      <c r="BO88" s="188" t="str">
        <f>IF(ISERROR(getgrade(Broadsheet!AP199,data!$H$4:$I$9)),"#",getgrade(Broadsheet!AP199,data!$H$4:$I$9))</f>
        <v/>
      </c>
      <c r="BP88" s="188" t="str">
        <f>IF(ISERROR(getgrade(Broadsheet!AQ199,data!$H$4:$I$9)),"#",getgrade(Broadsheet!AQ199,data!$H$4:$I$9))</f>
        <v/>
      </c>
      <c r="BQ88" s="188" t="str">
        <f>IF(ISERROR(getgrade(Broadsheet!AR199,data!$H$4:$I$9)),"#",getgrade(Broadsheet!AR199,data!$H$4:$I$9))</f>
        <v/>
      </c>
      <c r="BR88" s="188" t="str">
        <f>IF(ISERROR(getgrade(Broadsheet!AS199,data!$H$4:$I$9)),"#",getgrade(Broadsheet!AS199,data!$H$4:$I$9))</f>
        <v/>
      </c>
      <c r="BS88" s="188" t="str">
        <f>IF(ISERROR(getgrade(Broadsheet!AT199,data!$H$4:$I$9)),"#",getgrade(Broadsheet!AT199,data!$H$4:$I$9))</f>
        <v/>
      </c>
      <c r="BT88" s="188" t="str">
        <f>IF(ISERROR(getgrade(Broadsheet!AU199,data!$H$4:$I$9)),"#",getgrade(Broadsheet!AU199,data!$H$4:$I$9))</f>
        <v/>
      </c>
      <c r="BU88" s="188" t="str">
        <f>IF(ISERROR(getgrade(Broadsheet!AV199,data!$H$4:$I$9)),"#",getgrade(Broadsheet!AV199,data!$H$4:$I$9))</f>
        <v/>
      </c>
      <c r="BV88" s="188" t="str">
        <f>IF(ISERROR(getgrade(Broadsheet!AW199,data!$H$4:$I$9)),"#",getgrade(Broadsheet!AW199,data!$H$4:$I$9))</f>
        <v/>
      </c>
      <c r="BW88" s="188" t="str">
        <f>IF(ISERROR(getgrade(Broadsheet!AX199,data!$H$4:$I$9)),"#",getgrade(Broadsheet!AX199,data!$H$4:$I$9))</f>
        <v/>
      </c>
      <c r="BX88" s="188" t="str">
        <f>IF(ISERROR(getgrade(Broadsheet!AY199,data!$H$4:$I$9)),"#",getgrade(Broadsheet!AY199,data!$H$4:$I$9))</f>
        <v/>
      </c>
      <c r="BY88" s="188" t="str">
        <f>IF(ISERROR(getgrade(Broadsheet!AZ199,data!$H$4:$I$9)),"#",getgrade(Broadsheet!AZ199,data!$H$4:$I$9))</f>
        <v/>
      </c>
      <c r="BZ88" s="188" t="str">
        <f>IF(ISERROR(getgrade(Broadsheet!BA199,data!$H$4:$I$9)),"#",getgrade(Broadsheet!BA199,data!$H$4:$I$9))</f>
        <v/>
      </c>
      <c r="CA88" s="188" t="str">
        <f>IF(ISERROR(getgrade(Broadsheet!BB199,data!$H$4:$I$9)),"#",getgrade(Broadsheet!BB199,data!$H$4:$I$9))</f>
        <v/>
      </c>
      <c r="CB88" s="188" t="str">
        <f>IF(ISERROR(getgrade(Broadsheet!BC199,data!$H$4:$I$9)),"#",getgrade(Broadsheet!BC199,data!$H$4:$I$9))</f>
        <v/>
      </c>
      <c r="CC88" s="188" t="str">
        <f>IF(ISERROR(getgrade(Broadsheet!BD199,data!$H$4:$I$9)),"#",getgrade(Broadsheet!BD199,data!$H$4:$I$9))</f>
        <v/>
      </c>
      <c r="CD88" s="188" t="str">
        <f>IF(ISERROR(getgrade(Broadsheet!BE199,data!$H$4:$I$9)),"#",getgrade(Broadsheet!BE199,data!$H$4:$I$9))</f>
        <v/>
      </c>
      <c r="CE88" s="188" t="str">
        <f>IF(ISERROR(getgrade(Broadsheet!BF199,data!$H$4:$I$9)),"#",getgrade(Broadsheet!BF199,data!$H$4:$I$9))</f>
        <v/>
      </c>
      <c r="CF88" s="188" t="str">
        <f>IF(ISERROR(getgrade(Broadsheet!BG199,data!$H$4:$I$9)),"#",getgrade(Broadsheet!BG199,data!$H$4:$I$9))</f>
        <v/>
      </c>
      <c r="CG88" s="188" t="str">
        <f>IF(ISERROR(getgrade(Broadsheet!BH199,data!$H$4:$I$9)),"#",getgrade(Broadsheet!BH199,data!$H$4:$I$9))</f>
        <v/>
      </c>
      <c r="CH88" s="188" t="str">
        <f>IF(ISERROR(getgrade(Broadsheet!BI199,data!$H$4:$I$9)),"#",getgrade(Broadsheet!BI199,data!$H$4:$I$9))</f>
        <v/>
      </c>
      <c r="CI88" s="188" t="str">
        <f>IF(ISERROR(getgrade(Broadsheet!BJ199,data!$H$4:$I$9)),"#",getgrade(Broadsheet!BJ199,data!$H$4:$I$9))</f>
        <v/>
      </c>
      <c r="CJ88" s="188"/>
      <c r="CK88" s="188"/>
      <c r="CL88" s="188"/>
      <c r="CM88" s="188"/>
      <c r="CN88" s="188"/>
      <c r="CO88" s="188"/>
      <c r="CP88" s="188"/>
      <c r="CQ88" s="188"/>
      <c r="CR88" s="188"/>
      <c r="CS88" s="188"/>
      <c r="CT88" s="188"/>
      <c r="CU88" s="188"/>
      <c r="CV88" s="188"/>
      <c r="CW88" s="188"/>
      <c r="CX88" s="188"/>
      <c r="CY88" s="188"/>
      <c r="CZ88" s="188"/>
      <c r="DA88" s="188"/>
      <c r="DB88" s="188"/>
      <c r="DC88" s="188"/>
      <c r="DD88" s="188"/>
      <c r="DE88" s="188"/>
      <c r="DF88" s="188"/>
      <c r="DG88" s="188"/>
      <c r="DH88" s="188"/>
      <c r="DI88" s="188"/>
      <c r="DJ88" s="188"/>
      <c r="DK88" s="188"/>
      <c r="DL88" s="188"/>
      <c r="DM88" s="188"/>
      <c r="DN88" s="188"/>
      <c r="DO88" s="188"/>
      <c r="DP88" s="188"/>
      <c r="DQ88" s="188"/>
      <c r="DR88" s="188"/>
      <c r="DS88" s="188"/>
      <c r="DT88" s="188"/>
      <c r="DU88" s="188"/>
      <c r="DV88" s="188"/>
      <c r="DW88" s="188"/>
      <c r="DX88" s="188"/>
      <c r="DY88" s="188"/>
      <c r="DZ88" s="188"/>
      <c r="EA88" s="188"/>
      <c r="EB88" s="188"/>
      <c r="EC88" s="188"/>
      <c r="ED88" s="188"/>
      <c r="EE88" s="188"/>
      <c r="EF88" s="188"/>
      <c r="EG88" s="188"/>
      <c r="EH88" s="188"/>
      <c r="EI88" s="188"/>
      <c r="EJ88" s="188"/>
      <c r="EK88" s="188"/>
      <c r="EL88" s="188"/>
      <c r="EM88" s="188"/>
      <c r="EN88" s="188"/>
      <c r="EO88" s="188"/>
      <c r="EP88" s="188"/>
      <c r="EQ88" s="188"/>
      <c r="ER88" s="188"/>
      <c r="ES88" s="188"/>
      <c r="ET88" s="188"/>
      <c r="EU88" s="188"/>
      <c r="EV88" s="188"/>
      <c r="EW88" s="188"/>
      <c r="EX88" s="188"/>
      <c r="EY88" s="188"/>
      <c r="EZ88" s="188"/>
    </row>
    <row r="89" spans="33:156" x14ac:dyDescent="0.2">
      <c r="AG89" s="188" t="str">
        <f>IF(ISERROR(getgrade(Broadsheet!H200,data!$H$4:$I$9)),"#",getgrade(Broadsheet!H200,data!$H$4:$I$9))</f>
        <v/>
      </c>
      <c r="AH89" s="188" t="str">
        <f>IF(ISERROR(getgrade(Broadsheet!I200,data!$H$4:$I$9)),"#",getgrade(Broadsheet!I200,data!$H$4:$I$9))</f>
        <v/>
      </c>
      <c r="AI89" s="188" t="str">
        <f>IF(ISERROR(getgrade(Broadsheet!J200,data!$H$4:$I$9)),"#",getgrade(Broadsheet!J200,data!$H$4:$I$9))</f>
        <v/>
      </c>
      <c r="AJ89" s="188" t="str">
        <f>IF(ISERROR(getgrade(Broadsheet!K200,data!$H$4:$I$9)),"#",getgrade(Broadsheet!K200,data!$H$4:$I$9))</f>
        <v/>
      </c>
      <c r="AK89" s="188" t="str">
        <f>IF(ISERROR(getgrade(Broadsheet!L200,data!$H$4:$I$9)),"#",getgrade(Broadsheet!L200,data!$H$4:$I$9))</f>
        <v/>
      </c>
      <c r="AL89" s="188" t="str">
        <f>IF(ISERROR(getgrade(Broadsheet!M200,data!$H$4:$I$9)),"#",getgrade(Broadsheet!M200,data!$H$4:$I$9))</f>
        <v/>
      </c>
      <c r="AM89" s="188" t="str">
        <f>IF(ISERROR(getgrade(Broadsheet!N200,data!$H$4:$I$9)),"#",getgrade(Broadsheet!N200,data!$H$4:$I$9))</f>
        <v/>
      </c>
      <c r="AN89" s="188" t="str">
        <f>IF(ISERROR(getgrade(Broadsheet!O200,data!$H$4:$I$9)),"#",getgrade(Broadsheet!O200,data!$H$4:$I$9))</f>
        <v/>
      </c>
      <c r="AO89" s="188" t="str">
        <f>IF(ISERROR(getgrade(Broadsheet!P200,data!$H$4:$I$9)),"#",getgrade(Broadsheet!P200,data!$H$4:$I$9))</f>
        <v/>
      </c>
      <c r="AP89" s="188" t="str">
        <f>IF(ISERROR(getgrade(Broadsheet!Q200,data!$H$4:$I$9)),"#",getgrade(Broadsheet!Q200,data!$H$4:$I$9))</f>
        <v/>
      </c>
      <c r="AQ89" s="188" t="str">
        <f>IF(ISERROR(getgrade(Broadsheet!R200,data!$H$4:$I$9)),"#",getgrade(Broadsheet!R200,data!$H$4:$I$9))</f>
        <v/>
      </c>
      <c r="AR89" s="188" t="str">
        <f>IF(ISERROR(getgrade(Broadsheet!S200,data!$H$4:$I$9)),"#",getgrade(Broadsheet!S200,data!$H$4:$I$9))</f>
        <v/>
      </c>
      <c r="AS89" s="188" t="str">
        <f>IF(ISERROR(getgrade(Broadsheet!T200,data!$H$4:$I$9)),"#",getgrade(Broadsheet!T200,data!$H$4:$I$9))</f>
        <v/>
      </c>
      <c r="AT89" s="188" t="str">
        <f>IF(ISERROR(getgrade(Broadsheet!U200,data!$H$4:$I$9)),"#",getgrade(Broadsheet!U200,data!$H$4:$I$9))</f>
        <v/>
      </c>
      <c r="AU89" s="188" t="str">
        <f>IF(ISERROR(getgrade(Broadsheet!V200,data!$H$4:$I$9)),"#",getgrade(Broadsheet!V200,data!$H$4:$I$9))</f>
        <v/>
      </c>
      <c r="AV89" s="188" t="str">
        <f>IF(ISERROR(getgrade(Broadsheet!W200,data!$H$4:$I$9)),"#",getgrade(Broadsheet!W200,data!$H$4:$I$9))</f>
        <v/>
      </c>
      <c r="AW89" s="188" t="str">
        <f>IF(ISERROR(getgrade(Broadsheet!X200,data!$H$4:$I$9)),"#",getgrade(Broadsheet!X200,data!$H$4:$I$9))</f>
        <v/>
      </c>
      <c r="AX89" s="188" t="str">
        <f>IF(ISERROR(getgrade(Broadsheet!Y200,data!$H$4:$I$9)),"#",getgrade(Broadsheet!Y200,data!$H$4:$I$9))</f>
        <v/>
      </c>
      <c r="AY89" s="188" t="str">
        <f>IF(ISERROR(getgrade(Broadsheet!Z200,data!$H$4:$I$9)),"#",getgrade(Broadsheet!Z200,data!$H$4:$I$9))</f>
        <v/>
      </c>
      <c r="AZ89" s="188" t="str">
        <f>IF(ISERROR(getgrade(Broadsheet!AA200,data!$H$4:$I$9)),"#",getgrade(Broadsheet!AA200,data!$H$4:$I$9))</f>
        <v/>
      </c>
      <c r="BA89" s="188" t="str">
        <f>IF(ISERROR(getgrade(Broadsheet!AB200,data!$H$4:$I$9)),"#",getgrade(Broadsheet!AB200,data!$H$4:$I$9))</f>
        <v/>
      </c>
      <c r="BB89" s="188" t="str">
        <f>IF(ISERROR(getgrade(Broadsheet!AC200,data!$H$4:$I$9)),"#",getgrade(Broadsheet!AC200,data!$H$4:$I$9))</f>
        <v/>
      </c>
      <c r="BC89" s="188" t="str">
        <f>IF(ISERROR(getgrade(Broadsheet!AD200,data!$H$4:$I$9)),"#",getgrade(Broadsheet!AD200,data!$H$4:$I$9))</f>
        <v/>
      </c>
      <c r="BD89" s="188" t="str">
        <f>IF(ISERROR(getgrade(Broadsheet!AE200,data!$H$4:$I$9)),"#",getgrade(Broadsheet!AE200,data!$H$4:$I$9))</f>
        <v/>
      </c>
      <c r="BE89" s="188" t="str">
        <f>IF(ISERROR(getgrade(Broadsheet!AF200,data!$H$4:$I$9)),"#",getgrade(Broadsheet!AF200,data!$H$4:$I$9))</f>
        <v/>
      </c>
      <c r="BF89" s="188" t="str">
        <f>IF(ISERROR(getgrade(Broadsheet!AG200,data!$H$4:$I$9)),"#",getgrade(Broadsheet!AG200,data!$H$4:$I$9))</f>
        <v/>
      </c>
      <c r="BG89" s="188" t="str">
        <f>IF(ISERROR(getgrade(Broadsheet!AH200,data!$H$4:$I$9)),"#",getgrade(Broadsheet!AH200,data!$H$4:$I$9))</f>
        <v/>
      </c>
      <c r="BH89" s="188" t="str">
        <f>IF(ISERROR(getgrade(Broadsheet!AI200,data!$H$4:$I$9)),"#",getgrade(Broadsheet!AI200,data!$H$4:$I$9))</f>
        <v/>
      </c>
      <c r="BI89" s="188" t="str">
        <f>IF(ISERROR(getgrade(Broadsheet!AJ200,data!$H$4:$I$9)),"#",getgrade(Broadsheet!AJ200,data!$H$4:$I$9))</f>
        <v/>
      </c>
      <c r="BJ89" s="188" t="str">
        <f>IF(ISERROR(getgrade(Broadsheet!AK200,data!$H$4:$I$9)),"#",getgrade(Broadsheet!AK200,data!$H$4:$I$9))</f>
        <v/>
      </c>
      <c r="BK89" s="188" t="str">
        <f>IF(ISERROR(getgrade(Broadsheet!AL200,data!$H$4:$I$9)),"#",getgrade(Broadsheet!AL200,data!$H$4:$I$9))</f>
        <v/>
      </c>
      <c r="BL89" s="188" t="str">
        <f>IF(ISERROR(getgrade(Broadsheet!AM200,data!$H$4:$I$9)),"#",getgrade(Broadsheet!AM200,data!$H$4:$I$9))</f>
        <v/>
      </c>
      <c r="BM89" s="188" t="str">
        <f>IF(ISERROR(getgrade(Broadsheet!AN200,data!$H$4:$I$9)),"#",getgrade(Broadsheet!AN200,data!$H$4:$I$9))</f>
        <v/>
      </c>
      <c r="BN89" s="188" t="str">
        <f>IF(ISERROR(getgrade(Broadsheet!AO200,data!$H$4:$I$9)),"#",getgrade(Broadsheet!AO200,data!$H$4:$I$9))</f>
        <v/>
      </c>
      <c r="BO89" s="188" t="str">
        <f>IF(ISERROR(getgrade(Broadsheet!AP200,data!$H$4:$I$9)),"#",getgrade(Broadsheet!AP200,data!$H$4:$I$9))</f>
        <v/>
      </c>
      <c r="BP89" s="188" t="str">
        <f>IF(ISERROR(getgrade(Broadsheet!AQ200,data!$H$4:$I$9)),"#",getgrade(Broadsheet!AQ200,data!$H$4:$I$9))</f>
        <v/>
      </c>
      <c r="BQ89" s="188" t="str">
        <f>IF(ISERROR(getgrade(Broadsheet!AR200,data!$H$4:$I$9)),"#",getgrade(Broadsheet!AR200,data!$H$4:$I$9))</f>
        <v/>
      </c>
      <c r="BR89" s="188" t="str">
        <f>IF(ISERROR(getgrade(Broadsheet!AS200,data!$H$4:$I$9)),"#",getgrade(Broadsheet!AS200,data!$H$4:$I$9))</f>
        <v/>
      </c>
      <c r="BS89" s="188" t="str">
        <f>IF(ISERROR(getgrade(Broadsheet!AT200,data!$H$4:$I$9)),"#",getgrade(Broadsheet!AT200,data!$H$4:$I$9))</f>
        <v/>
      </c>
      <c r="BT89" s="188" t="str">
        <f>IF(ISERROR(getgrade(Broadsheet!AU200,data!$H$4:$I$9)),"#",getgrade(Broadsheet!AU200,data!$H$4:$I$9))</f>
        <v/>
      </c>
      <c r="BU89" s="188" t="str">
        <f>IF(ISERROR(getgrade(Broadsheet!AV200,data!$H$4:$I$9)),"#",getgrade(Broadsheet!AV200,data!$H$4:$I$9))</f>
        <v/>
      </c>
      <c r="BV89" s="188" t="str">
        <f>IF(ISERROR(getgrade(Broadsheet!AW200,data!$H$4:$I$9)),"#",getgrade(Broadsheet!AW200,data!$H$4:$I$9))</f>
        <v/>
      </c>
      <c r="BW89" s="188" t="str">
        <f>IF(ISERROR(getgrade(Broadsheet!AX200,data!$H$4:$I$9)),"#",getgrade(Broadsheet!AX200,data!$H$4:$I$9))</f>
        <v/>
      </c>
      <c r="BX89" s="188" t="str">
        <f>IF(ISERROR(getgrade(Broadsheet!AY200,data!$H$4:$I$9)),"#",getgrade(Broadsheet!AY200,data!$H$4:$I$9))</f>
        <v/>
      </c>
      <c r="BY89" s="188" t="str">
        <f>IF(ISERROR(getgrade(Broadsheet!AZ200,data!$H$4:$I$9)),"#",getgrade(Broadsheet!AZ200,data!$H$4:$I$9))</f>
        <v/>
      </c>
      <c r="BZ89" s="188" t="str">
        <f>IF(ISERROR(getgrade(Broadsheet!BA200,data!$H$4:$I$9)),"#",getgrade(Broadsheet!BA200,data!$H$4:$I$9))</f>
        <v/>
      </c>
      <c r="CA89" s="188" t="str">
        <f>IF(ISERROR(getgrade(Broadsheet!BB200,data!$H$4:$I$9)),"#",getgrade(Broadsheet!BB200,data!$H$4:$I$9))</f>
        <v/>
      </c>
      <c r="CB89" s="188" t="str">
        <f>IF(ISERROR(getgrade(Broadsheet!BC200,data!$H$4:$I$9)),"#",getgrade(Broadsheet!BC200,data!$H$4:$I$9))</f>
        <v/>
      </c>
      <c r="CC89" s="188" t="str">
        <f>IF(ISERROR(getgrade(Broadsheet!BD200,data!$H$4:$I$9)),"#",getgrade(Broadsheet!BD200,data!$H$4:$I$9))</f>
        <v/>
      </c>
      <c r="CD89" s="188" t="str">
        <f>IF(ISERROR(getgrade(Broadsheet!BE200,data!$H$4:$I$9)),"#",getgrade(Broadsheet!BE200,data!$H$4:$I$9))</f>
        <v/>
      </c>
      <c r="CE89" s="188" t="str">
        <f>IF(ISERROR(getgrade(Broadsheet!BF200,data!$H$4:$I$9)),"#",getgrade(Broadsheet!BF200,data!$H$4:$I$9))</f>
        <v/>
      </c>
      <c r="CF89" s="188" t="str">
        <f>IF(ISERROR(getgrade(Broadsheet!BG200,data!$H$4:$I$9)),"#",getgrade(Broadsheet!BG200,data!$H$4:$I$9))</f>
        <v/>
      </c>
      <c r="CG89" s="188" t="str">
        <f>IF(ISERROR(getgrade(Broadsheet!BH200,data!$H$4:$I$9)),"#",getgrade(Broadsheet!BH200,data!$H$4:$I$9))</f>
        <v/>
      </c>
      <c r="CH89" s="188" t="str">
        <f>IF(ISERROR(getgrade(Broadsheet!BI200,data!$H$4:$I$9)),"#",getgrade(Broadsheet!BI200,data!$H$4:$I$9))</f>
        <v/>
      </c>
      <c r="CI89" s="188" t="str">
        <f>IF(ISERROR(getgrade(Broadsheet!BJ200,data!$H$4:$I$9)),"#",getgrade(Broadsheet!BJ200,data!$H$4:$I$9))</f>
        <v/>
      </c>
      <c r="CJ89" s="188"/>
      <c r="CK89" s="188"/>
      <c r="CL89" s="188"/>
      <c r="CM89" s="188"/>
      <c r="CN89" s="188"/>
      <c r="CO89" s="188"/>
      <c r="CP89" s="188"/>
      <c r="CQ89" s="188"/>
      <c r="CR89" s="188"/>
      <c r="CS89" s="188"/>
      <c r="CT89" s="188"/>
      <c r="CU89" s="188"/>
      <c r="CV89" s="188"/>
      <c r="CW89" s="188"/>
      <c r="CX89" s="188"/>
      <c r="CY89" s="188"/>
      <c r="CZ89" s="188"/>
      <c r="DA89" s="188"/>
      <c r="DB89" s="188"/>
      <c r="DC89" s="188"/>
      <c r="DD89" s="188"/>
      <c r="DE89" s="188"/>
      <c r="DF89" s="188"/>
      <c r="DG89" s="188"/>
      <c r="DH89" s="188"/>
      <c r="DI89" s="188"/>
      <c r="DJ89" s="188"/>
      <c r="DK89" s="188"/>
      <c r="DL89" s="188"/>
      <c r="DM89" s="188"/>
      <c r="DN89" s="188"/>
      <c r="DO89" s="188"/>
      <c r="DP89" s="188"/>
      <c r="DQ89" s="188"/>
      <c r="DR89" s="188"/>
      <c r="DS89" s="188"/>
      <c r="DT89" s="188"/>
      <c r="DU89" s="188"/>
      <c r="DV89" s="188"/>
      <c r="DW89" s="188"/>
      <c r="DX89" s="188"/>
      <c r="DY89" s="188"/>
      <c r="DZ89" s="188"/>
      <c r="EA89" s="188"/>
      <c r="EB89" s="188"/>
      <c r="EC89" s="188"/>
      <c r="ED89" s="188"/>
      <c r="EE89" s="188"/>
      <c r="EF89" s="188"/>
      <c r="EG89" s="188"/>
      <c r="EH89" s="188"/>
      <c r="EI89" s="188"/>
      <c r="EJ89" s="188"/>
      <c r="EK89" s="188"/>
      <c r="EL89" s="188"/>
      <c r="EM89" s="188"/>
      <c r="EN89" s="188"/>
      <c r="EO89" s="188"/>
      <c r="EP89" s="188"/>
      <c r="EQ89" s="188"/>
      <c r="ER89" s="188"/>
      <c r="ES89" s="188"/>
      <c r="ET89" s="188"/>
      <c r="EU89" s="188"/>
      <c r="EV89" s="188"/>
      <c r="EW89" s="188"/>
      <c r="EX89" s="188"/>
      <c r="EY89" s="188"/>
      <c r="EZ89" s="188"/>
    </row>
    <row r="90" spans="33:156" x14ac:dyDescent="0.2">
      <c r="AG90" s="188" t="str">
        <f>IF(ISERROR(getgrade(Broadsheet!H201,data!$H$4:$I$9)),"#",getgrade(Broadsheet!H201,data!$H$4:$I$9))</f>
        <v/>
      </c>
      <c r="AH90" s="188" t="str">
        <f>IF(ISERROR(getgrade(Broadsheet!I201,data!$H$4:$I$9)),"#",getgrade(Broadsheet!I201,data!$H$4:$I$9))</f>
        <v/>
      </c>
      <c r="AI90" s="188" t="str">
        <f>IF(ISERROR(getgrade(Broadsheet!J201,data!$H$4:$I$9)),"#",getgrade(Broadsheet!J201,data!$H$4:$I$9))</f>
        <v/>
      </c>
      <c r="AJ90" s="188" t="str">
        <f>IF(ISERROR(getgrade(Broadsheet!K201,data!$H$4:$I$9)),"#",getgrade(Broadsheet!K201,data!$H$4:$I$9))</f>
        <v/>
      </c>
      <c r="AK90" s="188" t="str">
        <f>IF(ISERROR(getgrade(Broadsheet!L201,data!$H$4:$I$9)),"#",getgrade(Broadsheet!L201,data!$H$4:$I$9))</f>
        <v/>
      </c>
      <c r="AL90" s="188" t="str">
        <f>IF(ISERROR(getgrade(Broadsheet!M201,data!$H$4:$I$9)),"#",getgrade(Broadsheet!M201,data!$H$4:$I$9))</f>
        <v/>
      </c>
      <c r="AM90" s="188" t="str">
        <f>IF(ISERROR(getgrade(Broadsheet!N201,data!$H$4:$I$9)),"#",getgrade(Broadsheet!N201,data!$H$4:$I$9))</f>
        <v/>
      </c>
      <c r="AN90" s="188" t="str">
        <f>IF(ISERROR(getgrade(Broadsheet!O201,data!$H$4:$I$9)),"#",getgrade(Broadsheet!O201,data!$H$4:$I$9))</f>
        <v/>
      </c>
      <c r="AO90" s="188" t="str">
        <f>IF(ISERROR(getgrade(Broadsheet!P201,data!$H$4:$I$9)),"#",getgrade(Broadsheet!P201,data!$H$4:$I$9))</f>
        <v/>
      </c>
      <c r="AP90" s="188" t="str">
        <f>IF(ISERROR(getgrade(Broadsheet!Q201,data!$H$4:$I$9)),"#",getgrade(Broadsheet!Q201,data!$H$4:$I$9))</f>
        <v/>
      </c>
      <c r="AQ90" s="188" t="str">
        <f>IF(ISERROR(getgrade(Broadsheet!R201,data!$H$4:$I$9)),"#",getgrade(Broadsheet!R201,data!$H$4:$I$9))</f>
        <v/>
      </c>
      <c r="AR90" s="188" t="str">
        <f>IF(ISERROR(getgrade(Broadsheet!S201,data!$H$4:$I$9)),"#",getgrade(Broadsheet!S201,data!$H$4:$I$9))</f>
        <v/>
      </c>
      <c r="AS90" s="188" t="str">
        <f>IF(ISERROR(getgrade(Broadsheet!T201,data!$H$4:$I$9)),"#",getgrade(Broadsheet!T201,data!$H$4:$I$9))</f>
        <v/>
      </c>
      <c r="AT90" s="188" t="str">
        <f>IF(ISERROR(getgrade(Broadsheet!U201,data!$H$4:$I$9)),"#",getgrade(Broadsheet!U201,data!$H$4:$I$9))</f>
        <v/>
      </c>
      <c r="AU90" s="188" t="str">
        <f>IF(ISERROR(getgrade(Broadsheet!V201,data!$H$4:$I$9)),"#",getgrade(Broadsheet!V201,data!$H$4:$I$9))</f>
        <v/>
      </c>
      <c r="AV90" s="188" t="str">
        <f>IF(ISERROR(getgrade(Broadsheet!W201,data!$H$4:$I$9)),"#",getgrade(Broadsheet!W201,data!$H$4:$I$9))</f>
        <v/>
      </c>
      <c r="AW90" s="188" t="str">
        <f>IF(ISERROR(getgrade(Broadsheet!X201,data!$H$4:$I$9)),"#",getgrade(Broadsheet!X201,data!$H$4:$I$9))</f>
        <v/>
      </c>
      <c r="AX90" s="188" t="str">
        <f>IF(ISERROR(getgrade(Broadsheet!Y201,data!$H$4:$I$9)),"#",getgrade(Broadsheet!Y201,data!$H$4:$I$9))</f>
        <v/>
      </c>
      <c r="AY90" s="188" t="str">
        <f>IF(ISERROR(getgrade(Broadsheet!Z201,data!$H$4:$I$9)),"#",getgrade(Broadsheet!Z201,data!$H$4:$I$9))</f>
        <v/>
      </c>
      <c r="AZ90" s="188" t="str">
        <f>IF(ISERROR(getgrade(Broadsheet!AA201,data!$H$4:$I$9)),"#",getgrade(Broadsheet!AA201,data!$H$4:$I$9))</f>
        <v/>
      </c>
      <c r="BA90" s="188" t="str">
        <f>IF(ISERROR(getgrade(Broadsheet!AB201,data!$H$4:$I$9)),"#",getgrade(Broadsheet!AB201,data!$H$4:$I$9))</f>
        <v/>
      </c>
      <c r="BB90" s="188" t="str">
        <f>IF(ISERROR(getgrade(Broadsheet!AC201,data!$H$4:$I$9)),"#",getgrade(Broadsheet!AC201,data!$H$4:$I$9))</f>
        <v/>
      </c>
      <c r="BC90" s="188" t="str">
        <f>IF(ISERROR(getgrade(Broadsheet!AD201,data!$H$4:$I$9)),"#",getgrade(Broadsheet!AD201,data!$H$4:$I$9))</f>
        <v/>
      </c>
      <c r="BD90" s="188" t="str">
        <f>IF(ISERROR(getgrade(Broadsheet!AE201,data!$H$4:$I$9)),"#",getgrade(Broadsheet!AE201,data!$H$4:$I$9))</f>
        <v/>
      </c>
      <c r="BE90" s="188" t="str">
        <f>IF(ISERROR(getgrade(Broadsheet!AF201,data!$H$4:$I$9)),"#",getgrade(Broadsheet!AF201,data!$H$4:$I$9))</f>
        <v/>
      </c>
      <c r="BF90" s="188" t="str">
        <f>IF(ISERROR(getgrade(Broadsheet!AG201,data!$H$4:$I$9)),"#",getgrade(Broadsheet!AG201,data!$H$4:$I$9))</f>
        <v/>
      </c>
      <c r="BG90" s="188" t="str">
        <f>IF(ISERROR(getgrade(Broadsheet!AH201,data!$H$4:$I$9)),"#",getgrade(Broadsheet!AH201,data!$H$4:$I$9))</f>
        <v/>
      </c>
      <c r="BH90" s="188" t="str">
        <f>IF(ISERROR(getgrade(Broadsheet!AI201,data!$H$4:$I$9)),"#",getgrade(Broadsheet!AI201,data!$H$4:$I$9))</f>
        <v/>
      </c>
      <c r="BI90" s="188" t="str">
        <f>IF(ISERROR(getgrade(Broadsheet!AJ201,data!$H$4:$I$9)),"#",getgrade(Broadsheet!AJ201,data!$H$4:$I$9))</f>
        <v/>
      </c>
      <c r="BJ90" s="188" t="str">
        <f>IF(ISERROR(getgrade(Broadsheet!AK201,data!$H$4:$I$9)),"#",getgrade(Broadsheet!AK201,data!$H$4:$I$9))</f>
        <v/>
      </c>
      <c r="BK90" s="188" t="str">
        <f>IF(ISERROR(getgrade(Broadsheet!AL201,data!$H$4:$I$9)),"#",getgrade(Broadsheet!AL201,data!$H$4:$I$9))</f>
        <v/>
      </c>
      <c r="BL90" s="188" t="str">
        <f>IF(ISERROR(getgrade(Broadsheet!AM201,data!$H$4:$I$9)),"#",getgrade(Broadsheet!AM201,data!$H$4:$I$9))</f>
        <v/>
      </c>
      <c r="BM90" s="188" t="str">
        <f>IF(ISERROR(getgrade(Broadsheet!AN201,data!$H$4:$I$9)),"#",getgrade(Broadsheet!AN201,data!$H$4:$I$9))</f>
        <v/>
      </c>
      <c r="BN90" s="188" t="str">
        <f>IF(ISERROR(getgrade(Broadsheet!AO201,data!$H$4:$I$9)),"#",getgrade(Broadsheet!AO201,data!$H$4:$I$9))</f>
        <v/>
      </c>
      <c r="BO90" s="188" t="str">
        <f>IF(ISERROR(getgrade(Broadsheet!AP201,data!$H$4:$I$9)),"#",getgrade(Broadsheet!AP201,data!$H$4:$I$9))</f>
        <v/>
      </c>
      <c r="BP90" s="188" t="str">
        <f>IF(ISERROR(getgrade(Broadsheet!AQ201,data!$H$4:$I$9)),"#",getgrade(Broadsheet!AQ201,data!$H$4:$I$9))</f>
        <v/>
      </c>
      <c r="BQ90" s="188" t="str">
        <f>IF(ISERROR(getgrade(Broadsheet!AR201,data!$H$4:$I$9)),"#",getgrade(Broadsheet!AR201,data!$H$4:$I$9))</f>
        <v/>
      </c>
      <c r="BR90" s="188" t="str">
        <f>IF(ISERROR(getgrade(Broadsheet!AS201,data!$H$4:$I$9)),"#",getgrade(Broadsheet!AS201,data!$H$4:$I$9))</f>
        <v/>
      </c>
      <c r="BS90" s="188" t="str">
        <f>IF(ISERROR(getgrade(Broadsheet!AT201,data!$H$4:$I$9)),"#",getgrade(Broadsheet!AT201,data!$H$4:$I$9))</f>
        <v/>
      </c>
      <c r="BT90" s="188" t="str">
        <f>IF(ISERROR(getgrade(Broadsheet!AU201,data!$H$4:$I$9)),"#",getgrade(Broadsheet!AU201,data!$H$4:$I$9))</f>
        <v/>
      </c>
      <c r="BU90" s="188" t="str">
        <f>IF(ISERROR(getgrade(Broadsheet!AV201,data!$H$4:$I$9)),"#",getgrade(Broadsheet!AV201,data!$H$4:$I$9))</f>
        <v/>
      </c>
      <c r="BV90" s="188" t="str">
        <f>IF(ISERROR(getgrade(Broadsheet!AW201,data!$H$4:$I$9)),"#",getgrade(Broadsheet!AW201,data!$H$4:$I$9))</f>
        <v/>
      </c>
      <c r="BW90" s="188" t="str">
        <f>IF(ISERROR(getgrade(Broadsheet!AX201,data!$H$4:$I$9)),"#",getgrade(Broadsheet!AX201,data!$H$4:$I$9))</f>
        <v/>
      </c>
      <c r="BX90" s="188" t="str">
        <f>IF(ISERROR(getgrade(Broadsheet!AY201,data!$H$4:$I$9)),"#",getgrade(Broadsheet!AY201,data!$H$4:$I$9))</f>
        <v/>
      </c>
      <c r="BY90" s="188" t="str">
        <f>IF(ISERROR(getgrade(Broadsheet!AZ201,data!$H$4:$I$9)),"#",getgrade(Broadsheet!AZ201,data!$H$4:$I$9))</f>
        <v/>
      </c>
      <c r="BZ90" s="188" t="str">
        <f>IF(ISERROR(getgrade(Broadsheet!BA201,data!$H$4:$I$9)),"#",getgrade(Broadsheet!BA201,data!$H$4:$I$9))</f>
        <v/>
      </c>
      <c r="CA90" s="188" t="str">
        <f>IF(ISERROR(getgrade(Broadsheet!BB201,data!$H$4:$I$9)),"#",getgrade(Broadsheet!BB201,data!$H$4:$I$9))</f>
        <v/>
      </c>
      <c r="CB90" s="188" t="str">
        <f>IF(ISERROR(getgrade(Broadsheet!BC201,data!$H$4:$I$9)),"#",getgrade(Broadsheet!BC201,data!$H$4:$I$9))</f>
        <v/>
      </c>
      <c r="CC90" s="188" t="str">
        <f>IF(ISERROR(getgrade(Broadsheet!BD201,data!$H$4:$I$9)),"#",getgrade(Broadsheet!BD201,data!$H$4:$I$9))</f>
        <v/>
      </c>
      <c r="CD90" s="188" t="str">
        <f>IF(ISERROR(getgrade(Broadsheet!BE201,data!$H$4:$I$9)),"#",getgrade(Broadsheet!BE201,data!$H$4:$I$9))</f>
        <v/>
      </c>
      <c r="CE90" s="188" t="str">
        <f>IF(ISERROR(getgrade(Broadsheet!BF201,data!$H$4:$I$9)),"#",getgrade(Broadsheet!BF201,data!$H$4:$I$9))</f>
        <v/>
      </c>
      <c r="CF90" s="188" t="str">
        <f>IF(ISERROR(getgrade(Broadsheet!BG201,data!$H$4:$I$9)),"#",getgrade(Broadsheet!BG201,data!$H$4:$I$9))</f>
        <v/>
      </c>
      <c r="CG90" s="188" t="str">
        <f>IF(ISERROR(getgrade(Broadsheet!BH201,data!$H$4:$I$9)),"#",getgrade(Broadsheet!BH201,data!$H$4:$I$9))</f>
        <v/>
      </c>
      <c r="CH90" s="188" t="str">
        <f>IF(ISERROR(getgrade(Broadsheet!BI201,data!$H$4:$I$9)),"#",getgrade(Broadsheet!BI201,data!$H$4:$I$9))</f>
        <v/>
      </c>
      <c r="CI90" s="188" t="str">
        <f>IF(ISERROR(getgrade(Broadsheet!BJ201,data!$H$4:$I$9)),"#",getgrade(Broadsheet!BJ201,data!$H$4:$I$9))</f>
        <v/>
      </c>
      <c r="CJ90" s="188"/>
      <c r="CK90" s="188"/>
      <c r="CL90" s="188"/>
      <c r="CM90" s="188"/>
      <c r="CN90" s="188"/>
      <c r="CO90" s="188"/>
      <c r="CP90" s="188"/>
      <c r="CQ90" s="188"/>
      <c r="CR90" s="188"/>
      <c r="CS90" s="188"/>
      <c r="CT90" s="188"/>
      <c r="CU90" s="188"/>
      <c r="CV90" s="188"/>
      <c r="CW90" s="188"/>
      <c r="CX90" s="188"/>
      <c r="CY90" s="188"/>
      <c r="CZ90" s="188"/>
      <c r="DA90" s="188"/>
      <c r="DB90" s="188"/>
      <c r="DC90" s="188"/>
      <c r="DD90" s="188"/>
      <c r="DE90" s="188"/>
      <c r="DF90" s="188"/>
      <c r="DG90" s="188"/>
      <c r="DH90" s="188"/>
      <c r="DI90" s="188"/>
      <c r="DJ90" s="188"/>
      <c r="DK90" s="188"/>
      <c r="DL90" s="188"/>
      <c r="DM90" s="188"/>
      <c r="DN90" s="188"/>
      <c r="DO90" s="188"/>
      <c r="DP90" s="188"/>
      <c r="DQ90" s="188"/>
      <c r="DR90" s="188"/>
      <c r="DS90" s="188"/>
      <c r="DT90" s="188"/>
      <c r="DU90" s="188"/>
      <c r="DV90" s="188"/>
      <c r="DW90" s="188"/>
      <c r="DX90" s="188"/>
      <c r="DY90" s="188"/>
      <c r="DZ90" s="188"/>
      <c r="EA90" s="188"/>
      <c r="EB90" s="188"/>
      <c r="EC90" s="188"/>
      <c r="ED90" s="188"/>
      <c r="EE90" s="188"/>
      <c r="EF90" s="188"/>
      <c r="EG90" s="188"/>
      <c r="EH90" s="188"/>
      <c r="EI90" s="188"/>
      <c r="EJ90" s="188"/>
      <c r="EK90" s="188"/>
      <c r="EL90" s="188"/>
      <c r="EM90" s="188"/>
      <c r="EN90" s="188"/>
      <c r="EO90" s="188"/>
      <c r="EP90" s="188"/>
      <c r="EQ90" s="188"/>
      <c r="ER90" s="188"/>
      <c r="ES90" s="188"/>
      <c r="ET90" s="188"/>
      <c r="EU90" s="188"/>
      <c r="EV90" s="188"/>
      <c r="EW90" s="188"/>
      <c r="EX90" s="188"/>
      <c r="EY90" s="188"/>
      <c r="EZ90" s="188"/>
    </row>
    <row r="91" spans="33:156" x14ac:dyDescent="0.2">
      <c r="AG91" s="188" t="str">
        <f>IF(ISERROR(getgrade(Broadsheet!H202,data!$H$4:$I$9)),"#",getgrade(Broadsheet!H202,data!$H$4:$I$9))</f>
        <v/>
      </c>
      <c r="AH91" s="188" t="str">
        <f>IF(ISERROR(getgrade(Broadsheet!I202,data!$H$4:$I$9)),"#",getgrade(Broadsheet!I202,data!$H$4:$I$9))</f>
        <v/>
      </c>
      <c r="AI91" s="188" t="str">
        <f>IF(ISERROR(getgrade(Broadsheet!J202,data!$H$4:$I$9)),"#",getgrade(Broadsheet!J202,data!$H$4:$I$9))</f>
        <v/>
      </c>
      <c r="AJ91" s="188" t="str">
        <f>IF(ISERROR(getgrade(Broadsheet!K202,data!$H$4:$I$9)),"#",getgrade(Broadsheet!K202,data!$H$4:$I$9))</f>
        <v/>
      </c>
      <c r="AK91" s="188" t="str">
        <f>IF(ISERROR(getgrade(Broadsheet!L202,data!$H$4:$I$9)),"#",getgrade(Broadsheet!L202,data!$H$4:$I$9))</f>
        <v/>
      </c>
      <c r="AL91" s="188" t="str">
        <f>IF(ISERROR(getgrade(Broadsheet!M202,data!$H$4:$I$9)),"#",getgrade(Broadsheet!M202,data!$H$4:$I$9))</f>
        <v/>
      </c>
      <c r="AM91" s="188" t="str">
        <f>IF(ISERROR(getgrade(Broadsheet!N202,data!$H$4:$I$9)),"#",getgrade(Broadsheet!N202,data!$H$4:$I$9))</f>
        <v/>
      </c>
      <c r="AN91" s="188" t="str">
        <f>IF(ISERROR(getgrade(Broadsheet!O202,data!$H$4:$I$9)),"#",getgrade(Broadsheet!O202,data!$H$4:$I$9))</f>
        <v/>
      </c>
      <c r="AO91" s="188" t="str">
        <f>IF(ISERROR(getgrade(Broadsheet!P202,data!$H$4:$I$9)),"#",getgrade(Broadsheet!P202,data!$H$4:$I$9))</f>
        <v/>
      </c>
      <c r="AP91" s="188" t="str">
        <f>IF(ISERROR(getgrade(Broadsheet!Q202,data!$H$4:$I$9)),"#",getgrade(Broadsheet!Q202,data!$H$4:$I$9))</f>
        <v/>
      </c>
      <c r="AQ91" s="188" t="str">
        <f>IF(ISERROR(getgrade(Broadsheet!R202,data!$H$4:$I$9)),"#",getgrade(Broadsheet!R202,data!$H$4:$I$9))</f>
        <v/>
      </c>
      <c r="AR91" s="188" t="str">
        <f>IF(ISERROR(getgrade(Broadsheet!S202,data!$H$4:$I$9)),"#",getgrade(Broadsheet!S202,data!$H$4:$I$9))</f>
        <v/>
      </c>
      <c r="AS91" s="188" t="str">
        <f>IF(ISERROR(getgrade(Broadsheet!T202,data!$H$4:$I$9)),"#",getgrade(Broadsheet!T202,data!$H$4:$I$9))</f>
        <v/>
      </c>
      <c r="AT91" s="188" t="str">
        <f>IF(ISERROR(getgrade(Broadsheet!U202,data!$H$4:$I$9)),"#",getgrade(Broadsheet!U202,data!$H$4:$I$9))</f>
        <v/>
      </c>
      <c r="AU91" s="188" t="str">
        <f>IF(ISERROR(getgrade(Broadsheet!V202,data!$H$4:$I$9)),"#",getgrade(Broadsheet!V202,data!$H$4:$I$9))</f>
        <v/>
      </c>
      <c r="AV91" s="188" t="str">
        <f>IF(ISERROR(getgrade(Broadsheet!W202,data!$H$4:$I$9)),"#",getgrade(Broadsheet!W202,data!$H$4:$I$9))</f>
        <v/>
      </c>
      <c r="AW91" s="188" t="str">
        <f>IF(ISERROR(getgrade(Broadsheet!X202,data!$H$4:$I$9)),"#",getgrade(Broadsheet!X202,data!$H$4:$I$9))</f>
        <v/>
      </c>
      <c r="AX91" s="188" t="str">
        <f>IF(ISERROR(getgrade(Broadsheet!Y202,data!$H$4:$I$9)),"#",getgrade(Broadsheet!Y202,data!$H$4:$I$9))</f>
        <v/>
      </c>
      <c r="AY91" s="188" t="str">
        <f>IF(ISERROR(getgrade(Broadsheet!Z202,data!$H$4:$I$9)),"#",getgrade(Broadsheet!Z202,data!$H$4:$I$9))</f>
        <v/>
      </c>
      <c r="AZ91" s="188" t="str">
        <f>IF(ISERROR(getgrade(Broadsheet!AA202,data!$H$4:$I$9)),"#",getgrade(Broadsheet!AA202,data!$H$4:$I$9))</f>
        <v/>
      </c>
      <c r="BA91" s="188" t="str">
        <f>IF(ISERROR(getgrade(Broadsheet!AB202,data!$H$4:$I$9)),"#",getgrade(Broadsheet!AB202,data!$H$4:$I$9))</f>
        <v/>
      </c>
      <c r="BB91" s="188" t="str">
        <f>IF(ISERROR(getgrade(Broadsheet!AC202,data!$H$4:$I$9)),"#",getgrade(Broadsheet!AC202,data!$H$4:$I$9))</f>
        <v/>
      </c>
      <c r="BC91" s="188" t="str">
        <f>IF(ISERROR(getgrade(Broadsheet!AD202,data!$H$4:$I$9)),"#",getgrade(Broadsheet!AD202,data!$H$4:$I$9))</f>
        <v/>
      </c>
      <c r="BD91" s="188" t="str">
        <f>IF(ISERROR(getgrade(Broadsheet!AE202,data!$H$4:$I$9)),"#",getgrade(Broadsheet!AE202,data!$H$4:$I$9))</f>
        <v/>
      </c>
      <c r="BE91" s="188" t="str">
        <f>IF(ISERROR(getgrade(Broadsheet!AF202,data!$H$4:$I$9)),"#",getgrade(Broadsheet!AF202,data!$H$4:$I$9))</f>
        <v/>
      </c>
      <c r="BF91" s="188" t="str">
        <f>IF(ISERROR(getgrade(Broadsheet!AG202,data!$H$4:$I$9)),"#",getgrade(Broadsheet!AG202,data!$H$4:$I$9))</f>
        <v/>
      </c>
      <c r="BG91" s="188" t="str">
        <f>IF(ISERROR(getgrade(Broadsheet!AH202,data!$H$4:$I$9)),"#",getgrade(Broadsheet!AH202,data!$H$4:$I$9))</f>
        <v/>
      </c>
      <c r="BH91" s="188" t="str">
        <f>IF(ISERROR(getgrade(Broadsheet!AI202,data!$H$4:$I$9)),"#",getgrade(Broadsheet!AI202,data!$H$4:$I$9))</f>
        <v/>
      </c>
      <c r="BI91" s="188" t="str">
        <f>IF(ISERROR(getgrade(Broadsheet!AJ202,data!$H$4:$I$9)),"#",getgrade(Broadsheet!AJ202,data!$H$4:$I$9))</f>
        <v/>
      </c>
      <c r="BJ91" s="188" t="str">
        <f>IF(ISERROR(getgrade(Broadsheet!AK202,data!$H$4:$I$9)),"#",getgrade(Broadsheet!AK202,data!$H$4:$I$9))</f>
        <v/>
      </c>
      <c r="BK91" s="188" t="str">
        <f>IF(ISERROR(getgrade(Broadsheet!AL202,data!$H$4:$I$9)),"#",getgrade(Broadsheet!AL202,data!$H$4:$I$9))</f>
        <v/>
      </c>
      <c r="BL91" s="188" t="str">
        <f>IF(ISERROR(getgrade(Broadsheet!AM202,data!$H$4:$I$9)),"#",getgrade(Broadsheet!AM202,data!$H$4:$I$9))</f>
        <v/>
      </c>
      <c r="BM91" s="188" t="str">
        <f>IF(ISERROR(getgrade(Broadsheet!AN202,data!$H$4:$I$9)),"#",getgrade(Broadsheet!AN202,data!$H$4:$I$9))</f>
        <v/>
      </c>
      <c r="BN91" s="188" t="str">
        <f>IF(ISERROR(getgrade(Broadsheet!AO202,data!$H$4:$I$9)),"#",getgrade(Broadsheet!AO202,data!$H$4:$I$9))</f>
        <v/>
      </c>
      <c r="BO91" s="188" t="str">
        <f>IF(ISERROR(getgrade(Broadsheet!AP202,data!$H$4:$I$9)),"#",getgrade(Broadsheet!AP202,data!$H$4:$I$9))</f>
        <v/>
      </c>
      <c r="BP91" s="188" t="str">
        <f>IF(ISERROR(getgrade(Broadsheet!AQ202,data!$H$4:$I$9)),"#",getgrade(Broadsheet!AQ202,data!$H$4:$I$9))</f>
        <v/>
      </c>
      <c r="BQ91" s="188" t="str">
        <f>IF(ISERROR(getgrade(Broadsheet!AR202,data!$H$4:$I$9)),"#",getgrade(Broadsheet!AR202,data!$H$4:$I$9))</f>
        <v/>
      </c>
      <c r="BR91" s="188" t="str">
        <f>IF(ISERROR(getgrade(Broadsheet!AS202,data!$H$4:$I$9)),"#",getgrade(Broadsheet!AS202,data!$H$4:$I$9))</f>
        <v/>
      </c>
      <c r="BS91" s="188" t="str">
        <f>IF(ISERROR(getgrade(Broadsheet!AT202,data!$H$4:$I$9)),"#",getgrade(Broadsheet!AT202,data!$H$4:$I$9))</f>
        <v/>
      </c>
      <c r="BT91" s="188" t="str">
        <f>IF(ISERROR(getgrade(Broadsheet!AU202,data!$H$4:$I$9)),"#",getgrade(Broadsheet!AU202,data!$H$4:$I$9))</f>
        <v/>
      </c>
      <c r="BU91" s="188" t="str">
        <f>IF(ISERROR(getgrade(Broadsheet!AV202,data!$H$4:$I$9)),"#",getgrade(Broadsheet!AV202,data!$H$4:$I$9))</f>
        <v/>
      </c>
      <c r="BV91" s="188" t="str">
        <f>IF(ISERROR(getgrade(Broadsheet!AW202,data!$H$4:$I$9)),"#",getgrade(Broadsheet!AW202,data!$H$4:$I$9))</f>
        <v/>
      </c>
      <c r="BW91" s="188" t="str">
        <f>IF(ISERROR(getgrade(Broadsheet!AX202,data!$H$4:$I$9)),"#",getgrade(Broadsheet!AX202,data!$H$4:$I$9))</f>
        <v/>
      </c>
      <c r="BX91" s="188" t="str">
        <f>IF(ISERROR(getgrade(Broadsheet!AY202,data!$H$4:$I$9)),"#",getgrade(Broadsheet!AY202,data!$H$4:$I$9))</f>
        <v/>
      </c>
      <c r="BY91" s="188" t="str">
        <f>IF(ISERROR(getgrade(Broadsheet!AZ202,data!$H$4:$I$9)),"#",getgrade(Broadsheet!AZ202,data!$H$4:$I$9))</f>
        <v/>
      </c>
      <c r="BZ91" s="188" t="str">
        <f>IF(ISERROR(getgrade(Broadsheet!BA202,data!$H$4:$I$9)),"#",getgrade(Broadsheet!BA202,data!$H$4:$I$9))</f>
        <v/>
      </c>
      <c r="CA91" s="188" t="str">
        <f>IF(ISERROR(getgrade(Broadsheet!BB202,data!$H$4:$I$9)),"#",getgrade(Broadsheet!BB202,data!$H$4:$I$9))</f>
        <v/>
      </c>
      <c r="CB91" s="188" t="str">
        <f>IF(ISERROR(getgrade(Broadsheet!BC202,data!$H$4:$I$9)),"#",getgrade(Broadsheet!BC202,data!$H$4:$I$9))</f>
        <v/>
      </c>
      <c r="CC91" s="188" t="str">
        <f>IF(ISERROR(getgrade(Broadsheet!BD202,data!$H$4:$I$9)),"#",getgrade(Broadsheet!BD202,data!$H$4:$I$9))</f>
        <v/>
      </c>
      <c r="CD91" s="188" t="str">
        <f>IF(ISERROR(getgrade(Broadsheet!BE202,data!$H$4:$I$9)),"#",getgrade(Broadsheet!BE202,data!$H$4:$I$9))</f>
        <v/>
      </c>
      <c r="CE91" s="188" t="str">
        <f>IF(ISERROR(getgrade(Broadsheet!BF202,data!$H$4:$I$9)),"#",getgrade(Broadsheet!BF202,data!$H$4:$I$9))</f>
        <v/>
      </c>
      <c r="CF91" s="188" t="str">
        <f>IF(ISERROR(getgrade(Broadsheet!BG202,data!$H$4:$I$9)),"#",getgrade(Broadsheet!BG202,data!$H$4:$I$9))</f>
        <v/>
      </c>
      <c r="CG91" s="188" t="str">
        <f>IF(ISERROR(getgrade(Broadsheet!BH202,data!$H$4:$I$9)),"#",getgrade(Broadsheet!BH202,data!$H$4:$I$9))</f>
        <v/>
      </c>
      <c r="CH91" s="188" t="str">
        <f>IF(ISERROR(getgrade(Broadsheet!BI202,data!$H$4:$I$9)),"#",getgrade(Broadsheet!BI202,data!$H$4:$I$9))</f>
        <v/>
      </c>
      <c r="CI91" s="188" t="str">
        <f>IF(ISERROR(getgrade(Broadsheet!BJ202,data!$H$4:$I$9)),"#",getgrade(Broadsheet!BJ202,data!$H$4:$I$9))</f>
        <v/>
      </c>
      <c r="CJ91" s="188"/>
      <c r="CK91" s="188"/>
      <c r="CL91" s="188"/>
      <c r="CM91" s="188"/>
      <c r="CN91" s="188"/>
      <c r="CO91" s="188"/>
      <c r="CP91" s="188"/>
      <c r="CQ91" s="188"/>
      <c r="CR91" s="188"/>
      <c r="CS91" s="188"/>
      <c r="CT91" s="188"/>
      <c r="CU91" s="188"/>
      <c r="CV91" s="188"/>
      <c r="CW91" s="188"/>
      <c r="CX91" s="188"/>
      <c r="CY91" s="188"/>
      <c r="CZ91" s="188"/>
      <c r="DA91" s="188"/>
      <c r="DB91" s="188"/>
      <c r="DC91" s="188"/>
      <c r="DD91" s="188"/>
      <c r="DE91" s="188"/>
      <c r="DF91" s="188"/>
      <c r="DG91" s="188"/>
      <c r="DH91" s="188"/>
      <c r="DI91" s="188"/>
      <c r="DJ91" s="188"/>
      <c r="DK91" s="188"/>
      <c r="DL91" s="188"/>
      <c r="DM91" s="188"/>
      <c r="DN91" s="188"/>
      <c r="DO91" s="188"/>
      <c r="DP91" s="188"/>
      <c r="DQ91" s="188"/>
      <c r="DR91" s="188"/>
      <c r="DS91" s="188"/>
      <c r="DT91" s="188"/>
      <c r="DU91" s="188"/>
      <c r="DV91" s="188"/>
      <c r="DW91" s="188"/>
      <c r="DX91" s="188"/>
      <c r="DY91" s="188"/>
      <c r="DZ91" s="188"/>
      <c r="EA91" s="188"/>
      <c r="EB91" s="188"/>
      <c r="EC91" s="188"/>
      <c r="ED91" s="188"/>
      <c r="EE91" s="188"/>
      <c r="EF91" s="188"/>
      <c r="EG91" s="188"/>
      <c r="EH91" s="188"/>
      <c r="EI91" s="188"/>
      <c r="EJ91" s="188"/>
      <c r="EK91" s="188"/>
      <c r="EL91" s="188"/>
      <c r="EM91" s="188"/>
      <c r="EN91" s="188"/>
      <c r="EO91" s="188"/>
      <c r="EP91" s="188"/>
      <c r="EQ91" s="188"/>
      <c r="ER91" s="188"/>
      <c r="ES91" s="188"/>
      <c r="ET91" s="188"/>
      <c r="EU91" s="188"/>
      <c r="EV91" s="188"/>
      <c r="EW91" s="188"/>
      <c r="EX91" s="188"/>
      <c r="EY91" s="188"/>
      <c r="EZ91" s="188"/>
    </row>
    <row r="92" spans="33:156" x14ac:dyDescent="0.2">
      <c r="AG92" s="188" t="str">
        <f>IF(ISERROR(getgrade(Broadsheet!H203,data!$H$4:$I$9)),"#",getgrade(Broadsheet!H203,data!$H$4:$I$9))</f>
        <v/>
      </c>
      <c r="AH92" s="188" t="str">
        <f>IF(ISERROR(getgrade(Broadsheet!I203,data!$H$4:$I$9)),"#",getgrade(Broadsheet!I203,data!$H$4:$I$9))</f>
        <v/>
      </c>
      <c r="AI92" s="188" t="str">
        <f>IF(ISERROR(getgrade(Broadsheet!J203,data!$H$4:$I$9)),"#",getgrade(Broadsheet!J203,data!$H$4:$I$9))</f>
        <v/>
      </c>
      <c r="AJ92" s="188" t="str">
        <f>IF(ISERROR(getgrade(Broadsheet!K203,data!$H$4:$I$9)),"#",getgrade(Broadsheet!K203,data!$H$4:$I$9))</f>
        <v/>
      </c>
      <c r="AK92" s="188" t="str">
        <f>IF(ISERROR(getgrade(Broadsheet!L203,data!$H$4:$I$9)),"#",getgrade(Broadsheet!L203,data!$H$4:$I$9))</f>
        <v/>
      </c>
      <c r="AL92" s="188" t="str">
        <f>IF(ISERROR(getgrade(Broadsheet!M203,data!$H$4:$I$9)),"#",getgrade(Broadsheet!M203,data!$H$4:$I$9))</f>
        <v/>
      </c>
      <c r="AM92" s="188" t="str">
        <f>IF(ISERROR(getgrade(Broadsheet!N203,data!$H$4:$I$9)),"#",getgrade(Broadsheet!N203,data!$H$4:$I$9))</f>
        <v/>
      </c>
      <c r="AN92" s="188" t="str">
        <f>IF(ISERROR(getgrade(Broadsheet!O203,data!$H$4:$I$9)),"#",getgrade(Broadsheet!O203,data!$H$4:$I$9))</f>
        <v/>
      </c>
      <c r="AO92" s="188" t="str">
        <f>IF(ISERROR(getgrade(Broadsheet!P203,data!$H$4:$I$9)),"#",getgrade(Broadsheet!P203,data!$H$4:$I$9))</f>
        <v/>
      </c>
      <c r="AP92" s="188" t="str">
        <f>IF(ISERROR(getgrade(Broadsheet!Q203,data!$H$4:$I$9)),"#",getgrade(Broadsheet!Q203,data!$H$4:$I$9))</f>
        <v/>
      </c>
      <c r="AQ92" s="188" t="str">
        <f>IF(ISERROR(getgrade(Broadsheet!R203,data!$H$4:$I$9)),"#",getgrade(Broadsheet!R203,data!$H$4:$I$9))</f>
        <v/>
      </c>
      <c r="AR92" s="188" t="str">
        <f>IF(ISERROR(getgrade(Broadsheet!S203,data!$H$4:$I$9)),"#",getgrade(Broadsheet!S203,data!$H$4:$I$9))</f>
        <v/>
      </c>
      <c r="AS92" s="188" t="str">
        <f>IF(ISERROR(getgrade(Broadsheet!T203,data!$H$4:$I$9)),"#",getgrade(Broadsheet!T203,data!$H$4:$I$9))</f>
        <v/>
      </c>
      <c r="AT92" s="188" t="str">
        <f>IF(ISERROR(getgrade(Broadsheet!U203,data!$H$4:$I$9)),"#",getgrade(Broadsheet!U203,data!$H$4:$I$9))</f>
        <v/>
      </c>
      <c r="AU92" s="188" t="str">
        <f>IF(ISERROR(getgrade(Broadsheet!V203,data!$H$4:$I$9)),"#",getgrade(Broadsheet!V203,data!$H$4:$I$9))</f>
        <v/>
      </c>
      <c r="AV92" s="188" t="str">
        <f>IF(ISERROR(getgrade(Broadsheet!W203,data!$H$4:$I$9)),"#",getgrade(Broadsheet!W203,data!$H$4:$I$9))</f>
        <v/>
      </c>
      <c r="AW92" s="188" t="str">
        <f>IF(ISERROR(getgrade(Broadsheet!X203,data!$H$4:$I$9)),"#",getgrade(Broadsheet!X203,data!$H$4:$I$9))</f>
        <v/>
      </c>
      <c r="AX92" s="188" t="str">
        <f>IF(ISERROR(getgrade(Broadsheet!Y203,data!$H$4:$I$9)),"#",getgrade(Broadsheet!Y203,data!$H$4:$I$9))</f>
        <v/>
      </c>
      <c r="AY92" s="188" t="str">
        <f>IF(ISERROR(getgrade(Broadsheet!Z203,data!$H$4:$I$9)),"#",getgrade(Broadsheet!Z203,data!$H$4:$I$9))</f>
        <v/>
      </c>
      <c r="AZ92" s="188" t="str">
        <f>IF(ISERROR(getgrade(Broadsheet!AA203,data!$H$4:$I$9)),"#",getgrade(Broadsheet!AA203,data!$H$4:$I$9))</f>
        <v/>
      </c>
      <c r="BA92" s="188" t="str">
        <f>IF(ISERROR(getgrade(Broadsheet!AB203,data!$H$4:$I$9)),"#",getgrade(Broadsheet!AB203,data!$H$4:$I$9))</f>
        <v/>
      </c>
      <c r="BB92" s="188" t="str">
        <f>IF(ISERROR(getgrade(Broadsheet!AC203,data!$H$4:$I$9)),"#",getgrade(Broadsheet!AC203,data!$H$4:$I$9))</f>
        <v/>
      </c>
      <c r="BC92" s="188" t="str">
        <f>IF(ISERROR(getgrade(Broadsheet!AD203,data!$H$4:$I$9)),"#",getgrade(Broadsheet!AD203,data!$H$4:$I$9))</f>
        <v/>
      </c>
      <c r="BD92" s="188" t="str">
        <f>IF(ISERROR(getgrade(Broadsheet!AE203,data!$H$4:$I$9)),"#",getgrade(Broadsheet!AE203,data!$H$4:$I$9))</f>
        <v/>
      </c>
      <c r="BE92" s="188" t="str">
        <f>IF(ISERROR(getgrade(Broadsheet!AF203,data!$H$4:$I$9)),"#",getgrade(Broadsheet!AF203,data!$H$4:$I$9))</f>
        <v/>
      </c>
      <c r="BF92" s="188" t="str">
        <f>IF(ISERROR(getgrade(Broadsheet!AG203,data!$H$4:$I$9)),"#",getgrade(Broadsheet!AG203,data!$H$4:$I$9))</f>
        <v/>
      </c>
      <c r="BG92" s="188" t="str">
        <f>IF(ISERROR(getgrade(Broadsheet!AH203,data!$H$4:$I$9)),"#",getgrade(Broadsheet!AH203,data!$H$4:$I$9))</f>
        <v/>
      </c>
      <c r="BH92" s="188" t="str">
        <f>IF(ISERROR(getgrade(Broadsheet!AI203,data!$H$4:$I$9)),"#",getgrade(Broadsheet!AI203,data!$H$4:$I$9))</f>
        <v/>
      </c>
      <c r="BI92" s="188" t="str">
        <f>IF(ISERROR(getgrade(Broadsheet!AJ203,data!$H$4:$I$9)),"#",getgrade(Broadsheet!AJ203,data!$H$4:$I$9))</f>
        <v/>
      </c>
      <c r="BJ92" s="188" t="str">
        <f>IF(ISERROR(getgrade(Broadsheet!AK203,data!$H$4:$I$9)),"#",getgrade(Broadsheet!AK203,data!$H$4:$I$9))</f>
        <v/>
      </c>
      <c r="BK92" s="188" t="str">
        <f>IF(ISERROR(getgrade(Broadsheet!AL203,data!$H$4:$I$9)),"#",getgrade(Broadsheet!AL203,data!$H$4:$I$9))</f>
        <v/>
      </c>
      <c r="BL92" s="188" t="str">
        <f>IF(ISERROR(getgrade(Broadsheet!AM203,data!$H$4:$I$9)),"#",getgrade(Broadsheet!AM203,data!$H$4:$I$9))</f>
        <v/>
      </c>
      <c r="BM92" s="188" t="str">
        <f>IF(ISERROR(getgrade(Broadsheet!AN203,data!$H$4:$I$9)),"#",getgrade(Broadsheet!AN203,data!$H$4:$I$9))</f>
        <v/>
      </c>
      <c r="BN92" s="188" t="str">
        <f>IF(ISERROR(getgrade(Broadsheet!AO203,data!$H$4:$I$9)),"#",getgrade(Broadsheet!AO203,data!$H$4:$I$9))</f>
        <v/>
      </c>
      <c r="BO92" s="188" t="str">
        <f>IF(ISERROR(getgrade(Broadsheet!AP203,data!$H$4:$I$9)),"#",getgrade(Broadsheet!AP203,data!$H$4:$I$9))</f>
        <v/>
      </c>
      <c r="BP92" s="188" t="str">
        <f>IF(ISERROR(getgrade(Broadsheet!AQ203,data!$H$4:$I$9)),"#",getgrade(Broadsheet!AQ203,data!$H$4:$I$9))</f>
        <v/>
      </c>
      <c r="BQ92" s="188" t="str">
        <f>IF(ISERROR(getgrade(Broadsheet!AR203,data!$H$4:$I$9)),"#",getgrade(Broadsheet!AR203,data!$H$4:$I$9))</f>
        <v/>
      </c>
      <c r="BR92" s="188" t="str">
        <f>IF(ISERROR(getgrade(Broadsheet!AS203,data!$H$4:$I$9)),"#",getgrade(Broadsheet!AS203,data!$H$4:$I$9))</f>
        <v/>
      </c>
      <c r="BS92" s="188" t="str">
        <f>IF(ISERROR(getgrade(Broadsheet!AT203,data!$H$4:$I$9)),"#",getgrade(Broadsheet!AT203,data!$H$4:$I$9))</f>
        <v/>
      </c>
      <c r="BT92" s="188" t="str">
        <f>IF(ISERROR(getgrade(Broadsheet!AU203,data!$H$4:$I$9)),"#",getgrade(Broadsheet!AU203,data!$H$4:$I$9))</f>
        <v/>
      </c>
      <c r="BU92" s="188" t="str">
        <f>IF(ISERROR(getgrade(Broadsheet!AV203,data!$H$4:$I$9)),"#",getgrade(Broadsheet!AV203,data!$H$4:$I$9))</f>
        <v/>
      </c>
      <c r="BV92" s="188" t="str">
        <f>IF(ISERROR(getgrade(Broadsheet!AW203,data!$H$4:$I$9)),"#",getgrade(Broadsheet!AW203,data!$H$4:$I$9))</f>
        <v/>
      </c>
      <c r="BW92" s="188" t="str">
        <f>IF(ISERROR(getgrade(Broadsheet!AX203,data!$H$4:$I$9)),"#",getgrade(Broadsheet!AX203,data!$H$4:$I$9))</f>
        <v/>
      </c>
      <c r="BX92" s="188" t="str">
        <f>IF(ISERROR(getgrade(Broadsheet!AY203,data!$H$4:$I$9)),"#",getgrade(Broadsheet!AY203,data!$H$4:$I$9))</f>
        <v/>
      </c>
      <c r="BY92" s="188" t="str">
        <f>IF(ISERROR(getgrade(Broadsheet!AZ203,data!$H$4:$I$9)),"#",getgrade(Broadsheet!AZ203,data!$H$4:$I$9))</f>
        <v/>
      </c>
      <c r="BZ92" s="188" t="str">
        <f>IF(ISERROR(getgrade(Broadsheet!BA203,data!$H$4:$I$9)),"#",getgrade(Broadsheet!BA203,data!$H$4:$I$9))</f>
        <v/>
      </c>
      <c r="CA92" s="188" t="str">
        <f>IF(ISERROR(getgrade(Broadsheet!BB203,data!$H$4:$I$9)),"#",getgrade(Broadsheet!BB203,data!$H$4:$I$9))</f>
        <v/>
      </c>
      <c r="CB92" s="188" t="str">
        <f>IF(ISERROR(getgrade(Broadsheet!BC203,data!$H$4:$I$9)),"#",getgrade(Broadsheet!BC203,data!$H$4:$I$9))</f>
        <v/>
      </c>
      <c r="CC92" s="188" t="str">
        <f>IF(ISERROR(getgrade(Broadsheet!BD203,data!$H$4:$I$9)),"#",getgrade(Broadsheet!BD203,data!$H$4:$I$9))</f>
        <v/>
      </c>
      <c r="CD92" s="188" t="str">
        <f>IF(ISERROR(getgrade(Broadsheet!BE203,data!$H$4:$I$9)),"#",getgrade(Broadsheet!BE203,data!$H$4:$I$9))</f>
        <v/>
      </c>
      <c r="CE92" s="188" t="str">
        <f>IF(ISERROR(getgrade(Broadsheet!BF203,data!$H$4:$I$9)),"#",getgrade(Broadsheet!BF203,data!$H$4:$I$9))</f>
        <v/>
      </c>
      <c r="CF92" s="188" t="str">
        <f>IF(ISERROR(getgrade(Broadsheet!BG203,data!$H$4:$I$9)),"#",getgrade(Broadsheet!BG203,data!$H$4:$I$9))</f>
        <v/>
      </c>
      <c r="CG92" s="188" t="str">
        <f>IF(ISERROR(getgrade(Broadsheet!BH203,data!$H$4:$I$9)),"#",getgrade(Broadsheet!BH203,data!$H$4:$I$9))</f>
        <v/>
      </c>
      <c r="CH92" s="188" t="str">
        <f>IF(ISERROR(getgrade(Broadsheet!BI203,data!$H$4:$I$9)),"#",getgrade(Broadsheet!BI203,data!$H$4:$I$9))</f>
        <v/>
      </c>
      <c r="CI92" s="188" t="str">
        <f>IF(ISERROR(getgrade(Broadsheet!BJ203,data!$H$4:$I$9)),"#",getgrade(Broadsheet!BJ203,data!$H$4:$I$9))</f>
        <v/>
      </c>
      <c r="CJ92" s="188"/>
      <c r="CK92" s="188"/>
      <c r="CL92" s="188"/>
      <c r="CM92" s="188"/>
      <c r="CN92" s="188"/>
      <c r="CO92" s="188"/>
      <c r="CP92" s="188"/>
      <c r="CQ92" s="188"/>
      <c r="CR92" s="188"/>
      <c r="CS92" s="188"/>
      <c r="CT92" s="188"/>
      <c r="CU92" s="188"/>
      <c r="CV92" s="188"/>
      <c r="CW92" s="188"/>
      <c r="CX92" s="188"/>
      <c r="CY92" s="188"/>
      <c r="CZ92" s="188"/>
      <c r="DA92" s="188"/>
      <c r="DB92" s="188"/>
      <c r="DC92" s="188"/>
      <c r="DD92" s="188"/>
      <c r="DE92" s="188"/>
      <c r="DF92" s="188"/>
      <c r="DG92" s="188"/>
      <c r="DH92" s="188"/>
      <c r="DI92" s="188"/>
      <c r="DJ92" s="188"/>
      <c r="DK92" s="188"/>
      <c r="DL92" s="188"/>
      <c r="DM92" s="188"/>
      <c r="DN92" s="188"/>
      <c r="DO92" s="188"/>
      <c r="DP92" s="188"/>
      <c r="DQ92" s="188"/>
      <c r="DR92" s="188"/>
      <c r="DS92" s="188"/>
      <c r="DT92" s="188"/>
      <c r="DU92" s="188"/>
      <c r="DV92" s="188"/>
      <c r="DW92" s="188"/>
      <c r="DX92" s="188"/>
      <c r="DY92" s="188"/>
      <c r="DZ92" s="188"/>
      <c r="EA92" s="188"/>
      <c r="EB92" s="188"/>
      <c r="EC92" s="188"/>
      <c r="ED92" s="188"/>
      <c r="EE92" s="188"/>
      <c r="EF92" s="188"/>
      <c r="EG92" s="188"/>
      <c r="EH92" s="188"/>
      <c r="EI92" s="188"/>
      <c r="EJ92" s="188"/>
      <c r="EK92" s="188"/>
      <c r="EL92" s="188"/>
      <c r="EM92" s="188"/>
      <c r="EN92" s="188"/>
      <c r="EO92" s="188"/>
      <c r="EP92" s="188"/>
      <c r="EQ92" s="188"/>
      <c r="ER92" s="188"/>
      <c r="ES92" s="188"/>
      <c r="ET92" s="188"/>
      <c r="EU92" s="188"/>
      <c r="EV92" s="188"/>
      <c r="EW92" s="188"/>
      <c r="EX92" s="188"/>
      <c r="EY92" s="188"/>
      <c r="EZ92" s="188"/>
    </row>
    <row r="93" spans="33:156" x14ac:dyDescent="0.2">
      <c r="AG93" s="188" t="str">
        <f>IF(ISERROR(getgrade(Broadsheet!H204,data!$H$4:$I$9)),"#",getgrade(Broadsheet!H204,data!$H$4:$I$9))</f>
        <v/>
      </c>
      <c r="AH93" s="188" t="str">
        <f>IF(ISERROR(getgrade(Broadsheet!I204,data!$H$4:$I$9)),"#",getgrade(Broadsheet!I204,data!$H$4:$I$9))</f>
        <v/>
      </c>
      <c r="AI93" s="188" t="str">
        <f>IF(ISERROR(getgrade(Broadsheet!J204,data!$H$4:$I$9)),"#",getgrade(Broadsheet!J204,data!$H$4:$I$9))</f>
        <v/>
      </c>
      <c r="AJ93" s="188" t="str">
        <f>IF(ISERROR(getgrade(Broadsheet!K204,data!$H$4:$I$9)),"#",getgrade(Broadsheet!K204,data!$H$4:$I$9))</f>
        <v/>
      </c>
      <c r="AK93" s="188" t="str">
        <f>IF(ISERROR(getgrade(Broadsheet!L204,data!$H$4:$I$9)),"#",getgrade(Broadsheet!L204,data!$H$4:$I$9))</f>
        <v/>
      </c>
      <c r="AL93" s="188" t="str">
        <f>IF(ISERROR(getgrade(Broadsheet!M204,data!$H$4:$I$9)),"#",getgrade(Broadsheet!M204,data!$H$4:$I$9))</f>
        <v/>
      </c>
      <c r="AM93" s="188" t="str">
        <f>IF(ISERROR(getgrade(Broadsheet!N204,data!$H$4:$I$9)),"#",getgrade(Broadsheet!N204,data!$H$4:$I$9))</f>
        <v/>
      </c>
      <c r="AN93" s="188" t="str">
        <f>IF(ISERROR(getgrade(Broadsheet!O204,data!$H$4:$I$9)),"#",getgrade(Broadsheet!O204,data!$H$4:$I$9))</f>
        <v/>
      </c>
      <c r="AO93" s="188" t="str">
        <f>IF(ISERROR(getgrade(Broadsheet!P204,data!$H$4:$I$9)),"#",getgrade(Broadsheet!P204,data!$H$4:$I$9))</f>
        <v/>
      </c>
      <c r="AP93" s="188" t="str">
        <f>IF(ISERROR(getgrade(Broadsheet!Q204,data!$H$4:$I$9)),"#",getgrade(Broadsheet!Q204,data!$H$4:$I$9))</f>
        <v/>
      </c>
      <c r="AQ93" s="188" t="str">
        <f>IF(ISERROR(getgrade(Broadsheet!R204,data!$H$4:$I$9)),"#",getgrade(Broadsheet!R204,data!$H$4:$I$9))</f>
        <v/>
      </c>
      <c r="AR93" s="188" t="str">
        <f>IF(ISERROR(getgrade(Broadsheet!S204,data!$H$4:$I$9)),"#",getgrade(Broadsheet!S204,data!$H$4:$I$9))</f>
        <v/>
      </c>
      <c r="AS93" s="188" t="str">
        <f>IF(ISERROR(getgrade(Broadsheet!T204,data!$H$4:$I$9)),"#",getgrade(Broadsheet!T204,data!$H$4:$I$9))</f>
        <v/>
      </c>
      <c r="AT93" s="188" t="str">
        <f>IF(ISERROR(getgrade(Broadsheet!U204,data!$H$4:$I$9)),"#",getgrade(Broadsheet!U204,data!$H$4:$I$9))</f>
        <v/>
      </c>
      <c r="AU93" s="188" t="str">
        <f>IF(ISERROR(getgrade(Broadsheet!V204,data!$H$4:$I$9)),"#",getgrade(Broadsheet!V204,data!$H$4:$I$9))</f>
        <v/>
      </c>
      <c r="AV93" s="188" t="str">
        <f>IF(ISERROR(getgrade(Broadsheet!W204,data!$H$4:$I$9)),"#",getgrade(Broadsheet!W204,data!$H$4:$I$9))</f>
        <v/>
      </c>
      <c r="AW93" s="188" t="str">
        <f>IF(ISERROR(getgrade(Broadsheet!X204,data!$H$4:$I$9)),"#",getgrade(Broadsheet!X204,data!$H$4:$I$9))</f>
        <v/>
      </c>
      <c r="AX93" s="188" t="str">
        <f>IF(ISERROR(getgrade(Broadsheet!Y204,data!$H$4:$I$9)),"#",getgrade(Broadsheet!Y204,data!$H$4:$I$9))</f>
        <v/>
      </c>
      <c r="AY93" s="188" t="str">
        <f>IF(ISERROR(getgrade(Broadsheet!Z204,data!$H$4:$I$9)),"#",getgrade(Broadsheet!Z204,data!$H$4:$I$9))</f>
        <v/>
      </c>
      <c r="AZ93" s="188" t="str">
        <f>IF(ISERROR(getgrade(Broadsheet!AA204,data!$H$4:$I$9)),"#",getgrade(Broadsheet!AA204,data!$H$4:$I$9))</f>
        <v/>
      </c>
      <c r="BA93" s="188" t="str">
        <f>IF(ISERROR(getgrade(Broadsheet!AB204,data!$H$4:$I$9)),"#",getgrade(Broadsheet!AB204,data!$H$4:$I$9))</f>
        <v/>
      </c>
      <c r="BB93" s="188" t="str">
        <f>IF(ISERROR(getgrade(Broadsheet!AC204,data!$H$4:$I$9)),"#",getgrade(Broadsheet!AC204,data!$H$4:$I$9))</f>
        <v/>
      </c>
      <c r="BC93" s="188" t="str">
        <f>IF(ISERROR(getgrade(Broadsheet!AD204,data!$H$4:$I$9)),"#",getgrade(Broadsheet!AD204,data!$H$4:$I$9))</f>
        <v/>
      </c>
      <c r="BD93" s="188" t="str">
        <f>IF(ISERROR(getgrade(Broadsheet!AE204,data!$H$4:$I$9)),"#",getgrade(Broadsheet!AE204,data!$H$4:$I$9))</f>
        <v/>
      </c>
      <c r="BE93" s="188" t="str">
        <f>IF(ISERROR(getgrade(Broadsheet!AF204,data!$H$4:$I$9)),"#",getgrade(Broadsheet!AF204,data!$H$4:$I$9))</f>
        <v/>
      </c>
      <c r="BF93" s="188" t="str">
        <f>IF(ISERROR(getgrade(Broadsheet!AG204,data!$H$4:$I$9)),"#",getgrade(Broadsheet!AG204,data!$H$4:$I$9))</f>
        <v/>
      </c>
      <c r="BG93" s="188" t="str">
        <f>IF(ISERROR(getgrade(Broadsheet!AH204,data!$H$4:$I$9)),"#",getgrade(Broadsheet!AH204,data!$H$4:$I$9))</f>
        <v/>
      </c>
      <c r="BH93" s="188" t="str">
        <f>IF(ISERROR(getgrade(Broadsheet!AI204,data!$H$4:$I$9)),"#",getgrade(Broadsheet!AI204,data!$H$4:$I$9))</f>
        <v/>
      </c>
      <c r="BI93" s="188" t="str">
        <f>IF(ISERROR(getgrade(Broadsheet!AJ204,data!$H$4:$I$9)),"#",getgrade(Broadsheet!AJ204,data!$H$4:$I$9))</f>
        <v/>
      </c>
      <c r="BJ93" s="188" t="str">
        <f>IF(ISERROR(getgrade(Broadsheet!AK204,data!$H$4:$I$9)),"#",getgrade(Broadsheet!AK204,data!$H$4:$I$9))</f>
        <v/>
      </c>
      <c r="BK93" s="188" t="str">
        <f>IF(ISERROR(getgrade(Broadsheet!AL204,data!$H$4:$I$9)),"#",getgrade(Broadsheet!AL204,data!$H$4:$I$9))</f>
        <v/>
      </c>
      <c r="BL93" s="188" t="str">
        <f>IF(ISERROR(getgrade(Broadsheet!AM204,data!$H$4:$I$9)),"#",getgrade(Broadsheet!AM204,data!$H$4:$I$9))</f>
        <v/>
      </c>
      <c r="BM93" s="188" t="str">
        <f>IF(ISERROR(getgrade(Broadsheet!AN204,data!$H$4:$I$9)),"#",getgrade(Broadsheet!AN204,data!$H$4:$I$9))</f>
        <v/>
      </c>
      <c r="BN93" s="188" t="str">
        <f>IF(ISERROR(getgrade(Broadsheet!AO204,data!$H$4:$I$9)),"#",getgrade(Broadsheet!AO204,data!$H$4:$I$9))</f>
        <v/>
      </c>
      <c r="BO93" s="188" t="str">
        <f>IF(ISERROR(getgrade(Broadsheet!AP204,data!$H$4:$I$9)),"#",getgrade(Broadsheet!AP204,data!$H$4:$I$9))</f>
        <v/>
      </c>
      <c r="BP93" s="188" t="str">
        <f>IF(ISERROR(getgrade(Broadsheet!AQ204,data!$H$4:$I$9)),"#",getgrade(Broadsheet!AQ204,data!$H$4:$I$9))</f>
        <v/>
      </c>
      <c r="BQ93" s="188" t="str">
        <f>IF(ISERROR(getgrade(Broadsheet!AR204,data!$H$4:$I$9)),"#",getgrade(Broadsheet!AR204,data!$H$4:$I$9))</f>
        <v/>
      </c>
      <c r="BR93" s="188" t="str">
        <f>IF(ISERROR(getgrade(Broadsheet!AS204,data!$H$4:$I$9)),"#",getgrade(Broadsheet!AS204,data!$H$4:$I$9))</f>
        <v/>
      </c>
      <c r="BS93" s="188" t="str">
        <f>IF(ISERROR(getgrade(Broadsheet!AT204,data!$H$4:$I$9)),"#",getgrade(Broadsheet!AT204,data!$H$4:$I$9))</f>
        <v/>
      </c>
      <c r="BT93" s="188" t="str">
        <f>IF(ISERROR(getgrade(Broadsheet!AU204,data!$H$4:$I$9)),"#",getgrade(Broadsheet!AU204,data!$H$4:$I$9))</f>
        <v/>
      </c>
      <c r="BU93" s="188" t="str">
        <f>IF(ISERROR(getgrade(Broadsheet!AV204,data!$H$4:$I$9)),"#",getgrade(Broadsheet!AV204,data!$H$4:$I$9))</f>
        <v/>
      </c>
      <c r="BV93" s="188" t="str">
        <f>IF(ISERROR(getgrade(Broadsheet!AW204,data!$H$4:$I$9)),"#",getgrade(Broadsheet!AW204,data!$H$4:$I$9))</f>
        <v/>
      </c>
      <c r="BW93" s="188" t="str">
        <f>IF(ISERROR(getgrade(Broadsheet!AX204,data!$H$4:$I$9)),"#",getgrade(Broadsheet!AX204,data!$H$4:$I$9))</f>
        <v/>
      </c>
      <c r="BX93" s="188" t="str">
        <f>IF(ISERROR(getgrade(Broadsheet!AY204,data!$H$4:$I$9)),"#",getgrade(Broadsheet!AY204,data!$H$4:$I$9))</f>
        <v/>
      </c>
      <c r="BY93" s="188" t="str">
        <f>IF(ISERROR(getgrade(Broadsheet!AZ204,data!$H$4:$I$9)),"#",getgrade(Broadsheet!AZ204,data!$H$4:$I$9))</f>
        <v/>
      </c>
      <c r="BZ93" s="188" t="str">
        <f>IF(ISERROR(getgrade(Broadsheet!BA204,data!$H$4:$I$9)),"#",getgrade(Broadsheet!BA204,data!$H$4:$I$9))</f>
        <v/>
      </c>
      <c r="CA93" s="188" t="str">
        <f>IF(ISERROR(getgrade(Broadsheet!BB204,data!$H$4:$I$9)),"#",getgrade(Broadsheet!BB204,data!$H$4:$I$9))</f>
        <v/>
      </c>
      <c r="CB93" s="188" t="str">
        <f>IF(ISERROR(getgrade(Broadsheet!BC204,data!$H$4:$I$9)),"#",getgrade(Broadsheet!BC204,data!$H$4:$I$9))</f>
        <v/>
      </c>
      <c r="CC93" s="188" t="str">
        <f>IF(ISERROR(getgrade(Broadsheet!BD204,data!$H$4:$I$9)),"#",getgrade(Broadsheet!BD204,data!$H$4:$I$9))</f>
        <v/>
      </c>
      <c r="CD93" s="188" t="str">
        <f>IF(ISERROR(getgrade(Broadsheet!BE204,data!$H$4:$I$9)),"#",getgrade(Broadsheet!BE204,data!$H$4:$I$9))</f>
        <v/>
      </c>
      <c r="CE93" s="188" t="str">
        <f>IF(ISERROR(getgrade(Broadsheet!BF204,data!$H$4:$I$9)),"#",getgrade(Broadsheet!BF204,data!$H$4:$I$9))</f>
        <v/>
      </c>
      <c r="CF93" s="188" t="str">
        <f>IF(ISERROR(getgrade(Broadsheet!BG204,data!$H$4:$I$9)),"#",getgrade(Broadsheet!BG204,data!$H$4:$I$9))</f>
        <v/>
      </c>
      <c r="CG93" s="188" t="str">
        <f>IF(ISERROR(getgrade(Broadsheet!BH204,data!$H$4:$I$9)),"#",getgrade(Broadsheet!BH204,data!$H$4:$I$9))</f>
        <v/>
      </c>
      <c r="CH93" s="188" t="str">
        <f>IF(ISERROR(getgrade(Broadsheet!BI204,data!$H$4:$I$9)),"#",getgrade(Broadsheet!BI204,data!$H$4:$I$9))</f>
        <v/>
      </c>
      <c r="CI93" s="188" t="str">
        <f>IF(ISERROR(getgrade(Broadsheet!BJ204,data!$H$4:$I$9)),"#",getgrade(Broadsheet!BJ204,data!$H$4:$I$9))</f>
        <v/>
      </c>
      <c r="CJ93" s="188"/>
      <c r="CK93" s="188"/>
      <c r="CL93" s="188"/>
      <c r="CM93" s="188"/>
      <c r="CN93" s="188"/>
      <c r="CO93" s="188"/>
      <c r="CP93" s="188"/>
      <c r="CQ93" s="188"/>
      <c r="CR93" s="188"/>
      <c r="CS93" s="188"/>
      <c r="CT93" s="188"/>
      <c r="CU93" s="188"/>
      <c r="CV93" s="188"/>
      <c r="CW93" s="188"/>
      <c r="CX93" s="188"/>
      <c r="CY93" s="188"/>
      <c r="CZ93" s="188"/>
      <c r="DA93" s="188"/>
      <c r="DB93" s="188"/>
      <c r="DC93" s="188"/>
      <c r="DD93" s="188"/>
      <c r="DE93" s="188"/>
      <c r="DF93" s="188"/>
      <c r="DG93" s="188"/>
      <c r="DH93" s="188"/>
      <c r="DI93" s="188"/>
      <c r="DJ93" s="188"/>
      <c r="DK93" s="188"/>
      <c r="DL93" s="188"/>
      <c r="DM93" s="188"/>
      <c r="DN93" s="188"/>
      <c r="DO93" s="188"/>
      <c r="DP93" s="188"/>
      <c r="DQ93" s="188"/>
      <c r="DR93" s="188"/>
      <c r="DS93" s="188"/>
      <c r="DT93" s="188"/>
      <c r="DU93" s="188"/>
      <c r="DV93" s="188"/>
      <c r="DW93" s="188"/>
      <c r="DX93" s="188"/>
      <c r="DY93" s="188"/>
      <c r="DZ93" s="188"/>
      <c r="EA93" s="188"/>
      <c r="EB93" s="188"/>
      <c r="EC93" s="188"/>
      <c r="ED93" s="188"/>
      <c r="EE93" s="188"/>
      <c r="EF93" s="188"/>
      <c r="EG93" s="188"/>
      <c r="EH93" s="188"/>
      <c r="EI93" s="188"/>
      <c r="EJ93" s="188"/>
      <c r="EK93" s="188"/>
      <c r="EL93" s="188"/>
      <c r="EM93" s="188"/>
      <c r="EN93" s="188"/>
      <c r="EO93" s="188"/>
      <c r="EP93" s="188"/>
      <c r="EQ93" s="188"/>
      <c r="ER93" s="188"/>
      <c r="ES93" s="188"/>
      <c r="ET93" s="188"/>
      <c r="EU93" s="188"/>
      <c r="EV93" s="188"/>
      <c r="EW93" s="188"/>
      <c r="EX93" s="188"/>
      <c r="EY93" s="188"/>
      <c r="EZ93" s="188"/>
    </row>
    <row r="94" spans="33:156" x14ac:dyDescent="0.2">
      <c r="AG94" s="188" t="str">
        <f>IF(ISERROR(getgrade(Broadsheet!H205,data!$H$4:$I$9)),"#",getgrade(Broadsheet!H205,data!$H$4:$I$9))</f>
        <v/>
      </c>
      <c r="AH94" s="188" t="str">
        <f>IF(ISERROR(getgrade(Broadsheet!I205,data!$H$4:$I$9)),"#",getgrade(Broadsheet!I205,data!$H$4:$I$9))</f>
        <v/>
      </c>
      <c r="AI94" s="188" t="str">
        <f>IF(ISERROR(getgrade(Broadsheet!J205,data!$H$4:$I$9)),"#",getgrade(Broadsheet!J205,data!$H$4:$I$9))</f>
        <v/>
      </c>
      <c r="AJ94" s="188" t="str">
        <f>IF(ISERROR(getgrade(Broadsheet!K205,data!$H$4:$I$9)),"#",getgrade(Broadsheet!K205,data!$H$4:$I$9))</f>
        <v/>
      </c>
      <c r="AK94" s="188" t="str">
        <f>IF(ISERROR(getgrade(Broadsheet!L205,data!$H$4:$I$9)),"#",getgrade(Broadsheet!L205,data!$H$4:$I$9))</f>
        <v/>
      </c>
      <c r="AL94" s="188" t="str">
        <f>IF(ISERROR(getgrade(Broadsheet!M205,data!$H$4:$I$9)),"#",getgrade(Broadsheet!M205,data!$H$4:$I$9))</f>
        <v/>
      </c>
      <c r="AM94" s="188" t="str">
        <f>IF(ISERROR(getgrade(Broadsheet!N205,data!$H$4:$I$9)),"#",getgrade(Broadsheet!N205,data!$H$4:$I$9))</f>
        <v/>
      </c>
      <c r="AN94" s="188" t="str">
        <f>IF(ISERROR(getgrade(Broadsheet!O205,data!$H$4:$I$9)),"#",getgrade(Broadsheet!O205,data!$H$4:$I$9))</f>
        <v/>
      </c>
      <c r="AO94" s="188" t="str">
        <f>IF(ISERROR(getgrade(Broadsheet!P205,data!$H$4:$I$9)),"#",getgrade(Broadsheet!P205,data!$H$4:$I$9))</f>
        <v/>
      </c>
      <c r="AP94" s="188" t="str">
        <f>IF(ISERROR(getgrade(Broadsheet!Q205,data!$H$4:$I$9)),"#",getgrade(Broadsheet!Q205,data!$H$4:$I$9))</f>
        <v/>
      </c>
      <c r="AQ94" s="188" t="str">
        <f>IF(ISERROR(getgrade(Broadsheet!R205,data!$H$4:$I$9)),"#",getgrade(Broadsheet!R205,data!$H$4:$I$9))</f>
        <v/>
      </c>
      <c r="AR94" s="188" t="str">
        <f>IF(ISERROR(getgrade(Broadsheet!S205,data!$H$4:$I$9)),"#",getgrade(Broadsheet!S205,data!$H$4:$I$9))</f>
        <v/>
      </c>
      <c r="AS94" s="188" t="str">
        <f>IF(ISERROR(getgrade(Broadsheet!T205,data!$H$4:$I$9)),"#",getgrade(Broadsheet!T205,data!$H$4:$I$9))</f>
        <v/>
      </c>
      <c r="AT94" s="188" t="str">
        <f>IF(ISERROR(getgrade(Broadsheet!U205,data!$H$4:$I$9)),"#",getgrade(Broadsheet!U205,data!$H$4:$I$9))</f>
        <v/>
      </c>
      <c r="AU94" s="188" t="str">
        <f>IF(ISERROR(getgrade(Broadsheet!V205,data!$H$4:$I$9)),"#",getgrade(Broadsheet!V205,data!$H$4:$I$9))</f>
        <v/>
      </c>
      <c r="AV94" s="188" t="str">
        <f>IF(ISERROR(getgrade(Broadsheet!W205,data!$H$4:$I$9)),"#",getgrade(Broadsheet!W205,data!$H$4:$I$9))</f>
        <v/>
      </c>
      <c r="AW94" s="188" t="str">
        <f>IF(ISERROR(getgrade(Broadsheet!X205,data!$H$4:$I$9)),"#",getgrade(Broadsheet!X205,data!$H$4:$I$9))</f>
        <v/>
      </c>
      <c r="AX94" s="188" t="str">
        <f>IF(ISERROR(getgrade(Broadsheet!Y205,data!$H$4:$I$9)),"#",getgrade(Broadsheet!Y205,data!$H$4:$I$9))</f>
        <v/>
      </c>
      <c r="AY94" s="188" t="str">
        <f>IF(ISERROR(getgrade(Broadsheet!Z205,data!$H$4:$I$9)),"#",getgrade(Broadsheet!Z205,data!$H$4:$I$9))</f>
        <v/>
      </c>
      <c r="AZ94" s="188" t="str">
        <f>IF(ISERROR(getgrade(Broadsheet!AA205,data!$H$4:$I$9)),"#",getgrade(Broadsheet!AA205,data!$H$4:$I$9))</f>
        <v/>
      </c>
      <c r="BA94" s="188" t="str">
        <f>IF(ISERROR(getgrade(Broadsheet!AB205,data!$H$4:$I$9)),"#",getgrade(Broadsheet!AB205,data!$H$4:$I$9))</f>
        <v/>
      </c>
      <c r="BB94" s="188" t="str">
        <f>IF(ISERROR(getgrade(Broadsheet!AC205,data!$H$4:$I$9)),"#",getgrade(Broadsheet!AC205,data!$H$4:$I$9))</f>
        <v/>
      </c>
      <c r="BC94" s="188" t="str">
        <f>IF(ISERROR(getgrade(Broadsheet!AD205,data!$H$4:$I$9)),"#",getgrade(Broadsheet!AD205,data!$H$4:$I$9))</f>
        <v/>
      </c>
      <c r="BD94" s="188" t="str">
        <f>IF(ISERROR(getgrade(Broadsheet!AE205,data!$H$4:$I$9)),"#",getgrade(Broadsheet!AE205,data!$H$4:$I$9))</f>
        <v/>
      </c>
      <c r="BE94" s="188" t="str">
        <f>IF(ISERROR(getgrade(Broadsheet!AF205,data!$H$4:$I$9)),"#",getgrade(Broadsheet!AF205,data!$H$4:$I$9))</f>
        <v/>
      </c>
      <c r="BF94" s="188" t="str">
        <f>IF(ISERROR(getgrade(Broadsheet!AG205,data!$H$4:$I$9)),"#",getgrade(Broadsheet!AG205,data!$H$4:$I$9))</f>
        <v/>
      </c>
      <c r="BG94" s="188" t="str">
        <f>IF(ISERROR(getgrade(Broadsheet!AH205,data!$H$4:$I$9)),"#",getgrade(Broadsheet!AH205,data!$H$4:$I$9))</f>
        <v/>
      </c>
      <c r="BH94" s="188" t="str">
        <f>IF(ISERROR(getgrade(Broadsheet!AI205,data!$H$4:$I$9)),"#",getgrade(Broadsheet!AI205,data!$H$4:$I$9))</f>
        <v/>
      </c>
      <c r="BI94" s="188" t="str">
        <f>IF(ISERROR(getgrade(Broadsheet!AJ205,data!$H$4:$I$9)),"#",getgrade(Broadsheet!AJ205,data!$H$4:$I$9))</f>
        <v/>
      </c>
      <c r="BJ94" s="188" t="str">
        <f>IF(ISERROR(getgrade(Broadsheet!AK205,data!$H$4:$I$9)),"#",getgrade(Broadsheet!AK205,data!$H$4:$I$9))</f>
        <v/>
      </c>
      <c r="BK94" s="188" t="str">
        <f>IF(ISERROR(getgrade(Broadsheet!AL205,data!$H$4:$I$9)),"#",getgrade(Broadsheet!AL205,data!$H$4:$I$9))</f>
        <v/>
      </c>
      <c r="BL94" s="188" t="str">
        <f>IF(ISERROR(getgrade(Broadsheet!AM205,data!$H$4:$I$9)),"#",getgrade(Broadsheet!AM205,data!$H$4:$I$9))</f>
        <v/>
      </c>
      <c r="BM94" s="188" t="str">
        <f>IF(ISERROR(getgrade(Broadsheet!AN205,data!$H$4:$I$9)),"#",getgrade(Broadsheet!AN205,data!$H$4:$I$9))</f>
        <v/>
      </c>
      <c r="BN94" s="188" t="str">
        <f>IF(ISERROR(getgrade(Broadsheet!AO205,data!$H$4:$I$9)),"#",getgrade(Broadsheet!AO205,data!$H$4:$I$9))</f>
        <v/>
      </c>
      <c r="BO94" s="188" t="str">
        <f>IF(ISERROR(getgrade(Broadsheet!AP205,data!$H$4:$I$9)),"#",getgrade(Broadsheet!AP205,data!$H$4:$I$9))</f>
        <v/>
      </c>
      <c r="BP94" s="188" t="str">
        <f>IF(ISERROR(getgrade(Broadsheet!AQ205,data!$H$4:$I$9)),"#",getgrade(Broadsheet!AQ205,data!$H$4:$I$9))</f>
        <v/>
      </c>
      <c r="BQ94" s="188" t="str">
        <f>IF(ISERROR(getgrade(Broadsheet!AR205,data!$H$4:$I$9)),"#",getgrade(Broadsheet!AR205,data!$H$4:$I$9))</f>
        <v/>
      </c>
      <c r="BR94" s="188" t="str">
        <f>IF(ISERROR(getgrade(Broadsheet!AS205,data!$H$4:$I$9)),"#",getgrade(Broadsheet!AS205,data!$H$4:$I$9))</f>
        <v/>
      </c>
      <c r="BS94" s="188" t="str">
        <f>IF(ISERROR(getgrade(Broadsheet!AT205,data!$H$4:$I$9)),"#",getgrade(Broadsheet!AT205,data!$H$4:$I$9))</f>
        <v/>
      </c>
      <c r="BT94" s="188" t="str">
        <f>IF(ISERROR(getgrade(Broadsheet!AU205,data!$H$4:$I$9)),"#",getgrade(Broadsheet!AU205,data!$H$4:$I$9))</f>
        <v/>
      </c>
      <c r="BU94" s="188" t="str">
        <f>IF(ISERROR(getgrade(Broadsheet!AV205,data!$H$4:$I$9)),"#",getgrade(Broadsheet!AV205,data!$H$4:$I$9))</f>
        <v/>
      </c>
      <c r="BV94" s="188" t="str">
        <f>IF(ISERROR(getgrade(Broadsheet!AW205,data!$H$4:$I$9)),"#",getgrade(Broadsheet!AW205,data!$H$4:$I$9))</f>
        <v/>
      </c>
      <c r="BW94" s="188" t="str">
        <f>IF(ISERROR(getgrade(Broadsheet!AX205,data!$H$4:$I$9)),"#",getgrade(Broadsheet!AX205,data!$H$4:$I$9))</f>
        <v/>
      </c>
      <c r="BX94" s="188" t="str">
        <f>IF(ISERROR(getgrade(Broadsheet!AY205,data!$H$4:$I$9)),"#",getgrade(Broadsheet!AY205,data!$H$4:$I$9))</f>
        <v/>
      </c>
      <c r="BY94" s="188" t="str">
        <f>IF(ISERROR(getgrade(Broadsheet!AZ205,data!$H$4:$I$9)),"#",getgrade(Broadsheet!AZ205,data!$H$4:$I$9))</f>
        <v/>
      </c>
      <c r="BZ94" s="188" t="str">
        <f>IF(ISERROR(getgrade(Broadsheet!BA205,data!$H$4:$I$9)),"#",getgrade(Broadsheet!BA205,data!$H$4:$I$9))</f>
        <v/>
      </c>
      <c r="CA94" s="188" t="str">
        <f>IF(ISERROR(getgrade(Broadsheet!BB205,data!$H$4:$I$9)),"#",getgrade(Broadsheet!BB205,data!$H$4:$I$9))</f>
        <v/>
      </c>
      <c r="CB94" s="188" t="str">
        <f>IF(ISERROR(getgrade(Broadsheet!BC205,data!$H$4:$I$9)),"#",getgrade(Broadsheet!BC205,data!$H$4:$I$9))</f>
        <v/>
      </c>
      <c r="CC94" s="188" t="str">
        <f>IF(ISERROR(getgrade(Broadsheet!BD205,data!$H$4:$I$9)),"#",getgrade(Broadsheet!BD205,data!$H$4:$I$9))</f>
        <v/>
      </c>
      <c r="CD94" s="188" t="str">
        <f>IF(ISERROR(getgrade(Broadsheet!BE205,data!$H$4:$I$9)),"#",getgrade(Broadsheet!BE205,data!$H$4:$I$9))</f>
        <v/>
      </c>
      <c r="CE94" s="188" t="str">
        <f>IF(ISERROR(getgrade(Broadsheet!BF205,data!$H$4:$I$9)),"#",getgrade(Broadsheet!BF205,data!$H$4:$I$9))</f>
        <v/>
      </c>
      <c r="CF94" s="188" t="str">
        <f>IF(ISERROR(getgrade(Broadsheet!BG205,data!$H$4:$I$9)),"#",getgrade(Broadsheet!BG205,data!$H$4:$I$9))</f>
        <v/>
      </c>
      <c r="CG94" s="188" t="str">
        <f>IF(ISERROR(getgrade(Broadsheet!BH205,data!$H$4:$I$9)),"#",getgrade(Broadsheet!BH205,data!$H$4:$I$9))</f>
        <v/>
      </c>
      <c r="CH94" s="188" t="str">
        <f>IF(ISERROR(getgrade(Broadsheet!BI205,data!$H$4:$I$9)),"#",getgrade(Broadsheet!BI205,data!$H$4:$I$9))</f>
        <v/>
      </c>
      <c r="CI94" s="188" t="str">
        <f>IF(ISERROR(getgrade(Broadsheet!BJ205,data!$H$4:$I$9)),"#",getgrade(Broadsheet!BJ205,data!$H$4:$I$9))</f>
        <v/>
      </c>
      <c r="CJ94" s="188"/>
      <c r="CK94" s="188"/>
      <c r="CL94" s="188"/>
      <c r="CM94" s="188"/>
      <c r="CN94" s="188"/>
      <c r="CO94" s="188"/>
      <c r="CP94" s="188"/>
      <c r="CQ94" s="188"/>
      <c r="CR94" s="188"/>
      <c r="CS94" s="188"/>
      <c r="CT94" s="188"/>
      <c r="CU94" s="188"/>
      <c r="CV94" s="188"/>
      <c r="CW94" s="188"/>
      <c r="CX94" s="188"/>
      <c r="CY94" s="188"/>
      <c r="CZ94" s="188"/>
      <c r="DA94" s="188"/>
      <c r="DB94" s="188"/>
      <c r="DC94" s="188"/>
      <c r="DD94" s="188"/>
      <c r="DE94" s="188"/>
      <c r="DF94" s="188"/>
      <c r="DG94" s="188"/>
      <c r="DH94" s="188"/>
      <c r="DI94" s="188"/>
      <c r="DJ94" s="188"/>
      <c r="DK94" s="188"/>
      <c r="DL94" s="188"/>
      <c r="DM94" s="188"/>
      <c r="DN94" s="188"/>
      <c r="DO94" s="188"/>
      <c r="DP94" s="188"/>
      <c r="DQ94" s="188"/>
      <c r="DR94" s="188"/>
      <c r="DS94" s="188"/>
      <c r="DT94" s="188"/>
      <c r="DU94" s="188"/>
      <c r="DV94" s="188"/>
      <c r="DW94" s="188"/>
      <c r="DX94" s="188"/>
      <c r="DY94" s="188"/>
      <c r="DZ94" s="188"/>
      <c r="EA94" s="188"/>
      <c r="EB94" s="188"/>
      <c r="EC94" s="188"/>
      <c r="ED94" s="188"/>
      <c r="EE94" s="188"/>
      <c r="EF94" s="188"/>
      <c r="EG94" s="188"/>
      <c r="EH94" s="188"/>
      <c r="EI94" s="188"/>
      <c r="EJ94" s="188"/>
      <c r="EK94" s="188"/>
      <c r="EL94" s="188"/>
      <c r="EM94" s="188"/>
      <c r="EN94" s="188"/>
      <c r="EO94" s="188"/>
      <c r="EP94" s="188"/>
      <c r="EQ94" s="188"/>
      <c r="ER94" s="188"/>
      <c r="ES94" s="188"/>
      <c r="ET94" s="188"/>
      <c r="EU94" s="188"/>
      <c r="EV94" s="188"/>
      <c r="EW94" s="188"/>
      <c r="EX94" s="188"/>
      <c r="EY94" s="188"/>
      <c r="EZ94" s="188"/>
    </row>
    <row r="95" spans="33:156" x14ac:dyDescent="0.2">
      <c r="AG95" s="188" t="str">
        <f>IF(ISERROR(getgrade(Broadsheet!H206,data!$H$4:$I$9)),"#",getgrade(Broadsheet!H206,data!$H$4:$I$9))</f>
        <v/>
      </c>
      <c r="AH95" s="188" t="str">
        <f>IF(ISERROR(getgrade(Broadsheet!I206,data!$H$4:$I$9)),"#",getgrade(Broadsheet!I206,data!$H$4:$I$9))</f>
        <v/>
      </c>
      <c r="AI95" s="188" t="str">
        <f>IF(ISERROR(getgrade(Broadsheet!J206,data!$H$4:$I$9)),"#",getgrade(Broadsheet!J206,data!$H$4:$I$9))</f>
        <v/>
      </c>
      <c r="AJ95" s="188" t="str">
        <f>IF(ISERROR(getgrade(Broadsheet!K206,data!$H$4:$I$9)),"#",getgrade(Broadsheet!K206,data!$H$4:$I$9))</f>
        <v/>
      </c>
      <c r="AK95" s="188" t="str">
        <f>IF(ISERROR(getgrade(Broadsheet!L206,data!$H$4:$I$9)),"#",getgrade(Broadsheet!L206,data!$H$4:$I$9))</f>
        <v/>
      </c>
      <c r="AL95" s="188" t="str">
        <f>IF(ISERROR(getgrade(Broadsheet!M206,data!$H$4:$I$9)),"#",getgrade(Broadsheet!M206,data!$H$4:$I$9))</f>
        <v/>
      </c>
      <c r="AM95" s="188" t="str">
        <f>IF(ISERROR(getgrade(Broadsheet!N206,data!$H$4:$I$9)),"#",getgrade(Broadsheet!N206,data!$H$4:$I$9))</f>
        <v/>
      </c>
      <c r="AN95" s="188" t="str">
        <f>IF(ISERROR(getgrade(Broadsheet!O206,data!$H$4:$I$9)),"#",getgrade(Broadsheet!O206,data!$H$4:$I$9))</f>
        <v/>
      </c>
      <c r="AO95" s="188" t="str">
        <f>IF(ISERROR(getgrade(Broadsheet!P206,data!$H$4:$I$9)),"#",getgrade(Broadsheet!P206,data!$H$4:$I$9))</f>
        <v/>
      </c>
      <c r="AP95" s="188" t="str">
        <f>IF(ISERROR(getgrade(Broadsheet!Q206,data!$H$4:$I$9)),"#",getgrade(Broadsheet!Q206,data!$H$4:$I$9))</f>
        <v/>
      </c>
      <c r="AQ95" s="188" t="str">
        <f>IF(ISERROR(getgrade(Broadsheet!R206,data!$H$4:$I$9)),"#",getgrade(Broadsheet!R206,data!$H$4:$I$9))</f>
        <v/>
      </c>
      <c r="AR95" s="188" t="str">
        <f>IF(ISERROR(getgrade(Broadsheet!S206,data!$H$4:$I$9)),"#",getgrade(Broadsheet!S206,data!$H$4:$I$9))</f>
        <v/>
      </c>
      <c r="AS95" s="188" t="str">
        <f>IF(ISERROR(getgrade(Broadsheet!T206,data!$H$4:$I$9)),"#",getgrade(Broadsheet!T206,data!$H$4:$I$9))</f>
        <v/>
      </c>
      <c r="AT95" s="188" t="str">
        <f>IF(ISERROR(getgrade(Broadsheet!U206,data!$H$4:$I$9)),"#",getgrade(Broadsheet!U206,data!$H$4:$I$9))</f>
        <v/>
      </c>
      <c r="AU95" s="188" t="str">
        <f>IF(ISERROR(getgrade(Broadsheet!V206,data!$H$4:$I$9)),"#",getgrade(Broadsheet!V206,data!$H$4:$I$9))</f>
        <v/>
      </c>
      <c r="AV95" s="188" t="str">
        <f>IF(ISERROR(getgrade(Broadsheet!W206,data!$H$4:$I$9)),"#",getgrade(Broadsheet!W206,data!$H$4:$I$9))</f>
        <v/>
      </c>
      <c r="AW95" s="188" t="str">
        <f>IF(ISERROR(getgrade(Broadsheet!X206,data!$H$4:$I$9)),"#",getgrade(Broadsheet!X206,data!$H$4:$I$9))</f>
        <v/>
      </c>
      <c r="AX95" s="188" t="str">
        <f>IF(ISERROR(getgrade(Broadsheet!Y206,data!$H$4:$I$9)),"#",getgrade(Broadsheet!Y206,data!$H$4:$I$9))</f>
        <v/>
      </c>
      <c r="AY95" s="188" t="str">
        <f>IF(ISERROR(getgrade(Broadsheet!Z206,data!$H$4:$I$9)),"#",getgrade(Broadsheet!Z206,data!$H$4:$I$9))</f>
        <v/>
      </c>
      <c r="AZ95" s="188" t="str">
        <f>IF(ISERROR(getgrade(Broadsheet!AA206,data!$H$4:$I$9)),"#",getgrade(Broadsheet!AA206,data!$H$4:$I$9))</f>
        <v/>
      </c>
      <c r="BA95" s="188" t="str">
        <f>IF(ISERROR(getgrade(Broadsheet!AB206,data!$H$4:$I$9)),"#",getgrade(Broadsheet!AB206,data!$H$4:$I$9))</f>
        <v/>
      </c>
      <c r="BB95" s="188" t="str">
        <f>IF(ISERROR(getgrade(Broadsheet!AC206,data!$H$4:$I$9)),"#",getgrade(Broadsheet!AC206,data!$H$4:$I$9))</f>
        <v/>
      </c>
      <c r="BC95" s="188" t="str">
        <f>IF(ISERROR(getgrade(Broadsheet!AD206,data!$H$4:$I$9)),"#",getgrade(Broadsheet!AD206,data!$H$4:$I$9))</f>
        <v/>
      </c>
      <c r="BD95" s="188" t="str">
        <f>IF(ISERROR(getgrade(Broadsheet!AE206,data!$H$4:$I$9)),"#",getgrade(Broadsheet!AE206,data!$H$4:$I$9))</f>
        <v/>
      </c>
      <c r="BE95" s="188" t="str">
        <f>IF(ISERROR(getgrade(Broadsheet!AF206,data!$H$4:$I$9)),"#",getgrade(Broadsheet!AF206,data!$H$4:$I$9))</f>
        <v/>
      </c>
      <c r="BF95" s="188" t="str">
        <f>IF(ISERROR(getgrade(Broadsheet!AG206,data!$H$4:$I$9)),"#",getgrade(Broadsheet!AG206,data!$H$4:$I$9))</f>
        <v/>
      </c>
      <c r="BG95" s="188" t="str">
        <f>IF(ISERROR(getgrade(Broadsheet!AH206,data!$H$4:$I$9)),"#",getgrade(Broadsheet!AH206,data!$H$4:$I$9))</f>
        <v/>
      </c>
      <c r="BH95" s="188" t="str">
        <f>IF(ISERROR(getgrade(Broadsheet!AI206,data!$H$4:$I$9)),"#",getgrade(Broadsheet!AI206,data!$H$4:$I$9))</f>
        <v/>
      </c>
      <c r="BI95" s="188" t="str">
        <f>IF(ISERROR(getgrade(Broadsheet!AJ206,data!$H$4:$I$9)),"#",getgrade(Broadsheet!AJ206,data!$H$4:$I$9))</f>
        <v/>
      </c>
      <c r="BJ95" s="188" t="str">
        <f>IF(ISERROR(getgrade(Broadsheet!AK206,data!$H$4:$I$9)),"#",getgrade(Broadsheet!AK206,data!$H$4:$I$9))</f>
        <v/>
      </c>
      <c r="BK95" s="188" t="str">
        <f>IF(ISERROR(getgrade(Broadsheet!AL206,data!$H$4:$I$9)),"#",getgrade(Broadsheet!AL206,data!$H$4:$I$9))</f>
        <v/>
      </c>
      <c r="BL95" s="188" t="str">
        <f>IF(ISERROR(getgrade(Broadsheet!AM206,data!$H$4:$I$9)),"#",getgrade(Broadsheet!AM206,data!$H$4:$I$9))</f>
        <v/>
      </c>
      <c r="BM95" s="188" t="str">
        <f>IF(ISERROR(getgrade(Broadsheet!AN206,data!$H$4:$I$9)),"#",getgrade(Broadsheet!AN206,data!$H$4:$I$9))</f>
        <v/>
      </c>
      <c r="BN95" s="188" t="str">
        <f>IF(ISERROR(getgrade(Broadsheet!AO206,data!$H$4:$I$9)),"#",getgrade(Broadsheet!AO206,data!$H$4:$I$9))</f>
        <v/>
      </c>
      <c r="BO95" s="188" t="str">
        <f>IF(ISERROR(getgrade(Broadsheet!AP206,data!$H$4:$I$9)),"#",getgrade(Broadsheet!AP206,data!$H$4:$I$9))</f>
        <v/>
      </c>
      <c r="BP95" s="188" t="str">
        <f>IF(ISERROR(getgrade(Broadsheet!AQ206,data!$H$4:$I$9)),"#",getgrade(Broadsheet!AQ206,data!$H$4:$I$9))</f>
        <v/>
      </c>
      <c r="BQ95" s="188" t="str">
        <f>IF(ISERROR(getgrade(Broadsheet!AR206,data!$H$4:$I$9)),"#",getgrade(Broadsheet!AR206,data!$H$4:$I$9))</f>
        <v/>
      </c>
      <c r="BR95" s="188" t="str">
        <f>IF(ISERROR(getgrade(Broadsheet!AS206,data!$H$4:$I$9)),"#",getgrade(Broadsheet!AS206,data!$H$4:$I$9))</f>
        <v/>
      </c>
      <c r="BS95" s="188" t="str">
        <f>IF(ISERROR(getgrade(Broadsheet!AT206,data!$H$4:$I$9)),"#",getgrade(Broadsheet!AT206,data!$H$4:$I$9))</f>
        <v/>
      </c>
      <c r="BT95" s="188" t="str">
        <f>IF(ISERROR(getgrade(Broadsheet!AU206,data!$H$4:$I$9)),"#",getgrade(Broadsheet!AU206,data!$H$4:$I$9))</f>
        <v/>
      </c>
      <c r="BU95" s="188" t="str">
        <f>IF(ISERROR(getgrade(Broadsheet!AV206,data!$H$4:$I$9)),"#",getgrade(Broadsheet!AV206,data!$H$4:$I$9))</f>
        <v/>
      </c>
      <c r="BV95" s="188" t="str">
        <f>IF(ISERROR(getgrade(Broadsheet!AW206,data!$H$4:$I$9)),"#",getgrade(Broadsheet!AW206,data!$H$4:$I$9))</f>
        <v/>
      </c>
      <c r="BW95" s="188" t="str">
        <f>IF(ISERROR(getgrade(Broadsheet!AX206,data!$H$4:$I$9)),"#",getgrade(Broadsheet!AX206,data!$H$4:$I$9))</f>
        <v/>
      </c>
      <c r="BX95" s="188" t="str">
        <f>IF(ISERROR(getgrade(Broadsheet!AY206,data!$H$4:$I$9)),"#",getgrade(Broadsheet!AY206,data!$H$4:$I$9))</f>
        <v/>
      </c>
      <c r="BY95" s="188" t="str">
        <f>IF(ISERROR(getgrade(Broadsheet!AZ206,data!$H$4:$I$9)),"#",getgrade(Broadsheet!AZ206,data!$H$4:$I$9))</f>
        <v/>
      </c>
      <c r="BZ95" s="188" t="str">
        <f>IF(ISERROR(getgrade(Broadsheet!BA206,data!$H$4:$I$9)),"#",getgrade(Broadsheet!BA206,data!$H$4:$I$9))</f>
        <v/>
      </c>
      <c r="CA95" s="188" t="str">
        <f>IF(ISERROR(getgrade(Broadsheet!BB206,data!$H$4:$I$9)),"#",getgrade(Broadsheet!BB206,data!$H$4:$I$9))</f>
        <v/>
      </c>
      <c r="CB95" s="188" t="str">
        <f>IF(ISERROR(getgrade(Broadsheet!BC206,data!$H$4:$I$9)),"#",getgrade(Broadsheet!BC206,data!$H$4:$I$9))</f>
        <v/>
      </c>
      <c r="CC95" s="188" t="str">
        <f>IF(ISERROR(getgrade(Broadsheet!BD206,data!$H$4:$I$9)),"#",getgrade(Broadsheet!BD206,data!$H$4:$I$9))</f>
        <v/>
      </c>
      <c r="CD95" s="188" t="str">
        <f>IF(ISERROR(getgrade(Broadsheet!BE206,data!$H$4:$I$9)),"#",getgrade(Broadsheet!BE206,data!$H$4:$I$9))</f>
        <v/>
      </c>
      <c r="CE95" s="188" t="str">
        <f>IF(ISERROR(getgrade(Broadsheet!BF206,data!$H$4:$I$9)),"#",getgrade(Broadsheet!BF206,data!$H$4:$I$9))</f>
        <v/>
      </c>
      <c r="CF95" s="188" t="str">
        <f>IF(ISERROR(getgrade(Broadsheet!BG206,data!$H$4:$I$9)),"#",getgrade(Broadsheet!BG206,data!$H$4:$I$9))</f>
        <v/>
      </c>
      <c r="CG95" s="188" t="str">
        <f>IF(ISERROR(getgrade(Broadsheet!BH206,data!$H$4:$I$9)),"#",getgrade(Broadsheet!BH206,data!$H$4:$I$9))</f>
        <v/>
      </c>
      <c r="CH95" s="188" t="str">
        <f>IF(ISERROR(getgrade(Broadsheet!BI206,data!$H$4:$I$9)),"#",getgrade(Broadsheet!BI206,data!$H$4:$I$9))</f>
        <v/>
      </c>
      <c r="CI95" s="188" t="str">
        <f>IF(ISERROR(getgrade(Broadsheet!BJ206,data!$H$4:$I$9)),"#",getgrade(Broadsheet!BJ206,data!$H$4:$I$9))</f>
        <v/>
      </c>
      <c r="CJ95" s="188"/>
      <c r="CK95" s="188"/>
      <c r="CL95" s="188"/>
      <c r="CM95" s="188"/>
      <c r="CN95" s="188"/>
      <c r="CO95" s="188"/>
      <c r="CP95" s="188"/>
      <c r="CQ95" s="188"/>
      <c r="CR95" s="188"/>
      <c r="CS95" s="188"/>
      <c r="CT95" s="188"/>
      <c r="CU95" s="188"/>
      <c r="CV95" s="188"/>
      <c r="CW95" s="188"/>
      <c r="CX95" s="188"/>
      <c r="CY95" s="188"/>
      <c r="CZ95" s="188"/>
      <c r="DA95" s="188"/>
      <c r="DB95" s="188"/>
      <c r="DC95" s="188"/>
      <c r="DD95" s="188"/>
      <c r="DE95" s="188"/>
      <c r="DF95" s="188"/>
      <c r="DG95" s="188"/>
      <c r="DH95" s="188"/>
      <c r="DI95" s="188"/>
      <c r="DJ95" s="188"/>
      <c r="DK95" s="188"/>
      <c r="DL95" s="188"/>
      <c r="DM95" s="188"/>
      <c r="DN95" s="188"/>
      <c r="DO95" s="188"/>
      <c r="DP95" s="188"/>
      <c r="DQ95" s="188"/>
      <c r="DR95" s="188"/>
      <c r="DS95" s="188"/>
      <c r="DT95" s="188"/>
      <c r="DU95" s="188"/>
      <c r="DV95" s="188"/>
      <c r="DW95" s="188"/>
      <c r="DX95" s="188"/>
      <c r="DY95" s="188"/>
      <c r="DZ95" s="188"/>
      <c r="EA95" s="188"/>
      <c r="EB95" s="188"/>
      <c r="EC95" s="188"/>
      <c r="ED95" s="188"/>
      <c r="EE95" s="188"/>
      <c r="EF95" s="188"/>
      <c r="EG95" s="188"/>
      <c r="EH95" s="188"/>
      <c r="EI95" s="188"/>
      <c r="EJ95" s="188"/>
      <c r="EK95" s="188"/>
      <c r="EL95" s="188"/>
      <c r="EM95" s="188"/>
      <c r="EN95" s="188"/>
      <c r="EO95" s="188"/>
      <c r="EP95" s="188"/>
      <c r="EQ95" s="188"/>
      <c r="ER95" s="188"/>
      <c r="ES95" s="188"/>
      <c r="ET95" s="188"/>
      <c r="EU95" s="188"/>
      <c r="EV95" s="188"/>
      <c r="EW95" s="188"/>
      <c r="EX95" s="188"/>
      <c r="EY95" s="188"/>
      <c r="EZ95" s="188"/>
    </row>
    <row r="96" spans="33:156" x14ac:dyDescent="0.2">
      <c r="AG96" s="188" t="str">
        <f>IF(ISERROR(getgrade(Broadsheet!H207,data!$H$4:$I$9)),"#",getgrade(Broadsheet!H207,data!$H$4:$I$9))</f>
        <v/>
      </c>
      <c r="AH96" s="188" t="str">
        <f>IF(ISERROR(getgrade(Broadsheet!I207,data!$H$4:$I$9)),"#",getgrade(Broadsheet!I207,data!$H$4:$I$9))</f>
        <v/>
      </c>
      <c r="AI96" s="188" t="str">
        <f>IF(ISERROR(getgrade(Broadsheet!J207,data!$H$4:$I$9)),"#",getgrade(Broadsheet!J207,data!$H$4:$I$9))</f>
        <v/>
      </c>
      <c r="AJ96" s="188" t="str">
        <f>IF(ISERROR(getgrade(Broadsheet!K207,data!$H$4:$I$9)),"#",getgrade(Broadsheet!K207,data!$H$4:$I$9))</f>
        <v/>
      </c>
      <c r="AK96" s="188" t="str">
        <f>IF(ISERROR(getgrade(Broadsheet!L207,data!$H$4:$I$9)),"#",getgrade(Broadsheet!L207,data!$H$4:$I$9))</f>
        <v/>
      </c>
      <c r="AL96" s="188" t="str">
        <f>IF(ISERROR(getgrade(Broadsheet!M207,data!$H$4:$I$9)),"#",getgrade(Broadsheet!M207,data!$H$4:$I$9))</f>
        <v/>
      </c>
      <c r="AM96" s="188" t="str">
        <f>IF(ISERROR(getgrade(Broadsheet!N207,data!$H$4:$I$9)),"#",getgrade(Broadsheet!N207,data!$H$4:$I$9))</f>
        <v/>
      </c>
      <c r="AN96" s="188" t="str">
        <f>IF(ISERROR(getgrade(Broadsheet!O207,data!$H$4:$I$9)),"#",getgrade(Broadsheet!O207,data!$H$4:$I$9))</f>
        <v/>
      </c>
      <c r="AO96" s="188" t="str">
        <f>IF(ISERROR(getgrade(Broadsheet!P207,data!$H$4:$I$9)),"#",getgrade(Broadsheet!P207,data!$H$4:$I$9))</f>
        <v/>
      </c>
      <c r="AP96" s="188" t="str">
        <f>IF(ISERROR(getgrade(Broadsheet!Q207,data!$H$4:$I$9)),"#",getgrade(Broadsheet!Q207,data!$H$4:$I$9))</f>
        <v/>
      </c>
      <c r="AQ96" s="188" t="str">
        <f>IF(ISERROR(getgrade(Broadsheet!R207,data!$H$4:$I$9)),"#",getgrade(Broadsheet!R207,data!$H$4:$I$9))</f>
        <v/>
      </c>
      <c r="AR96" s="188" t="str">
        <f>IF(ISERROR(getgrade(Broadsheet!S207,data!$H$4:$I$9)),"#",getgrade(Broadsheet!S207,data!$H$4:$I$9))</f>
        <v/>
      </c>
      <c r="AS96" s="188" t="str">
        <f>IF(ISERROR(getgrade(Broadsheet!T207,data!$H$4:$I$9)),"#",getgrade(Broadsheet!T207,data!$H$4:$I$9))</f>
        <v/>
      </c>
      <c r="AT96" s="188" t="str">
        <f>IF(ISERROR(getgrade(Broadsheet!U207,data!$H$4:$I$9)),"#",getgrade(Broadsheet!U207,data!$H$4:$I$9))</f>
        <v/>
      </c>
      <c r="AU96" s="188" t="str">
        <f>IF(ISERROR(getgrade(Broadsheet!V207,data!$H$4:$I$9)),"#",getgrade(Broadsheet!V207,data!$H$4:$I$9))</f>
        <v/>
      </c>
      <c r="AV96" s="188" t="str">
        <f>IF(ISERROR(getgrade(Broadsheet!W207,data!$H$4:$I$9)),"#",getgrade(Broadsheet!W207,data!$H$4:$I$9))</f>
        <v/>
      </c>
      <c r="AW96" s="188" t="str">
        <f>IF(ISERROR(getgrade(Broadsheet!X207,data!$H$4:$I$9)),"#",getgrade(Broadsheet!X207,data!$H$4:$I$9))</f>
        <v/>
      </c>
      <c r="AX96" s="188" t="str">
        <f>IF(ISERROR(getgrade(Broadsheet!Y207,data!$H$4:$I$9)),"#",getgrade(Broadsheet!Y207,data!$H$4:$I$9))</f>
        <v/>
      </c>
      <c r="AY96" s="188" t="str">
        <f>IF(ISERROR(getgrade(Broadsheet!Z207,data!$H$4:$I$9)),"#",getgrade(Broadsheet!Z207,data!$H$4:$I$9))</f>
        <v/>
      </c>
      <c r="AZ96" s="188" t="str">
        <f>IF(ISERROR(getgrade(Broadsheet!AA207,data!$H$4:$I$9)),"#",getgrade(Broadsheet!AA207,data!$H$4:$I$9))</f>
        <v/>
      </c>
      <c r="BA96" s="188" t="str">
        <f>IF(ISERROR(getgrade(Broadsheet!AB207,data!$H$4:$I$9)),"#",getgrade(Broadsheet!AB207,data!$H$4:$I$9))</f>
        <v/>
      </c>
      <c r="BB96" s="188" t="str">
        <f>IF(ISERROR(getgrade(Broadsheet!AC207,data!$H$4:$I$9)),"#",getgrade(Broadsheet!AC207,data!$H$4:$I$9))</f>
        <v/>
      </c>
      <c r="BC96" s="188" t="str">
        <f>IF(ISERROR(getgrade(Broadsheet!AD207,data!$H$4:$I$9)),"#",getgrade(Broadsheet!AD207,data!$H$4:$I$9))</f>
        <v/>
      </c>
      <c r="BD96" s="188" t="str">
        <f>IF(ISERROR(getgrade(Broadsheet!AE207,data!$H$4:$I$9)),"#",getgrade(Broadsheet!AE207,data!$H$4:$I$9))</f>
        <v/>
      </c>
      <c r="BE96" s="188" t="str">
        <f>IF(ISERROR(getgrade(Broadsheet!AF207,data!$H$4:$I$9)),"#",getgrade(Broadsheet!AF207,data!$H$4:$I$9))</f>
        <v/>
      </c>
      <c r="BF96" s="188" t="str">
        <f>IF(ISERROR(getgrade(Broadsheet!AG207,data!$H$4:$I$9)),"#",getgrade(Broadsheet!AG207,data!$H$4:$I$9))</f>
        <v/>
      </c>
      <c r="BG96" s="188" t="str">
        <f>IF(ISERROR(getgrade(Broadsheet!AH207,data!$H$4:$I$9)),"#",getgrade(Broadsheet!AH207,data!$H$4:$I$9))</f>
        <v/>
      </c>
      <c r="BH96" s="188" t="str">
        <f>IF(ISERROR(getgrade(Broadsheet!AI207,data!$H$4:$I$9)),"#",getgrade(Broadsheet!AI207,data!$H$4:$I$9))</f>
        <v/>
      </c>
      <c r="BI96" s="188" t="str">
        <f>IF(ISERROR(getgrade(Broadsheet!AJ207,data!$H$4:$I$9)),"#",getgrade(Broadsheet!AJ207,data!$H$4:$I$9))</f>
        <v/>
      </c>
      <c r="BJ96" s="188" t="str">
        <f>IF(ISERROR(getgrade(Broadsheet!AK207,data!$H$4:$I$9)),"#",getgrade(Broadsheet!AK207,data!$H$4:$I$9))</f>
        <v/>
      </c>
      <c r="BK96" s="188" t="str">
        <f>IF(ISERROR(getgrade(Broadsheet!AL207,data!$H$4:$I$9)),"#",getgrade(Broadsheet!AL207,data!$H$4:$I$9))</f>
        <v/>
      </c>
      <c r="BL96" s="188" t="str">
        <f>IF(ISERROR(getgrade(Broadsheet!AM207,data!$H$4:$I$9)),"#",getgrade(Broadsheet!AM207,data!$H$4:$I$9))</f>
        <v/>
      </c>
      <c r="BM96" s="188" t="str">
        <f>IF(ISERROR(getgrade(Broadsheet!AN207,data!$H$4:$I$9)),"#",getgrade(Broadsheet!AN207,data!$H$4:$I$9))</f>
        <v/>
      </c>
      <c r="BN96" s="188" t="str">
        <f>IF(ISERROR(getgrade(Broadsheet!AO207,data!$H$4:$I$9)),"#",getgrade(Broadsheet!AO207,data!$H$4:$I$9))</f>
        <v/>
      </c>
      <c r="BO96" s="188" t="str">
        <f>IF(ISERROR(getgrade(Broadsheet!AP207,data!$H$4:$I$9)),"#",getgrade(Broadsheet!AP207,data!$H$4:$I$9))</f>
        <v/>
      </c>
      <c r="BP96" s="188" t="str">
        <f>IF(ISERROR(getgrade(Broadsheet!AQ207,data!$H$4:$I$9)),"#",getgrade(Broadsheet!AQ207,data!$H$4:$I$9))</f>
        <v/>
      </c>
      <c r="BQ96" s="188" t="str">
        <f>IF(ISERROR(getgrade(Broadsheet!AR207,data!$H$4:$I$9)),"#",getgrade(Broadsheet!AR207,data!$H$4:$I$9))</f>
        <v/>
      </c>
      <c r="BR96" s="188" t="str">
        <f>IF(ISERROR(getgrade(Broadsheet!AS207,data!$H$4:$I$9)),"#",getgrade(Broadsheet!AS207,data!$H$4:$I$9))</f>
        <v/>
      </c>
      <c r="BS96" s="188" t="str">
        <f>IF(ISERROR(getgrade(Broadsheet!AT207,data!$H$4:$I$9)),"#",getgrade(Broadsheet!AT207,data!$H$4:$I$9))</f>
        <v/>
      </c>
      <c r="BT96" s="188" t="str">
        <f>IF(ISERROR(getgrade(Broadsheet!AU207,data!$H$4:$I$9)),"#",getgrade(Broadsheet!AU207,data!$H$4:$I$9))</f>
        <v/>
      </c>
      <c r="BU96" s="188" t="str">
        <f>IF(ISERROR(getgrade(Broadsheet!AV207,data!$H$4:$I$9)),"#",getgrade(Broadsheet!AV207,data!$H$4:$I$9))</f>
        <v/>
      </c>
      <c r="BV96" s="188" t="str">
        <f>IF(ISERROR(getgrade(Broadsheet!AW207,data!$H$4:$I$9)),"#",getgrade(Broadsheet!AW207,data!$H$4:$I$9))</f>
        <v/>
      </c>
      <c r="BW96" s="188" t="str">
        <f>IF(ISERROR(getgrade(Broadsheet!AX207,data!$H$4:$I$9)),"#",getgrade(Broadsheet!AX207,data!$H$4:$I$9))</f>
        <v/>
      </c>
      <c r="BX96" s="188" t="str">
        <f>IF(ISERROR(getgrade(Broadsheet!AY207,data!$H$4:$I$9)),"#",getgrade(Broadsheet!AY207,data!$H$4:$I$9))</f>
        <v/>
      </c>
      <c r="BY96" s="188" t="str">
        <f>IF(ISERROR(getgrade(Broadsheet!AZ207,data!$H$4:$I$9)),"#",getgrade(Broadsheet!AZ207,data!$H$4:$I$9))</f>
        <v/>
      </c>
      <c r="BZ96" s="188" t="str">
        <f>IF(ISERROR(getgrade(Broadsheet!BA207,data!$H$4:$I$9)),"#",getgrade(Broadsheet!BA207,data!$H$4:$I$9))</f>
        <v/>
      </c>
      <c r="CA96" s="188" t="str">
        <f>IF(ISERROR(getgrade(Broadsheet!BB207,data!$H$4:$I$9)),"#",getgrade(Broadsheet!BB207,data!$H$4:$I$9))</f>
        <v/>
      </c>
      <c r="CB96" s="188" t="str">
        <f>IF(ISERROR(getgrade(Broadsheet!BC207,data!$H$4:$I$9)),"#",getgrade(Broadsheet!BC207,data!$H$4:$I$9))</f>
        <v/>
      </c>
      <c r="CC96" s="188" t="str">
        <f>IF(ISERROR(getgrade(Broadsheet!BD207,data!$H$4:$I$9)),"#",getgrade(Broadsheet!BD207,data!$H$4:$I$9))</f>
        <v/>
      </c>
      <c r="CD96" s="188" t="str">
        <f>IF(ISERROR(getgrade(Broadsheet!BE207,data!$H$4:$I$9)),"#",getgrade(Broadsheet!BE207,data!$H$4:$I$9))</f>
        <v/>
      </c>
      <c r="CE96" s="188" t="str">
        <f>IF(ISERROR(getgrade(Broadsheet!BF207,data!$H$4:$I$9)),"#",getgrade(Broadsheet!BF207,data!$H$4:$I$9))</f>
        <v/>
      </c>
      <c r="CF96" s="188" t="str">
        <f>IF(ISERROR(getgrade(Broadsheet!BG207,data!$H$4:$I$9)),"#",getgrade(Broadsheet!BG207,data!$H$4:$I$9))</f>
        <v/>
      </c>
      <c r="CG96" s="188" t="str">
        <f>IF(ISERROR(getgrade(Broadsheet!BH207,data!$H$4:$I$9)),"#",getgrade(Broadsheet!BH207,data!$H$4:$I$9))</f>
        <v/>
      </c>
      <c r="CH96" s="188" t="str">
        <f>IF(ISERROR(getgrade(Broadsheet!BI207,data!$H$4:$I$9)),"#",getgrade(Broadsheet!BI207,data!$H$4:$I$9))</f>
        <v/>
      </c>
      <c r="CI96" s="188" t="str">
        <f>IF(ISERROR(getgrade(Broadsheet!BJ207,data!$H$4:$I$9)),"#",getgrade(Broadsheet!BJ207,data!$H$4:$I$9))</f>
        <v/>
      </c>
      <c r="CJ96" s="188"/>
      <c r="CK96" s="188"/>
      <c r="CL96" s="188"/>
      <c r="CM96" s="188"/>
      <c r="CN96" s="188"/>
      <c r="CO96" s="188"/>
      <c r="CP96" s="188"/>
      <c r="CQ96" s="188"/>
      <c r="CR96" s="188"/>
      <c r="CS96" s="188"/>
      <c r="CT96" s="188"/>
      <c r="CU96" s="188"/>
      <c r="CV96" s="188"/>
      <c r="CW96" s="188"/>
      <c r="CX96" s="188"/>
      <c r="CY96" s="188"/>
      <c r="CZ96" s="188"/>
      <c r="DA96" s="188"/>
      <c r="DB96" s="188"/>
      <c r="DC96" s="188"/>
      <c r="DD96" s="188"/>
      <c r="DE96" s="188"/>
      <c r="DF96" s="188"/>
      <c r="DG96" s="188"/>
      <c r="DH96" s="188"/>
      <c r="DI96" s="188"/>
      <c r="DJ96" s="188"/>
      <c r="DK96" s="188"/>
      <c r="DL96" s="188"/>
      <c r="DM96" s="188"/>
      <c r="DN96" s="188"/>
      <c r="DO96" s="188"/>
      <c r="DP96" s="188"/>
      <c r="DQ96" s="188"/>
      <c r="DR96" s="188"/>
      <c r="DS96" s="188"/>
      <c r="DT96" s="188"/>
      <c r="DU96" s="188"/>
      <c r="DV96" s="188"/>
      <c r="DW96" s="188"/>
      <c r="DX96" s="188"/>
      <c r="DY96" s="188"/>
      <c r="DZ96" s="188"/>
      <c r="EA96" s="188"/>
      <c r="EB96" s="188"/>
      <c r="EC96" s="188"/>
      <c r="ED96" s="188"/>
      <c r="EE96" s="188"/>
      <c r="EF96" s="188"/>
      <c r="EG96" s="188"/>
      <c r="EH96" s="188"/>
      <c r="EI96" s="188"/>
      <c r="EJ96" s="188"/>
      <c r="EK96" s="188"/>
      <c r="EL96" s="188"/>
      <c r="EM96" s="188"/>
      <c r="EN96" s="188"/>
      <c r="EO96" s="188"/>
      <c r="EP96" s="188"/>
      <c r="EQ96" s="188"/>
      <c r="ER96" s="188"/>
      <c r="ES96" s="188"/>
      <c r="ET96" s="188"/>
      <c r="EU96" s="188"/>
      <c r="EV96" s="188"/>
      <c r="EW96" s="188"/>
      <c r="EX96" s="188"/>
      <c r="EY96" s="188"/>
      <c r="EZ96" s="188"/>
    </row>
    <row r="97" spans="33:156" x14ac:dyDescent="0.2">
      <c r="AG97" s="188" t="str">
        <f>IF(ISERROR(getgrade(Broadsheet!H208,data!$H$4:$I$9)),"#",getgrade(Broadsheet!H208,data!$H$4:$I$9))</f>
        <v/>
      </c>
      <c r="AH97" s="188" t="str">
        <f>IF(ISERROR(getgrade(Broadsheet!I208,data!$H$4:$I$9)),"#",getgrade(Broadsheet!I208,data!$H$4:$I$9))</f>
        <v/>
      </c>
      <c r="AI97" s="188" t="str">
        <f>IF(ISERROR(getgrade(Broadsheet!J208,data!$H$4:$I$9)),"#",getgrade(Broadsheet!J208,data!$H$4:$I$9))</f>
        <v/>
      </c>
      <c r="AJ97" s="188" t="str">
        <f>IF(ISERROR(getgrade(Broadsheet!K208,data!$H$4:$I$9)),"#",getgrade(Broadsheet!K208,data!$H$4:$I$9))</f>
        <v/>
      </c>
      <c r="AK97" s="188" t="str">
        <f>IF(ISERROR(getgrade(Broadsheet!L208,data!$H$4:$I$9)),"#",getgrade(Broadsheet!L208,data!$H$4:$I$9))</f>
        <v/>
      </c>
      <c r="AL97" s="188" t="str">
        <f>IF(ISERROR(getgrade(Broadsheet!M208,data!$H$4:$I$9)),"#",getgrade(Broadsheet!M208,data!$H$4:$I$9))</f>
        <v/>
      </c>
      <c r="AM97" s="188" t="str">
        <f>IF(ISERROR(getgrade(Broadsheet!N208,data!$H$4:$I$9)),"#",getgrade(Broadsheet!N208,data!$H$4:$I$9))</f>
        <v/>
      </c>
      <c r="AN97" s="188" t="str">
        <f>IF(ISERROR(getgrade(Broadsheet!O208,data!$H$4:$I$9)),"#",getgrade(Broadsheet!O208,data!$H$4:$I$9))</f>
        <v/>
      </c>
      <c r="AO97" s="188" t="str">
        <f>IF(ISERROR(getgrade(Broadsheet!P208,data!$H$4:$I$9)),"#",getgrade(Broadsheet!P208,data!$H$4:$I$9))</f>
        <v/>
      </c>
      <c r="AP97" s="188" t="str">
        <f>IF(ISERROR(getgrade(Broadsheet!Q208,data!$H$4:$I$9)),"#",getgrade(Broadsheet!Q208,data!$H$4:$I$9))</f>
        <v/>
      </c>
      <c r="AQ97" s="188" t="str">
        <f>IF(ISERROR(getgrade(Broadsheet!R208,data!$H$4:$I$9)),"#",getgrade(Broadsheet!R208,data!$H$4:$I$9))</f>
        <v/>
      </c>
      <c r="AR97" s="188" t="str">
        <f>IF(ISERROR(getgrade(Broadsheet!S208,data!$H$4:$I$9)),"#",getgrade(Broadsheet!S208,data!$H$4:$I$9))</f>
        <v/>
      </c>
      <c r="AS97" s="188" t="str">
        <f>IF(ISERROR(getgrade(Broadsheet!T208,data!$H$4:$I$9)),"#",getgrade(Broadsheet!T208,data!$H$4:$I$9))</f>
        <v/>
      </c>
      <c r="AT97" s="188" t="str">
        <f>IF(ISERROR(getgrade(Broadsheet!U208,data!$H$4:$I$9)),"#",getgrade(Broadsheet!U208,data!$H$4:$I$9))</f>
        <v/>
      </c>
      <c r="AU97" s="188" t="str">
        <f>IF(ISERROR(getgrade(Broadsheet!V208,data!$H$4:$I$9)),"#",getgrade(Broadsheet!V208,data!$H$4:$I$9))</f>
        <v/>
      </c>
      <c r="AV97" s="188" t="str">
        <f>IF(ISERROR(getgrade(Broadsheet!W208,data!$H$4:$I$9)),"#",getgrade(Broadsheet!W208,data!$H$4:$I$9))</f>
        <v/>
      </c>
      <c r="AW97" s="188" t="str">
        <f>IF(ISERROR(getgrade(Broadsheet!X208,data!$H$4:$I$9)),"#",getgrade(Broadsheet!X208,data!$H$4:$I$9))</f>
        <v/>
      </c>
      <c r="AX97" s="188" t="str">
        <f>IF(ISERROR(getgrade(Broadsheet!Y208,data!$H$4:$I$9)),"#",getgrade(Broadsheet!Y208,data!$H$4:$I$9))</f>
        <v/>
      </c>
      <c r="AY97" s="188" t="str">
        <f>IF(ISERROR(getgrade(Broadsheet!Z208,data!$H$4:$I$9)),"#",getgrade(Broadsheet!Z208,data!$H$4:$I$9))</f>
        <v/>
      </c>
      <c r="AZ97" s="188" t="str">
        <f>IF(ISERROR(getgrade(Broadsheet!AA208,data!$H$4:$I$9)),"#",getgrade(Broadsheet!AA208,data!$H$4:$I$9))</f>
        <v/>
      </c>
      <c r="BA97" s="188" t="str">
        <f>IF(ISERROR(getgrade(Broadsheet!AB208,data!$H$4:$I$9)),"#",getgrade(Broadsheet!AB208,data!$H$4:$I$9))</f>
        <v/>
      </c>
      <c r="BB97" s="188" t="str">
        <f>IF(ISERROR(getgrade(Broadsheet!AC208,data!$H$4:$I$9)),"#",getgrade(Broadsheet!AC208,data!$H$4:$I$9))</f>
        <v/>
      </c>
      <c r="BC97" s="188" t="str">
        <f>IF(ISERROR(getgrade(Broadsheet!AD208,data!$H$4:$I$9)),"#",getgrade(Broadsheet!AD208,data!$H$4:$I$9))</f>
        <v/>
      </c>
      <c r="BD97" s="188" t="str">
        <f>IF(ISERROR(getgrade(Broadsheet!AE208,data!$H$4:$I$9)),"#",getgrade(Broadsheet!AE208,data!$H$4:$I$9))</f>
        <v/>
      </c>
      <c r="BE97" s="188" t="str">
        <f>IF(ISERROR(getgrade(Broadsheet!AF208,data!$H$4:$I$9)),"#",getgrade(Broadsheet!AF208,data!$H$4:$I$9))</f>
        <v/>
      </c>
      <c r="BF97" s="188" t="str">
        <f>IF(ISERROR(getgrade(Broadsheet!AG208,data!$H$4:$I$9)),"#",getgrade(Broadsheet!AG208,data!$H$4:$I$9))</f>
        <v/>
      </c>
      <c r="BG97" s="188" t="str">
        <f>IF(ISERROR(getgrade(Broadsheet!AH208,data!$H$4:$I$9)),"#",getgrade(Broadsheet!AH208,data!$H$4:$I$9))</f>
        <v/>
      </c>
      <c r="BH97" s="188" t="str">
        <f>IF(ISERROR(getgrade(Broadsheet!AI208,data!$H$4:$I$9)),"#",getgrade(Broadsheet!AI208,data!$H$4:$I$9))</f>
        <v/>
      </c>
      <c r="BI97" s="188" t="str">
        <f>IF(ISERROR(getgrade(Broadsheet!AJ208,data!$H$4:$I$9)),"#",getgrade(Broadsheet!AJ208,data!$H$4:$I$9))</f>
        <v/>
      </c>
      <c r="BJ97" s="188" t="str">
        <f>IF(ISERROR(getgrade(Broadsheet!AK208,data!$H$4:$I$9)),"#",getgrade(Broadsheet!AK208,data!$H$4:$I$9))</f>
        <v/>
      </c>
      <c r="BK97" s="188" t="str">
        <f>IF(ISERROR(getgrade(Broadsheet!AL208,data!$H$4:$I$9)),"#",getgrade(Broadsheet!AL208,data!$H$4:$I$9))</f>
        <v/>
      </c>
      <c r="BL97" s="188" t="str">
        <f>IF(ISERROR(getgrade(Broadsheet!AM208,data!$H$4:$I$9)),"#",getgrade(Broadsheet!AM208,data!$H$4:$I$9))</f>
        <v/>
      </c>
      <c r="BM97" s="188" t="str">
        <f>IF(ISERROR(getgrade(Broadsheet!AN208,data!$H$4:$I$9)),"#",getgrade(Broadsheet!AN208,data!$H$4:$I$9))</f>
        <v/>
      </c>
      <c r="BN97" s="188" t="str">
        <f>IF(ISERROR(getgrade(Broadsheet!AO208,data!$H$4:$I$9)),"#",getgrade(Broadsheet!AO208,data!$H$4:$I$9))</f>
        <v/>
      </c>
      <c r="BO97" s="188" t="str">
        <f>IF(ISERROR(getgrade(Broadsheet!AP208,data!$H$4:$I$9)),"#",getgrade(Broadsheet!AP208,data!$H$4:$I$9))</f>
        <v/>
      </c>
      <c r="BP97" s="188" t="str">
        <f>IF(ISERROR(getgrade(Broadsheet!AQ208,data!$H$4:$I$9)),"#",getgrade(Broadsheet!AQ208,data!$H$4:$I$9))</f>
        <v/>
      </c>
      <c r="BQ97" s="188" t="str">
        <f>IF(ISERROR(getgrade(Broadsheet!AR208,data!$H$4:$I$9)),"#",getgrade(Broadsheet!AR208,data!$H$4:$I$9))</f>
        <v/>
      </c>
      <c r="BR97" s="188" t="str">
        <f>IF(ISERROR(getgrade(Broadsheet!AS208,data!$H$4:$I$9)),"#",getgrade(Broadsheet!AS208,data!$H$4:$I$9))</f>
        <v/>
      </c>
      <c r="BS97" s="188" t="str">
        <f>IF(ISERROR(getgrade(Broadsheet!AT208,data!$H$4:$I$9)),"#",getgrade(Broadsheet!AT208,data!$H$4:$I$9))</f>
        <v/>
      </c>
      <c r="BT97" s="188" t="str">
        <f>IF(ISERROR(getgrade(Broadsheet!AU208,data!$H$4:$I$9)),"#",getgrade(Broadsheet!AU208,data!$H$4:$I$9))</f>
        <v/>
      </c>
      <c r="BU97" s="188" t="str">
        <f>IF(ISERROR(getgrade(Broadsheet!AV208,data!$H$4:$I$9)),"#",getgrade(Broadsheet!AV208,data!$H$4:$I$9))</f>
        <v/>
      </c>
      <c r="BV97" s="188" t="str">
        <f>IF(ISERROR(getgrade(Broadsheet!AW208,data!$H$4:$I$9)),"#",getgrade(Broadsheet!AW208,data!$H$4:$I$9))</f>
        <v/>
      </c>
      <c r="BW97" s="188" t="str">
        <f>IF(ISERROR(getgrade(Broadsheet!AX208,data!$H$4:$I$9)),"#",getgrade(Broadsheet!AX208,data!$H$4:$I$9))</f>
        <v/>
      </c>
      <c r="BX97" s="188" t="str">
        <f>IF(ISERROR(getgrade(Broadsheet!AY208,data!$H$4:$I$9)),"#",getgrade(Broadsheet!AY208,data!$H$4:$I$9))</f>
        <v/>
      </c>
      <c r="BY97" s="188" t="str">
        <f>IF(ISERROR(getgrade(Broadsheet!AZ208,data!$H$4:$I$9)),"#",getgrade(Broadsheet!AZ208,data!$H$4:$I$9))</f>
        <v/>
      </c>
      <c r="BZ97" s="188" t="str">
        <f>IF(ISERROR(getgrade(Broadsheet!BA208,data!$H$4:$I$9)),"#",getgrade(Broadsheet!BA208,data!$H$4:$I$9))</f>
        <v/>
      </c>
      <c r="CA97" s="188" t="str">
        <f>IF(ISERROR(getgrade(Broadsheet!BB208,data!$H$4:$I$9)),"#",getgrade(Broadsheet!BB208,data!$H$4:$I$9))</f>
        <v/>
      </c>
      <c r="CB97" s="188" t="str">
        <f>IF(ISERROR(getgrade(Broadsheet!BC208,data!$H$4:$I$9)),"#",getgrade(Broadsheet!BC208,data!$H$4:$I$9))</f>
        <v/>
      </c>
      <c r="CC97" s="188" t="str">
        <f>IF(ISERROR(getgrade(Broadsheet!BD208,data!$H$4:$I$9)),"#",getgrade(Broadsheet!BD208,data!$H$4:$I$9))</f>
        <v/>
      </c>
      <c r="CD97" s="188" t="str">
        <f>IF(ISERROR(getgrade(Broadsheet!BE208,data!$H$4:$I$9)),"#",getgrade(Broadsheet!BE208,data!$H$4:$I$9))</f>
        <v/>
      </c>
      <c r="CE97" s="188" t="str">
        <f>IF(ISERROR(getgrade(Broadsheet!BF208,data!$H$4:$I$9)),"#",getgrade(Broadsheet!BF208,data!$H$4:$I$9))</f>
        <v/>
      </c>
      <c r="CF97" s="188" t="str">
        <f>IF(ISERROR(getgrade(Broadsheet!BG208,data!$H$4:$I$9)),"#",getgrade(Broadsheet!BG208,data!$H$4:$I$9))</f>
        <v/>
      </c>
      <c r="CG97" s="188" t="str">
        <f>IF(ISERROR(getgrade(Broadsheet!BH208,data!$H$4:$I$9)),"#",getgrade(Broadsheet!BH208,data!$H$4:$I$9))</f>
        <v/>
      </c>
      <c r="CH97" s="188" t="str">
        <f>IF(ISERROR(getgrade(Broadsheet!BI208,data!$H$4:$I$9)),"#",getgrade(Broadsheet!BI208,data!$H$4:$I$9))</f>
        <v/>
      </c>
      <c r="CI97" s="188" t="str">
        <f>IF(ISERROR(getgrade(Broadsheet!BJ208,data!$H$4:$I$9)),"#",getgrade(Broadsheet!BJ208,data!$H$4:$I$9))</f>
        <v/>
      </c>
      <c r="CJ97" s="188"/>
      <c r="CK97" s="188"/>
      <c r="CL97" s="188"/>
      <c r="CM97" s="188"/>
      <c r="CN97" s="188"/>
      <c r="CO97" s="188"/>
      <c r="CP97" s="188"/>
      <c r="CQ97" s="188"/>
      <c r="CR97" s="188"/>
      <c r="CS97" s="188"/>
      <c r="CT97" s="188"/>
      <c r="CU97" s="188"/>
      <c r="CV97" s="188"/>
      <c r="CW97" s="188"/>
      <c r="CX97" s="188"/>
      <c r="CY97" s="188"/>
      <c r="CZ97" s="188"/>
      <c r="DA97" s="188"/>
      <c r="DB97" s="188"/>
      <c r="DC97" s="188"/>
      <c r="DD97" s="188"/>
      <c r="DE97" s="188"/>
      <c r="DF97" s="188"/>
      <c r="DG97" s="188"/>
      <c r="DH97" s="188"/>
      <c r="DI97" s="188"/>
      <c r="DJ97" s="188"/>
      <c r="DK97" s="188"/>
      <c r="DL97" s="188"/>
      <c r="DM97" s="188"/>
      <c r="DN97" s="188"/>
      <c r="DO97" s="188"/>
      <c r="DP97" s="188"/>
      <c r="DQ97" s="188"/>
      <c r="DR97" s="188"/>
      <c r="DS97" s="188"/>
      <c r="DT97" s="188"/>
      <c r="DU97" s="188"/>
      <c r="DV97" s="188"/>
      <c r="DW97" s="188"/>
      <c r="DX97" s="188"/>
      <c r="DY97" s="188"/>
      <c r="DZ97" s="188"/>
      <c r="EA97" s="188"/>
      <c r="EB97" s="188"/>
      <c r="EC97" s="188"/>
      <c r="ED97" s="188"/>
      <c r="EE97" s="188"/>
      <c r="EF97" s="188"/>
      <c r="EG97" s="188"/>
      <c r="EH97" s="188"/>
      <c r="EI97" s="188"/>
      <c r="EJ97" s="188"/>
      <c r="EK97" s="188"/>
      <c r="EL97" s="188"/>
      <c r="EM97" s="188"/>
      <c r="EN97" s="188"/>
      <c r="EO97" s="188"/>
      <c r="EP97" s="188"/>
      <c r="EQ97" s="188"/>
      <c r="ER97" s="188"/>
      <c r="ES97" s="188"/>
      <c r="ET97" s="188"/>
      <c r="EU97" s="188"/>
      <c r="EV97" s="188"/>
      <c r="EW97" s="188"/>
      <c r="EX97" s="188"/>
      <c r="EY97" s="188"/>
      <c r="EZ97" s="188"/>
    </row>
    <row r="98" spans="33:156" x14ac:dyDescent="0.2">
      <c r="AG98" s="188" t="str">
        <f>IF(ISERROR(getgrade(Broadsheet!H209,data!$H$4:$I$9)),"#",getgrade(Broadsheet!H209,data!$H$4:$I$9))</f>
        <v/>
      </c>
      <c r="AH98" s="188" t="str">
        <f>IF(ISERROR(getgrade(Broadsheet!I209,data!$H$4:$I$9)),"#",getgrade(Broadsheet!I209,data!$H$4:$I$9))</f>
        <v/>
      </c>
      <c r="AI98" s="188" t="str">
        <f>IF(ISERROR(getgrade(Broadsheet!J209,data!$H$4:$I$9)),"#",getgrade(Broadsheet!J209,data!$H$4:$I$9))</f>
        <v/>
      </c>
      <c r="AJ98" s="188" t="str">
        <f>IF(ISERROR(getgrade(Broadsheet!K209,data!$H$4:$I$9)),"#",getgrade(Broadsheet!K209,data!$H$4:$I$9))</f>
        <v/>
      </c>
      <c r="AK98" s="188" t="str">
        <f>IF(ISERROR(getgrade(Broadsheet!L209,data!$H$4:$I$9)),"#",getgrade(Broadsheet!L209,data!$H$4:$I$9))</f>
        <v/>
      </c>
      <c r="AL98" s="188" t="str">
        <f>IF(ISERROR(getgrade(Broadsheet!M209,data!$H$4:$I$9)),"#",getgrade(Broadsheet!M209,data!$H$4:$I$9))</f>
        <v/>
      </c>
      <c r="AM98" s="188" t="str">
        <f>IF(ISERROR(getgrade(Broadsheet!N209,data!$H$4:$I$9)),"#",getgrade(Broadsheet!N209,data!$H$4:$I$9))</f>
        <v/>
      </c>
      <c r="AN98" s="188" t="str">
        <f>IF(ISERROR(getgrade(Broadsheet!O209,data!$H$4:$I$9)),"#",getgrade(Broadsheet!O209,data!$H$4:$I$9))</f>
        <v/>
      </c>
      <c r="AO98" s="188" t="str">
        <f>IF(ISERROR(getgrade(Broadsheet!P209,data!$H$4:$I$9)),"#",getgrade(Broadsheet!P209,data!$H$4:$I$9))</f>
        <v/>
      </c>
      <c r="AP98" s="188" t="str">
        <f>IF(ISERROR(getgrade(Broadsheet!Q209,data!$H$4:$I$9)),"#",getgrade(Broadsheet!Q209,data!$H$4:$I$9))</f>
        <v/>
      </c>
      <c r="AQ98" s="188" t="str">
        <f>IF(ISERROR(getgrade(Broadsheet!R209,data!$H$4:$I$9)),"#",getgrade(Broadsheet!R209,data!$H$4:$I$9))</f>
        <v/>
      </c>
      <c r="AR98" s="188" t="str">
        <f>IF(ISERROR(getgrade(Broadsheet!S209,data!$H$4:$I$9)),"#",getgrade(Broadsheet!S209,data!$H$4:$I$9))</f>
        <v/>
      </c>
      <c r="AS98" s="188" t="str">
        <f>IF(ISERROR(getgrade(Broadsheet!T209,data!$H$4:$I$9)),"#",getgrade(Broadsheet!T209,data!$H$4:$I$9))</f>
        <v/>
      </c>
      <c r="AT98" s="188" t="str">
        <f>IF(ISERROR(getgrade(Broadsheet!U209,data!$H$4:$I$9)),"#",getgrade(Broadsheet!U209,data!$H$4:$I$9))</f>
        <v/>
      </c>
      <c r="AU98" s="188" t="str">
        <f>IF(ISERROR(getgrade(Broadsheet!V209,data!$H$4:$I$9)),"#",getgrade(Broadsheet!V209,data!$H$4:$I$9))</f>
        <v/>
      </c>
      <c r="AV98" s="188" t="str">
        <f>IF(ISERROR(getgrade(Broadsheet!W209,data!$H$4:$I$9)),"#",getgrade(Broadsheet!W209,data!$H$4:$I$9))</f>
        <v/>
      </c>
      <c r="AW98" s="188" t="str">
        <f>IF(ISERROR(getgrade(Broadsheet!X209,data!$H$4:$I$9)),"#",getgrade(Broadsheet!X209,data!$H$4:$I$9))</f>
        <v/>
      </c>
      <c r="AX98" s="188" t="str">
        <f>IF(ISERROR(getgrade(Broadsheet!Y209,data!$H$4:$I$9)),"#",getgrade(Broadsheet!Y209,data!$H$4:$I$9))</f>
        <v/>
      </c>
      <c r="AY98" s="188" t="str">
        <f>IF(ISERROR(getgrade(Broadsheet!Z209,data!$H$4:$I$9)),"#",getgrade(Broadsheet!Z209,data!$H$4:$I$9))</f>
        <v/>
      </c>
      <c r="AZ98" s="188" t="str">
        <f>IF(ISERROR(getgrade(Broadsheet!AA209,data!$H$4:$I$9)),"#",getgrade(Broadsheet!AA209,data!$H$4:$I$9))</f>
        <v/>
      </c>
      <c r="BA98" s="188" t="str">
        <f>IF(ISERROR(getgrade(Broadsheet!AB209,data!$H$4:$I$9)),"#",getgrade(Broadsheet!AB209,data!$H$4:$I$9))</f>
        <v/>
      </c>
      <c r="BB98" s="188" t="str">
        <f>IF(ISERROR(getgrade(Broadsheet!AC209,data!$H$4:$I$9)),"#",getgrade(Broadsheet!AC209,data!$H$4:$I$9))</f>
        <v/>
      </c>
      <c r="BC98" s="188" t="str">
        <f>IF(ISERROR(getgrade(Broadsheet!AD209,data!$H$4:$I$9)),"#",getgrade(Broadsheet!AD209,data!$H$4:$I$9))</f>
        <v/>
      </c>
      <c r="BD98" s="188" t="str">
        <f>IF(ISERROR(getgrade(Broadsheet!AE209,data!$H$4:$I$9)),"#",getgrade(Broadsheet!AE209,data!$H$4:$I$9))</f>
        <v/>
      </c>
      <c r="BE98" s="188" t="str">
        <f>IF(ISERROR(getgrade(Broadsheet!AF209,data!$H$4:$I$9)),"#",getgrade(Broadsheet!AF209,data!$H$4:$I$9))</f>
        <v/>
      </c>
      <c r="BF98" s="188" t="str">
        <f>IF(ISERROR(getgrade(Broadsheet!AG209,data!$H$4:$I$9)),"#",getgrade(Broadsheet!AG209,data!$H$4:$I$9))</f>
        <v/>
      </c>
      <c r="BG98" s="188" t="str">
        <f>IF(ISERROR(getgrade(Broadsheet!AH209,data!$H$4:$I$9)),"#",getgrade(Broadsheet!AH209,data!$H$4:$I$9))</f>
        <v/>
      </c>
      <c r="BH98" s="188" t="str">
        <f>IF(ISERROR(getgrade(Broadsheet!AI209,data!$H$4:$I$9)),"#",getgrade(Broadsheet!AI209,data!$H$4:$I$9))</f>
        <v/>
      </c>
      <c r="BI98" s="188" t="str">
        <f>IF(ISERROR(getgrade(Broadsheet!AJ209,data!$H$4:$I$9)),"#",getgrade(Broadsheet!AJ209,data!$H$4:$I$9))</f>
        <v/>
      </c>
      <c r="BJ98" s="188" t="str">
        <f>IF(ISERROR(getgrade(Broadsheet!AK209,data!$H$4:$I$9)),"#",getgrade(Broadsheet!AK209,data!$H$4:$I$9))</f>
        <v/>
      </c>
      <c r="BK98" s="188" t="str">
        <f>IF(ISERROR(getgrade(Broadsheet!AL209,data!$H$4:$I$9)),"#",getgrade(Broadsheet!AL209,data!$H$4:$I$9))</f>
        <v/>
      </c>
      <c r="BL98" s="188" t="str">
        <f>IF(ISERROR(getgrade(Broadsheet!AM209,data!$H$4:$I$9)),"#",getgrade(Broadsheet!AM209,data!$H$4:$I$9))</f>
        <v/>
      </c>
      <c r="BM98" s="188" t="str">
        <f>IF(ISERROR(getgrade(Broadsheet!AN209,data!$H$4:$I$9)),"#",getgrade(Broadsheet!AN209,data!$H$4:$I$9))</f>
        <v/>
      </c>
      <c r="BN98" s="188" t="str">
        <f>IF(ISERROR(getgrade(Broadsheet!AO209,data!$H$4:$I$9)),"#",getgrade(Broadsheet!AO209,data!$H$4:$I$9))</f>
        <v/>
      </c>
      <c r="BO98" s="188" t="str">
        <f>IF(ISERROR(getgrade(Broadsheet!AP209,data!$H$4:$I$9)),"#",getgrade(Broadsheet!AP209,data!$H$4:$I$9))</f>
        <v/>
      </c>
      <c r="BP98" s="188" t="str">
        <f>IF(ISERROR(getgrade(Broadsheet!AQ209,data!$H$4:$I$9)),"#",getgrade(Broadsheet!AQ209,data!$H$4:$I$9))</f>
        <v/>
      </c>
      <c r="BQ98" s="188" t="str">
        <f>IF(ISERROR(getgrade(Broadsheet!AR209,data!$H$4:$I$9)),"#",getgrade(Broadsheet!AR209,data!$H$4:$I$9))</f>
        <v/>
      </c>
      <c r="BR98" s="188" t="str">
        <f>IF(ISERROR(getgrade(Broadsheet!AS209,data!$H$4:$I$9)),"#",getgrade(Broadsheet!AS209,data!$H$4:$I$9))</f>
        <v/>
      </c>
      <c r="BS98" s="188" t="str">
        <f>IF(ISERROR(getgrade(Broadsheet!AT209,data!$H$4:$I$9)),"#",getgrade(Broadsheet!AT209,data!$H$4:$I$9))</f>
        <v/>
      </c>
      <c r="BT98" s="188" t="str">
        <f>IF(ISERROR(getgrade(Broadsheet!AU209,data!$H$4:$I$9)),"#",getgrade(Broadsheet!AU209,data!$H$4:$I$9))</f>
        <v/>
      </c>
      <c r="BU98" s="188" t="str">
        <f>IF(ISERROR(getgrade(Broadsheet!AV209,data!$H$4:$I$9)),"#",getgrade(Broadsheet!AV209,data!$H$4:$I$9))</f>
        <v/>
      </c>
      <c r="BV98" s="188" t="str">
        <f>IF(ISERROR(getgrade(Broadsheet!AW209,data!$H$4:$I$9)),"#",getgrade(Broadsheet!AW209,data!$H$4:$I$9))</f>
        <v/>
      </c>
      <c r="BW98" s="188" t="str">
        <f>IF(ISERROR(getgrade(Broadsheet!AX209,data!$H$4:$I$9)),"#",getgrade(Broadsheet!AX209,data!$H$4:$I$9))</f>
        <v/>
      </c>
      <c r="BX98" s="188" t="str">
        <f>IF(ISERROR(getgrade(Broadsheet!AY209,data!$H$4:$I$9)),"#",getgrade(Broadsheet!AY209,data!$H$4:$I$9))</f>
        <v/>
      </c>
      <c r="BY98" s="188" t="str">
        <f>IF(ISERROR(getgrade(Broadsheet!AZ209,data!$H$4:$I$9)),"#",getgrade(Broadsheet!AZ209,data!$H$4:$I$9))</f>
        <v/>
      </c>
      <c r="BZ98" s="188" t="str">
        <f>IF(ISERROR(getgrade(Broadsheet!BA209,data!$H$4:$I$9)),"#",getgrade(Broadsheet!BA209,data!$H$4:$I$9))</f>
        <v/>
      </c>
      <c r="CA98" s="188" t="str">
        <f>IF(ISERROR(getgrade(Broadsheet!BB209,data!$H$4:$I$9)),"#",getgrade(Broadsheet!BB209,data!$H$4:$I$9))</f>
        <v/>
      </c>
      <c r="CB98" s="188" t="str">
        <f>IF(ISERROR(getgrade(Broadsheet!BC209,data!$H$4:$I$9)),"#",getgrade(Broadsheet!BC209,data!$H$4:$I$9))</f>
        <v/>
      </c>
      <c r="CC98" s="188" t="str">
        <f>IF(ISERROR(getgrade(Broadsheet!BD209,data!$H$4:$I$9)),"#",getgrade(Broadsheet!BD209,data!$H$4:$I$9))</f>
        <v/>
      </c>
      <c r="CD98" s="188" t="str">
        <f>IF(ISERROR(getgrade(Broadsheet!BE209,data!$H$4:$I$9)),"#",getgrade(Broadsheet!BE209,data!$H$4:$I$9))</f>
        <v/>
      </c>
      <c r="CE98" s="188" t="str">
        <f>IF(ISERROR(getgrade(Broadsheet!BF209,data!$H$4:$I$9)),"#",getgrade(Broadsheet!BF209,data!$H$4:$I$9))</f>
        <v/>
      </c>
      <c r="CF98" s="188" t="str">
        <f>IF(ISERROR(getgrade(Broadsheet!BG209,data!$H$4:$I$9)),"#",getgrade(Broadsheet!BG209,data!$H$4:$I$9))</f>
        <v/>
      </c>
      <c r="CG98" s="188" t="str">
        <f>IF(ISERROR(getgrade(Broadsheet!BH209,data!$H$4:$I$9)),"#",getgrade(Broadsheet!BH209,data!$H$4:$I$9))</f>
        <v/>
      </c>
      <c r="CH98" s="188" t="str">
        <f>IF(ISERROR(getgrade(Broadsheet!BI209,data!$H$4:$I$9)),"#",getgrade(Broadsheet!BI209,data!$H$4:$I$9))</f>
        <v/>
      </c>
      <c r="CI98" s="188" t="str">
        <f>IF(ISERROR(getgrade(Broadsheet!BJ209,data!$H$4:$I$9)),"#",getgrade(Broadsheet!BJ209,data!$H$4:$I$9))</f>
        <v/>
      </c>
      <c r="CJ98" s="188"/>
      <c r="CK98" s="188"/>
      <c r="CL98" s="188"/>
      <c r="CM98" s="188"/>
      <c r="CN98" s="188"/>
      <c r="CO98" s="188"/>
      <c r="CP98" s="188"/>
      <c r="CQ98" s="188"/>
      <c r="CR98" s="188"/>
      <c r="CS98" s="188"/>
      <c r="CT98" s="188"/>
      <c r="CU98" s="188"/>
      <c r="CV98" s="188"/>
      <c r="CW98" s="188"/>
      <c r="CX98" s="188"/>
      <c r="CY98" s="188"/>
      <c r="CZ98" s="188"/>
      <c r="DA98" s="188"/>
      <c r="DB98" s="188"/>
      <c r="DC98" s="188"/>
      <c r="DD98" s="188"/>
      <c r="DE98" s="188"/>
      <c r="DF98" s="188"/>
      <c r="DG98" s="188"/>
      <c r="DH98" s="188"/>
      <c r="DI98" s="188"/>
      <c r="DJ98" s="188"/>
      <c r="DK98" s="188"/>
      <c r="DL98" s="188"/>
      <c r="DM98" s="188"/>
      <c r="DN98" s="188"/>
      <c r="DO98" s="188"/>
      <c r="DP98" s="188"/>
      <c r="DQ98" s="188"/>
      <c r="DR98" s="188"/>
      <c r="DS98" s="188"/>
      <c r="DT98" s="188"/>
      <c r="DU98" s="188"/>
      <c r="DV98" s="188"/>
      <c r="DW98" s="188"/>
      <c r="DX98" s="188"/>
      <c r="DY98" s="188"/>
      <c r="DZ98" s="188"/>
      <c r="EA98" s="188"/>
      <c r="EB98" s="188"/>
      <c r="EC98" s="188"/>
      <c r="ED98" s="188"/>
      <c r="EE98" s="188"/>
      <c r="EF98" s="188"/>
      <c r="EG98" s="188"/>
      <c r="EH98" s="188"/>
      <c r="EI98" s="188"/>
      <c r="EJ98" s="188"/>
      <c r="EK98" s="188"/>
      <c r="EL98" s="188"/>
      <c r="EM98" s="188"/>
      <c r="EN98" s="188"/>
      <c r="EO98" s="188"/>
      <c r="EP98" s="188"/>
      <c r="EQ98" s="188"/>
      <c r="ER98" s="188"/>
      <c r="ES98" s="188"/>
      <c r="ET98" s="188"/>
      <c r="EU98" s="188"/>
      <c r="EV98" s="188"/>
      <c r="EW98" s="188"/>
      <c r="EX98" s="188"/>
      <c r="EY98" s="188"/>
      <c r="EZ98" s="188"/>
    </row>
    <row r="99" spans="33:156" x14ac:dyDescent="0.2">
      <c r="AG99" s="188" t="str">
        <f>IF(ISERROR(getgrade(Broadsheet!H210,data!$H$4:$I$9)),"#",getgrade(Broadsheet!H210,data!$H$4:$I$9))</f>
        <v/>
      </c>
      <c r="AH99" s="188" t="str">
        <f>IF(ISERROR(getgrade(Broadsheet!I210,data!$H$4:$I$9)),"#",getgrade(Broadsheet!I210,data!$H$4:$I$9))</f>
        <v/>
      </c>
      <c r="AI99" s="188" t="str">
        <f>IF(ISERROR(getgrade(Broadsheet!J210,data!$H$4:$I$9)),"#",getgrade(Broadsheet!J210,data!$H$4:$I$9))</f>
        <v/>
      </c>
      <c r="AJ99" s="188" t="str">
        <f>IF(ISERROR(getgrade(Broadsheet!K210,data!$H$4:$I$9)),"#",getgrade(Broadsheet!K210,data!$H$4:$I$9))</f>
        <v/>
      </c>
      <c r="AK99" s="188" t="str">
        <f>IF(ISERROR(getgrade(Broadsheet!L210,data!$H$4:$I$9)),"#",getgrade(Broadsheet!L210,data!$H$4:$I$9))</f>
        <v/>
      </c>
      <c r="AL99" s="188" t="str">
        <f>IF(ISERROR(getgrade(Broadsheet!M210,data!$H$4:$I$9)),"#",getgrade(Broadsheet!M210,data!$H$4:$I$9))</f>
        <v/>
      </c>
      <c r="AM99" s="188" t="str">
        <f>IF(ISERROR(getgrade(Broadsheet!N210,data!$H$4:$I$9)),"#",getgrade(Broadsheet!N210,data!$H$4:$I$9))</f>
        <v/>
      </c>
      <c r="AN99" s="188" t="str">
        <f>IF(ISERROR(getgrade(Broadsheet!O210,data!$H$4:$I$9)),"#",getgrade(Broadsheet!O210,data!$H$4:$I$9))</f>
        <v/>
      </c>
      <c r="AO99" s="188" t="str">
        <f>IF(ISERROR(getgrade(Broadsheet!P210,data!$H$4:$I$9)),"#",getgrade(Broadsheet!P210,data!$H$4:$I$9))</f>
        <v/>
      </c>
      <c r="AP99" s="188" t="str">
        <f>IF(ISERROR(getgrade(Broadsheet!Q210,data!$H$4:$I$9)),"#",getgrade(Broadsheet!Q210,data!$H$4:$I$9))</f>
        <v/>
      </c>
      <c r="AQ99" s="188" t="str">
        <f>IF(ISERROR(getgrade(Broadsheet!R210,data!$H$4:$I$9)),"#",getgrade(Broadsheet!R210,data!$H$4:$I$9))</f>
        <v/>
      </c>
      <c r="AR99" s="188" t="str">
        <f>IF(ISERROR(getgrade(Broadsheet!S210,data!$H$4:$I$9)),"#",getgrade(Broadsheet!S210,data!$H$4:$I$9))</f>
        <v/>
      </c>
      <c r="AS99" s="188" t="str">
        <f>IF(ISERROR(getgrade(Broadsheet!T210,data!$H$4:$I$9)),"#",getgrade(Broadsheet!T210,data!$H$4:$I$9))</f>
        <v/>
      </c>
      <c r="AT99" s="188" t="str">
        <f>IF(ISERROR(getgrade(Broadsheet!U210,data!$H$4:$I$9)),"#",getgrade(Broadsheet!U210,data!$H$4:$I$9))</f>
        <v/>
      </c>
      <c r="AU99" s="188" t="str">
        <f>IF(ISERROR(getgrade(Broadsheet!V210,data!$H$4:$I$9)),"#",getgrade(Broadsheet!V210,data!$H$4:$I$9))</f>
        <v/>
      </c>
      <c r="AV99" s="188" t="str">
        <f>IF(ISERROR(getgrade(Broadsheet!W210,data!$H$4:$I$9)),"#",getgrade(Broadsheet!W210,data!$H$4:$I$9))</f>
        <v/>
      </c>
      <c r="AW99" s="188" t="str">
        <f>IF(ISERROR(getgrade(Broadsheet!X210,data!$H$4:$I$9)),"#",getgrade(Broadsheet!X210,data!$H$4:$I$9))</f>
        <v/>
      </c>
      <c r="AX99" s="188" t="str">
        <f>IF(ISERROR(getgrade(Broadsheet!Y210,data!$H$4:$I$9)),"#",getgrade(Broadsheet!Y210,data!$H$4:$I$9))</f>
        <v/>
      </c>
      <c r="AY99" s="188" t="str">
        <f>IF(ISERROR(getgrade(Broadsheet!Z210,data!$H$4:$I$9)),"#",getgrade(Broadsheet!Z210,data!$H$4:$I$9))</f>
        <v/>
      </c>
      <c r="AZ99" s="188" t="str">
        <f>IF(ISERROR(getgrade(Broadsheet!AA210,data!$H$4:$I$9)),"#",getgrade(Broadsheet!AA210,data!$H$4:$I$9))</f>
        <v/>
      </c>
      <c r="BA99" s="188" t="str">
        <f>IF(ISERROR(getgrade(Broadsheet!AB210,data!$H$4:$I$9)),"#",getgrade(Broadsheet!AB210,data!$H$4:$I$9))</f>
        <v/>
      </c>
      <c r="BB99" s="188" t="str">
        <f>IF(ISERROR(getgrade(Broadsheet!AC210,data!$H$4:$I$9)),"#",getgrade(Broadsheet!AC210,data!$H$4:$I$9))</f>
        <v/>
      </c>
      <c r="BC99" s="188" t="str">
        <f>IF(ISERROR(getgrade(Broadsheet!AD210,data!$H$4:$I$9)),"#",getgrade(Broadsheet!AD210,data!$H$4:$I$9))</f>
        <v/>
      </c>
      <c r="BD99" s="188" t="str">
        <f>IF(ISERROR(getgrade(Broadsheet!AE210,data!$H$4:$I$9)),"#",getgrade(Broadsheet!AE210,data!$H$4:$I$9))</f>
        <v/>
      </c>
      <c r="BE99" s="188" t="str">
        <f>IF(ISERROR(getgrade(Broadsheet!AF210,data!$H$4:$I$9)),"#",getgrade(Broadsheet!AF210,data!$H$4:$I$9))</f>
        <v/>
      </c>
      <c r="BF99" s="188" t="str">
        <f>IF(ISERROR(getgrade(Broadsheet!AG210,data!$H$4:$I$9)),"#",getgrade(Broadsheet!AG210,data!$H$4:$I$9))</f>
        <v/>
      </c>
      <c r="BG99" s="188" t="str">
        <f>IF(ISERROR(getgrade(Broadsheet!AH210,data!$H$4:$I$9)),"#",getgrade(Broadsheet!AH210,data!$H$4:$I$9))</f>
        <v/>
      </c>
      <c r="BH99" s="188" t="str">
        <f>IF(ISERROR(getgrade(Broadsheet!AI210,data!$H$4:$I$9)),"#",getgrade(Broadsheet!AI210,data!$H$4:$I$9))</f>
        <v/>
      </c>
      <c r="BI99" s="188" t="str">
        <f>IF(ISERROR(getgrade(Broadsheet!AJ210,data!$H$4:$I$9)),"#",getgrade(Broadsheet!AJ210,data!$H$4:$I$9))</f>
        <v/>
      </c>
      <c r="BJ99" s="188" t="str">
        <f>IF(ISERROR(getgrade(Broadsheet!AK210,data!$H$4:$I$9)),"#",getgrade(Broadsheet!AK210,data!$H$4:$I$9))</f>
        <v/>
      </c>
      <c r="BK99" s="188" t="str">
        <f>IF(ISERROR(getgrade(Broadsheet!AL210,data!$H$4:$I$9)),"#",getgrade(Broadsheet!AL210,data!$H$4:$I$9))</f>
        <v/>
      </c>
      <c r="BL99" s="188" t="str">
        <f>IF(ISERROR(getgrade(Broadsheet!AM210,data!$H$4:$I$9)),"#",getgrade(Broadsheet!AM210,data!$H$4:$I$9))</f>
        <v/>
      </c>
      <c r="BM99" s="188" t="str">
        <f>IF(ISERROR(getgrade(Broadsheet!AN210,data!$H$4:$I$9)),"#",getgrade(Broadsheet!AN210,data!$H$4:$I$9))</f>
        <v/>
      </c>
      <c r="BN99" s="188" t="str">
        <f>IF(ISERROR(getgrade(Broadsheet!AO210,data!$H$4:$I$9)),"#",getgrade(Broadsheet!AO210,data!$H$4:$I$9))</f>
        <v/>
      </c>
      <c r="BO99" s="188" t="str">
        <f>IF(ISERROR(getgrade(Broadsheet!AP210,data!$H$4:$I$9)),"#",getgrade(Broadsheet!AP210,data!$H$4:$I$9))</f>
        <v/>
      </c>
      <c r="BP99" s="188" t="str">
        <f>IF(ISERROR(getgrade(Broadsheet!AQ210,data!$H$4:$I$9)),"#",getgrade(Broadsheet!AQ210,data!$H$4:$I$9))</f>
        <v/>
      </c>
      <c r="BQ99" s="188" t="str">
        <f>IF(ISERROR(getgrade(Broadsheet!AR210,data!$H$4:$I$9)),"#",getgrade(Broadsheet!AR210,data!$H$4:$I$9))</f>
        <v/>
      </c>
      <c r="BR99" s="188" t="str">
        <f>IF(ISERROR(getgrade(Broadsheet!AS210,data!$H$4:$I$9)),"#",getgrade(Broadsheet!AS210,data!$H$4:$I$9))</f>
        <v/>
      </c>
      <c r="BS99" s="188" t="str">
        <f>IF(ISERROR(getgrade(Broadsheet!AT210,data!$H$4:$I$9)),"#",getgrade(Broadsheet!AT210,data!$H$4:$I$9))</f>
        <v/>
      </c>
      <c r="BT99" s="188" t="str">
        <f>IF(ISERROR(getgrade(Broadsheet!AU210,data!$H$4:$I$9)),"#",getgrade(Broadsheet!AU210,data!$H$4:$I$9))</f>
        <v/>
      </c>
      <c r="BU99" s="188" t="str">
        <f>IF(ISERROR(getgrade(Broadsheet!AV210,data!$H$4:$I$9)),"#",getgrade(Broadsheet!AV210,data!$H$4:$I$9))</f>
        <v/>
      </c>
      <c r="BV99" s="188" t="str">
        <f>IF(ISERROR(getgrade(Broadsheet!AW210,data!$H$4:$I$9)),"#",getgrade(Broadsheet!AW210,data!$H$4:$I$9))</f>
        <v/>
      </c>
      <c r="BW99" s="188" t="str">
        <f>IF(ISERROR(getgrade(Broadsheet!AX210,data!$H$4:$I$9)),"#",getgrade(Broadsheet!AX210,data!$H$4:$I$9))</f>
        <v/>
      </c>
      <c r="BX99" s="188" t="str">
        <f>IF(ISERROR(getgrade(Broadsheet!AY210,data!$H$4:$I$9)),"#",getgrade(Broadsheet!AY210,data!$H$4:$I$9))</f>
        <v/>
      </c>
      <c r="BY99" s="188" t="str">
        <f>IF(ISERROR(getgrade(Broadsheet!AZ210,data!$H$4:$I$9)),"#",getgrade(Broadsheet!AZ210,data!$H$4:$I$9))</f>
        <v/>
      </c>
      <c r="BZ99" s="188" t="str">
        <f>IF(ISERROR(getgrade(Broadsheet!BA210,data!$H$4:$I$9)),"#",getgrade(Broadsheet!BA210,data!$H$4:$I$9))</f>
        <v/>
      </c>
      <c r="CA99" s="188" t="str">
        <f>IF(ISERROR(getgrade(Broadsheet!BB210,data!$H$4:$I$9)),"#",getgrade(Broadsheet!BB210,data!$H$4:$I$9))</f>
        <v/>
      </c>
      <c r="CB99" s="188" t="str">
        <f>IF(ISERROR(getgrade(Broadsheet!BC210,data!$H$4:$I$9)),"#",getgrade(Broadsheet!BC210,data!$H$4:$I$9))</f>
        <v/>
      </c>
      <c r="CC99" s="188" t="str">
        <f>IF(ISERROR(getgrade(Broadsheet!BD210,data!$H$4:$I$9)),"#",getgrade(Broadsheet!BD210,data!$H$4:$I$9))</f>
        <v/>
      </c>
      <c r="CD99" s="188" t="str">
        <f>IF(ISERROR(getgrade(Broadsheet!BE210,data!$H$4:$I$9)),"#",getgrade(Broadsheet!BE210,data!$H$4:$I$9))</f>
        <v/>
      </c>
      <c r="CE99" s="188" t="str">
        <f>IF(ISERROR(getgrade(Broadsheet!BF210,data!$H$4:$I$9)),"#",getgrade(Broadsheet!BF210,data!$H$4:$I$9))</f>
        <v/>
      </c>
      <c r="CF99" s="188" t="str">
        <f>IF(ISERROR(getgrade(Broadsheet!BG210,data!$H$4:$I$9)),"#",getgrade(Broadsheet!BG210,data!$H$4:$I$9))</f>
        <v/>
      </c>
      <c r="CG99" s="188" t="str">
        <f>IF(ISERROR(getgrade(Broadsheet!BH210,data!$H$4:$I$9)),"#",getgrade(Broadsheet!BH210,data!$H$4:$I$9))</f>
        <v/>
      </c>
      <c r="CH99" s="188" t="str">
        <f>IF(ISERROR(getgrade(Broadsheet!BI210,data!$H$4:$I$9)),"#",getgrade(Broadsheet!BI210,data!$H$4:$I$9))</f>
        <v/>
      </c>
      <c r="CI99" s="188" t="str">
        <f>IF(ISERROR(getgrade(Broadsheet!BJ210,data!$H$4:$I$9)),"#",getgrade(Broadsheet!BJ210,data!$H$4:$I$9))</f>
        <v/>
      </c>
      <c r="CJ99" s="188"/>
      <c r="CK99" s="188"/>
      <c r="CL99" s="188"/>
      <c r="CM99" s="188"/>
      <c r="CN99" s="188"/>
      <c r="CO99" s="188"/>
      <c r="CP99" s="188"/>
      <c r="CQ99" s="188"/>
      <c r="CR99" s="188"/>
      <c r="CS99" s="188"/>
      <c r="CT99" s="188"/>
      <c r="CU99" s="188"/>
      <c r="CV99" s="188"/>
      <c r="CW99" s="188"/>
      <c r="CX99" s="188"/>
      <c r="CY99" s="188"/>
      <c r="CZ99" s="188"/>
      <c r="DA99" s="188"/>
      <c r="DB99" s="188"/>
      <c r="DC99" s="188"/>
      <c r="DD99" s="188"/>
      <c r="DE99" s="188"/>
      <c r="DF99" s="188"/>
      <c r="DG99" s="188"/>
      <c r="DH99" s="188"/>
      <c r="DI99" s="188"/>
      <c r="DJ99" s="188"/>
      <c r="DK99" s="188"/>
      <c r="DL99" s="188"/>
      <c r="DM99" s="188"/>
      <c r="DN99" s="188"/>
      <c r="DO99" s="188"/>
      <c r="DP99" s="188"/>
      <c r="DQ99" s="188"/>
      <c r="DR99" s="188"/>
      <c r="DS99" s="188"/>
      <c r="DT99" s="188"/>
      <c r="DU99" s="188"/>
      <c r="DV99" s="188"/>
      <c r="DW99" s="188"/>
      <c r="DX99" s="188"/>
      <c r="DY99" s="188"/>
      <c r="DZ99" s="188"/>
      <c r="EA99" s="188"/>
      <c r="EB99" s="188"/>
      <c r="EC99" s="188"/>
      <c r="ED99" s="188"/>
      <c r="EE99" s="188"/>
      <c r="EF99" s="188"/>
      <c r="EG99" s="188"/>
      <c r="EH99" s="188"/>
      <c r="EI99" s="188"/>
      <c r="EJ99" s="188"/>
      <c r="EK99" s="188"/>
      <c r="EL99" s="188"/>
      <c r="EM99" s="188"/>
      <c r="EN99" s="188"/>
      <c r="EO99" s="188"/>
      <c r="EP99" s="188"/>
      <c r="EQ99" s="188"/>
      <c r="ER99" s="188"/>
      <c r="ES99" s="188"/>
      <c r="ET99" s="188"/>
      <c r="EU99" s="188"/>
      <c r="EV99" s="188"/>
      <c r="EW99" s="188"/>
      <c r="EX99" s="188"/>
      <c r="EY99" s="188"/>
      <c r="EZ99" s="188"/>
    </row>
    <row r="100" spans="33:156" x14ac:dyDescent="0.2">
      <c r="AG100" s="188" t="str">
        <f>IF(ISERROR(getgrade(Broadsheet!H211,data!$H$4:$I$9)),"#",getgrade(Broadsheet!H211,data!$H$4:$I$9))</f>
        <v/>
      </c>
      <c r="AH100" s="188" t="str">
        <f>IF(ISERROR(getgrade(Broadsheet!I211,data!$H$4:$I$9)),"#",getgrade(Broadsheet!I211,data!$H$4:$I$9))</f>
        <v/>
      </c>
      <c r="AI100" s="188" t="str">
        <f>IF(ISERROR(getgrade(Broadsheet!J211,data!$H$4:$I$9)),"#",getgrade(Broadsheet!J211,data!$H$4:$I$9))</f>
        <v/>
      </c>
      <c r="AJ100" s="188" t="str">
        <f>IF(ISERROR(getgrade(Broadsheet!K211,data!$H$4:$I$9)),"#",getgrade(Broadsheet!K211,data!$H$4:$I$9))</f>
        <v/>
      </c>
      <c r="AK100" s="188" t="str">
        <f>IF(ISERROR(getgrade(Broadsheet!L211,data!$H$4:$I$9)),"#",getgrade(Broadsheet!L211,data!$H$4:$I$9))</f>
        <v/>
      </c>
      <c r="AL100" s="188" t="str">
        <f>IF(ISERROR(getgrade(Broadsheet!M211,data!$H$4:$I$9)),"#",getgrade(Broadsheet!M211,data!$H$4:$I$9))</f>
        <v/>
      </c>
      <c r="AM100" s="188" t="str">
        <f>IF(ISERROR(getgrade(Broadsheet!N211,data!$H$4:$I$9)),"#",getgrade(Broadsheet!N211,data!$H$4:$I$9))</f>
        <v/>
      </c>
      <c r="AN100" s="188" t="str">
        <f>IF(ISERROR(getgrade(Broadsheet!O211,data!$H$4:$I$9)),"#",getgrade(Broadsheet!O211,data!$H$4:$I$9))</f>
        <v/>
      </c>
      <c r="AO100" s="188" t="str">
        <f>IF(ISERROR(getgrade(Broadsheet!P211,data!$H$4:$I$9)),"#",getgrade(Broadsheet!P211,data!$H$4:$I$9))</f>
        <v/>
      </c>
      <c r="AP100" s="188" t="str">
        <f>IF(ISERROR(getgrade(Broadsheet!Q211,data!$H$4:$I$9)),"#",getgrade(Broadsheet!Q211,data!$H$4:$I$9))</f>
        <v/>
      </c>
      <c r="AQ100" s="188" t="str">
        <f>IF(ISERROR(getgrade(Broadsheet!R211,data!$H$4:$I$9)),"#",getgrade(Broadsheet!R211,data!$H$4:$I$9))</f>
        <v/>
      </c>
      <c r="AR100" s="188" t="str">
        <f>IF(ISERROR(getgrade(Broadsheet!S211,data!$H$4:$I$9)),"#",getgrade(Broadsheet!S211,data!$H$4:$I$9))</f>
        <v/>
      </c>
      <c r="AS100" s="188" t="str">
        <f>IF(ISERROR(getgrade(Broadsheet!T211,data!$H$4:$I$9)),"#",getgrade(Broadsheet!T211,data!$H$4:$I$9))</f>
        <v/>
      </c>
      <c r="AT100" s="188" t="str">
        <f>IF(ISERROR(getgrade(Broadsheet!U211,data!$H$4:$I$9)),"#",getgrade(Broadsheet!U211,data!$H$4:$I$9))</f>
        <v/>
      </c>
      <c r="AU100" s="188" t="str">
        <f>IF(ISERROR(getgrade(Broadsheet!V211,data!$H$4:$I$9)),"#",getgrade(Broadsheet!V211,data!$H$4:$I$9))</f>
        <v/>
      </c>
      <c r="AV100" s="188" t="str">
        <f>IF(ISERROR(getgrade(Broadsheet!W211,data!$H$4:$I$9)),"#",getgrade(Broadsheet!W211,data!$H$4:$I$9))</f>
        <v/>
      </c>
      <c r="AW100" s="188" t="str">
        <f>IF(ISERROR(getgrade(Broadsheet!X211,data!$H$4:$I$9)),"#",getgrade(Broadsheet!X211,data!$H$4:$I$9))</f>
        <v/>
      </c>
      <c r="AX100" s="188" t="str">
        <f>IF(ISERROR(getgrade(Broadsheet!Y211,data!$H$4:$I$9)),"#",getgrade(Broadsheet!Y211,data!$H$4:$I$9))</f>
        <v/>
      </c>
      <c r="AY100" s="188" t="str">
        <f>IF(ISERROR(getgrade(Broadsheet!Z211,data!$H$4:$I$9)),"#",getgrade(Broadsheet!Z211,data!$H$4:$I$9))</f>
        <v/>
      </c>
      <c r="AZ100" s="188" t="str">
        <f>IF(ISERROR(getgrade(Broadsheet!AA211,data!$H$4:$I$9)),"#",getgrade(Broadsheet!AA211,data!$H$4:$I$9))</f>
        <v/>
      </c>
      <c r="BA100" s="188" t="str">
        <f>IF(ISERROR(getgrade(Broadsheet!AB211,data!$H$4:$I$9)),"#",getgrade(Broadsheet!AB211,data!$H$4:$I$9))</f>
        <v/>
      </c>
      <c r="BB100" s="188" t="str">
        <f>IF(ISERROR(getgrade(Broadsheet!AC211,data!$H$4:$I$9)),"#",getgrade(Broadsheet!AC211,data!$H$4:$I$9))</f>
        <v/>
      </c>
      <c r="BC100" s="188" t="str">
        <f>IF(ISERROR(getgrade(Broadsheet!AD211,data!$H$4:$I$9)),"#",getgrade(Broadsheet!AD211,data!$H$4:$I$9))</f>
        <v/>
      </c>
      <c r="BD100" s="188" t="str">
        <f>IF(ISERROR(getgrade(Broadsheet!AE211,data!$H$4:$I$9)),"#",getgrade(Broadsheet!AE211,data!$H$4:$I$9))</f>
        <v/>
      </c>
      <c r="BE100" s="188" t="str">
        <f>IF(ISERROR(getgrade(Broadsheet!AF211,data!$H$4:$I$9)),"#",getgrade(Broadsheet!AF211,data!$H$4:$I$9))</f>
        <v/>
      </c>
      <c r="BF100" s="188" t="str">
        <f>IF(ISERROR(getgrade(Broadsheet!AG211,data!$H$4:$I$9)),"#",getgrade(Broadsheet!AG211,data!$H$4:$I$9))</f>
        <v/>
      </c>
      <c r="BG100" s="188" t="str">
        <f>IF(ISERROR(getgrade(Broadsheet!AH211,data!$H$4:$I$9)),"#",getgrade(Broadsheet!AH211,data!$H$4:$I$9))</f>
        <v/>
      </c>
      <c r="BH100" s="188" t="str">
        <f>IF(ISERROR(getgrade(Broadsheet!AI211,data!$H$4:$I$9)),"#",getgrade(Broadsheet!AI211,data!$H$4:$I$9))</f>
        <v/>
      </c>
      <c r="BI100" s="188" t="str">
        <f>IF(ISERROR(getgrade(Broadsheet!AJ211,data!$H$4:$I$9)),"#",getgrade(Broadsheet!AJ211,data!$H$4:$I$9))</f>
        <v/>
      </c>
      <c r="BJ100" s="188" t="str">
        <f>IF(ISERROR(getgrade(Broadsheet!AK211,data!$H$4:$I$9)),"#",getgrade(Broadsheet!AK211,data!$H$4:$I$9))</f>
        <v/>
      </c>
      <c r="BK100" s="188" t="str">
        <f>IF(ISERROR(getgrade(Broadsheet!AL211,data!$H$4:$I$9)),"#",getgrade(Broadsheet!AL211,data!$H$4:$I$9))</f>
        <v/>
      </c>
      <c r="BL100" s="188" t="str">
        <f>IF(ISERROR(getgrade(Broadsheet!AM211,data!$H$4:$I$9)),"#",getgrade(Broadsheet!AM211,data!$H$4:$I$9))</f>
        <v/>
      </c>
      <c r="BM100" s="188" t="str">
        <f>IF(ISERROR(getgrade(Broadsheet!AN211,data!$H$4:$I$9)),"#",getgrade(Broadsheet!AN211,data!$H$4:$I$9))</f>
        <v/>
      </c>
      <c r="BN100" s="188" t="str">
        <f>IF(ISERROR(getgrade(Broadsheet!AO211,data!$H$4:$I$9)),"#",getgrade(Broadsheet!AO211,data!$H$4:$I$9))</f>
        <v/>
      </c>
      <c r="BO100" s="188" t="str">
        <f>IF(ISERROR(getgrade(Broadsheet!AP211,data!$H$4:$I$9)),"#",getgrade(Broadsheet!AP211,data!$H$4:$I$9))</f>
        <v/>
      </c>
      <c r="BP100" s="188" t="str">
        <f>IF(ISERROR(getgrade(Broadsheet!AQ211,data!$H$4:$I$9)),"#",getgrade(Broadsheet!AQ211,data!$H$4:$I$9))</f>
        <v/>
      </c>
      <c r="BQ100" s="188" t="str">
        <f>IF(ISERROR(getgrade(Broadsheet!AR211,data!$H$4:$I$9)),"#",getgrade(Broadsheet!AR211,data!$H$4:$I$9))</f>
        <v/>
      </c>
      <c r="BR100" s="188" t="str">
        <f>IF(ISERROR(getgrade(Broadsheet!AS211,data!$H$4:$I$9)),"#",getgrade(Broadsheet!AS211,data!$H$4:$I$9))</f>
        <v/>
      </c>
      <c r="BS100" s="188" t="str">
        <f>IF(ISERROR(getgrade(Broadsheet!AT211,data!$H$4:$I$9)),"#",getgrade(Broadsheet!AT211,data!$H$4:$I$9))</f>
        <v/>
      </c>
      <c r="BT100" s="188" t="str">
        <f>IF(ISERROR(getgrade(Broadsheet!AU211,data!$H$4:$I$9)),"#",getgrade(Broadsheet!AU211,data!$H$4:$I$9))</f>
        <v/>
      </c>
      <c r="BU100" s="188" t="str">
        <f>IF(ISERROR(getgrade(Broadsheet!AV211,data!$H$4:$I$9)),"#",getgrade(Broadsheet!AV211,data!$H$4:$I$9))</f>
        <v/>
      </c>
      <c r="BV100" s="188" t="str">
        <f>IF(ISERROR(getgrade(Broadsheet!AW211,data!$H$4:$I$9)),"#",getgrade(Broadsheet!AW211,data!$H$4:$I$9))</f>
        <v/>
      </c>
      <c r="BW100" s="188" t="str">
        <f>IF(ISERROR(getgrade(Broadsheet!AX211,data!$H$4:$I$9)),"#",getgrade(Broadsheet!AX211,data!$H$4:$I$9))</f>
        <v/>
      </c>
      <c r="BX100" s="188" t="str">
        <f>IF(ISERROR(getgrade(Broadsheet!AY211,data!$H$4:$I$9)),"#",getgrade(Broadsheet!AY211,data!$H$4:$I$9))</f>
        <v/>
      </c>
      <c r="BY100" s="188" t="str">
        <f>IF(ISERROR(getgrade(Broadsheet!AZ211,data!$H$4:$I$9)),"#",getgrade(Broadsheet!AZ211,data!$H$4:$I$9))</f>
        <v/>
      </c>
      <c r="BZ100" s="188" t="str">
        <f>IF(ISERROR(getgrade(Broadsheet!BA211,data!$H$4:$I$9)),"#",getgrade(Broadsheet!BA211,data!$H$4:$I$9))</f>
        <v/>
      </c>
      <c r="CA100" s="188" t="str">
        <f>IF(ISERROR(getgrade(Broadsheet!BB211,data!$H$4:$I$9)),"#",getgrade(Broadsheet!BB211,data!$H$4:$I$9))</f>
        <v/>
      </c>
      <c r="CB100" s="188" t="str">
        <f>IF(ISERROR(getgrade(Broadsheet!BC211,data!$H$4:$I$9)),"#",getgrade(Broadsheet!BC211,data!$H$4:$I$9))</f>
        <v/>
      </c>
      <c r="CC100" s="188" t="str">
        <f>IF(ISERROR(getgrade(Broadsheet!BD211,data!$H$4:$I$9)),"#",getgrade(Broadsheet!BD211,data!$H$4:$I$9))</f>
        <v/>
      </c>
      <c r="CD100" s="188" t="str">
        <f>IF(ISERROR(getgrade(Broadsheet!BE211,data!$H$4:$I$9)),"#",getgrade(Broadsheet!BE211,data!$H$4:$I$9))</f>
        <v/>
      </c>
      <c r="CE100" s="188" t="str">
        <f>IF(ISERROR(getgrade(Broadsheet!BF211,data!$H$4:$I$9)),"#",getgrade(Broadsheet!BF211,data!$H$4:$I$9))</f>
        <v/>
      </c>
      <c r="CF100" s="188" t="str">
        <f>IF(ISERROR(getgrade(Broadsheet!BG211,data!$H$4:$I$9)),"#",getgrade(Broadsheet!BG211,data!$H$4:$I$9))</f>
        <v/>
      </c>
      <c r="CG100" s="188" t="str">
        <f>IF(ISERROR(getgrade(Broadsheet!BH211,data!$H$4:$I$9)),"#",getgrade(Broadsheet!BH211,data!$H$4:$I$9))</f>
        <v/>
      </c>
      <c r="CH100" s="188" t="str">
        <f>IF(ISERROR(getgrade(Broadsheet!BI211,data!$H$4:$I$9)),"#",getgrade(Broadsheet!BI211,data!$H$4:$I$9))</f>
        <v/>
      </c>
      <c r="CI100" s="188" t="str">
        <f>IF(ISERROR(getgrade(Broadsheet!BJ211,data!$H$4:$I$9)),"#",getgrade(Broadsheet!BJ211,data!$H$4:$I$9))</f>
        <v/>
      </c>
      <c r="CJ100" s="188"/>
      <c r="CK100" s="188"/>
      <c r="CL100" s="188"/>
      <c r="CM100" s="188"/>
      <c r="CN100" s="188"/>
      <c r="CO100" s="188"/>
      <c r="CP100" s="188"/>
      <c r="CQ100" s="188"/>
      <c r="CR100" s="188"/>
      <c r="CS100" s="188"/>
      <c r="CT100" s="188"/>
      <c r="CU100" s="188"/>
      <c r="CV100" s="188"/>
      <c r="CW100" s="188"/>
      <c r="CX100" s="188"/>
      <c r="CY100" s="188"/>
      <c r="CZ100" s="188"/>
      <c r="DA100" s="188"/>
      <c r="DB100" s="188"/>
      <c r="DC100" s="188"/>
      <c r="DD100" s="188"/>
      <c r="DE100" s="188"/>
      <c r="DF100" s="188"/>
      <c r="DG100" s="188"/>
      <c r="DH100" s="188"/>
      <c r="DI100" s="188"/>
      <c r="DJ100" s="188"/>
      <c r="DK100" s="188"/>
      <c r="DL100" s="188"/>
      <c r="DM100" s="188"/>
      <c r="DN100" s="188"/>
      <c r="DO100" s="188"/>
      <c r="DP100" s="188"/>
      <c r="DQ100" s="188"/>
      <c r="DR100" s="188"/>
      <c r="DS100" s="188"/>
      <c r="DT100" s="188"/>
      <c r="DU100" s="188"/>
      <c r="DV100" s="188"/>
      <c r="DW100" s="188"/>
      <c r="DX100" s="188"/>
      <c r="DY100" s="188"/>
      <c r="DZ100" s="188"/>
      <c r="EA100" s="188"/>
      <c r="EB100" s="188"/>
      <c r="EC100" s="188"/>
      <c r="ED100" s="188"/>
      <c r="EE100" s="188"/>
      <c r="EF100" s="188"/>
      <c r="EG100" s="188"/>
      <c r="EH100" s="188"/>
      <c r="EI100" s="188"/>
      <c r="EJ100" s="188"/>
      <c r="EK100" s="188"/>
      <c r="EL100" s="188"/>
      <c r="EM100" s="188"/>
      <c r="EN100" s="188"/>
      <c r="EO100" s="188"/>
      <c r="EP100" s="188"/>
      <c r="EQ100" s="188"/>
      <c r="ER100" s="188"/>
      <c r="ES100" s="188"/>
      <c r="ET100" s="188"/>
      <c r="EU100" s="188"/>
      <c r="EV100" s="188"/>
      <c r="EW100" s="188"/>
      <c r="EX100" s="188"/>
      <c r="EY100" s="188"/>
      <c r="EZ100" s="188"/>
    </row>
    <row r="101" spans="33:156" x14ac:dyDescent="0.2">
      <c r="AG101" s="188" t="str">
        <f>IF(ISERROR(getgrade(Broadsheet!H212,data!$H$4:$I$9)),"#",getgrade(Broadsheet!H212,data!$H$4:$I$9))</f>
        <v/>
      </c>
      <c r="AH101" s="188" t="str">
        <f>IF(ISERROR(getgrade(Broadsheet!I212,data!$H$4:$I$9)),"#",getgrade(Broadsheet!I212,data!$H$4:$I$9))</f>
        <v/>
      </c>
      <c r="AI101" s="188" t="str">
        <f>IF(ISERROR(getgrade(Broadsheet!J212,data!$H$4:$I$9)),"#",getgrade(Broadsheet!J212,data!$H$4:$I$9))</f>
        <v/>
      </c>
      <c r="AJ101" s="188" t="str">
        <f>IF(ISERROR(getgrade(Broadsheet!K212,data!$H$4:$I$9)),"#",getgrade(Broadsheet!K212,data!$H$4:$I$9))</f>
        <v/>
      </c>
      <c r="AK101" s="188" t="str">
        <f>IF(ISERROR(getgrade(Broadsheet!L212,data!$H$4:$I$9)),"#",getgrade(Broadsheet!L212,data!$H$4:$I$9))</f>
        <v/>
      </c>
      <c r="AL101" s="188" t="str">
        <f>IF(ISERROR(getgrade(Broadsheet!M212,data!$H$4:$I$9)),"#",getgrade(Broadsheet!M212,data!$H$4:$I$9))</f>
        <v/>
      </c>
      <c r="AM101" s="188" t="str">
        <f>IF(ISERROR(getgrade(Broadsheet!N212,data!$H$4:$I$9)),"#",getgrade(Broadsheet!N212,data!$H$4:$I$9))</f>
        <v/>
      </c>
      <c r="AN101" s="188" t="str">
        <f>IF(ISERROR(getgrade(Broadsheet!O212,data!$H$4:$I$9)),"#",getgrade(Broadsheet!O212,data!$H$4:$I$9))</f>
        <v/>
      </c>
      <c r="AO101" s="188" t="str">
        <f>IF(ISERROR(getgrade(Broadsheet!P212,data!$H$4:$I$9)),"#",getgrade(Broadsheet!P212,data!$H$4:$I$9))</f>
        <v/>
      </c>
      <c r="AP101" s="188" t="str">
        <f>IF(ISERROR(getgrade(Broadsheet!Q212,data!$H$4:$I$9)),"#",getgrade(Broadsheet!Q212,data!$H$4:$I$9))</f>
        <v/>
      </c>
      <c r="AQ101" s="188" t="str">
        <f>IF(ISERROR(getgrade(Broadsheet!R212,data!$H$4:$I$9)),"#",getgrade(Broadsheet!R212,data!$H$4:$I$9))</f>
        <v/>
      </c>
      <c r="AR101" s="188" t="str">
        <f>IF(ISERROR(getgrade(Broadsheet!S212,data!$H$4:$I$9)),"#",getgrade(Broadsheet!S212,data!$H$4:$I$9))</f>
        <v/>
      </c>
      <c r="AS101" s="188" t="str">
        <f>IF(ISERROR(getgrade(Broadsheet!T212,data!$H$4:$I$9)),"#",getgrade(Broadsheet!T212,data!$H$4:$I$9))</f>
        <v/>
      </c>
      <c r="AT101" s="188" t="str">
        <f>IF(ISERROR(getgrade(Broadsheet!U212,data!$H$4:$I$9)),"#",getgrade(Broadsheet!U212,data!$H$4:$I$9))</f>
        <v/>
      </c>
      <c r="AU101" s="188" t="str">
        <f>IF(ISERROR(getgrade(Broadsheet!V212,data!$H$4:$I$9)),"#",getgrade(Broadsheet!V212,data!$H$4:$I$9))</f>
        <v/>
      </c>
      <c r="AV101" s="188" t="str">
        <f>IF(ISERROR(getgrade(Broadsheet!W212,data!$H$4:$I$9)),"#",getgrade(Broadsheet!W212,data!$H$4:$I$9))</f>
        <v/>
      </c>
      <c r="AW101" s="188" t="str">
        <f>IF(ISERROR(getgrade(Broadsheet!X212,data!$H$4:$I$9)),"#",getgrade(Broadsheet!X212,data!$H$4:$I$9))</f>
        <v/>
      </c>
      <c r="AX101" s="188" t="str">
        <f>IF(ISERROR(getgrade(Broadsheet!Y212,data!$H$4:$I$9)),"#",getgrade(Broadsheet!Y212,data!$H$4:$I$9))</f>
        <v/>
      </c>
      <c r="AY101" s="188" t="str">
        <f>IF(ISERROR(getgrade(Broadsheet!Z212,data!$H$4:$I$9)),"#",getgrade(Broadsheet!Z212,data!$H$4:$I$9))</f>
        <v/>
      </c>
      <c r="AZ101" s="188" t="str">
        <f>IF(ISERROR(getgrade(Broadsheet!AA212,data!$H$4:$I$9)),"#",getgrade(Broadsheet!AA212,data!$H$4:$I$9))</f>
        <v/>
      </c>
      <c r="BA101" s="188" t="str">
        <f>IF(ISERROR(getgrade(Broadsheet!AB212,data!$H$4:$I$9)),"#",getgrade(Broadsheet!AB212,data!$H$4:$I$9))</f>
        <v/>
      </c>
      <c r="BB101" s="188" t="str">
        <f>IF(ISERROR(getgrade(Broadsheet!AC212,data!$H$4:$I$9)),"#",getgrade(Broadsheet!AC212,data!$H$4:$I$9))</f>
        <v/>
      </c>
      <c r="BC101" s="188" t="str">
        <f>IF(ISERROR(getgrade(Broadsheet!AD212,data!$H$4:$I$9)),"#",getgrade(Broadsheet!AD212,data!$H$4:$I$9))</f>
        <v/>
      </c>
      <c r="BD101" s="188" t="str">
        <f>IF(ISERROR(getgrade(Broadsheet!AE212,data!$H$4:$I$9)),"#",getgrade(Broadsheet!AE212,data!$H$4:$I$9))</f>
        <v/>
      </c>
      <c r="BE101" s="188" t="str">
        <f>IF(ISERROR(getgrade(Broadsheet!AF212,data!$H$4:$I$9)),"#",getgrade(Broadsheet!AF212,data!$H$4:$I$9))</f>
        <v/>
      </c>
      <c r="BF101" s="188" t="str">
        <f>IF(ISERROR(getgrade(Broadsheet!AG212,data!$H$4:$I$9)),"#",getgrade(Broadsheet!AG212,data!$H$4:$I$9))</f>
        <v/>
      </c>
      <c r="BG101" s="188" t="str">
        <f>IF(ISERROR(getgrade(Broadsheet!AH212,data!$H$4:$I$9)),"#",getgrade(Broadsheet!AH212,data!$H$4:$I$9))</f>
        <v/>
      </c>
      <c r="BH101" s="188" t="str">
        <f>IF(ISERROR(getgrade(Broadsheet!AI212,data!$H$4:$I$9)),"#",getgrade(Broadsheet!AI212,data!$H$4:$I$9))</f>
        <v/>
      </c>
      <c r="BI101" s="188" t="str">
        <f>IF(ISERROR(getgrade(Broadsheet!AJ212,data!$H$4:$I$9)),"#",getgrade(Broadsheet!AJ212,data!$H$4:$I$9))</f>
        <v/>
      </c>
      <c r="BJ101" s="188" t="str">
        <f>IF(ISERROR(getgrade(Broadsheet!AK212,data!$H$4:$I$9)),"#",getgrade(Broadsheet!AK212,data!$H$4:$I$9))</f>
        <v/>
      </c>
      <c r="BK101" s="188" t="str">
        <f>IF(ISERROR(getgrade(Broadsheet!AL212,data!$H$4:$I$9)),"#",getgrade(Broadsheet!AL212,data!$H$4:$I$9))</f>
        <v/>
      </c>
      <c r="BL101" s="188" t="str">
        <f>IF(ISERROR(getgrade(Broadsheet!AM212,data!$H$4:$I$9)),"#",getgrade(Broadsheet!AM212,data!$H$4:$I$9))</f>
        <v/>
      </c>
      <c r="BM101" s="188" t="str">
        <f>IF(ISERROR(getgrade(Broadsheet!AN212,data!$H$4:$I$9)),"#",getgrade(Broadsheet!AN212,data!$H$4:$I$9))</f>
        <v/>
      </c>
      <c r="BN101" s="188" t="str">
        <f>IF(ISERROR(getgrade(Broadsheet!AO212,data!$H$4:$I$9)),"#",getgrade(Broadsheet!AO212,data!$H$4:$I$9))</f>
        <v/>
      </c>
      <c r="BO101" s="188" t="str">
        <f>IF(ISERROR(getgrade(Broadsheet!AP212,data!$H$4:$I$9)),"#",getgrade(Broadsheet!AP212,data!$H$4:$I$9))</f>
        <v/>
      </c>
      <c r="BP101" s="188" t="str">
        <f>IF(ISERROR(getgrade(Broadsheet!AQ212,data!$H$4:$I$9)),"#",getgrade(Broadsheet!AQ212,data!$H$4:$I$9))</f>
        <v/>
      </c>
      <c r="BQ101" s="188" t="str">
        <f>IF(ISERROR(getgrade(Broadsheet!AR212,data!$H$4:$I$9)),"#",getgrade(Broadsheet!AR212,data!$H$4:$I$9))</f>
        <v/>
      </c>
      <c r="BR101" s="188" t="str">
        <f>IF(ISERROR(getgrade(Broadsheet!AS212,data!$H$4:$I$9)),"#",getgrade(Broadsheet!AS212,data!$H$4:$I$9))</f>
        <v/>
      </c>
      <c r="BS101" s="188" t="str">
        <f>IF(ISERROR(getgrade(Broadsheet!AT212,data!$H$4:$I$9)),"#",getgrade(Broadsheet!AT212,data!$H$4:$I$9))</f>
        <v/>
      </c>
      <c r="BT101" s="188" t="str">
        <f>IF(ISERROR(getgrade(Broadsheet!AU212,data!$H$4:$I$9)),"#",getgrade(Broadsheet!AU212,data!$H$4:$I$9))</f>
        <v/>
      </c>
      <c r="BU101" s="188" t="str">
        <f>IF(ISERROR(getgrade(Broadsheet!AV212,data!$H$4:$I$9)),"#",getgrade(Broadsheet!AV212,data!$H$4:$I$9))</f>
        <v/>
      </c>
      <c r="BV101" s="188" t="str">
        <f>IF(ISERROR(getgrade(Broadsheet!AW212,data!$H$4:$I$9)),"#",getgrade(Broadsheet!AW212,data!$H$4:$I$9))</f>
        <v/>
      </c>
      <c r="BW101" s="188" t="str">
        <f>IF(ISERROR(getgrade(Broadsheet!AX212,data!$H$4:$I$9)),"#",getgrade(Broadsheet!AX212,data!$H$4:$I$9))</f>
        <v/>
      </c>
      <c r="BX101" s="188" t="str">
        <f>IF(ISERROR(getgrade(Broadsheet!AY212,data!$H$4:$I$9)),"#",getgrade(Broadsheet!AY212,data!$H$4:$I$9))</f>
        <v/>
      </c>
      <c r="BY101" s="188" t="str">
        <f>IF(ISERROR(getgrade(Broadsheet!AZ212,data!$H$4:$I$9)),"#",getgrade(Broadsheet!AZ212,data!$H$4:$I$9))</f>
        <v/>
      </c>
      <c r="BZ101" s="188" t="str">
        <f>IF(ISERROR(getgrade(Broadsheet!BA212,data!$H$4:$I$9)),"#",getgrade(Broadsheet!BA212,data!$H$4:$I$9))</f>
        <v/>
      </c>
      <c r="CA101" s="188" t="str">
        <f>IF(ISERROR(getgrade(Broadsheet!BB212,data!$H$4:$I$9)),"#",getgrade(Broadsheet!BB212,data!$H$4:$I$9))</f>
        <v/>
      </c>
      <c r="CB101" s="188" t="str">
        <f>IF(ISERROR(getgrade(Broadsheet!BC212,data!$H$4:$I$9)),"#",getgrade(Broadsheet!BC212,data!$H$4:$I$9))</f>
        <v/>
      </c>
      <c r="CC101" s="188" t="str">
        <f>IF(ISERROR(getgrade(Broadsheet!BD212,data!$H$4:$I$9)),"#",getgrade(Broadsheet!BD212,data!$H$4:$I$9))</f>
        <v/>
      </c>
      <c r="CD101" s="188" t="str">
        <f>IF(ISERROR(getgrade(Broadsheet!BE212,data!$H$4:$I$9)),"#",getgrade(Broadsheet!BE212,data!$H$4:$I$9))</f>
        <v/>
      </c>
      <c r="CE101" s="188" t="str">
        <f>IF(ISERROR(getgrade(Broadsheet!BF212,data!$H$4:$I$9)),"#",getgrade(Broadsheet!BF212,data!$H$4:$I$9))</f>
        <v/>
      </c>
      <c r="CF101" s="188" t="str">
        <f>IF(ISERROR(getgrade(Broadsheet!BG212,data!$H$4:$I$9)),"#",getgrade(Broadsheet!BG212,data!$H$4:$I$9))</f>
        <v/>
      </c>
      <c r="CG101" s="188" t="str">
        <f>IF(ISERROR(getgrade(Broadsheet!BH212,data!$H$4:$I$9)),"#",getgrade(Broadsheet!BH212,data!$H$4:$I$9))</f>
        <v/>
      </c>
      <c r="CH101" s="188" t="str">
        <f>IF(ISERROR(getgrade(Broadsheet!BI212,data!$H$4:$I$9)),"#",getgrade(Broadsheet!BI212,data!$H$4:$I$9))</f>
        <v/>
      </c>
      <c r="CI101" s="188" t="str">
        <f>IF(ISERROR(getgrade(Broadsheet!BJ212,data!$H$4:$I$9)),"#",getgrade(Broadsheet!BJ212,data!$H$4:$I$9))</f>
        <v/>
      </c>
      <c r="CJ101" s="188"/>
      <c r="CK101" s="188"/>
      <c r="CL101" s="188"/>
      <c r="CM101" s="188"/>
      <c r="CN101" s="188"/>
      <c r="CO101" s="188"/>
      <c r="CP101" s="188"/>
      <c r="CQ101" s="188"/>
      <c r="CR101" s="188"/>
      <c r="CS101" s="188"/>
      <c r="CT101" s="188"/>
      <c r="CU101" s="188"/>
      <c r="CV101" s="188"/>
      <c r="CW101" s="188"/>
      <c r="CX101" s="188"/>
      <c r="CY101" s="188"/>
      <c r="CZ101" s="188"/>
      <c r="DA101" s="188"/>
      <c r="DB101" s="188"/>
      <c r="DC101" s="188"/>
      <c r="DD101" s="188"/>
      <c r="DE101" s="188"/>
      <c r="DF101" s="188"/>
      <c r="DG101" s="188"/>
      <c r="DH101" s="188"/>
      <c r="DI101" s="188"/>
      <c r="DJ101" s="188"/>
      <c r="DK101" s="188"/>
      <c r="DL101" s="188"/>
      <c r="DM101" s="188"/>
      <c r="DN101" s="188"/>
      <c r="DO101" s="188"/>
      <c r="DP101" s="188"/>
      <c r="DQ101" s="188"/>
      <c r="DR101" s="188"/>
      <c r="DS101" s="188"/>
      <c r="DT101" s="188"/>
      <c r="DU101" s="188"/>
      <c r="DV101" s="188"/>
      <c r="DW101" s="188"/>
      <c r="DX101" s="188"/>
      <c r="DY101" s="188"/>
      <c r="DZ101" s="188"/>
      <c r="EA101" s="188"/>
      <c r="EB101" s="188"/>
      <c r="EC101" s="188"/>
      <c r="ED101" s="188"/>
      <c r="EE101" s="188"/>
      <c r="EF101" s="188"/>
      <c r="EG101" s="188"/>
      <c r="EH101" s="188"/>
      <c r="EI101" s="188"/>
      <c r="EJ101" s="188"/>
      <c r="EK101" s="188"/>
      <c r="EL101" s="188"/>
      <c r="EM101" s="188"/>
      <c r="EN101" s="188"/>
      <c r="EO101" s="188"/>
      <c r="EP101" s="188"/>
      <c r="EQ101" s="188"/>
      <c r="ER101" s="188"/>
      <c r="ES101" s="188"/>
      <c r="ET101" s="188"/>
      <c r="EU101" s="188"/>
      <c r="EV101" s="188"/>
      <c r="EW101" s="188"/>
      <c r="EX101" s="188"/>
      <c r="EY101" s="188"/>
      <c r="EZ101" s="188"/>
    </row>
    <row r="102" spans="33:156" x14ac:dyDescent="0.2">
      <c r="AG102" s="188" t="str">
        <f>IF(ISERROR(getgrade(Broadsheet!H213,data!$H$4:$I$9)),"#",getgrade(Broadsheet!H213,data!$H$4:$I$9))</f>
        <v/>
      </c>
      <c r="AH102" s="188" t="str">
        <f>IF(ISERROR(getgrade(Broadsheet!I213,data!$H$4:$I$9)),"#",getgrade(Broadsheet!I213,data!$H$4:$I$9))</f>
        <v/>
      </c>
      <c r="AI102" s="188" t="str">
        <f>IF(ISERROR(getgrade(Broadsheet!J213,data!$H$4:$I$9)),"#",getgrade(Broadsheet!J213,data!$H$4:$I$9))</f>
        <v/>
      </c>
      <c r="AJ102" s="188" t="str">
        <f>IF(ISERROR(getgrade(Broadsheet!K213,data!$H$4:$I$9)),"#",getgrade(Broadsheet!K213,data!$H$4:$I$9))</f>
        <v/>
      </c>
      <c r="AK102" s="188" t="str">
        <f>IF(ISERROR(getgrade(Broadsheet!L213,data!$H$4:$I$9)),"#",getgrade(Broadsheet!L213,data!$H$4:$I$9))</f>
        <v/>
      </c>
      <c r="AL102" s="188" t="str">
        <f>IF(ISERROR(getgrade(Broadsheet!M213,data!$H$4:$I$9)),"#",getgrade(Broadsheet!M213,data!$H$4:$I$9))</f>
        <v/>
      </c>
      <c r="AM102" s="188" t="str">
        <f>IF(ISERROR(getgrade(Broadsheet!N213,data!$H$4:$I$9)),"#",getgrade(Broadsheet!N213,data!$H$4:$I$9))</f>
        <v/>
      </c>
      <c r="AN102" s="188" t="str">
        <f>IF(ISERROR(getgrade(Broadsheet!O213,data!$H$4:$I$9)),"#",getgrade(Broadsheet!O213,data!$H$4:$I$9))</f>
        <v/>
      </c>
      <c r="AO102" s="188" t="str">
        <f>IF(ISERROR(getgrade(Broadsheet!P213,data!$H$4:$I$9)),"#",getgrade(Broadsheet!P213,data!$H$4:$I$9))</f>
        <v/>
      </c>
      <c r="AP102" s="188" t="str">
        <f>IF(ISERROR(getgrade(Broadsheet!Q213,data!$H$4:$I$9)),"#",getgrade(Broadsheet!Q213,data!$H$4:$I$9))</f>
        <v/>
      </c>
      <c r="AQ102" s="188" t="str">
        <f>IF(ISERROR(getgrade(Broadsheet!R213,data!$H$4:$I$9)),"#",getgrade(Broadsheet!R213,data!$H$4:$I$9))</f>
        <v/>
      </c>
      <c r="AR102" s="188" t="str">
        <f>IF(ISERROR(getgrade(Broadsheet!S213,data!$H$4:$I$9)),"#",getgrade(Broadsheet!S213,data!$H$4:$I$9))</f>
        <v/>
      </c>
      <c r="AS102" s="188" t="str">
        <f>IF(ISERROR(getgrade(Broadsheet!T213,data!$H$4:$I$9)),"#",getgrade(Broadsheet!T213,data!$H$4:$I$9))</f>
        <v/>
      </c>
      <c r="AT102" s="188" t="str">
        <f>IF(ISERROR(getgrade(Broadsheet!U213,data!$H$4:$I$9)),"#",getgrade(Broadsheet!U213,data!$H$4:$I$9))</f>
        <v/>
      </c>
      <c r="AU102" s="188" t="str">
        <f>IF(ISERROR(getgrade(Broadsheet!V213,data!$H$4:$I$9)),"#",getgrade(Broadsheet!V213,data!$H$4:$I$9))</f>
        <v/>
      </c>
      <c r="AV102" s="188" t="str">
        <f>IF(ISERROR(getgrade(Broadsheet!W213,data!$H$4:$I$9)),"#",getgrade(Broadsheet!W213,data!$H$4:$I$9))</f>
        <v/>
      </c>
      <c r="AW102" s="188" t="str">
        <f>IF(ISERROR(getgrade(Broadsheet!X213,data!$H$4:$I$9)),"#",getgrade(Broadsheet!X213,data!$H$4:$I$9))</f>
        <v/>
      </c>
      <c r="AX102" s="188" t="str">
        <f>IF(ISERROR(getgrade(Broadsheet!Y213,data!$H$4:$I$9)),"#",getgrade(Broadsheet!Y213,data!$H$4:$I$9))</f>
        <v/>
      </c>
      <c r="AY102" s="188" t="str">
        <f>IF(ISERROR(getgrade(Broadsheet!Z213,data!$H$4:$I$9)),"#",getgrade(Broadsheet!Z213,data!$H$4:$I$9))</f>
        <v/>
      </c>
      <c r="AZ102" s="188" t="str">
        <f>IF(ISERROR(getgrade(Broadsheet!AA213,data!$H$4:$I$9)),"#",getgrade(Broadsheet!AA213,data!$H$4:$I$9))</f>
        <v/>
      </c>
      <c r="BA102" s="188" t="str">
        <f>IF(ISERROR(getgrade(Broadsheet!AB213,data!$H$4:$I$9)),"#",getgrade(Broadsheet!AB213,data!$H$4:$I$9))</f>
        <v/>
      </c>
      <c r="BB102" s="188" t="str">
        <f>IF(ISERROR(getgrade(Broadsheet!AC213,data!$H$4:$I$9)),"#",getgrade(Broadsheet!AC213,data!$H$4:$I$9))</f>
        <v/>
      </c>
      <c r="BC102" s="188" t="str">
        <f>IF(ISERROR(getgrade(Broadsheet!AD213,data!$H$4:$I$9)),"#",getgrade(Broadsheet!AD213,data!$H$4:$I$9))</f>
        <v/>
      </c>
      <c r="BD102" s="188" t="str">
        <f>IF(ISERROR(getgrade(Broadsheet!AE213,data!$H$4:$I$9)),"#",getgrade(Broadsheet!AE213,data!$H$4:$I$9))</f>
        <v/>
      </c>
      <c r="BE102" s="188" t="str">
        <f>IF(ISERROR(getgrade(Broadsheet!AF213,data!$H$4:$I$9)),"#",getgrade(Broadsheet!AF213,data!$H$4:$I$9))</f>
        <v/>
      </c>
      <c r="BF102" s="188" t="str">
        <f>IF(ISERROR(getgrade(Broadsheet!AG213,data!$H$4:$I$9)),"#",getgrade(Broadsheet!AG213,data!$H$4:$I$9))</f>
        <v/>
      </c>
      <c r="BG102" s="188" t="str">
        <f>IF(ISERROR(getgrade(Broadsheet!AH213,data!$H$4:$I$9)),"#",getgrade(Broadsheet!AH213,data!$H$4:$I$9))</f>
        <v/>
      </c>
      <c r="BH102" s="188" t="str">
        <f>IF(ISERROR(getgrade(Broadsheet!AI213,data!$H$4:$I$9)),"#",getgrade(Broadsheet!AI213,data!$H$4:$I$9))</f>
        <v/>
      </c>
      <c r="BI102" s="188" t="str">
        <f>IF(ISERROR(getgrade(Broadsheet!AJ213,data!$H$4:$I$9)),"#",getgrade(Broadsheet!AJ213,data!$H$4:$I$9))</f>
        <v/>
      </c>
      <c r="BJ102" s="188" t="str">
        <f>IF(ISERROR(getgrade(Broadsheet!AK213,data!$H$4:$I$9)),"#",getgrade(Broadsheet!AK213,data!$H$4:$I$9))</f>
        <v/>
      </c>
      <c r="BK102" s="188" t="str">
        <f>IF(ISERROR(getgrade(Broadsheet!AL213,data!$H$4:$I$9)),"#",getgrade(Broadsheet!AL213,data!$H$4:$I$9))</f>
        <v/>
      </c>
      <c r="BL102" s="188" t="str">
        <f>IF(ISERROR(getgrade(Broadsheet!AM213,data!$H$4:$I$9)),"#",getgrade(Broadsheet!AM213,data!$H$4:$I$9))</f>
        <v/>
      </c>
      <c r="BM102" s="188" t="str">
        <f>IF(ISERROR(getgrade(Broadsheet!AN213,data!$H$4:$I$9)),"#",getgrade(Broadsheet!AN213,data!$H$4:$I$9))</f>
        <v/>
      </c>
      <c r="BN102" s="188" t="str">
        <f>IF(ISERROR(getgrade(Broadsheet!AO213,data!$H$4:$I$9)),"#",getgrade(Broadsheet!AO213,data!$H$4:$I$9))</f>
        <v/>
      </c>
      <c r="BO102" s="188" t="str">
        <f>IF(ISERROR(getgrade(Broadsheet!AP213,data!$H$4:$I$9)),"#",getgrade(Broadsheet!AP213,data!$H$4:$I$9))</f>
        <v/>
      </c>
      <c r="BP102" s="188" t="str">
        <f>IF(ISERROR(getgrade(Broadsheet!AQ213,data!$H$4:$I$9)),"#",getgrade(Broadsheet!AQ213,data!$H$4:$I$9))</f>
        <v/>
      </c>
      <c r="BQ102" s="188" t="str">
        <f>IF(ISERROR(getgrade(Broadsheet!AR213,data!$H$4:$I$9)),"#",getgrade(Broadsheet!AR213,data!$H$4:$I$9))</f>
        <v/>
      </c>
      <c r="BR102" s="188" t="str">
        <f>IF(ISERROR(getgrade(Broadsheet!AS213,data!$H$4:$I$9)),"#",getgrade(Broadsheet!AS213,data!$H$4:$I$9))</f>
        <v/>
      </c>
      <c r="BS102" s="188" t="str">
        <f>IF(ISERROR(getgrade(Broadsheet!AT213,data!$H$4:$I$9)),"#",getgrade(Broadsheet!AT213,data!$H$4:$I$9))</f>
        <v/>
      </c>
      <c r="BT102" s="188" t="str">
        <f>IF(ISERROR(getgrade(Broadsheet!AU213,data!$H$4:$I$9)),"#",getgrade(Broadsheet!AU213,data!$H$4:$I$9))</f>
        <v/>
      </c>
      <c r="BU102" s="188" t="str">
        <f>IF(ISERROR(getgrade(Broadsheet!AV213,data!$H$4:$I$9)),"#",getgrade(Broadsheet!AV213,data!$H$4:$I$9))</f>
        <v/>
      </c>
      <c r="BV102" s="188" t="str">
        <f>IF(ISERROR(getgrade(Broadsheet!AW213,data!$H$4:$I$9)),"#",getgrade(Broadsheet!AW213,data!$H$4:$I$9))</f>
        <v/>
      </c>
      <c r="BW102" s="188" t="str">
        <f>IF(ISERROR(getgrade(Broadsheet!AX213,data!$H$4:$I$9)),"#",getgrade(Broadsheet!AX213,data!$H$4:$I$9))</f>
        <v/>
      </c>
      <c r="BX102" s="188" t="str">
        <f>IF(ISERROR(getgrade(Broadsheet!AY213,data!$H$4:$I$9)),"#",getgrade(Broadsheet!AY213,data!$H$4:$I$9))</f>
        <v/>
      </c>
      <c r="BY102" s="188" t="str">
        <f>IF(ISERROR(getgrade(Broadsheet!AZ213,data!$H$4:$I$9)),"#",getgrade(Broadsheet!AZ213,data!$H$4:$I$9))</f>
        <v/>
      </c>
      <c r="BZ102" s="188" t="str">
        <f>IF(ISERROR(getgrade(Broadsheet!BA213,data!$H$4:$I$9)),"#",getgrade(Broadsheet!BA213,data!$H$4:$I$9))</f>
        <v/>
      </c>
      <c r="CA102" s="188" t="str">
        <f>IF(ISERROR(getgrade(Broadsheet!BB213,data!$H$4:$I$9)),"#",getgrade(Broadsheet!BB213,data!$H$4:$I$9))</f>
        <v/>
      </c>
      <c r="CB102" s="188" t="str">
        <f>IF(ISERROR(getgrade(Broadsheet!BC213,data!$H$4:$I$9)),"#",getgrade(Broadsheet!BC213,data!$H$4:$I$9))</f>
        <v/>
      </c>
      <c r="CC102" s="188" t="str">
        <f>IF(ISERROR(getgrade(Broadsheet!BD213,data!$H$4:$I$9)),"#",getgrade(Broadsheet!BD213,data!$H$4:$I$9))</f>
        <v/>
      </c>
      <c r="CD102" s="188" t="str">
        <f>IF(ISERROR(getgrade(Broadsheet!BE213,data!$H$4:$I$9)),"#",getgrade(Broadsheet!BE213,data!$H$4:$I$9))</f>
        <v/>
      </c>
      <c r="CE102" s="188" t="str">
        <f>IF(ISERROR(getgrade(Broadsheet!BF213,data!$H$4:$I$9)),"#",getgrade(Broadsheet!BF213,data!$H$4:$I$9))</f>
        <v/>
      </c>
      <c r="CF102" s="188" t="str">
        <f>IF(ISERROR(getgrade(Broadsheet!BG213,data!$H$4:$I$9)),"#",getgrade(Broadsheet!BG213,data!$H$4:$I$9))</f>
        <v/>
      </c>
      <c r="CG102" s="188" t="str">
        <f>IF(ISERROR(getgrade(Broadsheet!BH213,data!$H$4:$I$9)),"#",getgrade(Broadsheet!BH213,data!$H$4:$I$9))</f>
        <v/>
      </c>
      <c r="CH102" s="188" t="str">
        <f>IF(ISERROR(getgrade(Broadsheet!BI213,data!$H$4:$I$9)),"#",getgrade(Broadsheet!BI213,data!$H$4:$I$9))</f>
        <v/>
      </c>
      <c r="CI102" s="188" t="str">
        <f>IF(ISERROR(getgrade(Broadsheet!BJ213,data!$H$4:$I$9)),"#",getgrade(Broadsheet!BJ213,data!$H$4:$I$9))</f>
        <v/>
      </c>
      <c r="CJ102" s="188"/>
      <c r="CK102" s="188"/>
      <c r="CL102" s="188"/>
      <c r="CM102" s="188"/>
      <c r="CN102" s="188"/>
      <c r="CO102" s="188"/>
      <c r="CP102" s="188"/>
      <c r="CQ102" s="188"/>
      <c r="CR102" s="188"/>
      <c r="CS102" s="188"/>
      <c r="CT102" s="188"/>
      <c r="CU102" s="188"/>
      <c r="CV102" s="188"/>
      <c r="CW102" s="188"/>
      <c r="CX102" s="188"/>
      <c r="CY102" s="188"/>
      <c r="CZ102" s="188"/>
      <c r="DA102" s="188"/>
      <c r="DB102" s="188"/>
      <c r="DC102" s="188"/>
      <c r="DD102" s="188"/>
      <c r="DE102" s="188"/>
      <c r="DF102" s="188"/>
      <c r="DG102" s="188"/>
      <c r="DH102" s="188"/>
      <c r="DI102" s="188"/>
      <c r="DJ102" s="188"/>
      <c r="DK102" s="188"/>
      <c r="DL102" s="188"/>
      <c r="DM102" s="188"/>
      <c r="DN102" s="188"/>
      <c r="DO102" s="188"/>
      <c r="DP102" s="188"/>
      <c r="DQ102" s="188"/>
      <c r="DR102" s="188"/>
      <c r="DS102" s="188"/>
      <c r="DT102" s="188"/>
      <c r="DU102" s="188"/>
      <c r="DV102" s="188"/>
      <c r="DW102" s="188"/>
      <c r="DX102" s="188"/>
      <c r="DY102" s="188"/>
      <c r="DZ102" s="188"/>
      <c r="EA102" s="188"/>
      <c r="EB102" s="188"/>
      <c r="EC102" s="188"/>
      <c r="ED102" s="188"/>
      <c r="EE102" s="188"/>
      <c r="EF102" s="188"/>
      <c r="EG102" s="188"/>
      <c r="EH102" s="188"/>
      <c r="EI102" s="188"/>
      <c r="EJ102" s="188"/>
      <c r="EK102" s="188"/>
      <c r="EL102" s="188"/>
      <c r="EM102" s="188"/>
      <c r="EN102" s="188"/>
      <c r="EO102" s="188"/>
      <c r="EP102" s="188"/>
      <c r="EQ102" s="188"/>
      <c r="ER102" s="188"/>
      <c r="ES102" s="188"/>
      <c r="ET102" s="188"/>
      <c r="EU102" s="188"/>
      <c r="EV102" s="188"/>
      <c r="EW102" s="188"/>
      <c r="EX102" s="188"/>
      <c r="EY102" s="188"/>
      <c r="EZ102" s="188"/>
    </row>
    <row r="103" spans="33:156" x14ac:dyDescent="0.2">
      <c r="AG103" s="188" t="str">
        <f>IF(ISERROR(getgrade(Broadsheet!H214,data!$H$4:$I$9)),"#",getgrade(Broadsheet!H214,data!$H$4:$I$9))</f>
        <v/>
      </c>
      <c r="AH103" s="188" t="str">
        <f>IF(ISERROR(getgrade(Broadsheet!I214,data!$H$4:$I$9)),"#",getgrade(Broadsheet!I214,data!$H$4:$I$9))</f>
        <v/>
      </c>
      <c r="AI103" s="188" t="str">
        <f>IF(ISERROR(getgrade(Broadsheet!J214,data!$H$4:$I$9)),"#",getgrade(Broadsheet!J214,data!$H$4:$I$9))</f>
        <v/>
      </c>
      <c r="AJ103" s="188" t="str">
        <f>IF(ISERROR(getgrade(Broadsheet!K214,data!$H$4:$I$9)),"#",getgrade(Broadsheet!K214,data!$H$4:$I$9))</f>
        <v/>
      </c>
      <c r="AK103" s="188" t="str">
        <f>IF(ISERROR(getgrade(Broadsheet!L214,data!$H$4:$I$9)),"#",getgrade(Broadsheet!L214,data!$H$4:$I$9))</f>
        <v/>
      </c>
      <c r="AL103" s="188" t="str">
        <f>IF(ISERROR(getgrade(Broadsheet!M214,data!$H$4:$I$9)),"#",getgrade(Broadsheet!M214,data!$H$4:$I$9))</f>
        <v/>
      </c>
      <c r="AM103" s="188" t="str">
        <f>IF(ISERROR(getgrade(Broadsheet!N214,data!$H$4:$I$9)),"#",getgrade(Broadsheet!N214,data!$H$4:$I$9))</f>
        <v/>
      </c>
      <c r="AN103" s="188" t="str">
        <f>IF(ISERROR(getgrade(Broadsheet!O214,data!$H$4:$I$9)),"#",getgrade(Broadsheet!O214,data!$H$4:$I$9))</f>
        <v/>
      </c>
      <c r="AO103" s="188" t="str">
        <f>IF(ISERROR(getgrade(Broadsheet!P214,data!$H$4:$I$9)),"#",getgrade(Broadsheet!P214,data!$H$4:$I$9))</f>
        <v/>
      </c>
      <c r="AP103" s="188" t="str">
        <f>IF(ISERROR(getgrade(Broadsheet!Q214,data!$H$4:$I$9)),"#",getgrade(Broadsheet!Q214,data!$H$4:$I$9))</f>
        <v/>
      </c>
      <c r="AQ103" s="188" t="str">
        <f>IF(ISERROR(getgrade(Broadsheet!R214,data!$H$4:$I$9)),"#",getgrade(Broadsheet!R214,data!$H$4:$I$9))</f>
        <v/>
      </c>
      <c r="AR103" s="188" t="str">
        <f>IF(ISERROR(getgrade(Broadsheet!S214,data!$H$4:$I$9)),"#",getgrade(Broadsheet!S214,data!$H$4:$I$9))</f>
        <v/>
      </c>
      <c r="AS103" s="188" t="str">
        <f>IF(ISERROR(getgrade(Broadsheet!T214,data!$H$4:$I$9)),"#",getgrade(Broadsheet!T214,data!$H$4:$I$9))</f>
        <v/>
      </c>
      <c r="AT103" s="188" t="str">
        <f>IF(ISERROR(getgrade(Broadsheet!U214,data!$H$4:$I$9)),"#",getgrade(Broadsheet!U214,data!$H$4:$I$9))</f>
        <v/>
      </c>
      <c r="AU103" s="188" t="str">
        <f>IF(ISERROR(getgrade(Broadsheet!V214,data!$H$4:$I$9)),"#",getgrade(Broadsheet!V214,data!$H$4:$I$9))</f>
        <v/>
      </c>
      <c r="AV103" s="188" t="str">
        <f>IF(ISERROR(getgrade(Broadsheet!W214,data!$H$4:$I$9)),"#",getgrade(Broadsheet!W214,data!$H$4:$I$9))</f>
        <v/>
      </c>
      <c r="AW103" s="188" t="str">
        <f>IF(ISERROR(getgrade(Broadsheet!X214,data!$H$4:$I$9)),"#",getgrade(Broadsheet!X214,data!$H$4:$I$9))</f>
        <v/>
      </c>
      <c r="AX103" s="188" t="str">
        <f>IF(ISERROR(getgrade(Broadsheet!Y214,data!$H$4:$I$9)),"#",getgrade(Broadsheet!Y214,data!$H$4:$I$9))</f>
        <v/>
      </c>
      <c r="AY103" s="188" t="str">
        <f>IF(ISERROR(getgrade(Broadsheet!Z214,data!$H$4:$I$9)),"#",getgrade(Broadsheet!Z214,data!$H$4:$I$9))</f>
        <v/>
      </c>
      <c r="AZ103" s="188" t="str">
        <f>IF(ISERROR(getgrade(Broadsheet!AA214,data!$H$4:$I$9)),"#",getgrade(Broadsheet!AA214,data!$H$4:$I$9))</f>
        <v/>
      </c>
      <c r="BA103" s="188" t="str">
        <f>IF(ISERROR(getgrade(Broadsheet!AB214,data!$H$4:$I$9)),"#",getgrade(Broadsheet!AB214,data!$H$4:$I$9))</f>
        <v/>
      </c>
      <c r="BB103" s="188" t="str">
        <f>IF(ISERROR(getgrade(Broadsheet!AC214,data!$H$4:$I$9)),"#",getgrade(Broadsheet!AC214,data!$H$4:$I$9))</f>
        <v/>
      </c>
      <c r="BC103" s="188" t="str">
        <f>IF(ISERROR(getgrade(Broadsheet!AD214,data!$H$4:$I$9)),"#",getgrade(Broadsheet!AD214,data!$H$4:$I$9))</f>
        <v/>
      </c>
      <c r="BD103" s="188" t="str">
        <f>IF(ISERROR(getgrade(Broadsheet!AE214,data!$H$4:$I$9)),"#",getgrade(Broadsheet!AE214,data!$H$4:$I$9))</f>
        <v/>
      </c>
      <c r="BE103" s="188" t="str">
        <f>IF(ISERROR(getgrade(Broadsheet!AF214,data!$H$4:$I$9)),"#",getgrade(Broadsheet!AF214,data!$H$4:$I$9))</f>
        <v/>
      </c>
      <c r="BF103" s="188" t="str">
        <f>IF(ISERROR(getgrade(Broadsheet!AG214,data!$H$4:$I$9)),"#",getgrade(Broadsheet!AG214,data!$H$4:$I$9))</f>
        <v/>
      </c>
      <c r="BG103" s="188" t="str">
        <f>IF(ISERROR(getgrade(Broadsheet!AH214,data!$H$4:$I$9)),"#",getgrade(Broadsheet!AH214,data!$H$4:$I$9))</f>
        <v/>
      </c>
      <c r="BH103" s="188" t="str">
        <f>IF(ISERROR(getgrade(Broadsheet!AI214,data!$H$4:$I$9)),"#",getgrade(Broadsheet!AI214,data!$H$4:$I$9))</f>
        <v/>
      </c>
      <c r="BI103" s="188" t="str">
        <f>IF(ISERROR(getgrade(Broadsheet!AJ214,data!$H$4:$I$9)),"#",getgrade(Broadsheet!AJ214,data!$H$4:$I$9))</f>
        <v/>
      </c>
      <c r="BJ103" s="188" t="str">
        <f>IF(ISERROR(getgrade(Broadsheet!AK214,data!$H$4:$I$9)),"#",getgrade(Broadsheet!AK214,data!$H$4:$I$9))</f>
        <v/>
      </c>
      <c r="BK103" s="188" t="str">
        <f>IF(ISERROR(getgrade(Broadsheet!AL214,data!$H$4:$I$9)),"#",getgrade(Broadsheet!AL214,data!$H$4:$I$9))</f>
        <v/>
      </c>
      <c r="BL103" s="188" t="str">
        <f>IF(ISERROR(getgrade(Broadsheet!AM214,data!$H$4:$I$9)),"#",getgrade(Broadsheet!AM214,data!$H$4:$I$9))</f>
        <v/>
      </c>
      <c r="BM103" s="188" t="str">
        <f>IF(ISERROR(getgrade(Broadsheet!AN214,data!$H$4:$I$9)),"#",getgrade(Broadsheet!AN214,data!$H$4:$I$9))</f>
        <v/>
      </c>
      <c r="BN103" s="188" t="str">
        <f>IF(ISERROR(getgrade(Broadsheet!AO214,data!$H$4:$I$9)),"#",getgrade(Broadsheet!AO214,data!$H$4:$I$9))</f>
        <v/>
      </c>
      <c r="BO103" s="188" t="str">
        <f>IF(ISERROR(getgrade(Broadsheet!AP214,data!$H$4:$I$9)),"#",getgrade(Broadsheet!AP214,data!$H$4:$I$9))</f>
        <v/>
      </c>
      <c r="BP103" s="188" t="str">
        <f>IF(ISERROR(getgrade(Broadsheet!AQ214,data!$H$4:$I$9)),"#",getgrade(Broadsheet!AQ214,data!$H$4:$I$9))</f>
        <v/>
      </c>
      <c r="BQ103" s="188" t="str">
        <f>IF(ISERROR(getgrade(Broadsheet!AR214,data!$H$4:$I$9)),"#",getgrade(Broadsheet!AR214,data!$H$4:$I$9))</f>
        <v/>
      </c>
      <c r="BR103" s="188" t="str">
        <f>IF(ISERROR(getgrade(Broadsheet!AS214,data!$H$4:$I$9)),"#",getgrade(Broadsheet!AS214,data!$H$4:$I$9))</f>
        <v/>
      </c>
      <c r="BS103" s="188" t="str">
        <f>IF(ISERROR(getgrade(Broadsheet!AT214,data!$H$4:$I$9)),"#",getgrade(Broadsheet!AT214,data!$H$4:$I$9))</f>
        <v/>
      </c>
      <c r="BT103" s="188" t="str">
        <f>IF(ISERROR(getgrade(Broadsheet!AU214,data!$H$4:$I$9)),"#",getgrade(Broadsheet!AU214,data!$H$4:$I$9))</f>
        <v/>
      </c>
      <c r="BU103" s="188" t="str">
        <f>IF(ISERROR(getgrade(Broadsheet!AV214,data!$H$4:$I$9)),"#",getgrade(Broadsheet!AV214,data!$H$4:$I$9))</f>
        <v/>
      </c>
      <c r="BV103" s="188" t="str">
        <f>IF(ISERROR(getgrade(Broadsheet!AW214,data!$H$4:$I$9)),"#",getgrade(Broadsheet!AW214,data!$H$4:$I$9))</f>
        <v/>
      </c>
      <c r="BW103" s="188" t="str">
        <f>IF(ISERROR(getgrade(Broadsheet!AX214,data!$H$4:$I$9)),"#",getgrade(Broadsheet!AX214,data!$H$4:$I$9))</f>
        <v/>
      </c>
      <c r="BX103" s="188" t="str">
        <f>IF(ISERROR(getgrade(Broadsheet!AY214,data!$H$4:$I$9)),"#",getgrade(Broadsheet!AY214,data!$H$4:$I$9))</f>
        <v/>
      </c>
      <c r="BY103" s="188" t="str">
        <f>IF(ISERROR(getgrade(Broadsheet!AZ214,data!$H$4:$I$9)),"#",getgrade(Broadsheet!AZ214,data!$H$4:$I$9))</f>
        <v/>
      </c>
      <c r="BZ103" s="188" t="str">
        <f>IF(ISERROR(getgrade(Broadsheet!BA214,data!$H$4:$I$9)),"#",getgrade(Broadsheet!BA214,data!$H$4:$I$9))</f>
        <v/>
      </c>
      <c r="CA103" s="188" t="str">
        <f>IF(ISERROR(getgrade(Broadsheet!BB214,data!$H$4:$I$9)),"#",getgrade(Broadsheet!BB214,data!$H$4:$I$9))</f>
        <v/>
      </c>
      <c r="CB103" s="188" t="str">
        <f>IF(ISERROR(getgrade(Broadsheet!BC214,data!$H$4:$I$9)),"#",getgrade(Broadsheet!BC214,data!$H$4:$I$9))</f>
        <v/>
      </c>
      <c r="CC103" s="188" t="str">
        <f>IF(ISERROR(getgrade(Broadsheet!BD214,data!$H$4:$I$9)),"#",getgrade(Broadsheet!BD214,data!$H$4:$I$9))</f>
        <v/>
      </c>
      <c r="CD103" s="188" t="str">
        <f>IF(ISERROR(getgrade(Broadsheet!BE214,data!$H$4:$I$9)),"#",getgrade(Broadsheet!BE214,data!$H$4:$I$9))</f>
        <v/>
      </c>
      <c r="CE103" s="188" t="str">
        <f>IF(ISERROR(getgrade(Broadsheet!BF214,data!$H$4:$I$9)),"#",getgrade(Broadsheet!BF214,data!$H$4:$I$9))</f>
        <v/>
      </c>
      <c r="CF103" s="188" t="str">
        <f>IF(ISERROR(getgrade(Broadsheet!BG214,data!$H$4:$I$9)),"#",getgrade(Broadsheet!BG214,data!$H$4:$I$9))</f>
        <v/>
      </c>
      <c r="CG103" s="188" t="str">
        <f>IF(ISERROR(getgrade(Broadsheet!BH214,data!$H$4:$I$9)),"#",getgrade(Broadsheet!BH214,data!$H$4:$I$9))</f>
        <v/>
      </c>
      <c r="CH103" s="188" t="str">
        <f>IF(ISERROR(getgrade(Broadsheet!BI214,data!$H$4:$I$9)),"#",getgrade(Broadsheet!BI214,data!$H$4:$I$9))</f>
        <v/>
      </c>
      <c r="CI103" s="188" t="str">
        <f>IF(ISERROR(getgrade(Broadsheet!BJ214,data!$H$4:$I$9)),"#",getgrade(Broadsheet!BJ214,data!$H$4:$I$9))</f>
        <v/>
      </c>
      <c r="CJ103" s="188"/>
      <c r="CK103" s="188"/>
      <c r="CL103" s="188"/>
      <c r="CM103" s="188"/>
      <c r="CN103" s="188"/>
      <c r="CO103" s="188"/>
      <c r="CP103" s="188"/>
      <c r="CQ103" s="188"/>
      <c r="CR103" s="188"/>
      <c r="CS103" s="188"/>
      <c r="CT103" s="188"/>
      <c r="CU103" s="188"/>
      <c r="CV103" s="188"/>
      <c r="CW103" s="188"/>
      <c r="CX103" s="188"/>
      <c r="CY103" s="188"/>
      <c r="CZ103" s="188"/>
      <c r="DA103" s="188"/>
      <c r="DB103" s="188"/>
      <c r="DC103" s="188"/>
      <c r="DD103" s="188"/>
      <c r="DE103" s="188"/>
      <c r="DF103" s="188"/>
      <c r="DG103" s="188"/>
      <c r="DH103" s="188"/>
      <c r="DI103" s="188"/>
      <c r="DJ103" s="188"/>
      <c r="DK103" s="188"/>
      <c r="DL103" s="188"/>
      <c r="DM103" s="188"/>
      <c r="DN103" s="188"/>
      <c r="DO103" s="188"/>
      <c r="DP103" s="188"/>
      <c r="DQ103" s="188"/>
      <c r="DR103" s="188"/>
      <c r="DS103" s="188"/>
      <c r="DT103" s="188"/>
      <c r="DU103" s="188"/>
      <c r="DV103" s="188"/>
      <c r="DW103" s="188"/>
      <c r="DX103" s="188"/>
      <c r="DY103" s="188"/>
      <c r="DZ103" s="188"/>
      <c r="EA103" s="188"/>
      <c r="EB103" s="188"/>
      <c r="EC103" s="188"/>
      <c r="ED103" s="188"/>
      <c r="EE103" s="188"/>
      <c r="EF103" s="188"/>
      <c r="EG103" s="188"/>
      <c r="EH103" s="188"/>
      <c r="EI103" s="188"/>
      <c r="EJ103" s="188"/>
      <c r="EK103" s="188"/>
      <c r="EL103" s="188"/>
      <c r="EM103" s="188"/>
      <c r="EN103" s="188"/>
      <c r="EO103" s="188"/>
      <c r="EP103" s="188"/>
      <c r="EQ103" s="188"/>
      <c r="ER103" s="188"/>
      <c r="ES103" s="188"/>
      <c r="ET103" s="188"/>
      <c r="EU103" s="188"/>
      <c r="EV103" s="188"/>
      <c r="EW103" s="188"/>
      <c r="EX103" s="188"/>
      <c r="EY103" s="188"/>
      <c r="EZ103" s="188"/>
    </row>
    <row r="104" spans="33:156" x14ac:dyDescent="0.2">
      <c r="AG104" s="188" t="str">
        <f>IF(ISERROR(getgrade(Broadsheet!H215,data!$H$4:$I$9)),"#",getgrade(Broadsheet!H215,data!$H$4:$I$9))</f>
        <v/>
      </c>
      <c r="AH104" s="188" t="str">
        <f>IF(ISERROR(getgrade(Broadsheet!I215,data!$H$4:$I$9)),"#",getgrade(Broadsheet!I215,data!$H$4:$I$9))</f>
        <v/>
      </c>
      <c r="AI104" s="188" t="str">
        <f>IF(ISERROR(getgrade(Broadsheet!J215,data!$H$4:$I$9)),"#",getgrade(Broadsheet!J215,data!$H$4:$I$9))</f>
        <v/>
      </c>
      <c r="AJ104" s="188" t="str">
        <f>IF(ISERROR(getgrade(Broadsheet!K215,data!$H$4:$I$9)),"#",getgrade(Broadsheet!K215,data!$H$4:$I$9))</f>
        <v/>
      </c>
      <c r="AK104" s="188" t="str">
        <f>IF(ISERROR(getgrade(Broadsheet!L215,data!$H$4:$I$9)),"#",getgrade(Broadsheet!L215,data!$H$4:$I$9))</f>
        <v/>
      </c>
      <c r="AL104" s="188" t="str">
        <f>IF(ISERROR(getgrade(Broadsheet!M215,data!$H$4:$I$9)),"#",getgrade(Broadsheet!M215,data!$H$4:$I$9))</f>
        <v/>
      </c>
      <c r="AM104" s="188" t="str">
        <f>IF(ISERROR(getgrade(Broadsheet!N215,data!$H$4:$I$9)),"#",getgrade(Broadsheet!N215,data!$H$4:$I$9))</f>
        <v/>
      </c>
      <c r="AN104" s="188" t="str">
        <f>IF(ISERROR(getgrade(Broadsheet!O215,data!$H$4:$I$9)),"#",getgrade(Broadsheet!O215,data!$H$4:$I$9))</f>
        <v/>
      </c>
      <c r="AO104" s="188" t="str">
        <f>IF(ISERROR(getgrade(Broadsheet!P215,data!$H$4:$I$9)),"#",getgrade(Broadsheet!P215,data!$H$4:$I$9))</f>
        <v/>
      </c>
      <c r="AP104" s="188" t="str">
        <f>IF(ISERROR(getgrade(Broadsheet!Q215,data!$H$4:$I$9)),"#",getgrade(Broadsheet!Q215,data!$H$4:$I$9))</f>
        <v/>
      </c>
      <c r="AQ104" s="188" t="str">
        <f>IF(ISERROR(getgrade(Broadsheet!R215,data!$H$4:$I$9)),"#",getgrade(Broadsheet!R215,data!$H$4:$I$9))</f>
        <v/>
      </c>
      <c r="AR104" s="188" t="str">
        <f>IF(ISERROR(getgrade(Broadsheet!S215,data!$H$4:$I$9)),"#",getgrade(Broadsheet!S215,data!$H$4:$I$9))</f>
        <v/>
      </c>
      <c r="AS104" s="188" t="str">
        <f>IF(ISERROR(getgrade(Broadsheet!T215,data!$H$4:$I$9)),"#",getgrade(Broadsheet!T215,data!$H$4:$I$9))</f>
        <v/>
      </c>
      <c r="AT104" s="188" t="str">
        <f>IF(ISERROR(getgrade(Broadsheet!U215,data!$H$4:$I$9)),"#",getgrade(Broadsheet!U215,data!$H$4:$I$9))</f>
        <v/>
      </c>
      <c r="AU104" s="188" t="str">
        <f>IF(ISERROR(getgrade(Broadsheet!V215,data!$H$4:$I$9)),"#",getgrade(Broadsheet!V215,data!$H$4:$I$9))</f>
        <v/>
      </c>
      <c r="AV104" s="188" t="str">
        <f>IF(ISERROR(getgrade(Broadsheet!W215,data!$H$4:$I$9)),"#",getgrade(Broadsheet!W215,data!$H$4:$I$9))</f>
        <v/>
      </c>
      <c r="AW104" s="188" t="str">
        <f>IF(ISERROR(getgrade(Broadsheet!X215,data!$H$4:$I$9)),"#",getgrade(Broadsheet!X215,data!$H$4:$I$9))</f>
        <v/>
      </c>
      <c r="AX104" s="188" t="str">
        <f>IF(ISERROR(getgrade(Broadsheet!Y215,data!$H$4:$I$9)),"#",getgrade(Broadsheet!Y215,data!$H$4:$I$9))</f>
        <v/>
      </c>
      <c r="AY104" s="188" t="str">
        <f>IF(ISERROR(getgrade(Broadsheet!Z215,data!$H$4:$I$9)),"#",getgrade(Broadsheet!Z215,data!$H$4:$I$9))</f>
        <v/>
      </c>
      <c r="AZ104" s="188" t="str">
        <f>IF(ISERROR(getgrade(Broadsheet!AA215,data!$H$4:$I$9)),"#",getgrade(Broadsheet!AA215,data!$H$4:$I$9))</f>
        <v/>
      </c>
      <c r="BA104" s="188" t="str">
        <f>IF(ISERROR(getgrade(Broadsheet!AB215,data!$H$4:$I$9)),"#",getgrade(Broadsheet!AB215,data!$H$4:$I$9))</f>
        <v/>
      </c>
      <c r="BB104" s="188" t="str">
        <f>IF(ISERROR(getgrade(Broadsheet!AC215,data!$H$4:$I$9)),"#",getgrade(Broadsheet!AC215,data!$H$4:$I$9))</f>
        <v/>
      </c>
      <c r="BC104" s="188" t="str">
        <f>IF(ISERROR(getgrade(Broadsheet!AD215,data!$H$4:$I$9)),"#",getgrade(Broadsheet!AD215,data!$H$4:$I$9))</f>
        <v/>
      </c>
      <c r="BD104" s="188" t="str">
        <f>IF(ISERROR(getgrade(Broadsheet!AE215,data!$H$4:$I$9)),"#",getgrade(Broadsheet!AE215,data!$H$4:$I$9))</f>
        <v/>
      </c>
      <c r="BE104" s="188" t="str">
        <f>IF(ISERROR(getgrade(Broadsheet!AF215,data!$H$4:$I$9)),"#",getgrade(Broadsheet!AF215,data!$H$4:$I$9))</f>
        <v/>
      </c>
      <c r="BF104" s="188" t="str">
        <f>IF(ISERROR(getgrade(Broadsheet!AG215,data!$H$4:$I$9)),"#",getgrade(Broadsheet!AG215,data!$H$4:$I$9))</f>
        <v/>
      </c>
      <c r="BG104" s="188" t="str">
        <f>IF(ISERROR(getgrade(Broadsheet!AH215,data!$H$4:$I$9)),"#",getgrade(Broadsheet!AH215,data!$H$4:$I$9))</f>
        <v/>
      </c>
      <c r="BH104" s="188" t="str">
        <f>IF(ISERROR(getgrade(Broadsheet!AI215,data!$H$4:$I$9)),"#",getgrade(Broadsheet!AI215,data!$H$4:$I$9))</f>
        <v/>
      </c>
      <c r="BI104" s="188" t="str">
        <f>IF(ISERROR(getgrade(Broadsheet!AJ215,data!$H$4:$I$9)),"#",getgrade(Broadsheet!AJ215,data!$H$4:$I$9))</f>
        <v/>
      </c>
      <c r="BJ104" s="188" t="str">
        <f>IF(ISERROR(getgrade(Broadsheet!AK215,data!$H$4:$I$9)),"#",getgrade(Broadsheet!AK215,data!$H$4:$I$9))</f>
        <v/>
      </c>
      <c r="BK104" s="188" t="str">
        <f>IF(ISERROR(getgrade(Broadsheet!AL215,data!$H$4:$I$9)),"#",getgrade(Broadsheet!AL215,data!$H$4:$I$9))</f>
        <v/>
      </c>
      <c r="BL104" s="188" t="str">
        <f>IF(ISERROR(getgrade(Broadsheet!AM215,data!$H$4:$I$9)),"#",getgrade(Broadsheet!AM215,data!$H$4:$I$9))</f>
        <v/>
      </c>
      <c r="BM104" s="188" t="str">
        <f>IF(ISERROR(getgrade(Broadsheet!AN215,data!$H$4:$I$9)),"#",getgrade(Broadsheet!AN215,data!$H$4:$I$9))</f>
        <v/>
      </c>
      <c r="BN104" s="188" t="str">
        <f>IF(ISERROR(getgrade(Broadsheet!AO215,data!$H$4:$I$9)),"#",getgrade(Broadsheet!AO215,data!$H$4:$I$9))</f>
        <v/>
      </c>
      <c r="BO104" s="188" t="str">
        <f>IF(ISERROR(getgrade(Broadsheet!AP215,data!$H$4:$I$9)),"#",getgrade(Broadsheet!AP215,data!$H$4:$I$9))</f>
        <v/>
      </c>
      <c r="BP104" s="188" t="str">
        <f>IF(ISERROR(getgrade(Broadsheet!AQ215,data!$H$4:$I$9)),"#",getgrade(Broadsheet!AQ215,data!$H$4:$I$9))</f>
        <v/>
      </c>
      <c r="BQ104" s="188" t="str">
        <f>IF(ISERROR(getgrade(Broadsheet!AR215,data!$H$4:$I$9)),"#",getgrade(Broadsheet!AR215,data!$H$4:$I$9))</f>
        <v/>
      </c>
      <c r="BR104" s="188" t="str">
        <f>IF(ISERROR(getgrade(Broadsheet!AS215,data!$H$4:$I$9)),"#",getgrade(Broadsheet!AS215,data!$H$4:$I$9))</f>
        <v/>
      </c>
      <c r="BS104" s="188" t="str">
        <f>IF(ISERROR(getgrade(Broadsheet!AT215,data!$H$4:$I$9)),"#",getgrade(Broadsheet!AT215,data!$H$4:$I$9))</f>
        <v/>
      </c>
      <c r="BT104" s="188" t="str">
        <f>IF(ISERROR(getgrade(Broadsheet!AU215,data!$H$4:$I$9)),"#",getgrade(Broadsheet!AU215,data!$H$4:$I$9))</f>
        <v/>
      </c>
      <c r="BU104" s="188" t="str">
        <f>IF(ISERROR(getgrade(Broadsheet!AV215,data!$H$4:$I$9)),"#",getgrade(Broadsheet!AV215,data!$H$4:$I$9))</f>
        <v/>
      </c>
      <c r="BV104" s="188" t="str">
        <f>IF(ISERROR(getgrade(Broadsheet!AW215,data!$H$4:$I$9)),"#",getgrade(Broadsheet!AW215,data!$H$4:$I$9))</f>
        <v/>
      </c>
      <c r="BW104" s="188" t="str">
        <f>IF(ISERROR(getgrade(Broadsheet!AX215,data!$H$4:$I$9)),"#",getgrade(Broadsheet!AX215,data!$H$4:$I$9))</f>
        <v/>
      </c>
      <c r="BX104" s="188" t="str">
        <f>IF(ISERROR(getgrade(Broadsheet!AY215,data!$H$4:$I$9)),"#",getgrade(Broadsheet!AY215,data!$H$4:$I$9))</f>
        <v/>
      </c>
      <c r="BY104" s="188" t="str">
        <f>IF(ISERROR(getgrade(Broadsheet!AZ215,data!$H$4:$I$9)),"#",getgrade(Broadsheet!AZ215,data!$H$4:$I$9))</f>
        <v/>
      </c>
      <c r="BZ104" s="188" t="str">
        <f>IF(ISERROR(getgrade(Broadsheet!BA215,data!$H$4:$I$9)),"#",getgrade(Broadsheet!BA215,data!$H$4:$I$9))</f>
        <v/>
      </c>
      <c r="CA104" s="188" t="str">
        <f>IF(ISERROR(getgrade(Broadsheet!BB215,data!$H$4:$I$9)),"#",getgrade(Broadsheet!BB215,data!$H$4:$I$9))</f>
        <v/>
      </c>
      <c r="CB104" s="188" t="str">
        <f>IF(ISERROR(getgrade(Broadsheet!BC215,data!$H$4:$I$9)),"#",getgrade(Broadsheet!BC215,data!$H$4:$I$9))</f>
        <v/>
      </c>
      <c r="CC104" s="188" t="str">
        <f>IF(ISERROR(getgrade(Broadsheet!BD215,data!$H$4:$I$9)),"#",getgrade(Broadsheet!BD215,data!$H$4:$I$9))</f>
        <v/>
      </c>
      <c r="CD104" s="188" t="str">
        <f>IF(ISERROR(getgrade(Broadsheet!BE215,data!$H$4:$I$9)),"#",getgrade(Broadsheet!BE215,data!$H$4:$I$9))</f>
        <v/>
      </c>
      <c r="CE104" s="188" t="str">
        <f>IF(ISERROR(getgrade(Broadsheet!BF215,data!$H$4:$I$9)),"#",getgrade(Broadsheet!BF215,data!$H$4:$I$9))</f>
        <v/>
      </c>
      <c r="CF104" s="188" t="str">
        <f>IF(ISERROR(getgrade(Broadsheet!BG215,data!$H$4:$I$9)),"#",getgrade(Broadsheet!BG215,data!$H$4:$I$9))</f>
        <v/>
      </c>
      <c r="CG104" s="188" t="str">
        <f>IF(ISERROR(getgrade(Broadsheet!BH215,data!$H$4:$I$9)),"#",getgrade(Broadsheet!BH215,data!$H$4:$I$9))</f>
        <v/>
      </c>
      <c r="CH104" s="188" t="str">
        <f>IF(ISERROR(getgrade(Broadsheet!BI215,data!$H$4:$I$9)),"#",getgrade(Broadsheet!BI215,data!$H$4:$I$9))</f>
        <v/>
      </c>
      <c r="CI104" s="188" t="str">
        <f>IF(ISERROR(getgrade(Broadsheet!BJ215,data!$H$4:$I$9)),"#",getgrade(Broadsheet!BJ215,data!$H$4:$I$9))</f>
        <v/>
      </c>
      <c r="CJ104" s="188"/>
      <c r="CK104" s="188"/>
      <c r="CL104" s="188"/>
      <c r="CM104" s="188"/>
      <c r="CN104" s="188"/>
      <c r="CO104" s="188"/>
      <c r="CP104" s="188"/>
      <c r="CQ104" s="188"/>
      <c r="CR104" s="188"/>
      <c r="CS104" s="188"/>
      <c r="CT104" s="188"/>
      <c r="CU104" s="188"/>
      <c r="CV104" s="188"/>
      <c r="CW104" s="188"/>
      <c r="CX104" s="188"/>
      <c r="CY104" s="188"/>
      <c r="CZ104" s="188"/>
      <c r="DA104" s="188"/>
      <c r="DB104" s="188"/>
      <c r="DC104" s="188"/>
      <c r="DD104" s="188"/>
      <c r="DE104" s="188"/>
      <c r="DF104" s="188"/>
      <c r="DG104" s="188"/>
      <c r="DH104" s="188"/>
      <c r="DI104" s="188"/>
      <c r="DJ104" s="188"/>
      <c r="DK104" s="188"/>
      <c r="DL104" s="188"/>
      <c r="DM104" s="188"/>
      <c r="DN104" s="188"/>
      <c r="DO104" s="188"/>
      <c r="DP104" s="188"/>
      <c r="DQ104" s="188"/>
      <c r="DR104" s="188"/>
      <c r="DS104" s="188"/>
      <c r="DT104" s="188"/>
      <c r="DU104" s="188"/>
      <c r="DV104" s="188"/>
      <c r="DW104" s="188"/>
      <c r="DX104" s="188"/>
      <c r="DY104" s="188"/>
      <c r="DZ104" s="188"/>
      <c r="EA104" s="188"/>
      <c r="EB104" s="188"/>
      <c r="EC104" s="188"/>
      <c r="ED104" s="188"/>
      <c r="EE104" s="188"/>
      <c r="EF104" s="188"/>
      <c r="EG104" s="188"/>
      <c r="EH104" s="188"/>
      <c r="EI104" s="188"/>
      <c r="EJ104" s="188"/>
      <c r="EK104" s="188"/>
      <c r="EL104" s="188"/>
      <c r="EM104" s="188"/>
      <c r="EN104" s="188"/>
      <c r="EO104" s="188"/>
      <c r="EP104" s="188"/>
      <c r="EQ104" s="188"/>
      <c r="ER104" s="188"/>
      <c r="ES104" s="188"/>
      <c r="ET104" s="188"/>
      <c r="EU104" s="188"/>
      <c r="EV104" s="188"/>
      <c r="EW104" s="188"/>
      <c r="EX104" s="188"/>
      <c r="EY104" s="188"/>
      <c r="EZ104" s="188"/>
    </row>
    <row r="105" spans="33:156" x14ac:dyDescent="0.2">
      <c r="AG105" s="188" t="str">
        <f>IF(ISERROR(getgrade(Broadsheet!H216,data!$H$4:$I$9)),"#",getgrade(Broadsheet!H216,data!$H$4:$I$9))</f>
        <v/>
      </c>
      <c r="AH105" s="188" t="str">
        <f>IF(ISERROR(getgrade(Broadsheet!I216,data!$H$4:$I$9)),"#",getgrade(Broadsheet!I216,data!$H$4:$I$9))</f>
        <v/>
      </c>
      <c r="AI105" s="188" t="str">
        <f>IF(ISERROR(getgrade(Broadsheet!J216,data!$H$4:$I$9)),"#",getgrade(Broadsheet!J216,data!$H$4:$I$9))</f>
        <v/>
      </c>
      <c r="AJ105" s="188" t="str">
        <f>IF(ISERROR(getgrade(Broadsheet!K216,data!$H$4:$I$9)),"#",getgrade(Broadsheet!K216,data!$H$4:$I$9))</f>
        <v/>
      </c>
      <c r="AK105" s="188" t="str">
        <f>IF(ISERROR(getgrade(Broadsheet!L216,data!$H$4:$I$9)),"#",getgrade(Broadsheet!L216,data!$H$4:$I$9))</f>
        <v/>
      </c>
      <c r="AL105" s="188" t="str">
        <f>IF(ISERROR(getgrade(Broadsheet!M216,data!$H$4:$I$9)),"#",getgrade(Broadsheet!M216,data!$H$4:$I$9))</f>
        <v/>
      </c>
      <c r="AM105" s="188" t="str">
        <f>IF(ISERROR(getgrade(Broadsheet!N216,data!$H$4:$I$9)),"#",getgrade(Broadsheet!N216,data!$H$4:$I$9))</f>
        <v/>
      </c>
      <c r="AN105" s="188" t="str">
        <f>IF(ISERROR(getgrade(Broadsheet!O216,data!$H$4:$I$9)),"#",getgrade(Broadsheet!O216,data!$H$4:$I$9))</f>
        <v/>
      </c>
      <c r="AO105" s="188" t="str">
        <f>IF(ISERROR(getgrade(Broadsheet!P216,data!$H$4:$I$9)),"#",getgrade(Broadsheet!P216,data!$H$4:$I$9))</f>
        <v/>
      </c>
      <c r="AP105" s="188" t="str">
        <f>IF(ISERROR(getgrade(Broadsheet!Q216,data!$H$4:$I$9)),"#",getgrade(Broadsheet!Q216,data!$H$4:$I$9))</f>
        <v/>
      </c>
      <c r="AQ105" s="188" t="str">
        <f>IF(ISERROR(getgrade(Broadsheet!R216,data!$H$4:$I$9)),"#",getgrade(Broadsheet!R216,data!$H$4:$I$9))</f>
        <v/>
      </c>
      <c r="AR105" s="188" t="str">
        <f>IF(ISERROR(getgrade(Broadsheet!S216,data!$H$4:$I$9)),"#",getgrade(Broadsheet!S216,data!$H$4:$I$9))</f>
        <v/>
      </c>
      <c r="AS105" s="188" t="str">
        <f>IF(ISERROR(getgrade(Broadsheet!T216,data!$H$4:$I$9)),"#",getgrade(Broadsheet!T216,data!$H$4:$I$9))</f>
        <v/>
      </c>
      <c r="AT105" s="188" t="str">
        <f>IF(ISERROR(getgrade(Broadsheet!U216,data!$H$4:$I$9)),"#",getgrade(Broadsheet!U216,data!$H$4:$I$9))</f>
        <v/>
      </c>
      <c r="AU105" s="188" t="str">
        <f>IF(ISERROR(getgrade(Broadsheet!V216,data!$H$4:$I$9)),"#",getgrade(Broadsheet!V216,data!$H$4:$I$9))</f>
        <v/>
      </c>
      <c r="AV105" s="188" t="str">
        <f>IF(ISERROR(getgrade(Broadsheet!W216,data!$H$4:$I$9)),"#",getgrade(Broadsheet!W216,data!$H$4:$I$9))</f>
        <v/>
      </c>
      <c r="AW105" s="188" t="str">
        <f>IF(ISERROR(getgrade(Broadsheet!X216,data!$H$4:$I$9)),"#",getgrade(Broadsheet!X216,data!$H$4:$I$9))</f>
        <v/>
      </c>
      <c r="AX105" s="188" t="str">
        <f>IF(ISERROR(getgrade(Broadsheet!Y216,data!$H$4:$I$9)),"#",getgrade(Broadsheet!Y216,data!$H$4:$I$9))</f>
        <v/>
      </c>
      <c r="AY105" s="188" t="str">
        <f>IF(ISERROR(getgrade(Broadsheet!Z216,data!$H$4:$I$9)),"#",getgrade(Broadsheet!Z216,data!$H$4:$I$9))</f>
        <v/>
      </c>
      <c r="AZ105" s="188" t="str">
        <f>IF(ISERROR(getgrade(Broadsheet!AA216,data!$H$4:$I$9)),"#",getgrade(Broadsheet!AA216,data!$H$4:$I$9))</f>
        <v/>
      </c>
      <c r="BA105" s="188" t="str">
        <f>IF(ISERROR(getgrade(Broadsheet!AB216,data!$H$4:$I$9)),"#",getgrade(Broadsheet!AB216,data!$H$4:$I$9))</f>
        <v/>
      </c>
      <c r="BB105" s="188" t="str">
        <f>IF(ISERROR(getgrade(Broadsheet!AC216,data!$H$4:$I$9)),"#",getgrade(Broadsheet!AC216,data!$H$4:$I$9))</f>
        <v/>
      </c>
      <c r="BC105" s="188" t="str">
        <f>IF(ISERROR(getgrade(Broadsheet!AD216,data!$H$4:$I$9)),"#",getgrade(Broadsheet!AD216,data!$H$4:$I$9))</f>
        <v/>
      </c>
      <c r="BD105" s="188" t="str">
        <f>IF(ISERROR(getgrade(Broadsheet!AE216,data!$H$4:$I$9)),"#",getgrade(Broadsheet!AE216,data!$H$4:$I$9))</f>
        <v/>
      </c>
      <c r="BE105" s="188" t="str">
        <f>IF(ISERROR(getgrade(Broadsheet!AF216,data!$H$4:$I$9)),"#",getgrade(Broadsheet!AF216,data!$H$4:$I$9))</f>
        <v/>
      </c>
      <c r="BF105" s="188" t="str">
        <f>IF(ISERROR(getgrade(Broadsheet!AG216,data!$H$4:$I$9)),"#",getgrade(Broadsheet!AG216,data!$H$4:$I$9))</f>
        <v/>
      </c>
      <c r="BG105" s="188" t="str">
        <f>IF(ISERROR(getgrade(Broadsheet!AH216,data!$H$4:$I$9)),"#",getgrade(Broadsheet!AH216,data!$H$4:$I$9))</f>
        <v/>
      </c>
      <c r="BH105" s="188" t="str">
        <f>IF(ISERROR(getgrade(Broadsheet!AI216,data!$H$4:$I$9)),"#",getgrade(Broadsheet!AI216,data!$H$4:$I$9))</f>
        <v/>
      </c>
      <c r="BI105" s="188" t="str">
        <f>IF(ISERROR(getgrade(Broadsheet!AJ216,data!$H$4:$I$9)),"#",getgrade(Broadsheet!AJ216,data!$H$4:$I$9))</f>
        <v/>
      </c>
      <c r="BJ105" s="188" t="str">
        <f>IF(ISERROR(getgrade(Broadsheet!AK216,data!$H$4:$I$9)),"#",getgrade(Broadsheet!AK216,data!$H$4:$I$9))</f>
        <v/>
      </c>
      <c r="BK105" s="188" t="str">
        <f>IF(ISERROR(getgrade(Broadsheet!AL216,data!$H$4:$I$9)),"#",getgrade(Broadsheet!AL216,data!$H$4:$I$9))</f>
        <v/>
      </c>
      <c r="BL105" s="188" t="str">
        <f>IF(ISERROR(getgrade(Broadsheet!AM216,data!$H$4:$I$9)),"#",getgrade(Broadsheet!AM216,data!$H$4:$I$9))</f>
        <v/>
      </c>
      <c r="BM105" s="188" t="str">
        <f>IF(ISERROR(getgrade(Broadsheet!AN216,data!$H$4:$I$9)),"#",getgrade(Broadsheet!AN216,data!$H$4:$I$9))</f>
        <v/>
      </c>
      <c r="BN105" s="188" t="str">
        <f>IF(ISERROR(getgrade(Broadsheet!AO216,data!$H$4:$I$9)),"#",getgrade(Broadsheet!AO216,data!$H$4:$I$9))</f>
        <v/>
      </c>
      <c r="BO105" s="188" t="str">
        <f>IF(ISERROR(getgrade(Broadsheet!AP216,data!$H$4:$I$9)),"#",getgrade(Broadsheet!AP216,data!$H$4:$I$9))</f>
        <v/>
      </c>
      <c r="BP105" s="188" t="str">
        <f>IF(ISERROR(getgrade(Broadsheet!AQ216,data!$H$4:$I$9)),"#",getgrade(Broadsheet!AQ216,data!$H$4:$I$9))</f>
        <v/>
      </c>
      <c r="BQ105" s="188" t="str">
        <f>IF(ISERROR(getgrade(Broadsheet!AR216,data!$H$4:$I$9)),"#",getgrade(Broadsheet!AR216,data!$H$4:$I$9))</f>
        <v/>
      </c>
      <c r="BR105" s="188" t="str">
        <f>IF(ISERROR(getgrade(Broadsheet!AS216,data!$H$4:$I$9)),"#",getgrade(Broadsheet!AS216,data!$H$4:$I$9))</f>
        <v/>
      </c>
      <c r="BS105" s="188" t="str">
        <f>IF(ISERROR(getgrade(Broadsheet!AT216,data!$H$4:$I$9)),"#",getgrade(Broadsheet!AT216,data!$H$4:$I$9))</f>
        <v/>
      </c>
      <c r="BT105" s="188" t="str">
        <f>IF(ISERROR(getgrade(Broadsheet!AU216,data!$H$4:$I$9)),"#",getgrade(Broadsheet!AU216,data!$H$4:$I$9))</f>
        <v/>
      </c>
      <c r="BU105" s="188" t="str">
        <f>IF(ISERROR(getgrade(Broadsheet!AV216,data!$H$4:$I$9)),"#",getgrade(Broadsheet!AV216,data!$H$4:$I$9))</f>
        <v/>
      </c>
      <c r="BV105" s="188" t="str">
        <f>IF(ISERROR(getgrade(Broadsheet!AW216,data!$H$4:$I$9)),"#",getgrade(Broadsheet!AW216,data!$H$4:$I$9))</f>
        <v/>
      </c>
      <c r="BW105" s="188" t="str">
        <f>IF(ISERROR(getgrade(Broadsheet!AX216,data!$H$4:$I$9)),"#",getgrade(Broadsheet!AX216,data!$H$4:$I$9))</f>
        <v/>
      </c>
      <c r="BX105" s="188" t="str">
        <f>IF(ISERROR(getgrade(Broadsheet!AY216,data!$H$4:$I$9)),"#",getgrade(Broadsheet!AY216,data!$H$4:$I$9))</f>
        <v/>
      </c>
      <c r="BY105" s="188" t="str">
        <f>IF(ISERROR(getgrade(Broadsheet!AZ216,data!$H$4:$I$9)),"#",getgrade(Broadsheet!AZ216,data!$H$4:$I$9))</f>
        <v/>
      </c>
      <c r="BZ105" s="188" t="str">
        <f>IF(ISERROR(getgrade(Broadsheet!BA216,data!$H$4:$I$9)),"#",getgrade(Broadsheet!BA216,data!$H$4:$I$9))</f>
        <v/>
      </c>
      <c r="CA105" s="188" t="str">
        <f>IF(ISERROR(getgrade(Broadsheet!BB216,data!$H$4:$I$9)),"#",getgrade(Broadsheet!BB216,data!$H$4:$I$9))</f>
        <v/>
      </c>
      <c r="CB105" s="188" t="str">
        <f>IF(ISERROR(getgrade(Broadsheet!BC216,data!$H$4:$I$9)),"#",getgrade(Broadsheet!BC216,data!$H$4:$I$9))</f>
        <v/>
      </c>
      <c r="CC105" s="188" t="str">
        <f>IF(ISERROR(getgrade(Broadsheet!BD216,data!$H$4:$I$9)),"#",getgrade(Broadsheet!BD216,data!$H$4:$I$9))</f>
        <v/>
      </c>
      <c r="CD105" s="188" t="str">
        <f>IF(ISERROR(getgrade(Broadsheet!BE216,data!$H$4:$I$9)),"#",getgrade(Broadsheet!BE216,data!$H$4:$I$9))</f>
        <v/>
      </c>
      <c r="CE105" s="188" t="str">
        <f>IF(ISERROR(getgrade(Broadsheet!BF216,data!$H$4:$I$9)),"#",getgrade(Broadsheet!BF216,data!$H$4:$I$9))</f>
        <v/>
      </c>
      <c r="CF105" s="188" t="str">
        <f>IF(ISERROR(getgrade(Broadsheet!BG216,data!$H$4:$I$9)),"#",getgrade(Broadsheet!BG216,data!$H$4:$I$9))</f>
        <v/>
      </c>
      <c r="CG105" s="188" t="str">
        <f>IF(ISERROR(getgrade(Broadsheet!BH216,data!$H$4:$I$9)),"#",getgrade(Broadsheet!BH216,data!$H$4:$I$9))</f>
        <v/>
      </c>
      <c r="CH105" s="188" t="str">
        <f>IF(ISERROR(getgrade(Broadsheet!BI216,data!$H$4:$I$9)),"#",getgrade(Broadsheet!BI216,data!$H$4:$I$9))</f>
        <v/>
      </c>
      <c r="CI105" s="188" t="str">
        <f>IF(ISERROR(getgrade(Broadsheet!BJ216,data!$H$4:$I$9)),"#",getgrade(Broadsheet!BJ216,data!$H$4:$I$9))</f>
        <v/>
      </c>
      <c r="CJ105" s="188"/>
      <c r="CK105" s="188"/>
      <c r="CL105" s="188"/>
      <c r="CM105" s="188"/>
      <c r="CN105" s="188"/>
      <c r="CO105" s="188"/>
      <c r="CP105" s="188"/>
      <c r="CQ105" s="188"/>
      <c r="CR105" s="188"/>
      <c r="CS105" s="188"/>
      <c r="CT105" s="188"/>
      <c r="CU105" s="188"/>
      <c r="CV105" s="188"/>
      <c r="CW105" s="188"/>
      <c r="CX105" s="188"/>
      <c r="CY105" s="188"/>
      <c r="CZ105" s="188"/>
      <c r="DA105" s="188"/>
      <c r="DB105" s="188"/>
      <c r="DC105" s="188"/>
      <c r="DD105" s="188"/>
      <c r="DE105" s="188"/>
      <c r="DF105" s="188"/>
      <c r="DG105" s="188"/>
      <c r="DH105" s="188"/>
      <c r="DI105" s="188"/>
      <c r="DJ105" s="188"/>
      <c r="DK105" s="188"/>
      <c r="DL105" s="188"/>
      <c r="DM105" s="188"/>
      <c r="DN105" s="188"/>
      <c r="DO105" s="188"/>
      <c r="DP105" s="188"/>
      <c r="DQ105" s="188"/>
      <c r="DR105" s="188"/>
      <c r="DS105" s="188"/>
      <c r="DT105" s="188"/>
      <c r="DU105" s="188"/>
      <c r="DV105" s="188"/>
      <c r="DW105" s="188"/>
      <c r="DX105" s="188"/>
      <c r="DY105" s="188"/>
      <c r="DZ105" s="188"/>
      <c r="EA105" s="188"/>
      <c r="EB105" s="188"/>
      <c r="EC105" s="188"/>
      <c r="ED105" s="188"/>
      <c r="EE105" s="188"/>
      <c r="EF105" s="188"/>
      <c r="EG105" s="188"/>
      <c r="EH105" s="188"/>
      <c r="EI105" s="188"/>
      <c r="EJ105" s="188"/>
      <c r="EK105" s="188"/>
      <c r="EL105" s="188"/>
      <c r="EM105" s="188"/>
      <c r="EN105" s="188"/>
      <c r="EO105" s="188"/>
      <c r="EP105" s="188"/>
      <c r="EQ105" s="188"/>
      <c r="ER105" s="188"/>
      <c r="ES105" s="188"/>
      <c r="ET105" s="188"/>
      <c r="EU105" s="188"/>
      <c r="EV105" s="188"/>
      <c r="EW105" s="188"/>
      <c r="EX105" s="188"/>
      <c r="EY105" s="188"/>
      <c r="EZ105" s="188"/>
    </row>
    <row r="106" spans="33:156" x14ac:dyDescent="0.2">
      <c r="AG106" s="188" t="str">
        <f>IF(ISERROR(getgrade(Broadsheet!H217,data!$H$4:$I$9)),"#",getgrade(Broadsheet!H217,data!$H$4:$I$9))</f>
        <v/>
      </c>
      <c r="AH106" s="188" t="str">
        <f>IF(ISERROR(getgrade(Broadsheet!I217,data!$H$4:$I$9)),"#",getgrade(Broadsheet!I217,data!$H$4:$I$9))</f>
        <v/>
      </c>
      <c r="AI106" s="188" t="str">
        <f>IF(ISERROR(getgrade(Broadsheet!J217,data!$H$4:$I$9)),"#",getgrade(Broadsheet!J217,data!$H$4:$I$9))</f>
        <v/>
      </c>
      <c r="AJ106" s="188" t="str">
        <f>IF(ISERROR(getgrade(Broadsheet!K217,data!$H$4:$I$9)),"#",getgrade(Broadsheet!K217,data!$H$4:$I$9))</f>
        <v/>
      </c>
      <c r="AK106" s="188" t="str">
        <f>IF(ISERROR(getgrade(Broadsheet!L217,data!$H$4:$I$9)),"#",getgrade(Broadsheet!L217,data!$H$4:$I$9))</f>
        <v/>
      </c>
      <c r="AL106" s="188" t="str">
        <f>IF(ISERROR(getgrade(Broadsheet!M217,data!$H$4:$I$9)),"#",getgrade(Broadsheet!M217,data!$H$4:$I$9))</f>
        <v/>
      </c>
      <c r="AM106" s="188" t="str">
        <f>IF(ISERROR(getgrade(Broadsheet!N217,data!$H$4:$I$9)),"#",getgrade(Broadsheet!N217,data!$H$4:$I$9))</f>
        <v/>
      </c>
      <c r="AN106" s="188" t="str">
        <f>IF(ISERROR(getgrade(Broadsheet!O217,data!$H$4:$I$9)),"#",getgrade(Broadsheet!O217,data!$H$4:$I$9))</f>
        <v/>
      </c>
      <c r="AO106" s="188" t="str">
        <f>IF(ISERROR(getgrade(Broadsheet!P217,data!$H$4:$I$9)),"#",getgrade(Broadsheet!P217,data!$H$4:$I$9))</f>
        <v/>
      </c>
      <c r="AP106" s="188" t="str">
        <f>IF(ISERROR(getgrade(Broadsheet!Q217,data!$H$4:$I$9)),"#",getgrade(Broadsheet!Q217,data!$H$4:$I$9))</f>
        <v/>
      </c>
      <c r="AQ106" s="188" t="str">
        <f>IF(ISERROR(getgrade(Broadsheet!R217,data!$H$4:$I$9)),"#",getgrade(Broadsheet!R217,data!$H$4:$I$9))</f>
        <v/>
      </c>
      <c r="AR106" s="188" t="str">
        <f>IF(ISERROR(getgrade(Broadsheet!S217,data!$H$4:$I$9)),"#",getgrade(Broadsheet!S217,data!$H$4:$I$9))</f>
        <v/>
      </c>
      <c r="AS106" s="188" t="str">
        <f>IF(ISERROR(getgrade(Broadsheet!T217,data!$H$4:$I$9)),"#",getgrade(Broadsheet!T217,data!$H$4:$I$9))</f>
        <v/>
      </c>
      <c r="AT106" s="188" t="str">
        <f>IF(ISERROR(getgrade(Broadsheet!U217,data!$H$4:$I$9)),"#",getgrade(Broadsheet!U217,data!$H$4:$I$9))</f>
        <v/>
      </c>
      <c r="AU106" s="188" t="str">
        <f>IF(ISERROR(getgrade(Broadsheet!V217,data!$H$4:$I$9)),"#",getgrade(Broadsheet!V217,data!$H$4:$I$9))</f>
        <v/>
      </c>
      <c r="AV106" s="188" t="str">
        <f>IF(ISERROR(getgrade(Broadsheet!W217,data!$H$4:$I$9)),"#",getgrade(Broadsheet!W217,data!$H$4:$I$9))</f>
        <v/>
      </c>
      <c r="AW106" s="188" t="str">
        <f>IF(ISERROR(getgrade(Broadsheet!X217,data!$H$4:$I$9)),"#",getgrade(Broadsheet!X217,data!$H$4:$I$9))</f>
        <v/>
      </c>
      <c r="AX106" s="188" t="str">
        <f>IF(ISERROR(getgrade(Broadsheet!Y217,data!$H$4:$I$9)),"#",getgrade(Broadsheet!Y217,data!$H$4:$I$9))</f>
        <v/>
      </c>
      <c r="AY106" s="188" t="str">
        <f>IF(ISERROR(getgrade(Broadsheet!Z217,data!$H$4:$I$9)),"#",getgrade(Broadsheet!Z217,data!$H$4:$I$9))</f>
        <v/>
      </c>
      <c r="AZ106" s="188" t="str">
        <f>IF(ISERROR(getgrade(Broadsheet!AA217,data!$H$4:$I$9)),"#",getgrade(Broadsheet!AA217,data!$H$4:$I$9))</f>
        <v/>
      </c>
      <c r="BA106" s="188" t="str">
        <f>IF(ISERROR(getgrade(Broadsheet!AB217,data!$H$4:$I$9)),"#",getgrade(Broadsheet!AB217,data!$H$4:$I$9))</f>
        <v/>
      </c>
      <c r="BB106" s="188" t="str">
        <f>IF(ISERROR(getgrade(Broadsheet!AC217,data!$H$4:$I$9)),"#",getgrade(Broadsheet!AC217,data!$H$4:$I$9))</f>
        <v/>
      </c>
      <c r="BC106" s="188" t="str">
        <f>IF(ISERROR(getgrade(Broadsheet!AD217,data!$H$4:$I$9)),"#",getgrade(Broadsheet!AD217,data!$H$4:$I$9))</f>
        <v/>
      </c>
      <c r="BD106" s="188" t="str">
        <f>IF(ISERROR(getgrade(Broadsheet!AE217,data!$H$4:$I$9)),"#",getgrade(Broadsheet!AE217,data!$H$4:$I$9))</f>
        <v/>
      </c>
      <c r="BE106" s="188" t="str">
        <f>IF(ISERROR(getgrade(Broadsheet!AF217,data!$H$4:$I$9)),"#",getgrade(Broadsheet!AF217,data!$H$4:$I$9))</f>
        <v/>
      </c>
      <c r="BF106" s="188" t="str">
        <f>IF(ISERROR(getgrade(Broadsheet!AG217,data!$H$4:$I$9)),"#",getgrade(Broadsheet!AG217,data!$H$4:$I$9))</f>
        <v/>
      </c>
      <c r="BG106" s="188" t="str">
        <f>IF(ISERROR(getgrade(Broadsheet!AH217,data!$H$4:$I$9)),"#",getgrade(Broadsheet!AH217,data!$H$4:$I$9))</f>
        <v/>
      </c>
      <c r="BH106" s="188" t="str">
        <f>IF(ISERROR(getgrade(Broadsheet!AI217,data!$H$4:$I$9)),"#",getgrade(Broadsheet!AI217,data!$H$4:$I$9))</f>
        <v/>
      </c>
      <c r="BI106" s="188" t="str">
        <f>IF(ISERROR(getgrade(Broadsheet!AJ217,data!$H$4:$I$9)),"#",getgrade(Broadsheet!AJ217,data!$H$4:$I$9))</f>
        <v/>
      </c>
      <c r="BJ106" s="188" t="str">
        <f>IF(ISERROR(getgrade(Broadsheet!AK217,data!$H$4:$I$9)),"#",getgrade(Broadsheet!AK217,data!$H$4:$I$9))</f>
        <v/>
      </c>
      <c r="BK106" s="188" t="str">
        <f>IF(ISERROR(getgrade(Broadsheet!AL217,data!$H$4:$I$9)),"#",getgrade(Broadsheet!AL217,data!$H$4:$I$9))</f>
        <v/>
      </c>
      <c r="BL106" s="188" t="str">
        <f>IF(ISERROR(getgrade(Broadsheet!AM217,data!$H$4:$I$9)),"#",getgrade(Broadsheet!AM217,data!$H$4:$I$9))</f>
        <v/>
      </c>
      <c r="BM106" s="188" t="str">
        <f>IF(ISERROR(getgrade(Broadsheet!AN217,data!$H$4:$I$9)),"#",getgrade(Broadsheet!AN217,data!$H$4:$I$9))</f>
        <v/>
      </c>
      <c r="BN106" s="188" t="str">
        <f>IF(ISERROR(getgrade(Broadsheet!AO217,data!$H$4:$I$9)),"#",getgrade(Broadsheet!AO217,data!$H$4:$I$9))</f>
        <v/>
      </c>
      <c r="BO106" s="188" t="str">
        <f>IF(ISERROR(getgrade(Broadsheet!AP217,data!$H$4:$I$9)),"#",getgrade(Broadsheet!AP217,data!$H$4:$I$9))</f>
        <v/>
      </c>
      <c r="BP106" s="188" t="str">
        <f>IF(ISERROR(getgrade(Broadsheet!AQ217,data!$H$4:$I$9)),"#",getgrade(Broadsheet!AQ217,data!$H$4:$I$9))</f>
        <v/>
      </c>
      <c r="BQ106" s="188" t="str">
        <f>IF(ISERROR(getgrade(Broadsheet!AR217,data!$H$4:$I$9)),"#",getgrade(Broadsheet!AR217,data!$H$4:$I$9))</f>
        <v/>
      </c>
      <c r="BR106" s="188" t="str">
        <f>IF(ISERROR(getgrade(Broadsheet!AS217,data!$H$4:$I$9)),"#",getgrade(Broadsheet!AS217,data!$H$4:$I$9))</f>
        <v/>
      </c>
      <c r="BS106" s="188" t="str">
        <f>IF(ISERROR(getgrade(Broadsheet!AT217,data!$H$4:$I$9)),"#",getgrade(Broadsheet!AT217,data!$H$4:$I$9))</f>
        <v/>
      </c>
      <c r="BT106" s="188" t="str">
        <f>IF(ISERROR(getgrade(Broadsheet!AU217,data!$H$4:$I$9)),"#",getgrade(Broadsheet!AU217,data!$H$4:$I$9))</f>
        <v/>
      </c>
      <c r="BU106" s="188" t="str">
        <f>IF(ISERROR(getgrade(Broadsheet!AV217,data!$H$4:$I$9)),"#",getgrade(Broadsheet!AV217,data!$H$4:$I$9))</f>
        <v/>
      </c>
      <c r="BV106" s="188" t="str">
        <f>IF(ISERROR(getgrade(Broadsheet!AW217,data!$H$4:$I$9)),"#",getgrade(Broadsheet!AW217,data!$H$4:$I$9))</f>
        <v/>
      </c>
      <c r="BW106" s="188" t="str">
        <f>IF(ISERROR(getgrade(Broadsheet!AX217,data!$H$4:$I$9)),"#",getgrade(Broadsheet!AX217,data!$H$4:$I$9))</f>
        <v/>
      </c>
      <c r="BX106" s="188" t="str">
        <f>IF(ISERROR(getgrade(Broadsheet!AY217,data!$H$4:$I$9)),"#",getgrade(Broadsheet!AY217,data!$H$4:$I$9))</f>
        <v/>
      </c>
      <c r="BY106" s="188" t="str">
        <f>IF(ISERROR(getgrade(Broadsheet!AZ217,data!$H$4:$I$9)),"#",getgrade(Broadsheet!AZ217,data!$H$4:$I$9))</f>
        <v/>
      </c>
      <c r="BZ106" s="188" t="str">
        <f>IF(ISERROR(getgrade(Broadsheet!BA217,data!$H$4:$I$9)),"#",getgrade(Broadsheet!BA217,data!$H$4:$I$9))</f>
        <v/>
      </c>
      <c r="CA106" s="188" t="str">
        <f>IF(ISERROR(getgrade(Broadsheet!BB217,data!$H$4:$I$9)),"#",getgrade(Broadsheet!BB217,data!$H$4:$I$9))</f>
        <v/>
      </c>
      <c r="CB106" s="188" t="str">
        <f>IF(ISERROR(getgrade(Broadsheet!BC217,data!$H$4:$I$9)),"#",getgrade(Broadsheet!BC217,data!$H$4:$I$9))</f>
        <v/>
      </c>
      <c r="CC106" s="188" t="str">
        <f>IF(ISERROR(getgrade(Broadsheet!BD217,data!$H$4:$I$9)),"#",getgrade(Broadsheet!BD217,data!$H$4:$I$9))</f>
        <v/>
      </c>
      <c r="CD106" s="188" t="str">
        <f>IF(ISERROR(getgrade(Broadsheet!BE217,data!$H$4:$I$9)),"#",getgrade(Broadsheet!BE217,data!$H$4:$I$9))</f>
        <v/>
      </c>
      <c r="CE106" s="188" t="str">
        <f>IF(ISERROR(getgrade(Broadsheet!BF217,data!$H$4:$I$9)),"#",getgrade(Broadsheet!BF217,data!$H$4:$I$9))</f>
        <v/>
      </c>
      <c r="CF106" s="188" t="str">
        <f>IF(ISERROR(getgrade(Broadsheet!BG217,data!$H$4:$I$9)),"#",getgrade(Broadsheet!BG217,data!$H$4:$I$9))</f>
        <v/>
      </c>
      <c r="CG106" s="188" t="str">
        <f>IF(ISERROR(getgrade(Broadsheet!BH217,data!$H$4:$I$9)),"#",getgrade(Broadsheet!BH217,data!$H$4:$I$9))</f>
        <v/>
      </c>
      <c r="CH106" s="188" t="str">
        <f>IF(ISERROR(getgrade(Broadsheet!BI217,data!$H$4:$I$9)),"#",getgrade(Broadsheet!BI217,data!$H$4:$I$9))</f>
        <v/>
      </c>
      <c r="CI106" s="188" t="str">
        <f>IF(ISERROR(getgrade(Broadsheet!BJ217,data!$H$4:$I$9)),"#",getgrade(Broadsheet!BJ217,data!$H$4:$I$9))</f>
        <v/>
      </c>
      <c r="CJ106" s="188"/>
      <c r="CK106" s="188"/>
      <c r="CL106" s="188"/>
      <c r="CM106" s="188"/>
      <c r="CN106" s="188"/>
      <c r="CO106" s="188"/>
      <c r="CP106" s="188"/>
      <c r="CQ106" s="188"/>
      <c r="CR106" s="188"/>
      <c r="CS106" s="188"/>
      <c r="CT106" s="188"/>
      <c r="CU106" s="188"/>
      <c r="CV106" s="188"/>
      <c r="CW106" s="188"/>
      <c r="CX106" s="188"/>
      <c r="CY106" s="188"/>
      <c r="CZ106" s="188"/>
      <c r="DA106" s="188"/>
      <c r="DB106" s="188"/>
      <c r="DC106" s="188"/>
      <c r="DD106" s="188"/>
      <c r="DE106" s="188"/>
      <c r="DF106" s="188"/>
      <c r="DG106" s="188"/>
      <c r="DH106" s="188"/>
      <c r="DI106" s="188"/>
      <c r="DJ106" s="188"/>
      <c r="DK106" s="188"/>
      <c r="DL106" s="188"/>
      <c r="DM106" s="188"/>
      <c r="DN106" s="188"/>
      <c r="DO106" s="188"/>
      <c r="DP106" s="188"/>
      <c r="DQ106" s="188"/>
      <c r="DR106" s="188"/>
      <c r="DS106" s="188"/>
      <c r="DT106" s="188"/>
      <c r="DU106" s="188"/>
      <c r="DV106" s="188"/>
      <c r="DW106" s="188"/>
      <c r="DX106" s="188"/>
      <c r="DY106" s="188"/>
      <c r="DZ106" s="188"/>
      <c r="EA106" s="188"/>
      <c r="EB106" s="188"/>
      <c r="EC106" s="188"/>
      <c r="ED106" s="188"/>
      <c r="EE106" s="188"/>
      <c r="EF106" s="188"/>
      <c r="EG106" s="188"/>
      <c r="EH106" s="188"/>
      <c r="EI106" s="188"/>
      <c r="EJ106" s="188"/>
      <c r="EK106" s="188"/>
      <c r="EL106" s="188"/>
      <c r="EM106" s="188"/>
      <c r="EN106" s="188"/>
      <c r="EO106" s="188"/>
      <c r="EP106" s="188"/>
      <c r="EQ106" s="188"/>
      <c r="ER106" s="188"/>
      <c r="ES106" s="188"/>
      <c r="ET106" s="188"/>
      <c r="EU106" s="188"/>
      <c r="EV106" s="188"/>
      <c r="EW106" s="188"/>
      <c r="EX106" s="188"/>
      <c r="EY106" s="188"/>
      <c r="EZ106" s="188"/>
    </row>
    <row r="107" spans="33:156" x14ac:dyDescent="0.2">
      <c r="AG107" s="188" t="str">
        <f>IF(ISERROR(getgrade(Broadsheet!H218,data!$H$4:$I$9)),"#",getgrade(Broadsheet!H218,data!$H$4:$I$9))</f>
        <v/>
      </c>
      <c r="AH107" s="188" t="str">
        <f>IF(ISERROR(getgrade(Broadsheet!I218,data!$H$4:$I$9)),"#",getgrade(Broadsheet!I218,data!$H$4:$I$9))</f>
        <v/>
      </c>
      <c r="AI107" s="188" t="str">
        <f>IF(ISERROR(getgrade(Broadsheet!J218,data!$H$4:$I$9)),"#",getgrade(Broadsheet!J218,data!$H$4:$I$9))</f>
        <v/>
      </c>
      <c r="AJ107" s="188" t="str">
        <f>IF(ISERROR(getgrade(Broadsheet!K218,data!$H$4:$I$9)),"#",getgrade(Broadsheet!K218,data!$H$4:$I$9))</f>
        <v/>
      </c>
      <c r="AK107" s="188" t="str">
        <f>IF(ISERROR(getgrade(Broadsheet!L218,data!$H$4:$I$9)),"#",getgrade(Broadsheet!L218,data!$H$4:$I$9))</f>
        <v/>
      </c>
      <c r="AL107" s="188" t="str">
        <f>IF(ISERROR(getgrade(Broadsheet!M218,data!$H$4:$I$9)),"#",getgrade(Broadsheet!M218,data!$H$4:$I$9))</f>
        <v/>
      </c>
      <c r="AM107" s="188" t="str">
        <f>IF(ISERROR(getgrade(Broadsheet!N218,data!$H$4:$I$9)),"#",getgrade(Broadsheet!N218,data!$H$4:$I$9))</f>
        <v/>
      </c>
      <c r="AN107" s="188" t="str">
        <f>IF(ISERROR(getgrade(Broadsheet!O218,data!$H$4:$I$9)),"#",getgrade(Broadsheet!O218,data!$H$4:$I$9))</f>
        <v/>
      </c>
      <c r="AO107" s="188" t="str">
        <f>IF(ISERROR(getgrade(Broadsheet!P218,data!$H$4:$I$9)),"#",getgrade(Broadsheet!P218,data!$H$4:$I$9))</f>
        <v/>
      </c>
      <c r="AP107" s="188" t="str">
        <f>IF(ISERROR(getgrade(Broadsheet!Q218,data!$H$4:$I$9)),"#",getgrade(Broadsheet!Q218,data!$H$4:$I$9))</f>
        <v/>
      </c>
      <c r="AQ107" s="188" t="str">
        <f>IF(ISERROR(getgrade(Broadsheet!R218,data!$H$4:$I$9)),"#",getgrade(Broadsheet!R218,data!$H$4:$I$9))</f>
        <v/>
      </c>
      <c r="AR107" s="188" t="str">
        <f>IF(ISERROR(getgrade(Broadsheet!S218,data!$H$4:$I$9)),"#",getgrade(Broadsheet!S218,data!$H$4:$I$9))</f>
        <v/>
      </c>
      <c r="AS107" s="188" t="str">
        <f>IF(ISERROR(getgrade(Broadsheet!T218,data!$H$4:$I$9)),"#",getgrade(Broadsheet!T218,data!$H$4:$I$9))</f>
        <v/>
      </c>
      <c r="AT107" s="188" t="str">
        <f>IF(ISERROR(getgrade(Broadsheet!U218,data!$H$4:$I$9)),"#",getgrade(Broadsheet!U218,data!$H$4:$I$9))</f>
        <v/>
      </c>
      <c r="AU107" s="188" t="str">
        <f>IF(ISERROR(getgrade(Broadsheet!V218,data!$H$4:$I$9)),"#",getgrade(Broadsheet!V218,data!$H$4:$I$9))</f>
        <v/>
      </c>
      <c r="AV107" s="188" t="str">
        <f>IF(ISERROR(getgrade(Broadsheet!W218,data!$H$4:$I$9)),"#",getgrade(Broadsheet!W218,data!$H$4:$I$9))</f>
        <v/>
      </c>
      <c r="AW107" s="188" t="str">
        <f>IF(ISERROR(getgrade(Broadsheet!X218,data!$H$4:$I$9)),"#",getgrade(Broadsheet!X218,data!$H$4:$I$9))</f>
        <v/>
      </c>
      <c r="AX107" s="188" t="str">
        <f>IF(ISERROR(getgrade(Broadsheet!Y218,data!$H$4:$I$9)),"#",getgrade(Broadsheet!Y218,data!$H$4:$I$9))</f>
        <v/>
      </c>
      <c r="AY107" s="188" t="str">
        <f>IF(ISERROR(getgrade(Broadsheet!Z218,data!$H$4:$I$9)),"#",getgrade(Broadsheet!Z218,data!$H$4:$I$9))</f>
        <v/>
      </c>
      <c r="AZ107" s="188" t="str">
        <f>IF(ISERROR(getgrade(Broadsheet!AA218,data!$H$4:$I$9)),"#",getgrade(Broadsheet!AA218,data!$H$4:$I$9))</f>
        <v/>
      </c>
      <c r="BA107" s="188" t="str">
        <f>IF(ISERROR(getgrade(Broadsheet!AB218,data!$H$4:$I$9)),"#",getgrade(Broadsheet!AB218,data!$H$4:$I$9))</f>
        <v/>
      </c>
      <c r="BB107" s="188" t="str">
        <f>IF(ISERROR(getgrade(Broadsheet!AC218,data!$H$4:$I$9)),"#",getgrade(Broadsheet!AC218,data!$H$4:$I$9))</f>
        <v/>
      </c>
      <c r="BC107" s="188" t="str">
        <f>IF(ISERROR(getgrade(Broadsheet!AD218,data!$H$4:$I$9)),"#",getgrade(Broadsheet!AD218,data!$H$4:$I$9))</f>
        <v/>
      </c>
      <c r="BD107" s="188" t="str">
        <f>IF(ISERROR(getgrade(Broadsheet!AE218,data!$H$4:$I$9)),"#",getgrade(Broadsheet!AE218,data!$H$4:$I$9))</f>
        <v/>
      </c>
      <c r="BE107" s="188" t="str">
        <f>IF(ISERROR(getgrade(Broadsheet!AF218,data!$H$4:$I$9)),"#",getgrade(Broadsheet!AF218,data!$H$4:$I$9))</f>
        <v/>
      </c>
      <c r="BF107" s="188" t="str">
        <f>IF(ISERROR(getgrade(Broadsheet!AG218,data!$H$4:$I$9)),"#",getgrade(Broadsheet!AG218,data!$H$4:$I$9))</f>
        <v/>
      </c>
      <c r="BG107" s="188" t="str">
        <f>IF(ISERROR(getgrade(Broadsheet!AH218,data!$H$4:$I$9)),"#",getgrade(Broadsheet!AH218,data!$H$4:$I$9))</f>
        <v/>
      </c>
      <c r="BH107" s="188" t="str">
        <f>IF(ISERROR(getgrade(Broadsheet!AI218,data!$H$4:$I$9)),"#",getgrade(Broadsheet!AI218,data!$H$4:$I$9))</f>
        <v/>
      </c>
      <c r="BI107" s="188" t="str">
        <f>IF(ISERROR(getgrade(Broadsheet!AJ218,data!$H$4:$I$9)),"#",getgrade(Broadsheet!AJ218,data!$H$4:$I$9))</f>
        <v/>
      </c>
      <c r="BJ107" s="188" t="str">
        <f>IF(ISERROR(getgrade(Broadsheet!AK218,data!$H$4:$I$9)),"#",getgrade(Broadsheet!AK218,data!$H$4:$I$9))</f>
        <v/>
      </c>
      <c r="BK107" s="188" t="str">
        <f>IF(ISERROR(getgrade(Broadsheet!AL218,data!$H$4:$I$9)),"#",getgrade(Broadsheet!AL218,data!$H$4:$I$9))</f>
        <v/>
      </c>
      <c r="BL107" s="188" t="str">
        <f>IF(ISERROR(getgrade(Broadsheet!AM218,data!$H$4:$I$9)),"#",getgrade(Broadsheet!AM218,data!$H$4:$I$9))</f>
        <v/>
      </c>
      <c r="BM107" s="188" t="str">
        <f>IF(ISERROR(getgrade(Broadsheet!AN218,data!$H$4:$I$9)),"#",getgrade(Broadsheet!AN218,data!$H$4:$I$9))</f>
        <v/>
      </c>
      <c r="BN107" s="188" t="str">
        <f>IF(ISERROR(getgrade(Broadsheet!AO218,data!$H$4:$I$9)),"#",getgrade(Broadsheet!AO218,data!$H$4:$I$9))</f>
        <v/>
      </c>
      <c r="BO107" s="188" t="str">
        <f>IF(ISERROR(getgrade(Broadsheet!AP218,data!$H$4:$I$9)),"#",getgrade(Broadsheet!AP218,data!$H$4:$I$9))</f>
        <v/>
      </c>
      <c r="BP107" s="188" t="str">
        <f>IF(ISERROR(getgrade(Broadsheet!AQ218,data!$H$4:$I$9)),"#",getgrade(Broadsheet!AQ218,data!$H$4:$I$9))</f>
        <v/>
      </c>
      <c r="BQ107" s="188" t="str">
        <f>IF(ISERROR(getgrade(Broadsheet!AR218,data!$H$4:$I$9)),"#",getgrade(Broadsheet!AR218,data!$H$4:$I$9))</f>
        <v/>
      </c>
      <c r="BR107" s="188" t="str">
        <f>IF(ISERROR(getgrade(Broadsheet!AS218,data!$H$4:$I$9)),"#",getgrade(Broadsheet!AS218,data!$H$4:$I$9))</f>
        <v/>
      </c>
      <c r="BS107" s="188" t="str">
        <f>IF(ISERROR(getgrade(Broadsheet!AT218,data!$H$4:$I$9)),"#",getgrade(Broadsheet!AT218,data!$H$4:$I$9))</f>
        <v/>
      </c>
      <c r="BT107" s="188" t="str">
        <f>IF(ISERROR(getgrade(Broadsheet!AU218,data!$H$4:$I$9)),"#",getgrade(Broadsheet!AU218,data!$H$4:$I$9))</f>
        <v/>
      </c>
      <c r="BU107" s="188" t="str">
        <f>IF(ISERROR(getgrade(Broadsheet!AV218,data!$H$4:$I$9)),"#",getgrade(Broadsheet!AV218,data!$H$4:$I$9))</f>
        <v/>
      </c>
      <c r="BV107" s="188" t="str">
        <f>IF(ISERROR(getgrade(Broadsheet!AW218,data!$H$4:$I$9)),"#",getgrade(Broadsheet!AW218,data!$H$4:$I$9))</f>
        <v/>
      </c>
      <c r="BW107" s="188" t="str">
        <f>IF(ISERROR(getgrade(Broadsheet!AX218,data!$H$4:$I$9)),"#",getgrade(Broadsheet!AX218,data!$H$4:$I$9))</f>
        <v/>
      </c>
      <c r="BX107" s="188" t="str">
        <f>IF(ISERROR(getgrade(Broadsheet!AY218,data!$H$4:$I$9)),"#",getgrade(Broadsheet!AY218,data!$H$4:$I$9))</f>
        <v/>
      </c>
      <c r="BY107" s="188" t="str">
        <f>IF(ISERROR(getgrade(Broadsheet!AZ218,data!$H$4:$I$9)),"#",getgrade(Broadsheet!AZ218,data!$H$4:$I$9))</f>
        <v/>
      </c>
      <c r="BZ107" s="188" t="str">
        <f>IF(ISERROR(getgrade(Broadsheet!BA218,data!$H$4:$I$9)),"#",getgrade(Broadsheet!BA218,data!$H$4:$I$9))</f>
        <v/>
      </c>
      <c r="CA107" s="188" t="str">
        <f>IF(ISERROR(getgrade(Broadsheet!BB218,data!$H$4:$I$9)),"#",getgrade(Broadsheet!BB218,data!$H$4:$I$9))</f>
        <v/>
      </c>
      <c r="CB107" s="188" t="str">
        <f>IF(ISERROR(getgrade(Broadsheet!BC218,data!$H$4:$I$9)),"#",getgrade(Broadsheet!BC218,data!$H$4:$I$9))</f>
        <v/>
      </c>
      <c r="CC107" s="188" t="str">
        <f>IF(ISERROR(getgrade(Broadsheet!BD218,data!$H$4:$I$9)),"#",getgrade(Broadsheet!BD218,data!$H$4:$I$9))</f>
        <v/>
      </c>
      <c r="CD107" s="188" t="str">
        <f>IF(ISERROR(getgrade(Broadsheet!BE218,data!$H$4:$I$9)),"#",getgrade(Broadsheet!BE218,data!$H$4:$I$9))</f>
        <v/>
      </c>
      <c r="CE107" s="188" t="str">
        <f>IF(ISERROR(getgrade(Broadsheet!BF218,data!$H$4:$I$9)),"#",getgrade(Broadsheet!BF218,data!$H$4:$I$9))</f>
        <v/>
      </c>
      <c r="CF107" s="188" t="str">
        <f>IF(ISERROR(getgrade(Broadsheet!BG218,data!$H$4:$I$9)),"#",getgrade(Broadsheet!BG218,data!$H$4:$I$9))</f>
        <v/>
      </c>
      <c r="CG107" s="188" t="str">
        <f>IF(ISERROR(getgrade(Broadsheet!BH218,data!$H$4:$I$9)),"#",getgrade(Broadsheet!BH218,data!$H$4:$I$9))</f>
        <v/>
      </c>
      <c r="CH107" s="188" t="str">
        <f>IF(ISERROR(getgrade(Broadsheet!BI218,data!$H$4:$I$9)),"#",getgrade(Broadsheet!BI218,data!$H$4:$I$9))</f>
        <v/>
      </c>
      <c r="CI107" s="188" t="str">
        <f>IF(ISERROR(getgrade(Broadsheet!BJ218,data!$H$4:$I$9)),"#",getgrade(Broadsheet!BJ218,data!$H$4:$I$9))</f>
        <v/>
      </c>
      <c r="CJ107" s="188"/>
      <c r="CK107" s="188"/>
      <c r="CL107" s="188"/>
      <c r="CM107" s="188"/>
      <c r="CN107" s="188"/>
      <c r="CO107" s="188"/>
      <c r="CP107" s="188"/>
      <c r="CQ107" s="188"/>
      <c r="CR107" s="188"/>
      <c r="CS107" s="188"/>
      <c r="CT107" s="188"/>
      <c r="CU107" s="188"/>
      <c r="CV107" s="188"/>
      <c r="CW107" s="188"/>
      <c r="CX107" s="188"/>
      <c r="CY107" s="188"/>
      <c r="CZ107" s="188"/>
      <c r="DA107" s="188"/>
      <c r="DB107" s="188"/>
      <c r="DC107" s="188"/>
      <c r="DD107" s="188"/>
      <c r="DE107" s="188"/>
      <c r="DF107" s="188"/>
      <c r="DG107" s="188"/>
      <c r="DH107" s="188"/>
      <c r="DI107" s="188"/>
      <c r="DJ107" s="188"/>
      <c r="DK107" s="188"/>
      <c r="DL107" s="188"/>
      <c r="DM107" s="188"/>
      <c r="DN107" s="188"/>
      <c r="DO107" s="188"/>
      <c r="DP107" s="188"/>
      <c r="DQ107" s="188"/>
      <c r="DR107" s="188"/>
      <c r="DS107" s="188"/>
      <c r="DT107" s="188"/>
      <c r="DU107" s="188"/>
      <c r="DV107" s="188"/>
      <c r="DW107" s="188"/>
      <c r="DX107" s="188"/>
      <c r="DY107" s="188"/>
      <c r="DZ107" s="188"/>
      <c r="EA107" s="188"/>
      <c r="EB107" s="188"/>
      <c r="EC107" s="188"/>
      <c r="ED107" s="188"/>
      <c r="EE107" s="188"/>
      <c r="EF107" s="188"/>
      <c r="EG107" s="188"/>
      <c r="EH107" s="188"/>
      <c r="EI107" s="188"/>
      <c r="EJ107" s="188"/>
      <c r="EK107" s="188"/>
      <c r="EL107" s="188"/>
      <c r="EM107" s="188"/>
      <c r="EN107" s="188"/>
      <c r="EO107" s="188"/>
      <c r="EP107" s="188"/>
      <c r="EQ107" s="188"/>
      <c r="ER107" s="188"/>
      <c r="ES107" s="188"/>
      <c r="ET107" s="188"/>
      <c r="EU107" s="188"/>
      <c r="EV107" s="188"/>
      <c r="EW107" s="188"/>
      <c r="EX107" s="188"/>
      <c r="EY107" s="188"/>
      <c r="EZ107" s="188"/>
    </row>
    <row r="108" spans="33:156" x14ac:dyDescent="0.2">
      <c r="AG108" s="188" t="str">
        <f>IF(ISERROR(getgrade(Broadsheet!H219,data!$H$4:$I$9)),"#",getgrade(Broadsheet!H219,data!$H$4:$I$9))</f>
        <v/>
      </c>
      <c r="AH108" s="188" t="str">
        <f>IF(ISERROR(getgrade(Broadsheet!I219,data!$H$4:$I$9)),"#",getgrade(Broadsheet!I219,data!$H$4:$I$9))</f>
        <v/>
      </c>
      <c r="AI108" s="188" t="str">
        <f>IF(ISERROR(getgrade(Broadsheet!J219,data!$H$4:$I$9)),"#",getgrade(Broadsheet!J219,data!$H$4:$I$9))</f>
        <v/>
      </c>
      <c r="AJ108" s="188" t="str">
        <f>IF(ISERROR(getgrade(Broadsheet!K219,data!$H$4:$I$9)),"#",getgrade(Broadsheet!K219,data!$H$4:$I$9))</f>
        <v/>
      </c>
      <c r="AK108" s="188" t="str">
        <f>IF(ISERROR(getgrade(Broadsheet!L219,data!$H$4:$I$9)),"#",getgrade(Broadsheet!L219,data!$H$4:$I$9))</f>
        <v/>
      </c>
      <c r="AL108" s="188" t="str">
        <f>IF(ISERROR(getgrade(Broadsheet!M219,data!$H$4:$I$9)),"#",getgrade(Broadsheet!M219,data!$H$4:$I$9))</f>
        <v/>
      </c>
      <c r="AM108" s="188" t="str">
        <f>IF(ISERROR(getgrade(Broadsheet!N219,data!$H$4:$I$9)),"#",getgrade(Broadsheet!N219,data!$H$4:$I$9))</f>
        <v/>
      </c>
      <c r="AN108" s="188" t="str">
        <f>IF(ISERROR(getgrade(Broadsheet!O219,data!$H$4:$I$9)),"#",getgrade(Broadsheet!O219,data!$H$4:$I$9))</f>
        <v/>
      </c>
      <c r="AO108" s="188" t="str">
        <f>IF(ISERROR(getgrade(Broadsheet!P219,data!$H$4:$I$9)),"#",getgrade(Broadsheet!P219,data!$H$4:$I$9))</f>
        <v/>
      </c>
      <c r="AP108" s="188" t="str">
        <f>IF(ISERROR(getgrade(Broadsheet!Q219,data!$H$4:$I$9)),"#",getgrade(Broadsheet!Q219,data!$H$4:$I$9))</f>
        <v/>
      </c>
      <c r="AQ108" s="188" t="str">
        <f>IF(ISERROR(getgrade(Broadsheet!R219,data!$H$4:$I$9)),"#",getgrade(Broadsheet!R219,data!$H$4:$I$9))</f>
        <v/>
      </c>
      <c r="AR108" s="188" t="str">
        <f>IF(ISERROR(getgrade(Broadsheet!S219,data!$H$4:$I$9)),"#",getgrade(Broadsheet!S219,data!$H$4:$I$9))</f>
        <v/>
      </c>
      <c r="AS108" s="188" t="str">
        <f>IF(ISERROR(getgrade(Broadsheet!T219,data!$H$4:$I$9)),"#",getgrade(Broadsheet!T219,data!$H$4:$I$9))</f>
        <v/>
      </c>
      <c r="AT108" s="188" t="str">
        <f>IF(ISERROR(getgrade(Broadsheet!U219,data!$H$4:$I$9)),"#",getgrade(Broadsheet!U219,data!$H$4:$I$9))</f>
        <v/>
      </c>
      <c r="AU108" s="188" t="str">
        <f>IF(ISERROR(getgrade(Broadsheet!V219,data!$H$4:$I$9)),"#",getgrade(Broadsheet!V219,data!$H$4:$I$9))</f>
        <v/>
      </c>
      <c r="AV108" s="188" t="str">
        <f>IF(ISERROR(getgrade(Broadsheet!W219,data!$H$4:$I$9)),"#",getgrade(Broadsheet!W219,data!$H$4:$I$9))</f>
        <v/>
      </c>
      <c r="AW108" s="188" t="str">
        <f>IF(ISERROR(getgrade(Broadsheet!X219,data!$H$4:$I$9)),"#",getgrade(Broadsheet!X219,data!$H$4:$I$9))</f>
        <v/>
      </c>
      <c r="AX108" s="188" t="str">
        <f>IF(ISERROR(getgrade(Broadsheet!Y219,data!$H$4:$I$9)),"#",getgrade(Broadsheet!Y219,data!$H$4:$I$9))</f>
        <v/>
      </c>
      <c r="AY108" s="188" t="str">
        <f>IF(ISERROR(getgrade(Broadsheet!Z219,data!$H$4:$I$9)),"#",getgrade(Broadsheet!Z219,data!$H$4:$I$9))</f>
        <v/>
      </c>
      <c r="AZ108" s="188" t="str">
        <f>IF(ISERROR(getgrade(Broadsheet!AA219,data!$H$4:$I$9)),"#",getgrade(Broadsheet!AA219,data!$H$4:$I$9))</f>
        <v/>
      </c>
      <c r="BA108" s="188" t="str">
        <f>IF(ISERROR(getgrade(Broadsheet!AB219,data!$H$4:$I$9)),"#",getgrade(Broadsheet!AB219,data!$H$4:$I$9))</f>
        <v/>
      </c>
      <c r="BB108" s="188" t="str">
        <f>IF(ISERROR(getgrade(Broadsheet!AC219,data!$H$4:$I$9)),"#",getgrade(Broadsheet!AC219,data!$H$4:$I$9))</f>
        <v/>
      </c>
      <c r="BC108" s="188" t="str">
        <f>IF(ISERROR(getgrade(Broadsheet!AD219,data!$H$4:$I$9)),"#",getgrade(Broadsheet!AD219,data!$H$4:$I$9))</f>
        <v/>
      </c>
      <c r="BD108" s="188" t="str">
        <f>IF(ISERROR(getgrade(Broadsheet!AE219,data!$H$4:$I$9)),"#",getgrade(Broadsheet!AE219,data!$H$4:$I$9))</f>
        <v/>
      </c>
      <c r="BE108" s="188" t="str">
        <f>IF(ISERROR(getgrade(Broadsheet!AF219,data!$H$4:$I$9)),"#",getgrade(Broadsheet!AF219,data!$H$4:$I$9))</f>
        <v/>
      </c>
      <c r="BF108" s="188" t="str">
        <f>IF(ISERROR(getgrade(Broadsheet!AG219,data!$H$4:$I$9)),"#",getgrade(Broadsheet!AG219,data!$H$4:$I$9))</f>
        <v/>
      </c>
      <c r="BG108" s="188" t="str">
        <f>IF(ISERROR(getgrade(Broadsheet!AH219,data!$H$4:$I$9)),"#",getgrade(Broadsheet!AH219,data!$H$4:$I$9))</f>
        <v/>
      </c>
      <c r="BH108" s="188" t="str">
        <f>IF(ISERROR(getgrade(Broadsheet!AI219,data!$H$4:$I$9)),"#",getgrade(Broadsheet!AI219,data!$H$4:$I$9))</f>
        <v/>
      </c>
      <c r="BI108" s="188" t="str">
        <f>IF(ISERROR(getgrade(Broadsheet!AJ219,data!$H$4:$I$9)),"#",getgrade(Broadsheet!AJ219,data!$H$4:$I$9))</f>
        <v/>
      </c>
      <c r="BJ108" s="188" t="str">
        <f>IF(ISERROR(getgrade(Broadsheet!AK219,data!$H$4:$I$9)),"#",getgrade(Broadsheet!AK219,data!$H$4:$I$9))</f>
        <v/>
      </c>
      <c r="BK108" s="188" t="str">
        <f>IF(ISERROR(getgrade(Broadsheet!AL219,data!$H$4:$I$9)),"#",getgrade(Broadsheet!AL219,data!$H$4:$I$9))</f>
        <v/>
      </c>
      <c r="BL108" s="188" t="str">
        <f>IF(ISERROR(getgrade(Broadsheet!AM219,data!$H$4:$I$9)),"#",getgrade(Broadsheet!AM219,data!$H$4:$I$9))</f>
        <v/>
      </c>
      <c r="BM108" s="188" t="str">
        <f>IF(ISERROR(getgrade(Broadsheet!AN219,data!$H$4:$I$9)),"#",getgrade(Broadsheet!AN219,data!$H$4:$I$9))</f>
        <v/>
      </c>
      <c r="BN108" s="188" t="str">
        <f>IF(ISERROR(getgrade(Broadsheet!AO219,data!$H$4:$I$9)),"#",getgrade(Broadsheet!AO219,data!$H$4:$I$9))</f>
        <v/>
      </c>
      <c r="BO108" s="188" t="str">
        <f>IF(ISERROR(getgrade(Broadsheet!AP219,data!$H$4:$I$9)),"#",getgrade(Broadsheet!AP219,data!$H$4:$I$9))</f>
        <v/>
      </c>
      <c r="BP108" s="188" t="str">
        <f>IF(ISERROR(getgrade(Broadsheet!AQ219,data!$H$4:$I$9)),"#",getgrade(Broadsheet!AQ219,data!$H$4:$I$9))</f>
        <v/>
      </c>
      <c r="BQ108" s="188" t="str">
        <f>IF(ISERROR(getgrade(Broadsheet!AR219,data!$H$4:$I$9)),"#",getgrade(Broadsheet!AR219,data!$H$4:$I$9))</f>
        <v/>
      </c>
      <c r="BR108" s="188" t="str">
        <f>IF(ISERROR(getgrade(Broadsheet!AS219,data!$H$4:$I$9)),"#",getgrade(Broadsheet!AS219,data!$H$4:$I$9))</f>
        <v/>
      </c>
      <c r="BS108" s="188" t="str">
        <f>IF(ISERROR(getgrade(Broadsheet!AT219,data!$H$4:$I$9)),"#",getgrade(Broadsheet!AT219,data!$H$4:$I$9))</f>
        <v/>
      </c>
      <c r="BT108" s="188" t="str">
        <f>IF(ISERROR(getgrade(Broadsheet!AU219,data!$H$4:$I$9)),"#",getgrade(Broadsheet!AU219,data!$H$4:$I$9))</f>
        <v/>
      </c>
      <c r="BU108" s="188" t="str">
        <f>IF(ISERROR(getgrade(Broadsheet!AV219,data!$H$4:$I$9)),"#",getgrade(Broadsheet!AV219,data!$H$4:$I$9))</f>
        <v/>
      </c>
      <c r="BV108" s="188" t="str">
        <f>IF(ISERROR(getgrade(Broadsheet!AW219,data!$H$4:$I$9)),"#",getgrade(Broadsheet!AW219,data!$H$4:$I$9))</f>
        <v/>
      </c>
      <c r="BW108" s="188" t="str">
        <f>IF(ISERROR(getgrade(Broadsheet!AX219,data!$H$4:$I$9)),"#",getgrade(Broadsheet!AX219,data!$H$4:$I$9))</f>
        <v/>
      </c>
      <c r="BX108" s="188" t="str">
        <f>IF(ISERROR(getgrade(Broadsheet!AY219,data!$H$4:$I$9)),"#",getgrade(Broadsheet!AY219,data!$H$4:$I$9))</f>
        <v/>
      </c>
      <c r="BY108" s="188" t="str">
        <f>IF(ISERROR(getgrade(Broadsheet!AZ219,data!$H$4:$I$9)),"#",getgrade(Broadsheet!AZ219,data!$H$4:$I$9))</f>
        <v/>
      </c>
      <c r="BZ108" s="188" t="str">
        <f>IF(ISERROR(getgrade(Broadsheet!BA219,data!$H$4:$I$9)),"#",getgrade(Broadsheet!BA219,data!$H$4:$I$9))</f>
        <v/>
      </c>
      <c r="CA108" s="188" t="str">
        <f>IF(ISERROR(getgrade(Broadsheet!BB219,data!$H$4:$I$9)),"#",getgrade(Broadsheet!BB219,data!$H$4:$I$9))</f>
        <v/>
      </c>
      <c r="CB108" s="188" t="str">
        <f>IF(ISERROR(getgrade(Broadsheet!BC219,data!$H$4:$I$9)),"#",getgrade(Broadsheet!BC219,data!$H$4:$I$9))</f>
        <v/>
      </c>
      <c r="CC108" s="188" t="str">
        <f>IF(ISERROR(getgrade(Broadsheet!BD219,data!$H$4:$I$9)),"#",getgrade(Broadsheet!BD219,data!$H$4:$I$9))</f>
        <v/>
      </c>
      <c r="CD108" s="188" t="str">
        <f>IF(ISERROR(getgrade(Broadsheet!BE219,data!$H$4:$I$9)),"#",getgrade(Broadsheet!BE219,data!$H$4:$I$9))</f>
        <v/>
      </c>
      <c r="CE108" s="188" t="str">
        <f>IF(ISERROR(getgrade(Broadsheet!BF219,data!$H$4:$I$9)),"#",getgrade(Broadsheet!BF219,data!$H$4:$I$9))</f>
        <v/>
      </c>
      <c r="CF108" s="188" t="str">
        <f>IF(ISERROR(getgrade(Broadsheet!BG219,data!$H$4:$I$9)),"#",getgrade(Broadsheet!BG219,data!$H$4:$I$9))</f>
        <v/>
      </c>
      <c r="CG108" s="188" t="str">
        <f>IF(ISERROR(getgrade(Broadsheet!BH219,data!$H$4:$I$9)),"#",getgrade(Broadsheet!BH219,data!$H$4:$I$9))</f>
        <v/>
      </c>
      <c r="CH108" s="188" t="str">
        <f>IF(ISERROR(getgrade(Broadsheet!BI219,data!$H$4:$I$9)),"#",getgrade(Broadsheet!BI219,data!$H$4:$I$9))</f>
        <v/>
      </c>
      <c r="CI108" s="188" t="str">
        <f>IF(ISERROR(getgrade(Broadsheet!BJ219,data!$H$4:$I$9)),"#",getgrade(Broadsheet!BJ219,data!$H$4:$I$9))</f>
        <v/>
      </c>
      <c r="CJ108" s="188"/>
      <c r="CK108" s="188"/>
      <c r="CL108" s="188"/>
      <c r="CM108" s="188"/>
      <c r="CN108" s="188"/>
      <c r="CO108" s="188"/>
      <c r="CP108" s="188"/>
      <c r="CQ108" s="188"/>
      <c r="CR108" s="188"/>
      <c r="CS108" s="188"/>
      <c r="CT108" s="188"/>
      <c r="CU108" s="188"/>
      <c r="CV108" s="188"/>
      <c r="CW108" s="188"/>
      <c r="CX108" s="188"/>
      <c r="CY108" s="188"/>
      <c r="CZ108" s="188"/>
      <c r="DA108" s="188"/>
      <c r="DB108" s="188"/>
      <c r="DC108" s="188"/>
      <c r="DD108" s="188"/>
      <c r="DE108" s="188"/>
      <c r="DF108" s="188"/>
      <c r="DG108" s="188"/>
      <c r="DH108" s="188"/>
      <c r="DI108" s="188"/>
      <c r="DJ108" s="188"/>
      <c r="DK108" s="188"/>
      <c r="DL108" s="188"/>
      <c r="DM108" s="188"/>
      <c r="DN108" s="188"/>
      <c r="DO108" s="188"/>
      <c r="DP108" s="188"/>
      <c r="DQ108" s="188"/>
      <c r="DR108" s="188"/>
      <c r="DS108" s="188"/>
      <c r="DT108" s="188"/>
      <c r="DU108" s="188"/>
      <c r="DV108" s="188"/>
      <c r="DW108" s="188"/>
      <c r="DX108" s="188"/>
      <c r="DY108" s="188"/>
      <c r="DZ108" s="188"/>
      <c r="EA108" s="188"/>
      <c r="EB108" s="188"/>
      <c r="EC108" s="188"/>
      <c r="ED108" s="188"/>
      <c r="EE108" s="188"/>
      <c r="EF108" s="188"/>
      <c r="EG108" s="188"/>
      <c r="EH108" s="188"/>
      <c r="EI108" s="188"/>
      <c r="EJ108" s="188"/>
      <c r="EK108" s="188"/>
      <c r="EL108" s="188"/>
      <c r="EM108" s="188"/>
      <c r="EN108" s="188"/>
      <c r="EO108" s="188"/>
      <c r="EP108" s="188"/>
      <c r="EQ108" s="188"/>
      <c r="ER108" s="188"/>
      <c r="ES108" s="188"/>
      <c r="ET108" s="188"/>
      <c r="EU108" s="188"/>
      <c r="EV108" s="188"/>
      <c r="EW108" s="188"/>
      <c r="EX108" s="188"/>
      <c r="EY108" s="188"/>
      <c r="EZ108" s="188"/>
    </row>
    <row r="109" spans="33:156" x14ac:dyDescent="0.2">
      <c r="AG109" s="188" t="str">
        <f>IF(ISERROR(getgrade(Broadsheet!H220,data!$H$4:$I$9)),"#",getgrade(Broadsheet!H220,data!$H$4:$I$9))</f>
        <v/>
      </c>
      <c r="AH109" s="188" t="str">
        <f>IF(ISERROR(getgrade(Broadsheet!I220,data!$H$4:$I$9)),"#",getgrade(Broadsheet!I220,data!$H$4:$I$9))</f>
        <v/>
      </c>
      <c r="AI109" s="188" t="str">
        <f>IF(ISERROR(getgrade(Broadsheet!J220,data!$H$4:$I$9)),"#",getgrade(Broadsheet!J220,data!$H$4:$I$9))</f>
        <v/>
      </c>
      <c r="AJ109" s="188" t="str">
        <f>IF(ISERROR(getgrade(Broadsheet!K220,data!$H$4:$I$9)),"#",getgrade(Broadsheet!K220,data!$H$4:$I$9))</f>
        <v/>
      </c>
      <c r="AK109" s="188" t="str">
        <f>IF(ISERROR(getgrade(Broadsheet!L220,data!$H$4:$I$9)),"#",getgrade(Broadsheet!L220,data!$H$4:$I$9))</f>
        <v/>
      </c>
      <c r="AL109" s="188" t="str">
        <f>IF(ISERROR(getgrade(Broadsheet!M220,data!$H$4:$I$9)),"#",getgrade(Broadsheet!M220,data!$H$4:$I$9))</f>
        <v/>
      </c>
      <c r="AM109" s="188" t="str">
        <f>IF(ISERROR(getgrade(Broadsheet!N220,data!$H$4:$I$9)),"#",getgrade(Broadsheet!N220,data!$H$4:$I$9))</f>
        <v/>
      </c>
      <c r="AN109" s="188" t="str">
        <f>IF(ISERROR(getgrade(Broadsheet!O220,data!$H$4:$I$9)),"#",getgrade(Broadsheet!O220,data!$H$4:$I$9))</f>
        <v/>
      </c>
      <c r="AO109" s="188" t="str">
        <f>IF(ISERROR(getgrade(Broadsheet!P220,data!$H$4:$I$9)),"#",getgrade(Broadsheet!P220,data!$H$4:$I$9))</f>
        <v/>
      </c>
      <c r="AP109" s="188" t="str">
        <f>IF(ISERROR(getgrade(Broadsheet!Q220,data!$H$4:$I$9)),"#",getgrade(Broadsheet!Q220,data!$H$4:$I$9))</f>
        <v/>
      </c>
      <c r="AQ109" s="188" t="str">
        <f>IF(ISERROR(getgrade(Broadsheet!R220,data!$H$4:$I$9)),"#",getgrade(Broadsheet!R220,data!$H$4:$I$9))</f>
        <v/>
      </c>
      <c r="AR109" s="188" t="str">
        <f>IF(ISERROR(getgrade(Broadsheet!S220,data!$H$4:$I$9)),"#",getgrade(Broadsheet!S220,data!$H$4:$I$9))</f>
        <v/>
      </c>
      <c r="AS109" s="188" t="str">
        <f>IF(ISERROR(getgrade(Broadsheet!T220,data!$H$4:$I$9)),"#",getgrade(Broadsheet!T220,data!$H$4:$I$9))</f>
        <v/>
      </c>
      <c r="AT109" s="188" t="str">
        <f>IF(ISERROR(getgrade(Broadsheet!U220,data!$H$4:$I$9)),"#",getgrade(Broadsheet!U220,data!$H$4:$I$9))</f>
        <v/>
      </c>
      <c r="AU109" s="188" t="str">
        <f>IF(ISERROR(getgrade(Broadsheet!V220,data!$H$4:$I$9)),"#",getgrade(Broadsheet!V220,data!$H$4:$I$9))</f>
        <v/>
      </c>
      <c r="AV109" s="188" t="str">
        <f>IF(ISERROR(getgrade(Broadsheet!W220,data!$H$4:$I$9)),"#",getgrade(Broadsheet!W220,data!$H$4:$I$9))</f>
        <v/>
      </c>
      <c r="AW109" s="188" t="str">
        <f>IF(ISERROR(getgrade(Broadsheet!X220,data!$H$4:$I$9)),"#",getgrade(Broadsheet!X220,data!$H$4:$I$9))</f>
        <v/>
      </c>
      <c r="AX109" s="188" t="str">
        <f>IF(ISERROR(getgrade(Broadsheet!Y220,data!$H$4:$I$9)),"#",getgrade(Broadsheet!Y220,data!$H$4:$I$9))</f>
        <v/>
      </c>
      <c r="AY109" s="188" t="str">
        <f>IF(ISERROR(getgrade(Broadsheet!Z220,data!$H$4:$I$9)),"#",getgrade(Broadsheet!Z220,data!$H$4:$I$9))</f>
        <v/>
      </c>
      <c r="AZ109" s="188" t="str">
        <f>IF(ISERROR(getgrade(Broadsheet!AA220,data!$H$4:$I$9)),"#",getgrade(Broadsheet!AA220,data!$H$4:$I$9))</f>
        <v/>
      </c>
      <c r="BA109" s="188" t="str">
        <f>IF(ISERROR(getgrade(Broadsheet!AB220,data!$H$4:$I$9)),"#",getgrade(Broadsheet!AB220,data!$H$4:$I$9))</f>
        <v/>
      </c>
      <c r="BB109" s="188" t="str">
        <f>IF(ISERROR(getgrade(Broadsheet!AC220,data!$H$4:$I$9)),"#",getgrade(Broadsheet!AC220,data!$H$4:$I$9))</f>
        <v/>
      </c>
      <c r="BC109" s="188" t="str">
        <f>IF(ISERROR(getgrade(Broadsheet!AD220,data!$H$4:$I$9)),"#",getgrade(Broadsheet!AD220,data!$H$4:$I$9))</f>
        <v/>
      </c>
      <c r="BD109" s="188" t="str">
        <f>IF(ISERROR(getgrade(Broadsheet!AE220,data!$H$4:$I$9)),"#",getgrade(Broadsheet!AE220,data!$H$4:$I$9))</f>
        <v/>
      </c>
      <c r="BE109" s="188" t="str">
        <f>IF(ISERROR(getgrade(Broadsheet!AF220,data!$H$4:$I$9)),"#",getgrade(Broadsheet!AF220,data!$H$4:$I$9))</f>
        <v/>
      </c>
      <c r="BF109" s="188" t="str">
        <f>IF(ISERROR(getgrade(Broadsheet!AG220,data!$H$4:$I$9)),"#",getgrade(Broadsheet!AG220,data!$H$4:$I$9))</f>
        <v/>
      </c>
      <c r="BG109" s="188" t="str">
        <f>IF(ISERROR(getgrade(Broadsheet!AH220,data!$H$4:$I$9)),"#",getgrade(Broadsheet!AH220,data!$H$4:$I$9))</f>
        <v/>
      </c>
      <c r="BH109" s="188" t="str">
        <f>IF(ISERROR(getgrade(Broadsheet!AI220,data!$H$4:$I$9)),"#",getgrade(Broadsheet!AI220,data!$H$4:$I$9))</f>
        <v/>
      </c>
      <c r="BI109" s="188" t="str">
        <f>IF(ISERROR(getgrade(Broadsheet!AJ220,data!$H$4:$I$9)),"#",getgrade(Broadsheet!AJ220,data!$H$4:$I$9))</f>
        <v/>
      </c>
      <c r="BJ109" s="188" t="str">
        <f>IF(ISERROR(getgrade(Broadsheet!AK220,data!$H$4:$I$9)),"#",getgrade(Broadsheet!AK220,data!$H$4:$I$9))</f>
        <v/>
      </c>
      <c r="BK109" s="188" t="str">
        <f>IF(ISERROR(getgrade(Broadsheet!AL220,data!$H$4:$I$9)),"#",getgrade(Broadsheet!AL220,data!$H$4:$I$9))</f>
        <v/>
      </c>
      <c r="BL109" s="188" t="str">
        <f>IF(ISERROR(getgrade(Broadsheet!AM220,data!$H$4:$I$9)),"#",getgrade(Broadsheet!AM220,data!$H$4:$I$9))</f>
        <v/>
      </c>
      <c r="BM109" s="188" t="str">
        <f>IF(ISERROR(getgrade(Broadsheet!AN220,data!$H$4:$I$9)),"#",getgrade(Broadsheet!AN220,data!$H$4:$I$9))</f>
        <v/>
      </c>
      <c r="BN109" s="188" t="str">
        <f>IF(ISERROR(getgrade(Broadsheet!AO220,data!$H$4:$I$9)),"#",getgrade(Broadsheet!AO220,data!$H$4:$I$9))</f>
        <v/>
      </c>
      <c r="BO109" s="188" t="str">
        <f>IF(ISERROR(getgrade(Broadsheet!AP220,data!$H$4:$I$9)),"#",getgrade(Broadsheet!AP220,data!$H$4:$I$9))</f>
        <v/>
      </c>
      <c r="BP109" s="188" t="str">
        <f>IF(ISERROR(getgrade(Broadsheet!AQ220,data!$H$4:$I$9)),"#",getgrade(Broadsheet!AQ220,data!$H$4:$I$9))</f>
        <v/>
      </c>
      <c r="BQ109" s="188" t="str">
        <f>IF(ISERROR(getgrade(Broadsheet!AR220,data!$H$4:$I$9)),"#",getgrade(Broadsheet!AR220,data!$H$4:$I$9))</f>
        <v/>
      </c>
      <c r="BR109" s="188" t="str">
        <f>IF(ISERROR(getgrade(Broadsheet!AS220,data!$H$4:$I$9)),"#",getgrade(Broadsheet!AS220,data!$H$4:$I$9))</f>
        <v/>
      </c>
      <c r="BS109" s="188" t="str">
        <f>IF(ISERROR(getgrade(Broadsheet!AT220,data!$H$4:$I$9)),"#",getgrade(Broadsheet!AT220,data!$H$4:$I$9))</f>
        <v/>
      </c>
      <c r="BT109" s="188" t="str">
        <f>IF(ISERROR(getgrade(Broadsheet!AU220,data!$H$4:$I$9)),"#",getgrade(Broadsheet!AU220,data!$H$4:$I$9))</f>
        <v/>
      </c>
      <c r="BU109" s="188" t="str">
        <f>IF(ISERROR(getgrade(Broadsheet!AV220,data!$H$4:$I$9)),"#",getgrade(Broadsheet!AV220,data!$H$4:$I$9))</f>
        <v/>
      </c>
      <c r="BV109" s="188" t="str">
        <f>IF(ISERROR(getgrade(Broadsheet!AW220,data!$H$4:$I$9)),"#",getgrade(Broadsheet!AW220,data!$H$4:$I$9))</f>
        <v/>
      </c>
      <c r="BW109" s="188" t="str">
        <f>IF(ISERROR(getgrade(Broadsheet!AX220,data!$H$4:$I$9)),"#",getgrade(Broadsheet!AX220,data!$H$4:$I$9))</f>
        <v/>
      </c>
      <c r="BX109" s="188" t="str">
        <f>IF(ISERROR(getgrade(Broadsheet!AY220,data!$H$4:$I$9)),"#",getgrade(Broadsheet!AY220,data!$H$4:$I$9))</f>
        <v/>
      </c>
      <c r="BY109" s="188" t="str">
        <f>IF(ISERROR(getgrade(Broadsheet!AZ220,data!$H$4:$I$9)),"#",getgrade(Broadsheet!AZ220,data!$H$4:$I$9))</f>
        <v/>
      </c>
      <c r="BZ109" s="188" t="str">
        <f>IF(ISERROR(getgrade(Broadsheet!BA220,data!$H$4:$I$9)),"#",getgrade(Broadsheet!BA220,data!$H$4:$I$9))</f>
        <v/>
      </c>
      <c r="CA109" s="188" t="str">
        <f>IF(ISERROR(getgrade(Broadsheet!BB220,data!$H$4:$I$9)),"#",getgrade(Broadsheet!BB220,data!$H$4:$I$9))</f>
        <v/>
      </c>
      <c r="CB109" s="188" t="str">
        <f>IF(ISERROR(getgrade(Broadsheet!BC220,data!$H$4:$I$9)),"#",getgrade(Broadsheet!BC220,data!$H$4:$I$9))</f>
        <v/>
      </c>
      <c r="CC109" s="188" t="str">
        <f>IF(ISERROR(getgrade(Broadsheet!BD220,data!$H$4:$I$9)),"#",getgrade(Broadsheet!BD220,data!$H$4:$I$9))</f>
        <v/>
      </c>
      <c r="CD109" s="188" t="str">
        <f>IF(ISERROR(getgrade(Broadsheet!BE220,data!$H$4:$I$9)),"#",getgrade(Broadsheet!BE220,data!$H$4:$I$9))</f>
        <v/>
      </c>
      <c r="CE109" s="188" t="str">
        <f>IF(ISERROR(getgrade(Broadsheet!BF220,data!$H$4:$I$9)),"#",getgrade(Broadsheet!BF220,data!$H$4:$I$9))</f>
        <v/>
      </c>
      <c r="CF109" s="188" t="str">
        <f>IF(ISERROR(getgrade(Broadsheet!BG220,data!$H$4:$I$9)),"#",getgrade(Broadsheet!BG220,data!$H$4:$I$9))</f>
        <v/>
      </c>
      <c r="CG109" s="188" t="str">
        <f>IF(ISERROR(getgrade(Broadsheet!BH220,data!$H$4:$I$9)),"#",getgrade(Broadsheet!BH220,data!$H$4:$I$9))</f>
        <v/>
      </c>
      <c r="CH109" s="188" t="str">
        <f>IF(ISERROR(getgrade(Broadsheet!BI220,data!$H$4:$I$9)),"#",getgrade(Broadsheet!BI220,data!$H$4:$I$9))</f>
        <v/>
      </c>
      <c r="CI109" s="188" t="str">
        <f>IF(ISERROR(getgrade(Broadsheet!BJ220,data!$H$4:$I$9)),"#",getgrade(Broadsheet!BJ220,data!$H$4:$I$9))</f>
        <v/>
      </c>
      <c r="CJ109" s="188"/>
      <c r="CK109" s="188"/>
      <c r="CL109" s="188"/>
      <c r="CM109" s="188"/>
      <c r="CN109" s="188"/>
      <c r="CO109" s="188"/>
      <c r="CP109" s="188"/>
      <c r="CQ109" s="188"/>
      <c r="CR109" s="188"/>
      <c r="CS109" s="188"/>
      <c r="CT109" s="188"/>
      <c r="CU109" s="188"/>
      <c r="CV109" s="188"/>
      <c r="CW109" s="188"/>
      <c r="CX109" s="188"/>
      <c r="CY109" s="188"/>
      <c r="CZ109" s="188"/>
      <c r="DA109" s="188"/>
      <c r="DB109" s="188"/>
      <c r="DC109" s="188"/>
      <c r="DD109" s="188"/>
      <c r="DE109" s="188"/>
      <c r="DF109" s="188"/>
      <c r="DG109" s="188"/>
      <c r="DH109" s="188"/>
      <c r="DI109" s="188"/>
      <c r="DJ109" s="188"/>
      <c r="DK109" s="188"/>
      <c r="DL109" s="188"/>
      <c r="DM109" s="188"/>
      <c r="DN109" s="188"/>
      <c r="DO109" s="188"/>
      <c r="DP109" s="188"/>
      <c r="DQ109" s="188"/>
      <c r="DR109" s="188"/>
      <c r="DS109" s="188"/>
      <c r="DT109" s="188"/>
      <c r="DU109" s="188"/>
      <c r="DV109" s="188"/>
      <c r="DW109" s="188"/>
      <c r="DX109" s="188"/>
      <c r="DY109" s="188"/>
      <c r="DZ109" s="188"/>
      <c r="EA109" s="188"/>
      <c r="EB109" s="188"/>
      <c r="EC109" s="188"/>
      <c r="ED109" s="188"/>
      <c r="EE109" s="188"/>
      <c r="EF109" s="188"/>
      <c r="EG109" s="188"/>
      <c r="EH109" s="188"/>
      <c r="EI109" s="188"/>
      <c r="EJ109" s="188"/>
      <c r="EK109" s="188"/>
      <c r="EL109" s="188"/>
      <c r="EM109" s="188"/>
      <c r="EN109" s="188"/>
      <c r="EO109" s="188"/>
      <c r="EP109" s="188"/>
      <c r="EQ109" s="188"/>
      <c r="ER109" s="188"/>
      <c r="ES109" s="188"/>
      <c r="ET109" s="188"/>
      <c r="EU109" s="188"/>
      <c r="EV109" s="188"/>
      <c r="EW109" s="188"/>
      <c r="EX109" s="188"/>
      <c r="EY109" s="188"/>
      <c r="EZ109" s="188"/>
    </row>
    <row r="110" spans="33:156" x14ac:dyDescent="0.2">
      <c r="AG110" s="188" t="str">
        <f>IF(ISERROR(getgrade(Broadsheet!H221,data!$H$4:$I$9)),"#",getgrade(Broadsheet!H221,data!$H$4:$I$9))</f>
        <v/>
      </c>
      <c r="AH110" s="188" t="str">
        <f>IF(ISERROR(getgrade(Broadsheet!I221,data!$H$4:$I$9)),"#",getgrade(Broadsheet!I221,data!$H$4:$I$9))</f>
        <v/>
      </c>
      <c r="AI110" s="188" t="str">
        <f>IF(ISERROR(getgrade(Broadsheet!J221,data!$H$4:$I$9)),"#",getgrade(Broadsheet!J221,data!$H$4:$I$9))</f>
        <v/>
      </c>
      <c r="AJ110" s="188" t="str">
        <f>IF(ISERROR(getgrade(Broadsheet!K221,data!$H$4:$I$9)),"#",getgrade(Broadsheet!K221,data!$H$4:$I$9))</f>
        <v/>
      </c>
      <c r="AK110" s="188" t="str">
        <f>IF(ISERROR(getgrade(Broadsheet!L221,data!$H$4:$I$9)),"#",getgrade(Broadsheet!L221,data!$H$4:$I$9))</f>
        <v/>
      </c>
      <c r="AL110" s="188" t="str">
        <f>IF(ISERROR(getgrade(Broadsheet!M221,data!$H$4:$I$9)),"#",getgrade(Broadsheet!M221,data!$H$4:$I$9))</f>
        <v/>
      </c>
      <c r="AM110" s="188" t="str">
        <f>IF(ISERROR(getgrade(Broadsheet!N221,data!$H$4:$I$9)),"#",getgrade(Broadsheet!N221,data!$H$4:$I$9))</f>
        <v/>
      </c>
      <c r="AN110" s="188" t="str">
        <f>IF(ISERROR(getgrade(Broadsheet!O221,data!$H$4:$I$9)),"#",getgrade(Broadsheet!O221,data!$H$4:$I$9))</f>
        <v/>
      </c>
      <c r="AO110" s="188" t="str">
        <f>IF(ISERROR(getgrade(Broadsheet!P221,data!$H$4:$I$9)),"#",getgrade(Broadsheet!P221,data!$H$4:$I$9))</f>
        <v/>
      </c>
      <c r="AP110" s="188" t="str">
        <f>IF(ISERROR(getgrade(Broadsheet!Q221,data!$H$4:$I$9)),"#",getgrade(Broadsheet!Q221,data!$H$4:$I$9))</f>
        <v/>
      </c>
      <c r="AQ110" s="188" t="str">
        <f>IF(ISERROR(getgrade(Broadsheet!R221,data!$H$4:$I$9)),"#",getgrade(Broadsheet!R221,data!$H$4:$I$9))</f>
        <v/>
      </c>
      <c r="AR110" s="188" t="str">
        <f>IF(ISERROR(getgrade(Broadsheet!S221,data!$H$4:$I$9)),"#",getgrade(Broadsheet!S221,data!$H$4:$I$9))</f>
        <v/>
      </c>
      <c r="AS110" s="188" t="str">
        <f>IF(ISERROR(getgrade(Broadsheet!T221,data!$H$4:$I$9)),"#",getgrade(Broadsheet!T221,data!$H$4:$I$9))</f>
        <v/>
      </c>
      <c r="AT110" s="188" t="str">
        <f>IF(ISERROR(getgrade(Broadsheet!U221,data!$H$4:$I$9)),"#",getgrade(Broadsheet!U221,data!$H$4:$I$9))</f>
        <v/>
      </c>
      <c r="AU110" s="188" t="str">
        <f>IF(ISERROR(getgrade(Broadsheet!V221,data!$H$4:$I$9)),"#",getgrade(Broadsheet!V221,data!$H$4:$I$9))</f>
        <v/>
      </c>
      <c r="AV110" s="188" t="str">
        <f>IF(ISERROR(getgrade(Broadsheet!W221,data!$H$4:$I$9)),"#",getgrade(Broadsheet!W221,data!$H$4:$I$9))</f>
        <v/>
      </c>
      <c r="AW110" s="188" t="str">
        <f>IF(ISERROR(getgrade(Broadsheet!X221,data!$H$4:$I$9)),"#",getgrade(Broadsheet!X221,data!$H$4:$I$9))</f>
        <v/>
      </c>
      <c r="AX110" s="188" t="str">
        <f>IF(ISERROR(getgrade(Broadsheet!Y221,data!$H$4:$I$9)),"#",getgrade(Broadsheet!Y221,data!$H$4:$I$9))</f>
        <v/>
      </c>
      <c r="AY110" s="188" t="str">
        <f>IF(ISERROR(getgrade(Broadsheet!Z221,data!$H$4:$I$9)),"#",getgrade(Broadsheet!Z221,data!$H$4:$I$9))</f>
        <v/>
      </c>
      <c r="AZ110" s="188" t="str">
        <f>IF(ISERROR(getgrade(Broadsheet!AA221,data!$H$4:$I$9)),"#",getgrade(Broadsheet!AA221,data!$H$4:$I$9))</f>
        <v/>
      </c>
      <c r="BA110" s="188" t="str">
        <f>IF(ISERROR(getgrade(Broadsheet!AB221,data!$H$4:$I$9)),"#",getgrade(Broadsheet!AB221,data!$H$4:$I$9))</f>
        <v/>
      </c>
      <c r="BB110" s="188" t="str">
        <f>IF(ISERROR(getgrade(Broadsheet!AC221,data!$H$4:$I$9)),"#",getgrade(Broadsheet!AC221,data!$H$4:$I$9))</f>
        <v/>
      </c>
      <c r="BC110" s="188" t="str">
        <f>IF(ISERROR(getgrade(Broadsheet!AD221,data!$H$4:$I$9)),"#",getgrade(Broadsheet!AD221,data!$H$4:$I$9))</f>
        <v/>
      </c>
      <c r="BD110" s="188" t="str">
        <f>IF(ISERROR(getgrade(Broadsheet!AE221,data!$H$4:$I$9)),"#",getgrade(Broadsheet!AE221,data!$H$4:$I$9))</f>
        <v/>
      </c>
      <c r="BE110" s="188" t="str">
        <f>IF(ISERROR(getgrade(Broadsheet!AF221,data!$H$4:$I$9)),"#",getgrade(Broadsheet!AF221,data!$H$4:$I$9))</f>
        <v/>
      </c>
      <c r="BF110" s="188" t="str">
        <f>IF(ISERROR(getgrade(Broadsheet!AG221,data!$H$4:$I$9)),"#",getgrade(Broadsheet!AG221,data!$H$4:$I$9))</f>
        <v/>
      </c>
      <c r="BG110" s="188" t="str">
        <f>IF(ISERROR(getgrade(Broadsheet!AH221,data!$H$4:$I$9)),"#",getgrade(Broadsheet!AH221,data!$H$4:$I$9))</f>
        <v/>
      </c>
      <c r="BH110" s="188" t="str">
        <f>IF(ISERROR(getgrade(Broadsheet!AI221,data!$H$4:$I$9)),"#",getgrade(Broadsheet!AI221,data!$H$4:$I$9))</f>
        <v/>
      </c>
      <c r="BI110" s="188" t="str">
        <f>IF(ISERROR(getgrade(Broadsheet!AJ221,data!$H$4:$I$9)),"#",getgrade(Broadsheet!AJ221,data!$H$4:$I$9))</f>
        <v/>
      </c>
      <c r="BJ110" s="188" t="str">
        <f>IF(ISERROR(getgrade(Broadsheet!AK221,data!$H$4:$I$9)),"#",getgrade(Broadsheet!AK221,data!$H$4:$I$9))</f>
        <v/>
      </c>
      <c r="BK110" s="188" t="str">
        <f>IF(ISERROR(getgrade(Broadsheet!AL221,data!$H$4:$I$9)),"#",getgrade(Broadsheet!AL221,data!$H$4:$I$9))</f>
        <v/>
      </c>
      <c r="BL110" s="188" t="str">
        <f>IF(ISERROR(getgrade(Broadsheet!AM221,data!$H$4:$I$9)),"#",getgrade(Broadsheet!AM221,data!$H$4:$I$9))</f>
        <v/>
      </c>
      <c r="BM110" s="188" t="str">
        <f>IF(ISERROR(getgrade(Broadsheet!AN221,data!$H$4:$I$9)),"#",getgrade(Broadsheet!AN221,data!$H$4:$I$9))</f>
        <v/>
      </c>
      <c r="BN110" s="188" t="str">
        <f>IF(ISERROR(getgrade(Broadsheet!AO221,data!$H$4:$I$9)),"#",getgrade(Broadsheet!AO221,data!$H$4:$I$9))</f>
        <v/>
      </c>
      <c r="BO110" s="188" t="str">
        <f>IF(ISERROR(getgrade(Broadsheet!AP221,data!$H$4:$I$9)),"#",getgrade(Broadsheet!AP221,data!$H$4:$I$9))</f>
        <v/>
      </c>
      <c r="BP110" s="188" t="str">
        <f>IF(ISERROR(getgrade(Broadsheet!AQ221,data!$H$4:$I$9)),"#",getgrade(Broadsheet!AQ221,data!$H$4:$I$9))</f>
        <v/>
      </c>
      <c r="BQ110" s="188" t="str">
        <f>IF(ISERROR(getgrade(Broadsheet!AR221,data!$H$4:$I$9)),"#",getgrade(Broadsheet!AR221,data!$H$4:$I$9))</f>
        <v/>
      </c>
      <c r="BR110" s="188" t="str">
        <f>IF(ISERROR(getgrade(Broadsheet!AS221,data!$H$4:$I$9)),"#",getgrade(Broadsheet!AS221,data!$H$4:$I$9))</f>
        <v/>
      </c>
      <c r="BS110" s="188" t="str">
        <f>IF(ISERROR(getgrade(Broadsheet!AT221,data!$H$4:$I$9)),"#",getgrade(Broadsheet!AT221,data!$H$4:$I$9))</f>
        <v/>
      </c>
      <c r="BT110" s="188" t="str">
        <f>IF(ISERROR(getgrade(Broadsheet!AU221,data!$H$4:$I$9)),"#",getgrade(Broadsheet!AU221,data!$H$4:$I$9))</f>
        <v/>
      </c>
      <c r="BU110" s="188" t="str">
        <f>IF(ISERROR(getgrade(Broadsheet!AV221,data!$H$4:$I$9)),"#",getgrade(Broadsheet!AV221,data!$H$4:$I$9))</f>
        <v/>
      </c>
      <c r="BV110" s="188" t="str">
        <f>IF(ISERROR(getgrade(Broadsheet!AW221,data!$H$4:$I$9)),"#",getgrade(Broadsheet!AW221,data!$H$4:$I$9))</f>
        <v/>
      </c>
      <c r="BW110" s="188" t="str">
        <f>IF(ISERROR(getgrade(Broadsheet!AX221,data!$H$4:$I$9)),"#",getgrade(Broadsheet!AX221,data!$H$4:$I$9))</f>
        <v/>
      </c>
      <c r="BX110" s="188" t="str">
        <f>IF(ISERROR(getgrade(Broadsheet!AY221,data!$H$4:$I$9)),"#",getgrade(Broadsheet!AY221,data!$H$4:$I$9))</f>
        <v/>
      </c>
      <c r="BY110" s="188" t="str">
        <f>IF(ISERROR(getgrade(Broadsheet!AZ221,data!$H$4:$I$9)),"#",getgrade(Broadsheet!AZ221,data!$H$4:$I$9))</f>
        <v/>
      </c>
      <c r="BZ110" s="188" t="str">
        <f>IF(ISERROR(getgrade(Broadsheet!BA221,data!$H$4:$I$9)),"#",getgrade(Broadsheet!BA221,data!$H$4:$I$9))</f>
        <v/>
      </c>
      <c r="CA110" s="188" t="str">
        <f>IF(ISERROR(getgrade(Broadsheet!BB221,data!$H$4:$I$9)),"#",getgrade(Broadsheet!BB221,data!$H$4:$I$9))</f>
        <v/>
      </c>
      <c r="CB110" s="188" t="str">
        <f>IF(ISERROR(getgrade(Broadsheet!BC221,data!$H$4:$I$9)),"#",getgrade(Broadsheet!BC221,data!$H$4:$I$9))</f>
        <v/>
      </c>
      <c r="CC110" s="188" t="str">
        <f>IF(ISERROR(getgrade(Broadsheet!BD221,data!$H$4:$I$9)),"#",getgrade(Broadsheet!BD221,data!$H$4:$I$9))</f>
        <v/>
      </c>
      <c r="CD110" s="188" t="str">
        <f>IF(ISERROR(getgrade(Broadsheet!BE221,data!$H$4:$I$9)),"#",getgrade(Broadsheet!BE221,data!$H$4:$I$9))</f>
        <v/>
      </c>
      <c r="CE110" s="188" t="str">
        <f>IF(ISERROR(getgrade(Broadsheet!BF221,data!$H$4:$I$9)),"#",getgrade(Broadsheet!BF221,data!$H$4:$I$9))</f>
        <v/>
      </c>
      <c r="CF110" s="188" t="str">
        <f>IF(ISERROR(getgrade(Broadsheet!BG221,data!$H$4:$I$9)),"#",getgrade(Broadsheet!BG221,data!$H$4:$I$9))</f>
        <v/>
      </c>
      <c r="CG110" s="188" t="str">
        <f>IF(ISERROR(getgrade(Broadsheet!BH221,data!$H$4:$I$9)),"#",getgrade(Broadsheet!BH221,data!$H$4:$I$9))</f>
        <v/>
      </c>
      <c r="CH110" s="188" t="str">
        <f>IF(ISERROR(getgrade(Broadsheet!BI221,data!$H$4:$I$9)),"#",getgrade(Broadsheet!BI221,data!$H$4:$I$9))</f>
        <v/>
      </c>
      <c r="CI110" s="188" t="str">
        <f>IF(ISERROR(getgrade(Broadsheet!BJ221,data!$H$4:$I$9)),"#",getgrade(Broadsheet!BJ221,data!$H$4:$I$9))</f>
        <v/>
      </c>
      <c r="CJ110" s="188"/>
      <c r="CK110" s="188"/>
      <c r="CL110" s="188"/>
      <c r="CM110" s="188"/>
      <c r="CN110" s="188"/>
      <c r="CO110" s="188"/>
      <c r="CP110" s="188"/>
      <c r="CQ110" s="188"/>
      <c r="CR110" s="188"/>
      <c r="CS110" s="188"/>
      <c r="CT110" s="188"/>
      <c r="CU110" s="188"/>
      <c r="CV110" s="188"/>
      <c r="CW110" s="188"/>
      <c r="CX110" s="188"/>
      <c r="CY110" s="188"/>
      <c r="CZ110" s="188"/>
      <c r="DA110" s="188"/>
      <c r="DB110" s="188"/>
      <c r="DC110" s="188"/>
      <c r="DD110" s="188"/>
      <c r="DE110" s="188"/>
      <c r="DF110" s="188"/>
      <c r="DG110" s="188"/>
      <c r="DH110" s="188"/>
      <c r="DI110" s="188"/>
      <c r="DJ110" s="188"/>
      <c r="DK110" s="188"/>
      <c r="DL110" s="188"/>
      <c r="DM110" s="188"/>
      <c r="DN110" s="188"/>
      <c r="DO110" s="188"/>
      <c r="DP110" s="188"/>
      <c r="DQ110" s="188"/>
      <c r="DR110" s="188"/>
      <c r="DS110" s="188"/>
      <c r="DT110" s="188"/>
      <c r="DU110" s="188"/>
      <c r="DV110" s="188"/>
      <c r="DW110" s="188"/>
      <c r="DX110" s="188"/>
      <c r="DY110" s="188"/>
      <c r="DZ110" s="188"/>
      <c r="EA110" s="188"/>
      <c r="EB110" s="188"/>
      <c r="EC110" s="188"/>
      <c r="ED110" s="188"/>
      <c r="EE110" s="188"/>
      <c r="EF110" s="188"/>
      <c r="EG110" s="188"/>
      <c r="EH110" s="188"/>
      <c r="EI110" s="188"/>
      <c r="EJ110" s="188"/>
      <c r="EK110" s="188"/>
      <c r="EL110" s="188"/>
      <c r="EM110" s="188"/>
      <c r="EN110" s="188"/>
      <c r="EO110" s="188"/>
      <c r="EP110" s="188"/>
      <c r="EQ110" s="188"/>
      <c r="ER110" s="188"/>
      <c r="ES110" s="188"/>
      <c r="ET110" s="188"/>
      <c r="EU110" s="188"/>
      <c r="EV110" s="188"/>
      <c r="EW110" s="188"/>
      <c r="EX110" s="188"/>
      <c r="EY110" s="188"/>
      <c r="EZ110" s="188"/>
    </row>
    <row r="111" spans="33:156" x14ac:dyDescent="0.2">
      <c r="AG111" s="188" t="str">
        <f>IF(ISERROR(getgrade(Broadsheet!H222,data!$H$4:$I$9)),"#",getgrade(Broadsheet!H222,data!$H$4:$I$9))</f>
        <v/>
      </c>
      <c r="AH111" s="188" t="str">
        <f>IF(ISERROR(getgrade(Broadsheet!I222,data!$H$4:$I$9)),"#",getgrade(Broadsheet!I222,data!$H$4:$I$9))</f>
        <v/>
      </c>
      <c r="AI111" s="188" t="str">
        <f>IF(ISERROR(getgrade(Broadsheet!J222,data!$H$4:$I$9)),"#",getgrade(Broadsheet!J222,data!$H$4:$I$9))</f>
        <v/>
      </c>
      <c r="AJ111" s="188" t="str">
        <f>IF(ISERROR(getgrade(Broadsheet!K222,data!$H$4:$I$9)),"#",getgrade(Broadsheet!K222,data!$H$4:$I$9))</f>
        <v/>
      </c>
      <c r="AK111" s="188" t="str">
        <f>IF(ISERROR(getgrade(Broadsheet!L222,data!$H$4:$I$9)),"#",getgrade(Broadsheet!L222,data!$H$4:$I$9))</f>
        <v/>
      </c>
      <c r="AL111" s="188" t="str">
        <f>IF(ISERROR(getgrade(Broadsheet!M222,data!$H$4:$I$9)),"#",getgrade(Broadsheet!M222,data!$H$4:$I$9))</f>
        <v/>
      </c>
      <c r="AM111" s="188" t="str">
        <f>IF(ISERROR(getgrade(Broadsheet!N222,data!$H$4:$I$9)),"#",getgrade(Broadsheet!N222,data!$H$4:$I$9))</f>
        <v/>
      </c>
      <c r="AN111" s="188" t="str">
        <f>IF(ISERROR(getgrade(Broadsheet!O222,data!$H$4:$I$9)),"#",getgrade(Broadsheet!O222,data!$H$4:$I$9))</f>
        <v/>
      </c>
      <c r="AO111" s="188" t="str">
        <f>IF(ISERROR(getgrade(Broadsheet!P222,data!$H$4:$I$9)),"#",getgrade(Broadsheet!P222,data!$H$4:$I$9))</f>
        <v/>
      </c>
      <c r="AP111" s="188" t="str">
        <f>IF(ISERROR(getgrade(Broadsheet!Q222,data!$H$4:$I$9)),"#",getgrade(Broadsheet!Q222,data!$H$4:$I$9))</f>
        <v/>
      </c>
      <c r="AQ111" s="188" t="str">
        <f>IF(ISERROR(getgrade(Broadsheet!R222,data!$H$4:$I$9)),"#",getgrade(Broadsheet!R222,data!$H$4:$I$9))</f>
        <v/>
      </c>
      <c r="AR111" s="188" t="str">
        <f>IF(ISERROR(getgrade(Broadsheet!S222,data!$H$4:$I$9)),"#",getgrade(Broadsheet!S222,data!$H$4:$I$9))</f>
        <v/>
      </c>
      <c r="AS111" s="188" t="str">
        <f>IF(ISERROR(getgrade(Broadsheet!T222,data!$H$4:$I$9)),"#",getgrade(Broadsheet!T222,data!$H$4:$I$9))</f>
        <v/>
      </c>
      <c r="AT111" s="188" t="str">
        <f>IF(ISERROR(getgrade(Broadsheet!U222,data!$H$4:$I$9)),"#",getgrade(Broadsheet!U222,data!$H$4:$I$9))</f>
        <v/>
      </c>
      <c r="AU111" s="188" t="str">
        <f>IF(ISERROR(getgrade(Broadsheet!V222,data!$H$4:$I$9)),"#",getgrade(Broadsheet!V222,data!$H$4:$I$9))</f>
        <v/>
      </c>
      <c r="AV111" s="188" t="str">
        <f>IF(ISERROR(getgrade(Broadsheet!W222,data!$H$4:$I$9)),"#",getgrade(Broadsheet!W222,data!$H$4:$I$9))</f>
        <v/>
      </c>
      <c r="AW111" s="188" t="str">
        <f>IF(ISERROR(getgrade(Broadsheet!X222,data!$H$4:$I$9)),"#",getgrade(Broadsheet!X222,data!$H$4:$I$9))</f>
        <v/>
      </c>
      <c r="AX111" s="188" t="str">
        <f>IF(ISERROR(getgrade(Broadsheet!Y222,data!$H$4:$I$9)),"#",getgrade(Broadsheet!Y222,data!$H$4:$I$9))</f>
        <v/>
      </c>
      <c r="AY111" s="188" t="str">
        <f>IF(ISERROR(getgrade(Broadsheet!Z222,data!$H$4:$I$9)),"#",getgrade(Broadsheet!Z222,data!$H$4:$I$9))</f>
        <v/>
      </c>
      <c r="AZ111" s="188" t="str">
        <f>IF(ISERROR(getgrade(Broadsheet!AA222,data!$H$4:$I$9)),"#",getgrade(Broadsheet!AA222,data!$H$4:$I$9))</f>
        <v/>
      </c>
      <c r="BA111" s="188" t="str">
        <f>IF(ISERROR(getgrade(Broadsheet!AB222,data!$H$4:$I$9)),"#",getgrade(Broadsheet!AB222,data!$H$4:$I$9))</f>
        <v/>
      </c>
      <c r="BB111" s="188" t="str">
        <f>IF(ISERROR(getgrade(Broadsheet!AC222,data!$H$4:$I$9)),"#",getgrade(Broadsheet!AC222,data!$H$4:$I$9))</f>
        <v/>
      </c>
      <c r="BC111" s="188" t="str">
        <f>IF(ISERROR(getgrade(Broadsheet!AD222,data!$H$4:$I$9)),"#",getgrade(Broadsheet!AD222,data!$H$4:$I$9))</f>
        <v/>
      </c>
      <c r="BD111" s="188" t="str">
        <f>IF(ISERROR(getgrade(Broadsheet!AE222,data!$H$4:$I$9)),"#",getgrade(Broadsheet!AE222,data!$H$4:$I$9))</f>
        <v/>
      </c>
      <c r="BE111" s="188" t="str">
        <f>IF(ISERROR(getgrade(Broadsheet!AF222,data!$H$4:$I$9)),"#",getgrade(Broadsheet!AF222,data!$H$4:$I$9))</f>
        <v/>
      </c>
      <c r="BF111" s="188" t="str">
        <f>IF(ISERROR(getgrade(Broadsheet!AG222,data!$H$4:$I$9)),"#",getgrade(Broadsheet!AG222,data!$H$4:$I$9))</f>
        <v/>
      </c>
      <c r="BG111" s="188" t="str">
        <f>IF(ISERROR(getgrade(Broadsheet!AH222,data!$H$4:$I$9)),"#",getgrade(Broadsheet!AH222,data!$H$4:$I$9))</f>
        <v/>
      </c>
      <c r="BH111" s="188" t="str">
        <f>IF(ISERROR(getgrade(Broadsheet!AI222,data!$H$4:$I$9)),"#",getgrade(Broadsheet!AI222,data!$H$4:$I$9))</f>
        <v/>
      </c>
      <c r="BI111" s="188" t="str">
        <f>IF(ISERROR(getgrade(Broadsheet!AJ222,data!$H$4:$I$9)),"#",getgrade(Broadsheet!AJ222,data!$H$4:$I$9))</f>
        <v/>
      </c>
      <c r="BJ111" s="188" t="str">
        <f>IF(ISERROR(getgrade(Broadsheet!AK222,data!$H$4:$I$9)),"#",getgrade(Broadsheet!AK222,data!$H$4:$I$9))</f>
        <v/>
      </c>
      <c r="BK111" s="188" t="str">
        <f>IF(ISERROR(getgrade(Broadsheet!AL222,data!$H$4:$I$9)),"#",getgrade(Broadsheet!AL222,data!$H$4:$I$9))</f>
        <v/>
      </c>
      <c r="BL111" s="188" t="str">
        <f>IF(ISERROR(getgrade(Broadsheet!AM222,data!$H$4:$I$9)),"#",getgrade(Broadsheet!AM222,data!$H$4:$I$9))</f>
        <v/>
      </c>
      <c r="BM111" s="188" t="str">
        <f>IF(ISERROR(getgrade(Broadsheet!AN222,data!$H$4:$I$9)),"#",getgrade(Broadsheet!AN222,data!$H$4:$I$9))</f>
        <v/>
      </c>
      <c r="BN111" s="188" t="str">
        <f>IF(ISERROR(getgrade(Broadsheet!AO222,data!$H$4:$I$9)),"#",getgrade(Broadsheet!AO222,data!$H$4:$I$9))</f>
        <v/>
      </c>
      <c r="BO111" s="188" t="str">
        <f>IF(ISERROR(getgrade(Broadsheet!AP222,data!$H$4:$I$9)),"#",getgrade(Broadsheet!AP222,data!$H$4:$I$9))</f>
        <v/>
      </c>
      <c r="BP111" s="188" t="str">
        <f>IF(ISERROR(getgrade(Broadsheet!AQ222,data!$H$4:$I$9)),"#",getgrade(Broadsheet!AQ222,data!$H$4:$I$9))</f>
        <v/>
      </c>
      <c r="BQ111" s="188" t="str">
        <f>IF(ISERROR(getgrade(Broadsheet!AR222,data!$H$4:$I$9)),"#",getgrade(Broadsheet!AR222,data!$H$4:$I$9))</f>
        <v/>
      </c>
      <c r="BR111" s="188" t="str">
        <f>IF(ISERROR(getgrade(Broadsheet!AS222,data!$H$4:$I$9)),"#",getgrade(Broadsheet!AS222,data!$H$4:$I$9))</f>
        <v/>
      </c>
      <c r="BS111" s="188" t="str">
        <f>IF(ISERROR(getgrade(Broadsheet!AT222,data!$H$4:$I$9)),"#",getgrade(Broadsheet!AT222,data!$H$4:$I$9))</f>
        <v/>
      </c>
      <c r="BT111" s="188" t="str">
        <f>IF(ISERROR(getgrade(Broadsheet!AU222,data!$H$4:$I$9)),"#",getgrade(Broadsheet!AU222,data!$H$4:$I$9))</f>
        <v/>
      </c>
      <c r="BU111" s="188" t="str">
        <f>IF(ISERROR(getgrade(Broadsheet!AV222,data!$H$4:$I$9)),"#",getgrade(Broadsheet!AV222,data!$H$4:$I$9))</f>
        <v/>
      </c>
      <c r="BV111" s="188" t="str">
        <f>IF(ISERROR(getgrade(Broadsheet!AW222,data!$H$4:$I$9)),"#",getgrade(Broadsheet!AW222,data!$H$4:$I$9))</f>
        <v/>
      </c>
      <c r="BW111" s="188" t="str">
        <f>IF(ISERROR(getgrade(Broadsheet!AX222,data!$H$4:$I$9)),"#",getgrade(Broadsheet!AX222,data!$H$4:$I$9))</f>
        <v/>
      </c>
      <c r="BX111" s="188" t="str">
        <f>IF(ISERROR(getgrade(Broadsheet!AY222,data!$H$4:$I$9)),"#",getgrade(Broadsheet!AY222,data!$H$4:$I$9))</f>
        <v/>
      </c>
      <c r="BY111" s="188" t="str">
        <f>IF(ISERROR(getgrade(Broadsheet!AZ222,data!$H$4:$I$9)),"#",getgrade(Broadsheet!AZ222,data!$H$4:$I$9))</f>
        <v/>
      </c>
      <c r="BZ111" s="188" t="str">
        <f>IF(ISERROR(getgrade(Broadsheet!BA222,data!$H$4:$I$9)),"#",getgrade(Broadsheet!BA222,data!$H$4:$I$9))</f>
        <v/>
      </c>
      <c r="CA111" s="188" t="str">
        <f>IF(ISERROR(getgrade(Broadsheet!BB222,data!$H$4:$I$9)),"#",getgrade(Broadsheet!BB222,data!$H$4:$I$9))</f>
        <v/>
      </c>
      <c r="CB111" s="188" t="str">
        <f>IF(ISERROR(getgrade(Broadsheet!BC222,data!$H$4:$I$9)),"#",getgrade(Broadsheet!BC222,data!$H$4:$I$9))</f>
        <v/>
      </c>
      <c r="CC111" s="188" t="str">
        <f>IF(ISERROR(getgrade(Broadsheet!BD222,data!$H$4:$I$9)),"#",getgrade(Broadsheet!BD222,data!$H$4:$I$9))</f>
        <v/>
      </c>
      <c r="CD111" s="188" t="str">
        <f>IF(ISERROR(getgrade(Broadsheet!BE222,data!$H$4:$I$9)),"#",getgrade(Broadsheet!BE222,data!$H$4:$I$9))</f>
        <v/>
      </c>
      <c r="CE111" s="188" t="str">
        <f>IF(ISERROR(getgrade(Broadsheet!BF222,data!$H$4:$I$9)),"#",getgrade(Broadsheet!BF222,data!$H$4:$I$9))</f>
        <v/>
      </c>
      <c r="CF111" s="188" t="str">
        <f>IF(ISERROR(getgrade(Broadsheet!BG222,data!$H$4:$I$9)),"#",getgrade(Broadsheet!BG222,data!$H$4:$I$9))</f>
        <v/>
      </c>
      <c r="CG111" s="188" t="str">
        <f>IF(ISERROR(getgrade(Broadsheet!BH222,data!$H$4:$I$9)),"#",getgrade(Broadsheet!BH222,data!$H$4:$I$9))</f>
        <v/>
      </c>
      <c r="CH111" s="188" t="str">
        <f>IF(ISERROR(getgrade(Broadsheet!BI222,data!$H$4:$I$9)),"#",getgrade(Broadsheet!BI222,data!$H$4:$I$9))</f>
        <v/>
      </c>
      <c r="CI111" s="188" t="str">
        <f>IF(ISERROR(getgrade(Broadsheet!BJ222,data!$H$4:$I$9)),"#",getgrade(Broadsheet!BJ222,data!$H$4:$I$9))</f>
        <v/>
      </c>
      <c r="CJ111" s="188"/>
      <c r="CK111" s="188"/>
      <c r="CL111" s="188"/>
      <c r="CM111" s="188"/>
      <c r="CN111" s="188"/>
      <c r="CO111" s="188"/>
      <c r="CP111" s="188"/>
      <c r="CQ111" s="188"/>
      <c r="CR111" s="188"/>
      <c r="CS111" s="188"/>
      <c r="CT111" s="188"/>
      <c r="CU111" s="188"/>
      <c r="CV111" s="188"/>
      <c r="CW111" s="188"/>
      <c r="CX111" s="188"/>
      <c r="CY111" s="188"/>
      <c r="CZ111" s="188"/>
      <c r="DA111" s="188"/>
      <c r="DB111" s="188"/>
      <c r="DC111" s="188"/>
      <c r="DD111" s="188"/>
      <c r="DE111" s="188"/>
      <c r="DF111" s="188"/>
      <c r="DG111" s="188"/>
      <c r="DH111" s="188"/>
      <c r="DI111" s="188"/>
      <c r="DJ111" s="188"/>
      <c r="DK111" s="188"/>
      <c r="DL111" s="188"/>
      <c r="DM111" s="188"/>
      <c r="DN111" s="188"/>
      <c r="DO111" s="188"/>
      <c r="DP111" s="188"/>
      <c r="DQ111" s="188"/>
      <c r="DR111" s="188"/>
      <c r="DS111" s="188"/>
      <c r="DT111" s="188"/>
      <c r="DU111" s="188"/>
      <c r="DV111" s="188"/>
      <c r="DW111" s="188"/>
      <c r="DX111" s="188"/>
      <c r="DY111" s="188"/>
      <c r="DZ111" s="188"/>
      <c r="EA111" s="188"/>
      <c r="EB111" s="188"/>
      <c r="EC111" s="188"/>
      <c r="ED111" s="188"/>
      <c r="EE111" s="188"/>
      <c r="EF111" s="188"/>
      <c r="EG111" s="188"/>
      <c r="EH111" s="188"/>
      <c r="EI111" s="188"/>
      <c r="EJ111" s="188"/>
      <c r="EK111" s="188"/>
      <c r="EL111" s="188"/>
      <c r="EM111" s="188"/>
      <c r="EN111" s="188"/>
      <c r="EO111" s="188"/>
      <c r="EP111" s="188"/>
      <c r="EQ111" s="188"/>
      <c r="ER111" s="188"/>
      <c r="ES111" s="188"/>
      <c r="ET111" s="188"/>
      <c r="EU111" s="188"/>
      <c r="EV111" s="188"/>
      <c r="EW111" s="188"/>
      <c r="EX111" s="188"/>
      <c r="EY111" s="188"/>
      <c r="EZ111" s="188"/>
    </row>
    <row r="112" spans="33:156" x14ac:dyDescent="0.2">
      <c r="AG112" s="188" t="str">
        <f>IF(ISERROR(getgrade(Broadsheet!H223,data!$H$4:$I$9)),"#",getgrade(Broadsheet!H223,data!$H$4:$I$9))</f>
        <v/>
      </c>
      <c r="AH112" s="188" t="str">
        <f>IF(ISERROR(getgrade(Broadsheet!I223,data!$H$4:$I$9)),"#",getgrade(Broadsheet!I223,data!$H$4:$I$9))</f>
        <v/>
      </c>
      <c r="AI112" s="188" t="str">
        <f>IF(ISERROR(getgrade(Broadsheet!J223,data!$H$4:$I$9)),"#",getgrade(Broadsheet!J223,data!$H$4:$I$9))</f>
        <v/>
      </c>
      <c r="AJ112" s="188" t="str">
        <f>IF(ISERROR(getgrade(Broadsheet!K223,data!$H$4:$I$9)),"#",getgrade(Broadsheet!K223,data!$H$4:$I$9))</f>
        <v/>
      </c>
      <c r="AK112" s="188" t="str">
        <f>IF(ISERROR(getgrade(Broadsheet!L223,data!$H$4:$I$9)),"#",getgrade(Broadsheet!L223,data!$H$4:$I$9))</f>
        <v/>
      </c>
      <c r="AL112" s="188" t="str">
        <f>IF(ISERROR(getgrade(Broadsheet!M223,data!$H$4:$I$9)),"#",getgrade(Broadsheet!M223,data!$H$4:$I$9))</f>
        <v/>
      </c>
      <c r="AM112" s="188" t="str">
        <f>IF(ISERROR(getgrade(Broadsheet!N223,data!$H$4:$I$9)),"#",getgrade(Broadsheet!N223,data!$H$4:$I$9))</f>
        <v/>
      </c>
      <c r="AN112" s="188" t="str">
        <f>IF(ISERROR(getgrade(Broadsheet!O223,data!$H$4:$I$9)),"#",getgrade(Broadsheet!O223,data!$H$4:$I$9))</f>
        <v/>
      </c>
      <c r="AO112" s="188" t="str">
        <f>IF(ISERROR(getgrade(Broadsheet!P223,data!$H$4:$I$9)),"#",getgrade(Broadsheet!P223,data!$H$4:$I$9))</f>
        <v/>
      </c>
      <c r="AP112" s="188" t="str">
        <f>IF(ISERROR(getgrade(Broadsheet!Q223,data!$H$4:$I$9)),"#",getgrade(Broadsheet!Q223,data!$H$4:$I$9))</f>
        <v/>
      </c>
      <c r="AQ112" s="188" t="str">
        <f>IF(ISERROR(getgrade(Broadsheet!R223,data!$H$4:$I$9)),"#",getgrade(Broadsheet!R223,data!$H$4:$I$9))</f>
        <v/>
      </c>
      <c r="AR112" s="188" t="str">
        <f>IF(ISERROR(getgrade(Broadsheet!S223,data!$H$4:$I$9)),"#",getgrade(Broadsheet!S223,data!$H$4:$I$9))</f>
        <v/>
      </c>
      <c r="AS112" s="188" t="str">
        <f>IF(ISERROR(getgrade(Broadsheet!T223,data!$H$4:$I$9)),"#",getgrade(Broadsheet!T223,data!$H$4:$I$9))</f>
        <v/>
      </c>
      <c r="AT112" s="188" t="str">
        <f>IF(ISERROR(getgrade(Broadsheet!U223,data!$H$4:$I$9)),"#",getgrade(Broadsheet!U223,data!$H$4:$I$9))</f>
        <v/>
      </c>
      <c r="AU112" s="188" t="str">
        <f>IF(ISERROR(getgrade(Broadsheet!V223,data!$H$4:$I$9)),"#",getgrade(Broadsheet!V223,data!$H$4:$I$9))</f>
        <v/>
      </c>
      <c r="AV112" s="188" t="str">
        <f>IF(ISERROR(getgrade(Broadsheet!W223,data!$H$4:$I$9)),"#",getgrade(Broadsheet!W223,data!$H$4:$I$9))</f>
        <v/>
      </c>
      <c r="AW112" s="188" t="str">
        <f>IF(ISERROR(getgrade(Broadsheet!X223,data!$H$4:$I$9)),"#",getgrade(Broadsheet!X223,data!$H$4:$I$9))</f>
        <v/>
      </c>
      <c r="AX112" s="188" t="str">
        <f>IF(ISERROR(getgrade(Broadsheet!Y223,data!$H$4:$I$9)),"#",getgrade(Broadsheet!Y223,data!$H$4:$I$9))</f>
        <v/>
      </c>
      <c r="AY112" s="188" t="str">
        <f>IF(ISERROR(getgrade(Broadsheet!Z223,data!$H$4:$I$9)),"#",getgrade(Broadsheet!Z223,data!$H$4:$I$9))</f>
        <v/>
      </c>
      <c r="AZ112" s="188" t="str">
        <f>IF(ISERROR(getgrade(Broadsheet!AA223,data!$H$4:$I$9)),"#",getgrade(Broadsheet!AA223,data!$H$4:$I$9))</f>
        <v/>
      </c>
      <c r="BA112" s="188" t="str">
        <f>IF(ISERROR(getgrade(Broadsheet!AB223,data!$H$4:$I$9)),"#",getgrade(Broadsheet!AB223,data!$H$4:$I$9))</f>
        <v/>
      </c>
      <c r="BB112" s="188" t="str">
        <f>IF(ISERROR(getgrade(Broadsheet!AC223,data!$H$4:$I$9)),"#",getgrade(Broadsheet!AC223,data!$H$4:$I$9))</f>
        <v/>
      </c>
      <c r="BC112" s="188" t="str">
        <f>IF(ISERROR(getgrade(Broadsheet!AD223,data!$H$4:$I$9)),"#",getgrade(Broadsheet!AD223,data!$H$4:$I$9))</f>
        <v/>
      </c>
      <c r="BD112" s="188" t="str">
        <f>IF(ISERROR(getgrade(Broadsheet!AE223,data!$H$4:$I$9)),"#",getgrade(Broadsheet!AE223,data!$H$4:$I$9))</f>
        <v/>
      </c>
      <c r="BE112" s="188" t="str">
        <f>IF(ISERROR(getgrade(Broadsheet!AF223,data!$H$4:$I$9)),"#",getgrade(Broadsheet!AF223,data!$H$4:$I$9))</f>
        <v/>
      </c>
      <c r="BF112" s="188" t="str">
        <f>IF(ISERROR(getgrade(Broadsheet!AG223,data!$H$4:$I$9)),"#",getgrade(Broadsheet!AG223,data!$H$4:$I$9))</f>
        <v/>
      </c>
      <c r="BG112" s="188" t="str">
        <f>IF(ISERROR(getgrade(Broadsheet!AH223,data!$H$4:$I$9)),"#",getgrade(Broadsheet!AH223,data!$H$4:$I$9))</f>
        <v/>
      </c>
      <c r="BH112" s="188" t="str">
        <f>IF(ISERROR(getgrade(Broadsheet!AI223,data!$H$4:$I$9)),"#",getgrade(Broadsheet!AI223,data!$H$4:$I$9))</f>
        <v/>
      </c>
      <c r="BI112" s="188" t="str">
        <f>IF(ISERROR(getgrade(Broadsheet!AJ223,data!$H$4:$I$9)),"#",getgrade(Broadsheet!AJ223,data!$H$4:$I$9))</f>
        <v/>
      </c>
      <c r="BJ112" s="188" t="str">
        <f>IF(ISERROR(getgrade(Broadsheet!AK223,data!$H$4:$I$9)),"#",getgrade(Broadsheet!AK223,data!$H$4:$I$9))</f>
        <v/>
      </c>
      <c r="BK112" s="188" t="str">
        <f>IF(ISERROR(getgrade(Broadsheet!AL223,data!$H$4:$I$9)),"#",getgrade(Broadsheet!AL223,data!$H$4:$I$9))</f>
        <v/>
      </c>
      <c r="BL112" s="188" t="str">
        <f>IF(ISERROR(getgrade(Broadsheet!AM223,data!$H$4:$I$9)),"#",getgrade(Broadsheet!AM223,data!$H$4:$I$9))</f>
        <v/>
      </c>
      <c r="BM112" s="188" t="str">
        <f>IF(ISERROR(getgrade(Broadsheet!AN223,data!$H$4:$I$9)),"#",getgrade(Broadsheet!AN223,data!$H$4:$I$9))</f>
        <v/>
      </c>
      <c r="BN112" s="188" t="str">
        <f>IF(ISERROR(getgrade(Broadsheet!AO223,data!$H$4:$I$9)),"#",getgrade(Broadsheet!AO223,data!$H$4:$I$9))</f>
        <v/>
      </c>
      <c r="BO112" s="188" t="str">
        <f>IF(ISERROR(getgrade(Broadsheet!AP223,data!$H$4:$I$9)),"#",getgrade(Broadsheet!AP223,data!$H$4:$I$9))</f>
        <v/>
      </c>
      <c r="BP112" s="188" t="str">
        <f>IF(ISERROR(getgrade(Broadsheet!AQ223,data!$H$4:$I$9)),"#",getgrade(Broadsheet!AQ223,data!$H$4:$I$9))</f>
        <v/>
      </c>
      <c r="BQ112" s="188" t="str">
        <f>IF(ISERROR(getgrade(Broadsheet!AR223,data!$H$4:$I$9)),"#",getgrade(Broadsheet!AR223,data!$H$4:$I$9))</f>
        <v/>
      </c>
      <c r="BR112" s="188" t="str">
        <f>IF(ISERROR(getgrade(Broadsheet!AS223,data!$H$4:$I$9)),"#",getgrade(Broadsheet!AS223,data!$H$4:$I$9))</f>
        <v/>
      </c>
      <c r="BS112" s="188" t="str">
        <f>IF(ISERROR(getgrade(Broadsheet!AT223,data!$H$4:$I$9)),"#",getgrade(Broadsheet!AT223,data!$H$4:$I$9))</f>
        <v/>
      </c>
      <c r="BT112" s="188" t="str">
        <f>IF(ISERROR(getgrade(Broadsheet!AU223,data!$H$4:$I$9)),"#",getgrade(Broadsheet!AU223,data!$H$4:$I$9))</f>
        <v/>
      </c>
      <c r="BU112" s="188" t="str">
        <f>IF(ISERROR(getgrade(Broadsheet!AV223,data!$H$4:$I$9)),"#",getgrade(Broadsheet!AV223,data!$H$4:$I$9))</f>
        <v/>
      </c>
      <c r="BV112" s="188" t="str">
        <f>IF(ISERROR(getgrade(Broadsheet!AW223,data!$H$4:$I$9)),"#",getgrade(Broadsheet!AW223,data!$H$4:$I$9))</f>
        <v/>
      </c>
      <c r="BW112" s="188" t="str">
        <f>IF(ISERROR(getgrade(Broadsheet!AX223,data!$H$4:$I$9)),"#",getgrade(Broadsheet!AX223,data!$H$4:$I$9))</f>
        <v/>
      </c>
      <c r="BX112" s="188" t="str">
        <f>IF(ISERROR(getgrade(Broadsheet!AY223,data!$H$4:$I$9)),"#",getgrade(Broadsheet!AY223,data!$H$4:$I$9))</f>
        <v/>
      </c>
      <c r="BY112" s="188" t="str">
        <f>IF(ISERROR(getgrade(Broadsheet!AZ223,data!$H$4:$I$9)),"#",getgrade(Broadsheet!AZ223,data!$H$4:$I$9))</f>
        <v/>
      </c>
      <c r="BZ112" s="188" t="str">
        <f>IF(ISERROR(getgrade(Broadsheet!BA223,data!$H$4:$I$9)),"#",getgrade(Broadsheet!BA223,data!$H$4:$I$9))</f>
        <v/>
      </c>
      <c r="CA112" s="188" t="str">
        <f>IF(ISERROR(getgrade(Broadsheet!BB223,data!$H$4:$I$9)),"#",getgrade(Broadsheet!BB223,data!$H$4:$I$9))</f>
        <v/>
      </c>
      <c r="CB112" s="188" t="str">
        <f>IF(ISERROR(getgrade(Broadsheet!BC223,data!$H$4:$I$9)),"#",getgrade(Broadsheet!BC223,data!$H$4:$I$9))</f>
        <v/>
      </c>
      <c r="CC112" s="188" t="str">
        <f>IF(ISERROR(getgrade(Broadsheet!BD223,data!$H$4:$I$9)),"#",getgrade(Broadsheet!BD223,data!$H$4:$I$9))</f>
        <v/>
      </c>
      <c r="CD112" s="188" t="str">
        <f>IF(ISERROR(getgrade(Broadsheet!BE223,data!$H$4:$I$9)),"#",getgrade(Broadsheet!BE223,data!$H$4:$I$9))</f>
        <v/>
      </c>
      <c r="CE112" s="188" t="str">
        <f>IF(ISERROR(getgrade(Broadsheet!BF223,data!$H$4:$I$9)),"#",getgrade(Broadsheet!BF223,data!$H$4:$I$9))</f>
        <v/>
      </c>
      <c r="CF112" s="188" t="str">
        <f>IF(ISERROR(getgrade(Broadsheet!BG223,data!$H$4:$I$9)),"#",getgrade(Broadsheet!BG223,data!$H$4:$I$9))</f>
        <v/>
      </c>
      <c r="CG112" s="188" t="str">
        <f>IF(ISERROR(getgrade(Broadsheet!BH223,data!$H$4:$I$9)),"#",getgrade(Broadsheet!BH223,data!$H$4:$I$9))</f>
        <v/>
      </c>
      <c r="CH112" s="188" t="str">
        <f>IF(ISERROR(getgrade(Broadsheet!BI223,data!$H$4:$I$9)),"#",getgrade(Broadsheet!BI223,data!$H$4:$I$9))</f>
        <v/>
      </c>
      <c r="CI112" s="188" t="str">
        <f>IF(ISERROR(getgrade(Broadsheet!BJ223,data!$H$4:$I$9)),"#",getgrade(Broadsheet!BJ223,data!$H$4:$I$9))</f>
        <v/>
      </c>
      <c r="CJ112" s="188"/>
      <c r="CK112" s="188"/>
      <c r="CL112" s="188"/>
      <c r="CM112" s="188"/>
      <c r="CN112" s="188"/>
      <c r="CO112" s="188"/>
      <c r="CP112" s="188"/>
      <c r="CQ112" s="188"/>
      <c r="CR112" s="188"/>
      <c r="CS112" s="188"/>
      <c r="CT112" s="188"/>
      <c r="CU112" s="188"/>
      <c r="CV112" s="188"/>
      <c r="CW112" s="188"/>
      <c r="CX112" s="188"/>
      <c r="CY112" s="188"/>
      <c r="CZ112" s="188"/>
      <c r="DA112" s="188"/>
      <c r="DB112" s="188"/>
      <c r="DC112" s="188"/>
      <c r="DD112" s="188"/>
      <c r="DE112" s="188"/>
      <c r="DF112" s="188"/>
      <c r="DG112" s="188"/>
      <c r="DH112" s="188"/>
      <c r="DI112" s="188"/>
      <c r="DJ112" s="188"/>
      <c r="DK112" s="188"/>
      <c r="DL112" s="188"/>
      <c r="DM112" s="188"/>
      <c r="DN112" s="188"/>
      <c r="DO112" s="188"/>
      <c r="DP112" s="188"/>
      <c r="DQ112" s="188"/>
      <c r="DR112" s="188"/>
      <c r="DS112" s="188"/>
      <c r="DT112" s="188"/>
      <c r="DU112" s="188"/>
      <c r="DV112" s="188"/>
      <c r="DW112" s="188"/>
      <c r="DX112" s="188"/>
      <c r="DY112" s="188"/>
      <c r="DZ112" s="188"/>
      <c r="EA112" s="188"/>
      <c r="EB112" s="188"/>
      <c r="EC112" s="188"/>
      <c r="ED112" s="188"/>
      <c r="EE112" s="188"/>
      <c r="EF112" s="188"/>
      <c r="EG112" s="188"/>
      <c r="EH112" s="188"/>
      <c r="EI112" s="188"/>
      <c r="EJ112" s="188"/>
      <c r="EK112" s="188"/>
      <c r="EL112" s="188"/>
      <c r="EM112" s="188"/>
      <c r="EN112" s="188"/>
      <c r="EO112" s="188"/>
      <c r="EP112" s="188"/>
      <c r="EQ112" s="188"/>
      <c r="ER112" s="188"/>
      <c r="ES112" s="188"/>
      <c r="ET112" s="188"/>
      <c r="EU112" s="188"/>
      <c r="EV112" s="188"/>
      <c r="EW112" s="188"/>
      <c r="EX112" s="188"/>
      <c r="EY112" s="188"/>
      <c r="EZ112" s="188"/>
    </row>
    <row r="113" spans="33:156" x14ac:dyDescent="0.2">
      <c r="AG113" s="188" t="str">
        <f>IF(ISERROR(getgrade(Broadsheet!H224,data!$H$4:$I$9)),"#",getgrade(Broadsheet!H224,data!$H$4:$I$9))</f>
        <v/>
      </c>
      <c r="AH113" s="188" t="str">
        <f>IF(ISERROR(getgrade(Broadsheet!I224,data!$H$4:$I$9)),"#",getgrade(Broadsheet!I224,data!$H$4:$I$9))</f>
        <v/>
      </c>
      <c r="AI113" s="188" t="str">
        <f>IF(ISERROR(getgrade(Broadsheet!J224,data!$H$4:$I$9)),"#",getgrade(Broadsheet!J224,data!$H$4:$I$9))</f>
        <v/>
      </c>
      <c r="AJ113" s="188" t="str">
        <f>IF(ISERROR(getgrade(Broadsheet!K224,data!$H$4:$I$9)),"#",getgrade(Broadsheet!K224,data!$H$4:$I$9))</f>
        <v/>
      </c>
      <c r="AK113" s="188" t="str">
        <f>IF(ISERROR(getgrade(Broadsheet!L224,data!$H$4:$I$9)),"#",getgrade(Broadsheet!L224,data!$H$4:$I$9))</f>
        <v/>
      </c>
      <c r="AL113" s="188" t="str">
        <f>IF(ISERROR(getgrade(Broadsheet!M224,data!$H$4:$I$9)),"#",getgrade(Broadsheet!M224,data!$H$4:$I$9))</f>
        <v/>
      </c>
      <c r="AM113" s="188" t="str">
        <f>IF(ISERROR(getgrade(Broadsheet!N224,data!$H$4:$I$9)),"#",getgrade(Broadsheet!N224,data!$H$4:$I$9))</f>
        <v/>
      </c>
      <c r="AN113" s="188" t="str">
        <f>IF(ISERROR(getgrade(Broadsheet!O224,data!$H$4:$I$9)),"#",getgrade(Broadsheet!O224,data!$H$4:$I$9))</f>
        <v/>
      </c>
      <c r="AO113" s="188" t="str">
        <f>IF(ISERROR(getgrade(Broadsheet!P224,data!$H$4:$I$9)),"#",getgrade(Broadsheet!P224,data!$H$4:$I$9))</f>
        <v/>
      </c>
      <c r="AP113" s="188" t="str">
        <f>IF(ISERROR(getgrade(Broadsheet!Q224,data!$H$4:$I$9)),"#",getgrade(Broadsheet!Q224,data!$H$4:$I$9))</f>
        <v/>
      </c>
      <c r="AQ113" s="188" t="str">
        <f>IF(ISERROR(getgrade(Broadsheet!R224,data!$H$4:$I$9)),"#",getgrade(Broadsheet!R224,data!$H$4:$I$9))</f>
        <v/>
      </c>
      <c r="AR113" s="188" t="str">
        <f>IF(ISERROR(getgrade(Broadsheet!S224,data!$H$4:$I$9)),"#",getgrade(Broadsheet!S224,data!$H$4:$I$9))</f>
        <v/>
      </c>
      <c r="AS113" s="188" t="str">
        <f>IF(ISERROR(getgrade(Broadsheet!T224,data!$H$4:$I$9)),"#",getgrade(Broadsheet!T224,data!$H$4:$I$9))</f>
        <v/>
      </c>
      <c r="AT113" s="188" t="str">
        <f>IF(ISERROR(getgrade(Broadsheet!U224,data!$H$4:$I$9)),"#",getgrade(Broadsheet!U224,data!$H$4:$I$9))</f>
        <v/>
      </c>
      <c r="AU113" s="188" t="str">
        <f>IF(ISERROR(getgrade(Broadsheet!V224,data!$H$4:$I$9)),"#",getgrade(Broadsheet!V224,data!$H$4:$I$9))</f>
        <v/>
      </c>
      <c r="AV113" s="188" t="str">
        <f>IF(ISERROR(getgrade(Broadsheet!W224,data!$H$4:$I$9)),"#",getgrade(Broadsheet!W224,data!$H$4:$I$9))</f>
        <v/>
      </c>
      <c r="AW113" s="188" t="str">
        <f>IF(ISERROR(getgrade(Broadsheet!X224,data!$H$4:$I$9)),"#",getgrade(Broadsheet!X224,data!$H$4:$I$9))</f>
        <v/>
      </c>
      <c r="AX113" s="188" t="str">
        <f>IF(ISERROR(getgrade(Broadsheet!Y224,data!$H$4:$I$9)),"#",getgrade(Broadsheet!Y224,data!$H$4:$I$9))</f>
        <v/>
      </c>
      <c r="AY113" s="188" t="str">
        <f>IF(ISERROR(getgrade(Broadsheet!Z224,data!$H$4:$I$9)),"#",getgrade(Broadsheet!Z224,data!$H$4:$I$9))</f>
        <v/>
      </c>
      <c r="AZ113" s="188" t="str">
        <f>IF(ISERROR(getgrade(Broadsheet!AA224,data!$H$4:$I$9)),"#",getgrade(Broadsheet!AA224,data!$H$4:$I$9))</f>
        <v/>
      </c>
      <c r="BA113" s="188" t="str">
        <f>IF(ISERROR(getgrade(Broadsheet!AB224,data!$H$4:$I$9)),"#",getgrade(Broadsheet!AB224,data!$H$4:$I$9))</f>
        <v/>
      </c>
      <c r="BB113" s="188" t="str">
        <f>IF(ISERROR(getgrade(Broadsheet!AC224,data!$H$4:$I$9)),"#",getgrade(Broadsheet!AC224,data!$H$4:$I$9))</f>
        <v/>
      </c>
      <c r="BC113" s="188" t="str">
        <f>IF(ISERROR(getgrade(Broadsheet!AD224,data!$H$4:$I$9)),"#",getgrade(Broadsheet!AD224,data!$H$4:$I$9))</f>
        <v/>
      </c>
      <c r="BD113" s="188" t="str">
        <f>IF(ISERROR(getgrade(Broadsheet!AE224,data!$H$4:$I$9)),"#",getgrade(Broadsheet!AE224,data!$H$4:$I$9))</f>
        <v/>
      </c>
      <c r="BE113" s="188" t="str">
        <f>IF(ISERROR(getgrade(Broadsheet!AF224,data!$H$4:$I$9)),"#",getgrade(Broadsheet!AF224,data!$H$4:$I$9))</f>
        <v/>
      </c>
      <c r="BF113" s="188" t="str">
        <f>IF(ISERROR(getgrade(Broadsheet!AG224,data!$H$4:$I$9)),"#",getgrade(Broadsheet!AG224,data!$H$4:$I$9))</f>
        <v/>
      </c>
      <c r="BG113" s="188" t="str">
        <f>IF(ISERROR(getgrade(Broadsheet!AH224,data!$H$4:$I$9)),"#",getgrade(Broadsheet!AH224,data!$H$4:$I$9))</f>
        <v/>
      </c>
      <c r="BH113" s="188" t="str">
        <f>IF(ISERROR(getgrade(Broadsheet!AI224,data!$H$4:$I$9)),"#",getgrade(Broadsheet!AI224,data!$H$4:$I$9))</f>
        <v/>
      </c>
      <c r="BI113" s="188" t="str">
        <f>IF(ISERROR(getgrade(Broadsheet!AJ224,data!$H$4:$I$9)),"#",getgrade(Broadsheet!AJ224,data!$H$4:$I$9))</f>
        <v/>
      </c>
      <c r="BJ113" s="188" t="str">
        <f>IF(ISERROR(getgrade(Broadsheet!AK224,data!$H$4:$I$9)),"#",getgrade(Broadsheet!AK224,data!$H$4:$I$9))</f>
        <v/>
      </c>
      <c r="BK113" s="188" t="str">
        <f>IF(ISERROR(getgrade(Broadsheet!AL224,data!$H$4:$I$9)),"#",getgrade(Broadsheet!AL224,data!$H$4:$I$9))</f>
        <v/>
      </c>
      <c r="BL113" s="188" t="str">
        <f>IF(ISERROR(getgrade(Broadsheet!AM224,data!$H$4:$I$9)),"#",getgrade(Broadsheet!AM224,data!$H$4:$I$9))</f>
        <v/>
      </c>
      <c r="BM113" s="188" t="str">
        <f>IF(ISERROR(getgrade(Broadsheet!AN224,data!$H$4:$I$9)),"#",getgrade(Broadsheet!AN224,data!$H$4:$I$9))</f>
        <v/>
      </c>
      <c r="BN113" s="188" t="str">
        <f>IF(ISERROR(getgrade(Broadsheet!AO224,data!$H$4:$I$9)),"#",getgrade(Broadsheet!AO224,data!$H$4:$I$9))</f>
        <v/>
      </c>
      <c r="BO113" s="188" t="str">
        <f>IF(ISERROR(getgrade(Broadsheet!AP224,data!$H$4:$I$9)),"#",getgrade(Broadsheet!AP224,data!$H$4:$I$9))</f>
        <v/>
      </c>
      <c r="BP113" s="188" t="str">
        <f>IF(ISERROR(getgrade(Broadsheet!AQ224,data!$H$4:$I$9)),"#",getgrade(Broadsheet!AQ224,data!$H$4:$I$9))</f>
        <v/>
      </c>
      <c r="BQ113" s="188" t="str">
        <f>IF(ISERROR(getgrade(Broadsheet!AR224,data!$H$4:$I$9)),"#",getgrade(Broadsheet!AR224,data!$H$4:$I$9))</f>
        <v/>
      </c>
      <c r="BR113" s="188" t="str">
        <f>IF(ISERROR(getgrade(Broadsheet!AS224,data!$H$4:$I$9)),"#",getgrade(Broadsheet!AS224,data!$H$4:$I$9))</f>
        <v/>
      </c>
      <c r="BS113" s="188" t="str">
        <f>IF(ISERROR(getgrade(Broadsheet!AT224,data!$H$4:$I$9)),"#",getgrade(Broadsheet!AT224,data!$H$4:$I$9))</f>
        <v/>
      </c>
      <c r="BT113" s="188" t="str">
        <f>IF(ISERROR(getgrade(Broadsheet!AU224,data!$H$4:$I$9)),"#",getgrade(Broadsheet!AU224,data!$H$4:$I$9))</f>
        <v/>
      </c>
      <c r="BU113" s="188" t="str">
        <f>IF(ISERROR(getgrade(Broadsheet!AV224,data!$H$4:$I$9)),"#",getgrade(Broadsheet!AV224,data!$H$4:$I$9))</f>
        <v/>
      </c>
      <c r="BV113" s="188" t="str">
        <f>IF(ISERROR(getgrade(Broadsheet!AW224,data!$H$4:$I$9)),"#",getgrade(Broadsheet!AW224,data!$H$4:$I$9))</f>
        <v/>
      </c>
      <c r="BW113" s="188" t="str">
        <f>IF(ISERROR(getgrade(Broadsheet!AX224,data!$H$4:$I$9)),"#",getgrade(Broadsheet!AX224,data!$H$4:$I$9))</f>
        <v/>
      </c>
      <c r="BX113" s="188" t="str">
        <f>IF(ISERROR(getgrade(Broadsheet!AY224,data!$H$4:$I$9)),"#",getgrade(Broadsheet!AY224,data!$H$4:$I$9))</f>
        <v/>
      </c>
      <c r="BY113" s="188" t="str">
        <f>IF(ISERROR(getgrade(Broadsheet!AZ224,data!$H$4:$I$9)),"#",getgrade(Broadsheet!AZ224,data!$H$4:$I$9))</f>
        <v/>
      </c>
      <c r="BZ113" s="188" t="str">
        <f>IF(ISERROR(getgrade(Broadsheet!BA224,data!$H$4:$I$9)),"#",getgrade(Broadsheet!BA224,data!$H$4:$I$9))</f>
        <v/>
      </c>
      <c r="CA113" s="188" t="str">
        <f>IF(ISERROR(getgrade(Broadsheet!BB224,data!$H$4:$I$9)),"#",getgrade(Broadsheet!BB224,data!$H$4:$I$9))</f>
        <v/>
      </c>
      <c r="CB113" s="188" t="str">
        <f>IF(ISERROR(getgrade(Broadsheet!BC224,data!$H$4:$I$9)),"#",getgrade(Broadsheet!BC224,data!$H$4:$I$9))</f>
        <v/>
      </c>
      <c r="CC113" s="188" t="str">
        <f>IF(ISERROR(getgrade(Broadsheet!BD224,data!$H$4:$I$9)),"#",getgrade(Broadsheet!BD224,data!$H$4:$I$9))</f>
        <v/>
      </c>
      <c r="CD113" s="188" t="str">
        <f>IF(ISERROR(getgrade(Broadsheet!BE224,data!$H$4:$I$9)),"#",getgrade(Broadsheet!BE224,data!$H$4:$I$9))</f>
        <v/>
      </c>
      <c r="CE113" s="188" t="str">
        <f>IF(ISERROR(getgrade(Broadsheet!BF224,data!$H$4:$I$9)),"#",getgrade(Broadsheet!BF224,data!$H$4:$I$9))</f>
        <v/>
      </c>
      <c r="CF113" s="188" t="str">
        <f>IF(ISERROR(getgrade(Broadsheet!BG224,data!$H$4:$I$9)),"#",getgrade(Broadsheet!BG224,data!$H$4:$I$9))</f>
        <v/>
      </c>
      <c r="CG113" s="188" t="str">
        <f>IF(ISERROR(getgrade(Broadsheet!BH224,data!$H$4:$I$9)),"#",getgrade(Broadsheet!BH224,data!$H$4:$I$9))</f>
        <v/>
      </c>
      <c r="CH113" s="188" t="str">
        <f>IF(ISERROR(getgrade(Broadsheet!BI224,data!$H$4:$I$9)),"#",getgrade(Broadsheet!BI224,data!$H$4:$I$9))</f>
        <v/>
      </c>
      <c r="CI113" s="188" t="str">
        <f>IF(ISERROR(getgrade(Broadsheet!BJ224,data!$H$4:$I$9)),"#",getgrade(Broadsheet!BJ224,data!$H$4:$I$9))</f>
        <v/>
      </c>
      <c r="CJ113" s="188"/>
      <c r="CK113" s="188"/>
      <c r="CL113" s="188"/>
      <c r="CM113" s="188"/>
      <c r="CN113" s="188"/>
      <c r="CO113" s="188"/>
      <c r="CP113" s="188"/>
      <c r="CQ113" s="188"/>
      <c r="CR113" s="188"/>
      <c r="CS113" s="188"/>
      <c r="CT113" s="188"/>
      <c r="CU113" s="188"/>
      <c r="CV113" s="188"/>
      <c r="CW113" s="188"/>
      <c r="CX113" s="188"/>
      <c r="CY113" s="188"/>
      <c r="CZ113" s="188"/>
      <c r="DA113" s="188"/>
      <c r="DB113" s="188"/>
      <c r="DC113" s="188"/>
      <c r="DD113" s="188"/>
      <c r="DE113" s="188"/>
      <c r="DF113" s="188"/>
      <c r="DG113" s="188"/>
      <c r="DH113" s="188"/>
      <c r="DI113" s="188"/>
      <c r="DJ113" s="188"/>
      <c r="DK113" s="188"/>
      <c r="DL113" s="188"/>
      <c r="DM113" s="188"/>
      <c r="DN113" s="188"/>
      <c r="DO113" s="188"/>
      <c r="DP113" s="188"/>
      <c r="DQ113" s="188"/>
      <c r="DR113" s="188"/>
      <c r="DS113" s="188"/>
      <c r="DT113" s="188"/>
      <c r="DU113" s="188"/>
      <c r="DV113" s="188"/>
      <c r="DW113" s="188"/>
      <c r="DX113" s="188"/>
      <c r="DY113" s="188"/>
      <c r="DZ113" s="188"/>
      <c r="EA113" s="188"/>
      <c r="EB113" s="188"/>
      <c r="EC113" s="188"/>
      <c r="ED113" s="188"/>
      <c r="EE113" s="188"/>
      <c r="EF113" s="188"/>
      <c r="EG113" s="188"/>
      <c r="EH113" s="188"/>
      <c r="EI113" s="188"/>
      <c r="EJ113" s="188"/>
      <c r="EK113" s="188"/>
      <c r="EL113" s="188"/>
      <c r="EM113" s="188"/>
      <c r="EN113" s="188"/>
      <c r="EO113" s="188"/>
      <c r="EP113" s="188"/>
      <c r="EQ113" s="188"/>
      <c r="ER113" s="188"/>
      <c r="ES113" s="188"/>
      <c r="ET113" s="188"/>
      <c r="EU113" s="188"/>
      <c r="EV113" s="188"/>
      <c r="EW113" s="188"/>
      <c r="EX113" s="188"/>
      <c r="EY113" s="188"/>
      <c r="EZ113" s="188"/>
    </row>
    <row r="114" spans="33:156" x14ac:dyDescent="0.2">
      <c r="AG114" s="188" t="str">
        <f>IF(ISERROR(getgrade(Broadsheet!H225,data!$H$4:$I$9)),"#",getgrade(Broadsheet!H225,data!$H$4:$I$9))</f>
        <v/>
      </c>
      <c r="AH114" s="188" t="str">
        <f>IF(ISERROR(getgrade(Broadsheet!I225,data!$H$4:$I$9)),"#",getgrade(Broadsheet!I225,data!$H$4:$I$9))</f>
        <v/>
      </c>
      <c r="AI114" s="188" t="str">
        <f>IF(ISERROR(getgrade(Broadsheet!J225,data!$H$4:$I$9)),"#",getgrade(Broadsheet!J225,data!$H$4:$I$9))</f>
        <v/>
      </c>
      <c r="AJ114" s="188" t="str">
        <f>IF(ISERROR(getgrade(Broadsheet!K225,data!$H$4:$I$9)),"#",getgrade(Broadsheet!K225,data!$H$4:$I$9))</f>
        <v/>
      </c>
      <c r="AK114" s="188" t="str">
        <f>IF(ISERROR(getgrade(Broadsheet!L225,data!$H$4:$I$9)),"#",getgrade(Broadsheet!L225,data!$H$4:$I$9))</f>
        <v/>
      </c>
      <c r="AL114" s="188" t="str">
        <f>IF(ISERROR(getgrade(Broadsheet!M225,data!$H$4:$I$9)),"#",getgrade(Broadsheet!M225,data!$H$4:$I$9))</f>
        <v/>
      </c>
      <c r="AM114" s="188" t="str">
        <f>IF(ISERROR(getgrade(Broadsheet!N225,data!$H$4:$I$9)),"#",getgrade(Broadsheet!N225,data!$H$4:$I$9))</f>
        <v/>
      </c>
      <c r="AN114" s="188" t="str">
        <f>IF(ISERROR(getgrade(Broadsheet!O225,data!$H$4:$I$9)),"#",getgrade(Broadsheet!O225,data!$H$4:$I$9))</f>
        <v/>
      </c>
      <c r="AO114" s="188" t="str">
        <f>IF(ISERROR(getgrade(Broadsheet!P225,data!$H$4:$I$9)),"#",getgrade(Broadsheet!P225,data!$H$4:$I$9))</f>
        <v/>
      </c>
      <c r="AP114" s="188" t="str">
        <f>IF(ISERROR(getgrade(Broadsheet!Q225,data!$H$4:$I$9)),"#",getgrade(Broadsheet!Q225,data!$H$4:$I$9))</f>
        <v/>
      </c>
      <c r="AQ114" s="188" t="str">
        <f>IF(ISERROR(getgrade(Broadsheet!R225,data!$H$4:$I$9)),"#",getgrade(Broadsheet!R225,data!$H$4:$I$9))</f>
        <v/>
      </c>
      <c r="AR114" s="188" t="str">
        <f>IF(ISERROR(getgrade(Broadsheet!S225,data!$H$4:$I$9)),"#",getgrade(Broadsheet!S225,data!$H$4:$I$9))</f>
        <v/>
      </c>
      <c r="AS114" s="188" t="str">
        <f>IF(ISERROR(getgrade(Broadsheet!T225,data!$H$4:$I$9)),"#",getgrade(Broadsheet!T225,data!$H$4:$I$9))</f>
        <v/>
      </c>
      <c r="AT114" s="188" t="str">
        <f>IF(ISERROR(getgrade(Broadsheet!U225,data!$H$4:$I$9)),"#",getgrade(Broadsheet!U225,data!$H$4:$I$9))</f>
        <v/>
      </c>
      <c r="AU114" s="188" t="str">
        <f>IF(ISERROR(getgrade(Broadsheet!V225,data!$H$4:$I$9)),"#",getgrade(Broadsheet!V225,data!$H$4:$I$9))</f>
        <v/>
      </c>
      <c r="AV114" s="188" t="str">
        <f>IF(ISERROR(getgrade(Broadsheet!W225,data!$H$4:$I$9)),"#",getgrade(Broadsheet!W225,data!$H$4:$I$9))</f>
        <v/>
      </c>
      <c r="AW114" s="188" t="str">
        <f>IF(ISERROR(getgrade(Broadsheet!X225,data!$H$4:$I$9)),"#",getgrade(Broadsheet!X225,data!$H$4:$I$9))</f>
        <v/>
      </c>
      <c r="AX114" s="188" t="str">
        <f>IF(ISERROR(getgrade(Broadsheet!Y225,data!$H$4:$I$9)),"#",getgrade(Broadsheet!Y225,data!$H$4:$I$9))</f>
        <v/>
      </c>
      <c r="AY114" s="188" t="str">
        <f>IF(ISERROR(getgrade(Broadsheet!Z225,data!$H$4:$I$9)),"#",getgrade(Broadsheet!Z225,data!$H$4:$I$9))</f>
        <v/>
      </c>
      <c r="AZ114" s="188" t="str">
        <f>IF(ISERROR(getgrade(Broadsheet!AA225,data!$H$4:$I$9)),"#",getgrade(Broadsheet!AA225,data!$H$4:$I$9))</f>
        <v/>
      </c>
      <c r="BA114" s="188" t="str">
        <f>IF(ISERROR(getgrade(Broadsheet!AB225,data!$H$4:$I$9)),"#",getgrade(Broadsheet!AB225,data!$H$4:$I$9))</f>
        <v/>
      </c>
      <c r="BB114" s="188" t="str">
        <f>IF(ISERROR(getgrade(Broadsheet!AC225,data!$H$4:$I$9)),"#",getgrade(Broadsheet!AC225,data!$H$4:$I$9))</f>
        <v/>
      </c>
      <c r="BC114" s="188" t="str">
        <f>IF(ISERROR(getgrade(Broadsheet!AD225,data!$H$4:$I$9)),"#",getgrade(Broadsheet!AD225,data!$H$4:$I$9))</f>
        <v/>
      </c>
      <c r="BD114" s="188" t="str">
        <f>IF(ISERROR(getgrade(Broadsheet!AE225,data!$H$4:$I$9)),"#",getgrade(Broadsheet!AE225,data!$H$4:$I$9))</f>
        <v/>
      </c>
      <c r="BE114" s="188" t="str">
        <f>IF(ISERROR(getgrade(Broadsheet!AF225,data!$H$4:$I$9)),"#",getgrade(Broadsheet!AF225,data!$H$4:$I$9))</f>
        <v/>
      </c>
      <c r="BF114" s="188" t="str">
        <f>IF(ISERROR(getgrade(Broadsheet!AG225,data!$H$4:$I$9)),"#",getgrade(Broadsheet!AG225,data!$H$4:$I$9))</f>
        <v/>
      </c>
      <c r="BG114" s="188" t="str">
        <f>IF(ISERROR(getgrade(Broadsheet!AH225,data!$H$4:$I$9)),"#",getgrade(Broadsheet!AH225,data!$H$4:$I$9))</f>
        <v/>
      </c>
      <c r="BH114" s="188" t="str">
        <f>IF(ISERROR(getgrade(Broadsheet!AI225,data!$H$4:$I$9)),"#",getgrade(Broadsheet!AI225,data!$H$4:$I$9))</f>
        <v/>
      </c>
      <c r="BI114" s="188" t="str">
        <f>IF(ISERROR(getgrade(Broadsheet!AJ225,data!$H$4:$I$9)),"#",getgrade(Broadsheet!AJ225,data!$H$4:$I$9))</f>
        <v/>
      </c>
      <c r="BJ114" s="188" t="str">
        <f>IF(ISERROR(getgrade(Broadsheet!AK225,data!$H$4:$I$9)),"#",getgrade(Broadsheet!AK225,data!$H$4:$I$9))</f>
        <v/>
      </c>
      <c r="BK114" s="188" t="str">
        <f>IF(ISERROR(getgrade(Broadsheet!AL225,data!$H$4:$I$9)),"#",getgrade(Broadsheet!AL225,data!$H$4:$I$9))</f>
        <v/>
      </c>
      <c r="BL114" s="188" t="str">
        <f>IF(ISERROR(getgrade(Broadsheet!AM225,data!$H$4:$I$9)),"#",getgrade(Broadsheet!AM225,data!$H$4:$I$9))</f>
        <v/>
      </c>
      <c r="BM114" s="188" t="str">
        <f>IF(ISERROR(getgrade(Broadsheet!AN225,data!$H$4:$I$9)),"#",getgrade(Broadsheet!AN225,data!$H$4:$I$9))</f>
        <v/>
      </c>
      <c r="BN114" s="188" t="str">
        <f>IF(ISERROR(getgrade(Broadsheet!AO225,data!$H$4:$I$9)),"#",getgrade(Broadsheet!AO225,data!$H$4:$I$9))</f>
        <v/>
      </c>
      <c r="BO114" s="188" t="str">
        <f>IF(ISERROR(getgrade(Broadsheet!AP225,data!$H$4:$I$9)),"#",getgrade(Broadsheet!AP225,data!$H$4:$I$9))</f>
        <v/>
      </c>
      <c r="BP114" s="188" t="str">
        <f>IF(ISERROR(getgrade(Broadsheet!AQ225,data!$H$4:$I$9)),"#",getgrade(Broadsheet!AQ225,data!$H$4:$I$9))</f>
        <v/>
      </c>
      <c r="BQ114" s="188" t="str">
        <f>IF(ISERROR(getgrade(Broadsheet!AR225,data!$H$4:$I$9)),"#",getgrade(Broadsheet!AR225,data!$H$4:$I$9))</f>
        <v/>
      </c>
      <c r="BR114" s="188" t="str">
        <f>IF(ISERROR(getgrade(Broadsheet!AS225,data!$H$4:$I$9)),"#",getgrade(Broadsheet!AS225,data!$H$4:$I$9))</f>
        <v/>
      </c>
      <c r="BS114" s="188" t="str">
        <f>IF(ISERROR(getgrade(Broadsheet!AT225,data!$H$4:$I$9)),"#",getgrade(Broadsheet!AT225,data!$H$4:$I$9))</f>
        <v/>
      </c>
      <c r="BT114" s="188" t="str">
        <f>IF(ISERROR(getgrade(Broadsheet!AU225,data!$H$4:$I$9)),"#",getgrade(Broadsheet!AU225,data!$H$4:$I$9))</f>
        <v/>
      </c>
      <c r="BU114" s="188" t="str">
        <f>IF(ISERROR(getgrade(Broadsheet!AV225,data!$H$4:$I$9)),"#",getgrade(Broadsheet!AV225,data!$H$4:$I$9))</f>
        <v/>
      </c>
      <c r="BV114" s="188" t="str">
        <f>IF(ISERROR(getgrade(Broadsheet!AW225,data!$H$4:$I$9)),"#",getgrade(Broadsheet!AW225,data!$H$4:$I$9))</f>
        <v/>
      </c>
      <c r="BW114" s="188" t="str">
        <f>IF(ISERROR(getgrade(Broadsheet!AX225,data!$H$4:$I$9)),"#",getgrade(Broadsheet!AX225,data!$H$4:$I$9))</f>
        <v/>
      </c>
      <c r="BX114" s="188" t="str">
        <f>IF(ISERROR(getgrade(Broadsheet!AY225,data!$H$4:$I$9)),"#",getgrade(Broadsheet!AY225,data!$H$4:$I$9))</f>
        <v/>
      </c>
      <c r="BY114" s="188" t="str">
        <f>IF(ISERROR(getgrade(Broadsheet!AZ225,data!$H$4:$I$9)),"#",getgrade(Broadsheet!AZ225,data!$H$4:$I$9))</f>
        <v/>
      </c>
      <c r="BZ114" s="188" t="str">
        <f>IF(ISERROR(getgrade(Broadsheet!BA225,data!$H$4:$I$9)),"#",getgrade(Broadsheet!BA225,data!$H$4:$I$9))</f>
        <v/>
      </c>
      <c r="CA114" s="188" t="str">
        <f>IF(ISERROR(getgrade(Broadsheet!BB225,data!$H$4:$I$9)),"#",getgrade(Broadsheet!BB225,data!$H$4:$I$9))</f>
        <v/>
      </c>
      <c r="CB114" s="188" t="str">
        <f>IF(ISERROR(getgrade(Broadsheet!BC225,data!$H$4:$I$9)),"#",getgrade(Broadsheet!BC225,data!$H$4:$I$9))</f>
        <v/>
      </c>
      <c r="CC114" s="188" t="str">
        <f>IF(ISERROR(getgrade(Broadsheet!BD225,data!$H$4:$I$9)),"#",getgrade(Broadsheet!BD225,data!$H$4:$I$9))</f>
        <v/>
      </c>
      <c r="CD114" s="188" t="str">
        <f>IF(ISERROR(getgrade(Broadsheet!BE225,data!$H$4:$I$9)),"#",getgrade(Broadsheet!BE225,data!$H$4:$I$9))</f>
        <v/>
      </c>
      <c r="CE114" s="188" t="str">
        <f>IF(ISERROR(getgrade(Broadsheet!BF225,data!$H$4:$I$9)),"#",getgrade(Broadsheet!BF225,data!$H$4:$I$9))</f>
        <v/>
      </c>
      <c r="CF114" s="188" t="str">
        <f>IF(ISERROR(getgrade(Broadsheet!BG225,data!$H$4:$I$9)),"#",getgrade(Broadsheet!BG225,data!$H$4:$I$9))</f>
        <v/>
      </c>
      <c r="CG114" s="188" t="str">
        <f>IF(ISERROR(getgrade(Broadsheet!BH225,data!$H$4:$I$9)),"#",getgrade(Broadsheet!BH225,data!$H$4:$I$9))</f>
        <v/>
      </c>
      <c r="CH114" s="188" t="str">
        <f>IF(ISERROR(getgrade(Broadsheet!BI225,data!$H$4:$I$9)),"#",getgrade(Broadsheet!BI225,data!$H$4:$I$9))</f>
        <v/>
      </c>
      <c r="CI114" s="188" t="str">
        <f>IF(ISERROR(getgrade(Broadsheet!BJ225,data!$H$4:$I$9)),"#",getgrade(Broadsheet!BJ225,data!$H$4:$I$9))</f>
        <v/>
      </c>
      <c r="CJ114" s="188"/>
      <c r="CK114" s="188"/>
      <c r="CL114" s="188"/>
      <c r="CM114" s="188"/>
      <c r="CN114" s="188"/>
      <c r="CO114" s="188"/>
      <c r="CP114" s="188"/>
      <c r="CQ114" s="188"/>
      <c r="CR114" s="188"/>
      <c r="CS114" s="188"/>
      <c r="CT114" s="188"/>
      <c r="CU114" s="188"/>
      <c r="CV114" s="188"/>
      <c r="CW114" s="188"/>
      <c r="CX114" s="188"/>
      <c r="CY114" s="188"/>
      <c r="CZ114" s="188"/>
      <c r="DA114" s="188"/>
      <c r="DB114" s="188"/>
      <c r="DC114" s="188"/>
      <c r="DD114" s="188"/>
      <c r="DE114" s="188"/>
      <c r="DF114" s="188"/>
      <c r="DG114" s="188"/>
      <c r="DH114" s="188"/>
      <c r="DI114" s="188"/>
      <c r="DJ114" s="188"/>
      <c r="DK114" s="188"/>
      <c r="DL114" s="188"/>
      <c r="DM114" s="188"/>
      <c r="DN114" s="188"/>
      <c r="DO114" s="188"/>
      <c r="DP114" s="188"/>
      <c r="DQ114" s="188"/>
      <c r="DR114" s="188"/>
      <c r="DS114" s="188"/>
      <c r="DT114" s="188"/>
      <c r="DU114" s="188"/>
      <c r="DV114" s="188"/>
      <c r="DW114" s="188"/>
      <c r="DX114" s="188"/>
      <c r="DY114" s="188"/>
      <c r="DZ114" s="188"/>
      <c r="EA114" s="188"/>
      <c r="EB114" s="188"/>
      <c r="EC114" s="188"/>
      <c r="ED114" s="188"/>
      <c r="EE114" s="188"/>
      <c r="EF114" s="188"/>
      <c r="EG114" s="188"/>
      <c r="EH114" s="188"/>
      <c r="EI114" s="188"/>
      <c r="EJ114" s="188"/>
      <c r="EK114" s="188"/>
      <c r="EL114" s="188"/>
      <c r="EM114" s="188"/>
      <c r="EN114" s="188"/>
      <c r="EO114" s="188"/>
      <c r="EP114" s="188"/>
      <c r="EQ114" s="188"/>
      <c r="ER114" s="188"/>
      <c r="ES114" s="188"/>
      <c r="ET114" s="188"/>
      <c r="EU114" s="188"/>
      <c r="EV114" s="188"/>
      <c r="EW114" s="188"/>
      <c r="EX114" s="188"/>
      <c r="EY114" s="188"/>
      <c r="EZ114" s="188"/>
    </row>
    <row r="115" spans="33:156" x14ac:dyDescent="0.2">
      <c r="AG115" s="188" t="str">
        <f>IF(ISERROR(getgrade(Broadsheet!H226,data!$H$4:$I$9)),"#",getgrade(Broadsheet!H226,data!$H$4:$I$9))</f>
        <v/>
      </c>
      <c r="AH115" s="188" t="str">
        <f>IF(ISERROR(getgrade(Broadsheet!I226,data!$H$4:$I$9)),"#",getgrade(Broadsheet!I226,data!$H$4:$I$9))</f>
        <v/>
      </c>
      <c r="AI115" s="188" t="str">
        <f>IF(ISERROR(getgrade(Broadsheet!J226,data!$H$4:$I$9)),"#",getgrade(Broadsheet!J226,data!$H$4:$I$9))</f>
        <v/>
      </c>
      <c r="AJ115" s="188" t="str">
        <f>IF(ISERROR(getgrade(Broadsheet!K226,data!$H$4:$I$9)),"#",getgrade(Broadsheet!K226,data!$H$4:$I$9))</f>
        <v/>
      </c>
      <c r="AK115" s="188" t="str">
        <f>IF(ISERROR(getgrade(Broadsheet!L226,data!$H$4:$I$9)),"#",getgrade(Broadsheet!L226,data!$H$4:$I$9))</f>
        <v/>
      </c>
      <c r="AL115" s="188" t="str">
        <f>IF(ISERROR(getgrade(Broadsheet!M226,data!$H$4:$I$9)),"#",getgrade(Broadsheet!M226,data!$H$4:$I$9))</f>
        <v/>
      </c>
      <c r="AM115" s="188" t="str">
        <f>IF(ISERROR(getgrade(Broadsheet!N226,data!$H$4:$I$9)),"#",getgrade(Broadsheet!N226,data!$H$4:$I$9))</f>
        <v/>
      </c>
      <c r="AN115" s="188" t="str">
        <f>IF(ISERROR(getgrade(Broadsheet!O226,data!$H$4:$I$9)),"#",getgrade(Broadsheet!O226,data!$H$4:$I$9))</f>
        <v/>
      </c>
      <c r="AO115" s="188" t="str">
        <f>IF(ISERROR(getgrade(Broadsheet!P226,data!$H$4:$I$9)),"#",getgrade(Broadsheet!P226,data!$H$4:$I$9))</f>
        <v/>
      </c>
      <c r="AP115" s="188" t="str">
        <f>IF(ISERROR(getgrade(Broadsheet!Q226,data!$H$4:$I$9)),"#",getgrade(Broadsheet!Q226,data!$H$4:$I$9))</f>
        <v/>
      </c>
      <c r="AQ115" s="188" t="str">
        <f>IF(ISERROR(getgrade(Broadsheet!R226,data!$H$4:$I$9)),"#",getgrade(Broadsheet!R226,data!$H$4:$I$9))</f>
        <v/>
      </c>
      <c r="AR115" s="188" t="str">
        <f>IF(ISERROR(getgrade(Broadsheet!S226,data!$H$4:$I$9)),"#",getgrade(Broadsheet!S226,data!$H$4:$I$9))</f>
        <v/>
      </c>
      <c r="AS115" s="188" t="str">
        <f>IF(ISERROR(getgrade(Broadsheet!T226,data!$H$4:$I$9)),"#",getgrade(Broadsheet!T226,data!$H$4:$I$9))</f>
        <v/>
      </c>
      <c r="AT115" s="188" t="str">
        <f>IF(ISERROR(getgrade(Broadsheet!U226,data!$H$4:$I$9)),"#",getgrade(Broadsheet!U226,data!$H$4:$I$9))</f>
        <v/>
      </c>
      <c r="AU115" s="188" t="str">
        <f>IF(ISERROR(getgrade(Broadsheet!V226,data!$H$4:$I$9)),"#",getgrade(Broadsheet!V226,data!$H$4:$I$9))</f>
        <v/>
      </c>
      <c r="AV115" s="188" t="str">
        <f>IF(ISERROR(getgrade(Broadsheet!W226,data!$H$4:$I$9)),"#",getgrade(Broadsheet!W226,data!$H$4:$I$9))</f>
        <v/>
      </c>
      <c r="AW115" s="188" t="str">
        <f>IF(ISERROR(getgrade(Broadsheet!X226,data!$H$4:$I$9)),"#",getgrade(Broadsheet!X226,data!$H$4:$I$9))</f>
        <v/>
      </c>
      <c r="AX115" s="188" t="str">
        <f>IF(ISERROR(getgrade(Broadsheet!Y226,data!$H$4:$I$9)),"#",getgrade(Broadsheet!Y226,data!$H$4:$I$9))</f>
        <v/>
      </c>
      <c r="AY115" s="188" t="str">
        <f>IF(ISERROR(getgrade(Broadsheet!Z226,data!$H$4:$I$9)),"#",getgrade(Broadsheet!Z226,data!$H$4:$I$9))</f>
        <v/>
      </c>
      <c r="AZ115" s="188" t="str">
        <f>IF(ISERROR(getgrade(Broadsheet!AA226,data!$H$4:$I$9)),"#",getgrade(Broadsheet!AA226,data!$H$4:$I$9))</f>
        <v/>
      </c>
      <c r="BA115" s="188" t="str">
        <f>IF(ISERROR(getgrade(Broadsheet!AB226,data!$H$4:$I$9)),"#",getgrade(Broadsheet!AB226,data!$H$4:$I$9))</f>
        <v/>
      </c>
      <c r="BB115" s="188" t="str">
        <f>IF(ISERROR(getgrade(Broadsheet!AC226,data!$H$4:$I$9)),"#",getgrade(Broadsheet!AC226,data!$H$4:$I$9))</f>
        <v/>
      </c>
      <c r="BC115" s="188" t="str">
        <f>IF(ISERROR(getgrade(Broadsheet!AD226,data!$H$4:$I$9)),"#",getgrade(Broadsheet!AD226,data!$H$4:$I$9))</f>
        <v/>
      </c>
      <c r="BD115" s="188" t="str">
        <f>IF(ISERROR(getgrade(Broadsheet!AE226,data!$H$4:$I$9)),"#",getgrade(Broadsheet!AE226,data!$H$4:$I$9))</f>
        <v/>
      </c>
      <c r="BE115" s="188" t="str">
        <f>IF(ISERROR(getgrade(Broadsheet!AF226,data!$H$4:$I$9)),"#",getgrade(Broadsheet!AF226,data!$H$4:$I$9))</f>
        <v/>
      </c>
      <c r="BF115" s="188" t="str">
        <f>IF(ISERROR(getgrade(Broadsheet!AG226,data!$H$4:$I$9)),"#",getgrade(Broadsheet!AG226,data!$H$4:$I$9))</f>
        <v/>
      </c>
      <c r="BG115" s="188" t="str">
        <f>IF(ISERROR(getgrade(Broadsheet!AH226,data!$H$4:$I$9)),"#",getgrade(Broadsheet!AH226,data!$H$4:$I$9))</f>
        <v/>
      </c>
      <c r="BH115" s="188" t="str">
        <f>IF(ISERROR(getgrade(Broadsheet!AI226,data!$H$4:$I$9)),"#",getgrade(Broadsheet!AI226,data!$H$4:$I$9))</f>
        <v/>
      </c>
      <c r="BI115" s="188" t="str">
        <f>IF(ISERROR(getgrade(Broadsheet!AJ226,data!$H$4:$I$9)),"#",getgrade(Broadsheet!AJ226,data!$H$4:$I$9))</f>
        <v/>
      </c>
      <c r="BJ115" s="188" t="str">
        <f>IF(ISERROR(getgrade(Broadsheet!AK226,data!$H$4:$I$9)),"#",getgrade(Broadsheet!AK226,data!$H$4:$I$9))</f>
        <v/>
      </c>
      <c r="BK115" s="188" t="str">
        <f>IF(ISERROR(getgrade(Broadsheet!AL226,data!$H$4:$I$9)),"#",getgrade(Broadsheet!AL226,data!$H$4:$I$9))</f>
        <v/>
      </c>
      <c r="BL115" s="188" t="str">
        <f>IF(ISERROR(getgrade(Broadsheet!AM226,data!$H$4:$I$9)),"#",getgrade(Broadsheet!AM226,data!$H$4:$I$9))</f>
        <v/>
      </c>
      <c r="BM115" s="188" t="str">
        <f>IF(ISERROR(getgrade(Broadsheet!AN226,data!$H$4:$I$9)),"#",getgrade(Broadsheet!AN226,data!$H$4:$I$9))</f>
        <v/>
      </c>
      <c r="BN115" s="188" t="str">
        <f>IF(ISERROR(getgrade(Broadsheet!AO226,data!$H$4:$I$9)),"#",getgrade(Broadsheet!AO226,data!$H$4:$I$9))</f>
        <v/>
      </c>
      <c r="BO115" s="188" t="str">
        <f>IF(ISERROR(getgrade(Broadsheet!AP226,data!$H$4:$I$9)),"#",getgrade(Broadsheet!AP226,data!$H$4:$I$9))</f>
        <v/>
      </c>
      <c r="BP115" s="188" t="str">
        <f>IF(ISERROR(getgrade(Broadsheet!AQ226,data!$H$4:$I$9)),"#",getgrade(Broadsheet!AQ226,data!$H$4:$I$9))</f>
        <v/>
      </c>
      <c r="BQ115" s="188" t="str">
        <f>IF(ISERROR(getgrade(Broadsheet!AR226,data!$H$4:$I$9)),"#",getgrade(Broadsheet!AR226,data!$H$4:$I$9))</f>
        <v/>
      </c>
      <c r="BR115" s="188" t="str">
        <f>IF(ISERROR(getgrade(Broadsheet!AS226,data!$H$4:$I$9)),"#",getgrade(Broadsheet!AS226,data!$H$4:$I$9))</f>
        <v/>
      </c>
      <c r="BS115" s="188" t="str">
        <f>IF(ISERROR(getgrade(Broadsheet!AT226,data!$H$4:$I$9)),"#",getgrade(Broadsheet!AT226,data!$H$4:$I$9))</f>
        <v/>
      </c>
      <c r="BT115" s="188" t="str">
        <f>IF(ISERROR(getgrade(Broadsheet!AU226,data!$H$4:$I$9)),"#",getgrade(Broadsheet!AU226,data!$H$4:$I$9))</f>
        <v/>
      </c>
      <c r="BU115" s="188" t="str">
        <f>IF(ISERROR(getgrade(Broadsheet!AV226,data!$H$4:$I$9)),"#",getgrade(Broadsheet!AV226,data!$H$4:$I$9))</f>
        <v/>
      </c>
      <c r="BV115" s="188" t="str">
        <f>IF(ISERROR(getgrade(Broadsheet!AW226,data!$H$4:$I$9)),"#",getgrade(Broadsheet!AW226,data!$H$4:$I$9))</f>
        <v/>
      </c>
      <c r="BW115" s="188" t="str">
        <f>IF(ISERROR(getgrade(Broadsheet!AX226,data!$H$4:$I$9)),"#",getgrade(Broadsheet!AX226,data!$H$4:$I$9))</f>
        <v/>
      </c>
      <c r="BX115" s="188" t="str">
        <f>IF(ISERROR(getgrade(Broadsheet!AY226,data!$H$4:$I$9)),"#",getgrade(Broadsheet!AY226,data!$H$4:$I$9))</f>
        <v/>
      </c>
      <c r="BY115" s="188" t="str">
        <f>IF(ISERROR(getgrade(Broadsheet!AZ226,data!$H$4:$I$9)),"#",getgrade(Broadsheet!AZ226,data!$H$4:$I$9))</f>
        <v/>
      </c>
      <c r="BZ115" s="188" t="str">
        <f>IF(ISERROR(getgrade(Broadsheet!BA226,data!$H$4:$I$9)),"#",getgrade(Broadsheet!BA226,data!$H$4:$I$9))</f>
        <v/>
      </c>
      <c r="CA115" s="188" t="str">
        <f>IF(ISERROR(getgrade(Broadsheet!BB226,data!$H$4:$I$9)),"#",getgrade(Broadsheet!BB226,data!$H$4:$I$9))</f>
        <v/>
      </c>
      <c r="CB115" s="188" t="str">
        <f>IF(ISERROR(getgrade(Broadsheet!BC226,data!$H$4:$I$9)),"#",getgrade(Broadsheet!BC226,data!$H$4:$I$9))</f>
        <v/>
      </c>
      <c r="CC115" s="188" t="str">
        <f>IF(ISERROR(getgrade(Broadsheet!BD226,data!$H$4:$I$9)),"#",getgrade(Broadsheet!BD226,data!$H$4:$I$9))</f>
        <v/>
      </c>
      <c r="CD115" s="188" t="str">
        <f>IF(ISERROR(getgrade(Broadsheet!BE226,data!$H$4:$I$9)),"#",getgrade(Broadsheet!BE226,data!$H$4:$I$9))</f>
        <v/>
      </c>
      <c r="CE115" s="188" t="str">
        <f>IF(ISERROR(getgrade(Broadsheet!BF226,data!$H$4:$I$9)),"#",getgrade(Broadsheet!BF226,data!$H$4:$I$9))</f>
        <v/>
      </c>
      <c r="CF115" s="188" t="str">
        <f>IF(ISERROR(getgrade(Broadsheet!BG226,data!$H$4:$I$9)),"#",getgrade(Broadsheet!BG226,data!$H$4:$I$9))</f>
        <v/>
      </c>
      <c r="CG115" s="188" t="str">
        <f>IF(ISERROR(getgrade(Broadsheet!BH226,data!$H$4:$I$9)),"#",getgrade(Broadsheet!BH226,data!$H$4:$I$9))</f>
        <v/>
      </c>
      <c r="CH115" s="188" t="str">
        <f>IF(ISERROR(getgrade(Broadsheet!BI226,data!$H$4:$I$9)),"#",getgrade(Broadsheet!BI226,data!$H$4:$I$9))</f>
        <v/>
      </c>
      <c r="CI115" s="188" t="str">
        <f>IF(ISERROR(getgrade(Broadsheet!BJ226,data!$H$4:$I$9)),"#",getgrade(Broadsheet!BJ226,data!$H$4:$I$9))</f>
        <v/>
      </c>
      <c r="CJ115" s="188"/>
      <c r="CK115" s="188"/>
      <c r="CL115" s="188"/>
      <c r="CM115" s="188"/>
      <c r="CN115" s="188"/>
      <c r="CO115" s="188"/>
      <c r="CP115" s="188"/>
      <c r="CQ115" s="188"/>
      <c r="CR115" s="188"/>
      <c r="CS115" s="188"/>
      <c r="CT115" s="188"/>
      <c r="CU115" s="188"/>
      <c r="CV115" s="188"/>
      <c r="CW115" s="188"/>
      <c r="CX115" s="188"/>
      <c r="CY115" s="188"/>
      <c r="CZ115" s="188"/>
      <c r="DA115" s="188"/>
      <c r="DB115" s="188"/>
      <c r="DC115" s="188"/>
      <c r="DD115" s="188"/>
      <c r="DE115" s="188"/>
      <c r="DF115" s="188"/>
      <c r="DG115" s="188"/>
      <c r="DH115" s="188"/>
      <c r="DI115" s="188"/>
      <c r="DJ115" s="188"/>
      <c r="DK115" s="188"/>
      <c r="DL115" s="188"/>
      <c r="DM115" s="188"/>
      <c r="DN115" s="188"/>
      <c r="DO115" s="188"/>
      <c r="DP115" s="188"/>
      <c r="DQ115" s="188"/>
      <c r="DR115" s="188"/>
      <c r="DS115" s="188"/>
      <c r="DT115" s="188"/>
      <c r="DU115" s="188"/>
      <c r="DV115" s="188"/>
      <c r="DW115" s="188"/>
      <c r="DX115" s="188"/>
      <c r="DY115" s="188"/>
      <c r="DZ115" s="188"/>
      <c r="EA115" s="188"/>
      <c r="EB115" s="188"/>
      <c r="EC115" s="188"/>
      <c r="ED115" s="188"/>
      <c r="EE115" s="188"/>
      <c r="EF115" s="188"/>
      <c r="EG115" s="188"/>
      <c r="EH115" s="188"/>
      <c r="EI115" s="188"/>
      <c r="EJ115" s="188"/>
      <c r="EK115" s="188"/>
      <c r="EL115" s="188"/>
      <c r="EM115" s="188"/>
      <c r="EN115" s="188"/>
      <c r="EO115" s="188"/>
      <c r="EP115" s="188"/>
      <c r="EQ115" s="188"/>
      <c r="ER115" s="188"/>
      <c r="ES115" s="188"/>
      <c r="ET115" s="188"/>
      <c r="EU115" s="188"/>
      <c r="EV115" s="188"/>
      <c r="EW115" s="188"/>
      <c r="EX115" s="188"/>
      <c r="EY115" s="188"/>
      <c r="EZ115" s="188"/>
    </row>
    <row r="116" spans="33:156" x14ac:dyDescent="0.2">
      <c r="AG116" s="188" t="str">
        <f>IF(ISERROR(getgrade(Broadsheet!H227,data!$H$4:$I$9)),"#",getgrade(Broadsheet!H227,data!$H$4:$I$9))</f>
        <v/>
      </c>
      <c r="AH116" s="188" t="str">
        <f>IF(ISERROR(getgrade(Broadsheet!I227,data!$H$4:$I$9)),"#",getgrade(Broadsheet!I227,data!$H$4:$I$9))</f>
        <v/>
      </c>
      <c r="AI116" s="188" t="str">
        <f>IF(ISERROR(getgrade(Broadsheet!J227,data!$H$4:$I$9)),"#",getgrade(Broadsheet!J227,data!$H$4:$I$9))</f>
        <v/>
      </c>
      <c r="AJ116" s="188" t="str">
        <f>IF(ISERROR(getgrade(Broadsheet!K227,data!$H$4:$I$9)),"#",getgrade(Broadsheet!K227,data!$H$4:$I$9))</f>
        <v/>
      </c>
      <c r="AK116" s="188" t="str">
        <f>IF(ISERROR(getgrade(Broadsheet!L227,data!$H$4:$I$9)),"#",getgrade(Broadsheet!L227,data!$H$4:$I$9))</f>
        <v/>
      </c>
      <c r="AL116" s="188" t="str">
        <f>IF(ISERROR(getgrade(Broadsheet!M227,data!$H$4:$I$9)),"#",getgrade(Broadsheet!M227,data!$H$4:$I$9))</f>
        <v/>
      </c>
      <c r="AM116" s="188" t="str">
        <f>IF(ISERROR(getgrade(Broadsheet!N227,data!$H$4:$I$9)),"#",getgrade(Broadsheet!N227,data!$H$4:$I$9))</f>
        <v/>
      </c>
      <c r="AN116" s="188" t="str">
        <f>IF(ISERROR(getgrade(Broadsheet!O227,data!$H$4:$I$9)),"#",getgrade(Broadsheet!O227,data!$H$4:$I$9))</f>
        <v/>
      </c>
      <c r="AO116" s="188" t="str">
        <f>IF(ISERROR(getgrade(Broadsheet!P227,data!$H$4:$I$9)),"#",getgrade(Broadsheet!P227,data!$H$4:$I$9))</f>
        <v/>
      </c>
      <c r="AP116" s="188" t="str">
        <f>IF(ISERROR(getgrade(Broadsheet!Q227,data!$H$4:$I$9)),"#",getgrade(Broadsheet!Q227,data!$H$4:$I$9))</f>
        <v/>
      </c>
      <c r="AQ116" s="188" t="str">
        <f>IF(ISERROR(getgrade(Broadsheet!R227,data!$H$4:$I$9)),"#",getgrade(Broadsheet!R227,data!$H$4:$I$9))</f>
        <v/>
      </c>
      <c r="AR116" s="188" t="str">
        <f>IF(ISERROR(getgrade(Broadsheet!S227,data!$H$4:$I$9)),"#",getgrade(Broadsheet!S227,data!$H$4:$I$9))</f>
        <v/>
      </c>
      <c r="AS116" s="188" t="str">
        <f>IF(ISERROR(getgrade(Broadsheet!T227,data!$H$4:$I$9)),"#",getgrade(Broadsheet!T227,data!$H$4:$I$9))</f>
        <v/>
      </c>
      <c r="AT116" s="188" t="str">
        <f>IF(ISERROR(getgrade(Broadsheet!U227,data!$H$4:$I$9)),"#",getgrade(Broadsheet!U227,data!$H$4:$I$9))</f>
        <v/>
      </c>
      <c r="AU116" s="188" t="str">
        <f>IF(ISERROR(getgrade(Broadsheet!V227,data!$H$4:$I$9)),"#",getgrade(Broadsheet!V227,data!$H$4:$I$9))</f>
        <v/>
      </c>
      <c r="AV116" s="188" t="str">
        <f>IF(ISERROR(getgrade(Broadsheet!W227,data!$H$4:$I$9)),"#",getgrade(Broadsheet!W227,data!$H$4:$I$9))</f>
        <v/>
      </c>
      <c r="AW116" s="188" t="str">
        <f>IF(ISERROR(getgrade(Broadsheet!X227,data!$H$4:$I$9)),"#",getgrade(Broadsheet!X227,data!$H$4:$I$9))</f>
        <v/>
      </c>
      <c r="AX116" s="188" t="str">
        <f>IF(ISERROR(getgrade(Broadsheet!Y227,data!$H$4:$I$9)),"#",getgrade(Broadsheet!Y227,data!$H$4:$I$9))</f>
        <v/>
      </c>
      <c r="AY116" s="188" t="str">
        <f>IF(ISERROR(getgrade(Broadsheet!Z227,data!$H$4:$I$9)),"#",getgrade(Broadsheet!Z227,data!$H$4:$I$9))</f>
        <v/>
      </c>
      <c r="AZ116" s="188" t="str">
        <f>IF(ISERROR(getgrade(Broadsheet!AA227,data!$H$4:$I$9)),"#",getgrade(Broadsheet!AA227,data!$H$4:$I$9))</f>
        <v/>
      </c>
      <c r="BA116" s="188" t="str">
        <f>IF(ISERROR(getgrade(Broadsheet!AB227,data!$H$4:$I$9)),"#",getgrade(Broadsheet!AB227,data!$H$4:$I$9))</f>
        <v/>
      </c>
      <c r="BB116" s="188" t="str">
        <f>IF(ISERROR(getgrade(Broadsheet!AC227,data!$H$4:$I$9)),"#",getgrade(Broadsheet!AC227,data!$H$4:$I$9))</f>
        <v/>
      </c>
      <c r="BC116" s="188" t="str">
        <f>IF(ISERROR(getgrade(Broadsheet!AD227,data!$H$4:$I$9)),"#",getgrade(Broadsheet!AD227,data!$H$4:$I$9))</f>
        <v/>
      </c>
      <c r="BD116" s="188" t="str">
        <f>IF(ISERROR(getgrade(Broadsheet!AE227,data!$H$4:$I$9)),"#",getgrade(Broadsheet!AE227,data!$H$4:$I$9))</f>
        <v/>
      </c>
      <c r="BE116" s="188" t="str">
        <f>IF(ISERROR(getgrade(Broadsheet!AF227,data!$H$4:$I$9)),"#",getgrade(Broadsheet!AF227,data!$H$4:$I$9))</f>
        <v/>
      </c>
      <c r="BF116" s="188" t="str">
        <f>IF(ISERROR(getgrade(Broadsheet!AG227,data!$H$4:$I$9)),"#",getgrade(Broadsheet!AG227,data!$H$4:$I$9))</f>
        <v/>
      </c>
      <c r="BG116" s="188" t="str">
        <f>IF(ISERROR(getgrade(Broadsheet!AH227,data!$H$4:$I$9)),"#",getgrade(Broadsheet!AH227,data!$H$4:$I$9))</f>
        <v/>
      </c>
      <c r="BH116" s="188" t="str">
        <f>IF(ISERROR(getgrade(Broadsheet!AI227,data!$H$4:$I$9)),"#",getgrade(Broadsheet!AI227,data!$H$4:$I$9))</f>
        <v/>
      </c>
      <c r="BI116" s="188" t="str">
        <f>IF(ISERROR(getgrade(Broadsheet!AJ227,data!$H$4:$I$9)),"#",getgrade(Broadsheet!AJ227,data!$H$4:$I$9))</f>
        <v/>
      </c>
      <c r="BJ116" s="188" t="str">
        <f>IF(ISERROR(getgrade(Broadsheet!AK227,data!$H$4:$I$9)),"#",getgrade(Broadsheet!AK227,data!$H$4:$I$9))</f>
        <v/>
      </c>
      <c r="BK116" s="188" t="str">
        <f>IF(ISERROR(getgrade(Broadsheet!AL227,data!$H$4:$I$9)),"#",getgrade(Broadsheet!AL227,data!$H$4:$I$9))</f>
        <v/>
      </c>
      <c r="BL116" s="188" t="str">
        <f>IF(ISERROR(getgrade(Broadsheet!AM227,data!$H$4:$I$9)),"#",getgrade(Broadsheet!AM227,data!$H$4:$I$9))</f>
        <v/>
      </c>
      <c r="BM116" s="188" t="str">
        <f>IF(ISERROR(getgrade(Broadsheet!AN227,data!$H$4:$I$9)),"#",getgrade(Broadsheet!AN227,data!$H$4:$I$9))</f>
        <v/>
      </c>
      <c r="BN116" s="188" t="str">
        <f>IF(ISERROR(getgrade(Broadsheet!AO227,data!$H$4:$I$9)),"#",getgrade(Broadsheet!AO227,data!$H$4:$I$9))</f>
        <v/>
      </c>
      <c r="BO116" s="188" t="str">
        <f>IF(ISERROR(getgrade(Broadsheet!AP227,data!$H$4:$I$9)),"#",getgrade(Broadsheet!AP227,data!$H$4:$I$9))</f>
        <v/>
      </c>
      <c r="BP116" s="188" t="str">
        <f>IF(ISERROR(getgrade(Broadsheet!AQ227,data!$H$4:$I$9)),"#",getgrade(Broadsheet!AQ227,data!$H$4:$I$9))</f>
        <v/>
      </c>
      <c r="BQ116" s="188" t="str">
        <f>IF(ISERROR(getgrade(Broadsheet!AR227,data!$H$4:$I$9)),"#",getgrade(Broadsheet!AR227,data!$H$4:$I$9))</f>
        <v/>
      </c>
      <c r="BR116" s="188" t="str">
        <f>IF(ISERROR(getgrade(Broadsheet!AS227,data!$H$4:$I$9)),"#",getgrade(Broadsheet!AS227,data!$H$4:$I$9))</f>
        <v/>
      </c>
      <c r="BS116" s="188" t="str">
        <f>IF(ISERROR(getgrade(Broadsheet!AT227,data!$H$4:$I$9)),"#",getgrade(Broadsheet!AT227,data!$H$4:$I$9))</f>
        <v/>
      </c>
      <c r="BT116" s="188" t="str">
        <f>IF(ISERROR(getgrade(Broadsheet!AU227,data!$H$4:$I$9)),"#",getgrade(Broadsheet!AU227,data!$H$4:$I$9))</f>
        <v/>
      </c>
      <c r="BU116" s="188" t="str">
        <f>IF(ISERROR(getgrade(Broadsheet!AV227,data!$H$4:$I$9)),"#",getgrade(Broadsheet!AV227,data!$H$4:$I$9))</f>
        <v/>
      </c>
      <c r="BV116" s="188" t="str">
        <f>IF(ISERROR(getgrade(Broadsheet!AW227,data!$H$4:$I$9)),"#",getgrade(Broadsheet!AW227,data!$H$4:$I$9))</f>
        <v/>
      </c>
      <c r="BW116" s="188" t="str">
        <f>IF(ISERROR(getgrade(Broadsheet!AX227,data!$H$4:$I$9)),"#",getgrade(Broadsheet!AX227,data!$H$4:$I$9))</f>
        <v/>
      </c>
      <c r="BX116" s="188" t="str">
        <f>IF(ISERROR(getgrade(Broadsheet!AY227,data!$H$4:$I$9)),"#",getgrade(Broadsheet!AY227,data!$H$4:$I$9))</f>
        <v/>
      </c>
      <c r="BY116" s="188" t="str">
        <f>IF(ISERROR(getgrade(Broadsheet!AZ227,data!$H$4:$I$9)),"#",getgrade(Broadsheet!AZ227,data!$H$4:$I$9))</f>
        <v/>
      </c>
      <c r="BZ116" s="188" t="str">
        <f>IF(ISERROR(getgrade(Broadsheet!BA227,data!$H$4:$I$9)),"#",getgrade(Broadsheet!BA227,data!$H$4:$I$9))</f>
        <v/>
      </c>
      <c r="CA116" s="188" t="str">
        <f>IF(ISERROR(getgrade(Broadsheet!BB227,data!$H$4:$I$9)),"#",getgrade(Broadsheet!BB227,data!$H$4:$I$9))</f>
        <v/>
      </c>
      <c r="CB116" s="188" t="str">
        <f>IF(ISERROR(getgrade(Broadsheet!BC227,data!$H$4:$I$9)),"#",getgrade(Broadsheet!BC227,data!$H$4:$I$9))</f>
        <v/>
      </c>
      <c r="CC116" s="188" t="str">
        <f>IF(ISERROR(getgrade(Broadsheet!BD227,data!$H$4:$I$9)),"#",getgrade(Broadsheet!BD227,data!$H$4:$I$9))</f>
        <v/>
      </c>
      <c r="CD116" s="188" t="str">
        <f>IF(ISERROR(getgrade(Broadsheet!BE227,data!$H$4:$I$9)),"#",getgrade(Broadsheet!BE227,data!$H$4:$I$9))</f>
        <v/>
      </c>
      <c r="CE116" s="188" t="str">
        <f>IF(ISERROR(getgrade(Broadsheet!BF227,data!$H$4:$I$9)),"#",getgrade(Broadsheet!BF227,data!$H$4:$I$9))</f>
        <v/>
      </c>
      <c r="CF116" s="188" t="str">
        <f>IF(ISERROR(getgrade(Broadsheet!BG227,data!$H$4:$I$9)),"#",getgrade(Broadsheet!BG227,data!$H$4:$I$9))</f>
        <v/>
      </c>
      <c r="CG116" s="188" t="str">
        <f>IF(ISERROR(getgrade(Broadsheet!BH227,data!$H$4:$I$9)),"#",getgrade(Broadsheet!BH227,data!$H$4:$I$9))</f>
        <v/>
      </c>
      <c r="CH116" s="188" t="str">
        <f>IF(ISERROR(getgrade(Broadsheet!BI227,data!$H$4:$I$9)),"#",getgrade(Broadsheet!BI227,data!$H$4:$I$9))</f>
        <v/>
      </c>
      <c r="CI116" s="188" t="str">
        <f>IF(ISERROR(getgrade(Broadsheet!BJ227,data!$H$4:$I$9)),"#",getgrade(Broadsheet!BJ227,data!$H$4:$I$9))</f>
        <v/>
      </c>
      <c r="CJ116" s="188"/>
      <c r="CK116" s="188"/>
      <c r="CL116" s="188"/>
      <c r="CM116" s="188"/>
      <c r="CN116" s="188"/>
      <c r="CO116" s="188"/>
      <c r="CP116" s="188"/>
      <c r="CQ116" s="188"/>
      <c r="CR116" s="188"/>
      <c r="CS116" s="188"/>
      <c r="CT116" s="188"/>
      <c r="CU116" s="188"/>
      <c r="CV116" s="188"/>
      <c r="CW116" s="188"/>
      <c r="CX116" s="188"/>
      <c r="CY116" s="188"/>
      <c r="CZ116" s="188"/>
      <c r="DA116" s="188"/>
      <c r="DB116" s="188"/>
      <c r="DC116" s="188"/>
      <c r="DD116" s="188"/>
      <c r="DE116" s="188"/>
      <c r="DF116" s="188"/>
      <c r="DG116" s="188"/>
      <c r="DH116" s="188"/>
      <c r="DI116" s="188"/>
      <c r="DJ116" s="188"/>
      <c r="DK116" s="188"/>
      <c r="DL116" s="188"/>
      <c r="DM116" s="188"/>
      <c r="DN116" s="188"/>
      <c r="DO116" s="188"/>
      <c r="DP116" s="188"/>
      <c r="DQ116" s="188"/>
      <c r="DR116" s="188"/>
      <c r="DS116" s="188"/>
      <c r="DT116" s="188"/>
      <c r="DU116" s="188"/>
      <c r="DV116" s="188"/>
      <c r="DW116" s="188"/>
      <c r="DX116" s="188"/>
      <c r="DY116" s="188"/>
      <c r="DZ116" s="188"/>
      <c r="EA116" s="188"/>
      <c r="EB116" s="188"/>
      <c r="EC116" s="188"/>
      <c r="ED116" s="188"/>
      <c r="EE116" s="188"/>
      <c r="EF116" s="188"/>
      <c r="EG116" s="188"/>
      <c r="EH116" s="188"/>
      <c r="EI116" s="188"/>
      <c r="EJ116" s="188"/>
      <c r="EK116" s="188"/>
      <c r="EL116" s="188"/>
      <c r="EM116" s="188"/>
      <c r="EN116" s="188"/>
      <c r="EO116" s="188"/>
      <c r="EP116" s="188"/>
      <c r="EQ116" s="188"/>
      <c r="ER116" s="188"/>
      <c r="ES116" s="188"/>
      <c r="ET116" s="188"/>
      <c r="EU116" s="188"/>
      <c r="EV116" s="188"/>
      <c r="EW116" s="188"/>
      <c r="EX116" s="188"/>
      <c r="EY116" s="188"/>
      <c r="EZ116" s="188"/>
    </row>
    <row r="117" spans="33:156" x14ac:dyDescent="0.2">
      <c r="AG117" s="188" t="str">
        <f>IF(ISERROR(getgrade(Broadsheet!H228,data!$H$4:$I$9)),"#",getgrade(Broadsheet!H228,data!$H$4:$I$9))</f>
        <v/>
      </c>
      <c r="AH117" s="188" t="str">
        <f>IF(ISERROR(getgrade(Broadsheet!I228,data!$H$4:$I$9)),"#",getgrade(Broadsheet!I228,data!$H$4:$I$9))</f>
        <v/>
      </c>
      <c r="AI117" s="188" t="str">
        <f>IF(ISERROR(getgrade(Broadsheet!J228,data!$H$4:$I$9)),"#",getgrade(Broadsheet!J228,data!$H$4:$I$9))</f>
        <v/>
      </c>
      <c r="AJ117" s="188" t="str">
        <f>IF(ISERROR(getgrade(Broadsheet!K228,data!$H$4:$I$9)),"#",getgrade(Broadsheet!K228,data!$H$4:$I$9))</f>
        <v/>
      </c>
      <c r="AK117" s="188" t="str">
        <f>IF(ISERROR(getgrade(Broadsheet!L228,data!$H$4:$I$9)),"#",getgrade(Broadsheet!L228,data!$H$4:$I$9))</f>
        <v/>
      </c>
      <c r="AL117" s="188" t="str">
        <f>IF(ISERROR(getgrade(Broadsheet!M228,data!$H$4:$I$9)),"#",getgrade(Broadsheet!M228,data!$H$4:$I$9))</f>
        <v/>
      </c>
      <c r="AM117" s="188" t="str">
        <f>IF(ISERROR(getgrade(Broadsheet!N228,data!$H$4:$I$9)),"#",getgrade(Broadsheet!N228,data!$H$4:$I$9))</f>
        <v/>
      </c>
      <c r="AN117" s="188" t="str">
        <f>IF(ISERROR(getgrade(Broadsheet!O228,data!$H$4:$I$9)),"#",getgrade(Broadsheet!O228,data!$H$4:$I$9))</f>
        <v/>
      </c>
      <c r="AO117" s="188" t="str">
        <f>IF(ISERROR(getgrade(Broadsheet!P228,data!$H$4:$I$9)),"#",getgrade(Broadsheet!P228,data!$H$4:$I$9))</f>
        <v/>
      </c>
      <c r="AP117" s="188" t="str">
        <f>IF(ISERROR(getgrade(Broadsheet!Q228,data!$H$4:$I$9)),"#",getgrade(Broadsheet!Q228,data!$H$4:$I$9))</f>
        <v/>
      </c>
      <c r="AQ117" s="188" t="str">
        <f>IF(ISERROR(getgrade(Broadsheet!R228,data!$H$4:$I$9)),"#",getgrade(Broadsheet!R228,data!$H$4:$I$9))</f>
        <v/>
      </c>
      <c r="AR117" s="188" t="str">
        <f>IF(ISERROR(getgrade(Broadsheet!S228,data!$H$4:$I$9)),"#",getgrade(Broadsheet!S228,data!$H$4:$I$9))</f>
        <v/>
      </c>
      <c r="AS117" s="188" t="str">
        <f>IF(ISERROR(getgrade(Broadsheet!T228,data!$H$4:$I$9)),"#",getgrade(Broadsheet!T228,data!$H$4:$I$9))</f>
        <v/>
      </c>
      <c r="AT117" s="188" t="str">
        <f>IF(ISERROR(getgrade(Broadsheet!U228,data!$H$4:$I$9)),"#",getgrade(Broadsheet!U228,data!$H$4:$I$9))</f>
        <v/>
      </c>
      <c r="AU117" s="188" t="str">
        <f>IF(ISERROR(getgrade(Broadsheet!V228,data!$H$4:$I$9)),"#",getgrade(Broadsheet!V228,data!$H$4:$I$9))</f>
        <v/>
      </c>
      <c r="AV117" s="188" t="str">
        <f>IF(ISERROR(getgrade(Broadsheet!W228,data!$H$4:$I$9)),"#",getgrade(Broadsheet!W228,data!$H$4:$I$9))</f>
        <v/>
      </c>
      <c r="AW117" s="188" t="str">
        <f>IF(ISERROR(getgrade(Broadsheet!X228,data!$H$4:$I$9)),"#",getgrade(Broadsheet!X228,data!$H$4:$I$9))</f>
        <v/>
      </c>
      <c r="AX117" s="188" t="str">
        <f>IF(ISERROR(getgrade(Broadsheet!Y228,data!$H$4:$I$9)),"#",getgrade(Broadsheet!Y228,data!$H$4:$I$9))</f>
        <v/>
      </c>
      <c r="AY117" s="188" t="str">
        <f>IF(ISERROR(getgrade(Broadsheet!Z228,data!$H$4:$I$9)),"#",getgrade(Broadsheet!Z228,data!$H$4:$I$9))</f>
        <v/>
      </c>
      <c r="AZ117" s="188" t="str">
        <f>IF(ISERROR(getgrade(Broadsheet!AA228,data!$H$4:$I$9)),"#",getgrade(Broadsheet!AA228,data!$H$4:$I$9))</f>
        <v/>
      </c>
      <c r="BA117" s="188" t="str">
        <f>IF(ISERROR(getgrade(Broadsheet!AB228,data!$H$4:$I$9)),"#",getgrade(Broadsheet!AB228,data!$H$4:$I$9))</f>
        <v/>
      </c>
      <c r="BB117" s="188" t="str">
        <f>IF(ISERROR(getgrade(Broadsheet!AC228,data!$H$4:$I$9)),"#",getgrade(Broadsheet!AC228,data!$H$4:$I$9))</f>
        <v/>
      </c>
      <c r="BC117" s="188" t="str">
        <f>IF(ISERROR(getgrade(Broadsheet!AD228,data!$H$4:$I$9)),"#",getgrade(Broadsheet!AD228,data!$H$4:$I$9))</f>
        <v/>
      </c>
      <c r="BD117" s="188" t="str">
        <f>IF(ISERROR(getgrade(Broadsheet!AE228,data!$H$4:$I$9)),"#",getgrade(Broadsheet!AE228,data!$H$4:$I$9))</f>
        <v/>
      </c>
      <c r="BE117" s="188" t="str">
        <f>IF(ISERROR(getgrade(Broadsheet!AF228,data!$H$4:$I$9)),"#",getgrade(Broadsheet!AF228,data!$H$4:$I$9))</f>
        <v/>
      </c>
      <c r="BF117" s="188" t="str">
        <f>IF(ISERROR(getgrade(Broadsheet!AG228,data!$H$4:$I$9)),"#",getgrade(Broadsheet!AG228,data!$H$4:$I$9))</f>
        <v/>
      </c>
      <c r="BG117" s="188" t="str">
        <f>IF(ISERROR(getgrade(Broadsheet!AH228,data!$H$4:$I$9)),"#",getgrade(Broadsheet!AH228,data!$H$4:$I$9))</f>
        <v/>
      </c>
      <c r="BH117" s="188" t="str">
        <f>IF(ISERROR(getgrade(Broadsheet!AI228,data!$H$4:$I$9)),"#",getgrade(Broadsheet!AI228,data!$H$4:$I$9))</f>
        <v/>
      </c>
      <c r="BI117" s="188" t="str">
        <f>IF(ISERROR(getgrade(Broadsheet!AJ228,data!$H$4:$I$9)),"#",getgrade(Broadsheet!AJ228,data!$H$4:$I$9))</f>
        <v/>
      </c>
      <c r="BJ117" s="188" t="str">
        <f>IF(ISERROR(getgrade(Broadsheet!AK228,data!$H$4:$I$9)),"#",getgrade(Broadsheet!AK228,data!$H$4:$I$9))</f>
        <v/>
      </c>
      <c r="BK117" s="188" t="str">
        <f>IF(ISERROR(getgrade(Broadsheet!AL228,data!$H$4:$I$9)),"#",getgrade(Broadsheet!AL228,data!$H$4:$I$9))</f>
        <v/>
      </c>
      <c r="BL117" s="188" t="str">
        <f>IF(ISERROR(getgrade(Broadsheet!AM228,data!$H$4:$I$9)),"#",getgrade(Broadsheet!AM228,data!$H$4:$I$9))</f>
        <v/>
      </c>
      <c r="BM117" s="188" t="str">
        <f>IF(ISERROR(getgrade(Broadsheet!AN228,data!$H$4:$I$9)),"#",getgrade(Broadsheet!AN228,data!$H$4:$I$9))</f>
        <v/>
      </c>
      <c r="BN117" s="188" t="str">
        <f>IF(ISERROR(getgrade(Broadsheet!AO228,data!$H$4:$I$9)),"#",getgrade(Broadsheet!AO228,data!$H$4:$I$9))</f>
        <v/>
      </c>
      <c r="BO117" s="188" t="str">
        <f>IF(ISERROR(getgrade(Broadsheet!AP228,data!$H$4:$I$9)),"#",getgrade(Broadsheet!AP228,data!$H$4:$I$9))</f>
        <v/>
      </c>
      <c r="BP117" s="188" t="str">
        <f>IF(ISERROR(getgrade(Broadsheet!AQ228,data!$H$4:$I$9)),"#",getgrade(Broadsheet!AQ228,data!$H$4:$I$9))</f>
        <v/>
      </c>
      <c r="BQ117" s="188" t="str">
        <f>IF(ISERROR(getgrade(Broadsheet!AR228,data!$H$4:$I$9)),"#",getgrade(Broadsheet!AR228,data!$H$4:$I$9))</f>
        <v/>
      </c>
      <c r="BR117" s="188" t="str">
        <f>IF(ISERROR(getgrade(Broadsheet!AS228,data!$H$4:$I$9)),"#",getgrade(Broadsheet!AS228,data!$H$4:$I$9))</f>
        <v/>
      </c>
      <c r="BS117" s="188" t="str">
        <f>IF(ISERROR(getgrade(Broadsheet!AT228,data!$H$4:$I$9)),"#",getgrade(Broadsheet!AT228,data!$H$4:$I$9))</f>
        <v/>
      </c>
      <c r="BT117" s="188" t="str">
        <f>IF(ISERROR(getgrade(Broadsheet!AU228,data!$H$4:$I$9)),"#",getgrade(Broadsheet!AU228,data!$H$4:$I$9))</f>
        <v/>
      </c>
      <c r="BU117" s="188" t="str">
        <f>IF(ISERROR(getgrade(Broadsheet!AV228,data!$H$4:$I$9)),"#",getgrade(Broadsheet!AV228,data!$H$4:$I$9))</f>
        <v/>
      </c>
      <c r="BV117" s="188" t="str">
        <f>IF(ISERROR(getgrade(Broadsheet!AW228,data!$H$4:$I$9)),"#",getgrade(Broadsheet!AW228,data!$H$4:$I$9))</f>
        <v/>
      </c>
      <c r="BW117" s="188" t="str">
        <f>IF(ISERROR(getgrade(Broadsheet!AX228,data!$H$4:$I$9)),"#",getgrade(Broadsheet!AX228,data!$H$4:$I$9))</f>
        <v/>
      </c>
      <c r="BX117" s="188" t="str">
        <f>IF(ISERROR(getgrade(Broadsheet!AY228,data!$H$4:$I$9)),"#",getgrade(Broadsheet!AY228,data!$H$4:$I$9))</f>
        <v/>
      </c>
      <c r="BY117" s="188" t="str">
        <f>IF(ISERROR(getgrade(Broadsheet!AZ228,data!$H$4:$I$9)),"#",getgrade(Broadsheet!AZ228,data!$H$4:$I$9))</f>
        <v/>
      </c>
      <c r="BZ117" s="188" t="str">
        <f>IF(ISERROR(getgrade(Broadsheet!BA228,data!$H$4:$I$9)),"#",getgrade(Broadsheet!BA228,data!$H$4:$I$9))</f>
        <v/>
      </c>
      <c r="CA117" s="188" t="str">
        <f>IF(ISERROR(getgrade(Broadsheet!BB228,data!$H$4:$I$9)),"#",getgrade(Broadsheet!BB228,data!$H$4:$I$9))</f>
        <v/>
      </c>
      <c r="CB117" s="188" t="str">
        <f>IF(ISERROR(getgrade(Broadsheet!BC228,data!$H$4:$I$9)),"#",getgrade(Broadsheet!BC228,data!$H$4:$I$9))</f>
        <v/>
      </c>
      <c r="CC117" s="188" t="str">
        <f>IF(ISERROR(getgrade(Broadsheet!BD228,data!$H$4:$I$9)),"#",getgrade(Broadsheet!BD228,data!$H$4:$I$9))</f>
        <v/>
      </c>
      <c r="CD117" s="188" t="str">
        <f>IF(ISERROR(getgrade(Broadsheet!BE228,data!$H$4:$I$9)),"#",getgrade(Broadsheet!BE228,data!$H$4:$I$9))</f>
        <v/>
      </c>
      <c r="CE117" s="188" t="str">
        <f>IF(ISERROR(getgrade(Broadsheet!BF228,data!$H$4:$I$9)),"#",getgrade(Broadsheet!BF228,data!$H$4:$I$9))</f>
        <v/>
      </c>
      <c r="CF117" s="188" t="str">
        <f>IF(ISERROR(getgrade(Broadsheet!BG228,data!$H$4:$I$9)),"#",getgrade(Broadsheet!BG228,data!$H$4:$I$9))</f>
        <v/>
      </c>
      <c r="CG117" s="188" t="str">
        <f>IF(ISERROR(getgrade(Broadsheet!BH228,data!$H$4:$I$9)),"#",getgrade(Broadsheet!BH228,data!$H$4:$I$9))</f>
        <v/>
      </c>
      <c r="CH117" s="188" t="str">
        <f>IF(ISERROR(getgrade(Broadsheet!BI228,data!$H$4:$I$9)),"#",getgrade(Broadsheet!BI228,data!$H$4:$I$9))</f>
        <v/>
      </c>
      <c r="CI117" s="188" t="str">
        <f>IF(ISERROR(getgrade(Broadsheet!BJ228,data!$H$4:$I$9)),"#",getgrade(Broadsheet!BJ228,data!$H$4:$I$9))</f>
        <v/>
      </c>
      <c r="CJ117" s="188"/>
      <c r="CK117" s="188"/>
      <c r="CL117" s="188"/>
      <c r="CM117" s="188"/>
      <c r="CN117" s="188"/>
      <c r="CO117" s="188"/>
      <c r="CP117" s="188"/>
      <c r="CQ117" s="188"/>
      <c r="CR117" s="188"/>
      <c r="CS117" s="188"/>
      <c r="CT117" s="188"/>
      <c r="CU117" s="188"/>
      <c r="CV117" s="188"/>
      <c r="CW117" s="188"/>
      <c r="CX117" s="188"/>
      <c r="CY117" s="188"/>
      <c r="CZ117" s="188"/>
      <c r="DA117" s="188"/>
      <c r="DB117" s="188"/>
      <c r="DC117" s="188"/>
      <c r="DD117" s="188"/>
      <c r="DE117" s="188"/>
      <c r="DF117" s="188"/>
      <c r="DG117" s="188"/>
      <c r="DH117" s="188"/>
      <c r="DI117" s="188"/>
      <c r="DJ117" s="188"/>
      <c r="DK117" s="188"/>
      <c r="DL117" s="188"/>
      <c r="DM117" s="188"/>
      <c r="DN117" s="188"/>
      <c r="DO117" s="188"/>
      <c r="DP117" s="188"/>
      <c r="DQ117" s="188"/>
      <c r="DR117" s="188"/>
      <c r="DS117" s="188"/>
      <c r="DT117" s="188"/>
      <c r="DU117" s="188"/>
      <c r="DV117" s="188"/>
      <c r="DW117" s="188"/>
      <c r="DX117" s="188"/>
      <c r="DY117" s="188"/>
      <c r="DZ117" s="188"/>
      <c r="EA117" s="188"/>
      <c r="EB117" s="188"/>
      <c r="EC117" s="188"/>
      <c r="ED117" s="188"/>
      <c r="EE117" s="188"/>
      <c r="EF117" s="188"/>
      <c r="EG117" s="188"/>
      <c r="EH117" s="188"/>
      <c r="EI117" s="188"/>
      <c r="EJ117" s="188"/>
      <c r="EK117" s="188"/>
      <c r="EL117" s="188"/>
      <c r="EM117" s="188"/>
      <c r="EN117" s="188"/>
      <c r="EO117" s="188"/>
      <c r="EP117" s="188"/>
      <c r="EQ117" s="188"/>
      <c r="ER117" s="188"/>
      <c r="ES117" s="188"/>
      <c r="ET117" s="188"/>
      <c r="EU117" s="188"/>
      <c r="EV117" s="188"/>
      <c r="EW117" s="188"/>
      <c r="EX117" s="188"/>
      <c r="EY117" s="188"/>
      <c r="EZ117" s="188"/>
    </row>
    <row r="118" spans="33:156" x14ac:dyDescent="0.2">
      <c r="AG118" s="188" t="str">
        <f>IF(ISERROR(getgrade(Broadsheet!H229,data!$H$4:$I$9)),"#",getgrade(Broadsheet!H229,data!$H$4:$I$9))</f>
        <v/>
      </c>
      <c r="AH118" s="188" t="str">
        <f>IF(ISERROR(getgrade(Broadsheet!I229,data!$H$4:$I$9)),"#",getgrade(Broadsheet!I229,data!$H$4:$I$9))</f>
        <v/>
      </c>
      <c r="AI118" s="188" t="str">
        <f>IF(ISERROR(getgrade(Broadsheet!J229,data!$H$4:$I$9)),"#",getgrade(Broadsheet!J229,data!$H$4:$I$9))</f>
        <v/>
      </c>
      <c r="AJ118" s="188" t="str">
        <f>IF(ISERROR(getgrade(Broadsheet!K229,data!$H$4:$I$9)),"#",getgrade(Broadsheet!K229,data!$H$4:$I$9))</f>
        <v/>
      </c>
      <c r="AK118" s="188" t="str">
        <f>IF(ISERROR(getgrade(Broadsheet!L229,data!$H$4:$I$9)),"#",getgrade(Broadsheet!L229,data!$H$4:$I$9))</f>
        <v/>
      </c>
      <c r="AL118" s="188" t="str">
        <f>IF(ISERROR(getgrade(Broadsheet!M229,data!$H$4:$I$9)),"#",getgrade(Broadsheet!M229,data!$H$4:$I$9))</f>
        <v/>
      </c>
      <c r="AM118" s="188" t="str">
        <f>IF(ISERROR(getgrade(Broadsheet!N229,data!$H$4:$I$9)),"#",getgrade(Broadsheet!N229,data!$H$4:$I$9))</f>
        <v/>
      </c>
      <c r="AN118" s="188" t="str">
        <f>IF(ISERROR(getgrade(Broadsheet!O229,data!$H$4:$I$9)),"#",getgrade(Broadsheet!O229,data!$H$4:$I$9))</f>
        <v/>
      </c>
      <c r="AO118" s="188" t="str">
        <f>IF(ISERROR(getgrade(Broadsheet!P229,data!$H$4:$I$9)),"#",getgrade(Broadsheet!P229,data!$H$4:$I$9))</f>
        <v/>
      </c>
      <c r="AP118" s="188" t="str">
        <f>IF(ISERROR(getgrade(Broadsheet!Q229,data!$H$4:$I$9)),"#",getgrade(Broadsheet!Q229,data!$H$4:$I$9))</f>
        <v/>
      </c>
      <c r="AQ118" s="188" t="str">
        <f>IF(ISERROR(getgrade(Broadsheet!R229,data!$H$4:$I$9)),"#",getgrade(Broadsheet!R229,data!$H$4:$I$9))</f>
        <v/>
      </c>
      <c r="AR118" s="188" t="str">
        <f>IF(ISERROR(getgrade(Broadsheet!S229,data!$H$4:$I$9)),"#",getgrade(Broadsheet!S229,data!$H$4:$I$9))</f>
        <v/>
      </c>
      <c r="AS118" s="188" t="str">
        <f>IF(ISERROR(getgrade(Broadsheet!T229,data!$H$4:$I$9)),"#",getgrade(Broadsheet!T229,data!$H$4:$I$9))</f>
        <v/>
      </c>
      <c r="AT118" s="188" t="str">
        <f>IF(ISERROR(getgrade(Broadsheet!U229,data!$H$4:$I$9)),"#",getgrade(Broadsheet!U229,data!$H$4:$I$9))</f>
        <v/>
      </c>
      <c r="AU118" s="188" t="str">
        <f>IF(ISERROR(getgrade(Broadsheet!V229,data!$H$4:$I$9)),"#",getgrade(Broadsheet!V229,data!$H$4:$I$9))</f>
        <v/>
      </c>
      <c r="AV118" s="188" t="str">
        <f>IF(ISERROR(getgrade(Broadsheet!W229,data!$H$4:$I$9)),"#",getgrade(Broadsheet!W229,data!$H$4:$I$9))</f>
        <v/>
      </c>
      <c r="AW118" s="188" t="str">
        <f>IF(ISERROR(getgrade(Broadsheet!X229,data!$H$4:$I$9)),"#",getgrade(Broadsheet!X229,data!$H$4:$I$9))</f>
        <v/>
      </c>
      <c r="AX118" s="188" t="str">
        <f>IF(ISERROR(getgrade(Broadsheet!Y229,data!$H$4:$I$9)),"#",getgrade(Broadsheet!Y229,data!$H$4:$I$9))</f>
        <v/>
      </c>
      <c r="AY118" s="188" t="str">
        <f>IF(ISERROR(getgrade(Broadsheet!Z229,data!$H$4:$I$9)),"#",getgrade(Broadsheet!Z229,data!$H$4:$I$9))</f>
        <v/>
      </c>
      <c r="AZ118" s="188" t="str">
        <f>IF(ISERROR(getgrade(Broadsheet!AA229,data!$H$4:$I$9)),"#",getgrade(Broadsheet!AA229,data!$H$4:$I$9))</f>
        <v/>
      </c>
      <c r="BA118" s="188" t="str">
        <f>IF(ISERROR(getgrade(Broadsheet!AB229,data!$H$4:$I$9)),"#",getgrade(Broadsheet!AB229,data!$H$4:$I$9))</f>
        <v/>
      </c>
      <c r="BB118" s="188" t="str">
        <f>IF(ISERROR(getgrade(Broadsheet!AC229,data!$H$4:$I$9)),"#",getgrade(Broadsheet!AC229,data!$H$4:$I$9))</f>
        <v/>
      </c>
      <c r="BC118" s="188" t="str">
        <f>IF(ISERROR(getgrade(Broadsheet!AD229,data!$H$4:$I$9)),"#",getgrade(Broadsheet!AD229,data!$H$4:$I$9))</f>
        <v/>
      </c>
      <c r="BD118" s="188" t="str">
        <f>IF(ISERROR(getgrade(Broadsheet!AE229,data!$H$4:$I$9)),"#",getgrade(Broadsheet!AE229,data!$H$4:$I$9))</f>
        <v/>
      </c>
      <c r="BE118" s="188" t="str">
        <f>IF(ISERROR(getgrade(Broadsheet!AF229,data!$H$4:$I$9)),"#",getgrade(Broadsheet!AF229,data!$H$4:$I$9))</f>
        <v/>
      </c>
      <c r="BF118" s="188" t="str">
        <f>IF(ISERROR(getgrade(Broadsheet!AG229,data!$H$4:$I$9)),"#",getgrade(Broadsheet!AG229,data!$H$4:$I$9))</f>
        <v/>
      </c>
      <c r="BG118" s="188" t="str">
        <f>IF(ISERROR(getgrade(Broadsheet!AH229,data!$H$4:$I$9)),"#",getgrade(Broadsheet!AH229,data!$H$4:$I$9))</f>
        <v/>
      </c>
      <c r="BH118" s="188" t="str">
        <f>IF(ISERROR(getgrade(Broadsheet!AI229,data!$H$4:$I$9)),"#",getgrade(Broadsheet!AI229,data!$H$4:$I$9))</f>
        <v/>
      </c>
      <c r="BI118" s="188" t="str">
        <f>IF(ISERROR(getgrade(Broadsheet!AJ229,data!$H$4:$I$9)),"#",getgrade(Broadsheet!AJ229,data!$H$4:$I$9))</f>
        <v/>
      </c>
      <c r="BJ118" s="188" t="str">
        <f>IF(ISERROR(getgrade(Broadsheet!AK229,data!$H$4:$I$9)),"#",getgrade(Broadsheet!AK229,data!$H$4:$I$9))</f>
        <v/>
      </c>
      <c r="BK118" s="188" t="str">
        <f>IF(ISERROR(getgrade(Broadsheet!AL229,data!$H$4:$I$9)),"#",getgrade(Broadsheet!AL229,data!$H$4:$I$9))</f>
        <v/>
      </c>
      <c r="BL118" s="188" t="str">
        <f>IF(ISERROR(getgrade(Broadsheet!AM229,data!$H$4:$I$9)),"#",getgrade(Broadsheet!AM229,data!$H$4:$I$9))</f>
        <v/>
      </c>
      <c r="BM118" s="188" t="str">
        <f>IF(ISERROR(getgrade(Broadsheet!AN229,data!$H$4:$I$9)),"#",getgrade(Broadsheet!AN229,data!$H$4:$I$9))</f>
        <v/>
      </c>
      <c r="BN118" s="188" t="str">
        <f>IF(ISERROR(getgrade(Broadsheet!AO229,data!$H$4:$I$9)),"#",getgrade(Broadsheet!AO229,data!$H$4:$I$9))</f>
        <v/>
      </c>
      <c r="BO118" s="188" t="str">
        <f>IF(ISERROR(getgrade(Broadsheet!AP229,data!$H$4:$I$9)),"#",getgrade(Broadsheet!AP229,data!$H$4:$I$9))</f>
        <v/>
      </c>
      <c r="BP118" s="188" t="str">
        <f>IF(ISERROR(getgrade(Broadsheet!AQ229,data!$H$4:$I$9)),"#",getgrade(Broadsheet!AQ229,data!$H$4:$I$9))</f>
        <v/>
      </c>
      <c r="BQ118" s="188" t="str">
        <f>IF(ISERROR(getgrade(Broadsheet!AR229,data!$H$4:$I$9)),"#",getgrade(Broadsheet!AR229,data!$H$4:$I$9))</f>
        <v/>
      </c>
      <c r="BR118" s="188" t="str">
        <f>IF(ISERROR(getgrade(Broadsheet!AS229,data!$H$4:$I$9)),"#",getgrade(Broadsheet!AS229,data!$H$4:$I$9))</f>
        <v/>
      </c>
      <c r="BS118" s="188" t="str">
        <f>IF(ISERROR(getgrade(Broadsheet!AT229,data!$H$4:$I$9)),"#",getgrade(Broadsheet!AT229,data!$H$4:$I$9))</f>
        <v/>
      </c>
      <c r="BT118" s="188" t="str">
        <f>IF(ISERROR(getgrade(Broadsheet!AU229,data!$H$4:$I$9)),"#",getgrade(Broadsheet!AU229,data!$H$4:$I$9))</f>
        <v/>
      </c>
      <c r="BU118" s="188" t="str">
        <f>IF(ISERROR(getgrade(Broadsheet!AV229,data!$H$4:$I$9)),"#",getgrade(Broadsheet!AV229,data!$H$4:$I$9))</f>
        <v/>
      </c>
      <c r="BV118" s="188" t="str">
        <f>IF(ISERROR(getgrade(Broadsheet!AW229,data!$H$4:$I$9)),"#",getgrade(Broadsheet!AW229,data!$H$4:$I$9))</f>
        <v/>
      </c>
      <c r="BW118" s="188" t="str">
        <f>IF(ISERROR(getgrade(Broadsheet!AX229,data!$H$4:$I$9)),"#",getgrade(Broadsheet!AX229,data!$H$4:$I$9))</f>
        <v/>
      </c>
      <c r="BX118" s="188" t="str">
        <f>IF(ISERROR(getgrade(Broadsheet!AY229,data!$H$4:$I$9)),"#",getgrade(Broadsheet!AY229,data!$H$4:$I$9))</f>
        <v/>
      </c>
      <c r="BY118" s="188" t="str">
        <f>IF(ISERROR(getgrade(Broadsheet!AZ229,data!$H$4:$I$9)),"#",getgrade(Broadsheet!AZ229,data!$H$4:$I$9))</f>
        <v/>
      </c>
      <c r="BZ118" s="188" t="str">
        <f>IF(ISERROR(getgrade(Broadsheet!BA229,data!$H$4:$I$9)),"#",getgrade(Broadsheet!BA229,data!$H$4:$I$9))</f>
        <v/>
      </c>
      <c r="CA118" s="188" t="str">
        <f>IF(ISERROR(getgrade(Broadsheet!BB229,data!$H$4:$I$9)),"#",getgrade(Broadsheet!BB229,data!$H$4:$I$9))</f>
        <v/>
      </c>
      <c r="CB118" s="188" t="str">
        <f>IF(ISERROR(getgrade(Broadsheet!BC229,data!$H$4:$I$9)),"#",getgrade(Broadsheet!BC229,data!$H$4:$I$9))</f>
        <v/>
      </c>
      <c r="CC118" s="188" t="str">
        <f>IF(ISERROR(getgrade(Broadsheet!BD229,data!$H$4:$I$9)),"#",getgrade(Broadsheet!BD229,data!$H$4:$I$9))</f>
        <v/>
      </c>
      <c r="CD118" s="188" t="str">
        <f>IF(ISERROR(getgrade(Broadsheet!BE229,data!$H$4:$I$9)),"#",getgrade(Broadsheet!BE229,data!$H$4:$I$9))</f>
        <v/>
      </c>
      <c r="CE118" s="188" t="str">
        <f>IF(ISERROR(getgrade(Broadsheet!BF229,data!$H$4:$I$9)),"#",getgrade(Broadsheet!BF229,data!$H$4:$I$9))</f>
        <v/>
      </c>
      <c r="CF118" s="188" t="str">
        <f>IF(ISERROR(getgrade(Broadsheet!BG229,data!$H$4:$I$9)),"#",getgrade(Broadsheet!BG229,data!$H$4:$I$9))</f>
        <v/>
      </c>
      <c r="CG118" s="188" t="str">
        <f>IF(ISERROR(getgrade(Broadsheet!BH229,data!$H$4:$I$9)),"#",getgrade(Broadsheet!BH229,data!$H$4:$I$9))</f>
        <v/>
      </c>
      <c r="CH118" s="188" t="str">
        <f>IF(ISERROR(getgrade(Broadsheet!BI229,data!$H$4:$I$9)),"#",getgrade(Broadsheet!BI229,data!$H$4:$I$9))</f>
        <v/>
      </c>
      <c r="CI118" s="188" t="str">
        <f>IF(ISERROR(getgrade(Broadsheet!BJ229,data!$H$4:$I$9)),"#",getgrade(Broadsheet!BJ229,data!$H$4:$I$9))</f>
        <v/>
      </c>
      <c r="CJ118" s="188"/>
      <c r="CK118" s="188"/>
      <c r="CL118" s="188"/>
      <c r="CM118" s="188"/>
      <c r="CN118" s="188"/>
      <c r="CO118" s="188"/>
      <c r="CP118" s="188"/>
      <c r="CQ118" s="188"/>
      <c r="CR118" s="188"/>
      <c r="CS118" s="188"/>
      <c r="CT118" s="188"/>
      <c r="CU118" s="188"/>
      <c r="CV118" s="188"/>
      <c r="CW118" s="188"/>
      <c r="CX118" s="188"/>
      <c r="CY118" s="188"/>
      <c r="CZ118" s="188"/>
      <c r="DA118" s="188"/>
      <c r="DB118" s="188"/>
      <c r="DC118" s="188"/>
      <c r="DD118" s="188"/>
      <c r="DE118" s="188"/>
      <c r="DF118" s="188"/>
      <c r="DG118" s="188"/>
      <c r="DH118" s="188"/>
      <c r="DI118" s="188"/>
      <c r="DJ118" s="188"/>
      <c r="DK118" s="188"/>
      <c r="DL118" s="188"/>
      <c r="DM118" s="188"/>
      <c r="DN118" s="188"/>
      <c r="DO118" s="188"/>
      <c r="DP118" s="188"/>
      <c r="DQ118" s="188"/>
      <c r="DR118" s="188"/>
      <c r="DS118" s="188"/>
      <c r="DT118" s="188"/>
      <c r="DU118" s="188"/>
      <c r="DV118" s="188"/>
      <c r="DW118" s="188"/>
      <c r="DX118" s="188"/>
      <c r="DY118" s="188"/>
      <c r="DZ118" s="188"/>
      <c r="EA118" s="188"/>
      <c r="EB118" s="188"/>
      <c r="EC118" s="188"/>
      <c r="ED118" s="188"/>
      <c r="EE118" s="188"/>
      <c r="EF118" s="188"/>
      <c r="EG118" s="188"/>
      <c r="EH118" s="188"/>
      <c r="EI118" s="188"/>
      <c r="EJ118" s="188"/>
      <c r="EK118" s="188"/>
      <c r="EL118" s="188"/>
      <c r="EM118" s="188"/>
      <c r="EN118" s="188"/>
      <c r="EO118" s="188"/>
      <c r="EP118" s="188"/>
      <c r="EQ118" s="188"/>
      <c r="ER118" s="188"/>
      <c r="ES118" s="188"/>
      <c r="ET118" s="188"/>
      <c r="EU118" s="188"/>
      <c r="EV118" s="188"/>
      <c r="EW118" s="188"/>
      <c r="EX118" s="188"/>
      <c r="EY118" s="188"/>
      <c r="EZ118" s="188"/>
    </row>
    <row r="119" spans="33:156" x14ac:dyDescent="0.2">
      <c r="AG119" s="188" t="str">
        <f>IF(ISERROR(getgrade(Broadsheet!H230,data!$H$4:$I$9)),"#",getgrade(Broadsheet!H230,data!$H$4:$I$9))</f>
        <v/>
      </c>
      <c r="AH119" s="188" t="str">
        <f>IF(ISERROR(getgrade(Broadsheet!I230,data!$H$4:$I$9)),"#",getgrade(Broadsheet!I230,data!$H$4:$I$9))</f>
        <v/>
      </c>
      <c r="AI119" s="188" t="str">
        <f>IF(ISERROR(getgrade(Broadsheet!J230,data!$H$4:$I$9)),"#",getgrade(Broadsheet!J230,data!$H$4:$I$9))</f>
        <v/>
      </c>
      <c r="AJ119" s="188" t="str">
        <f>IF(ISERROR(getgrade(Broadsheet!K230,data!$H$4:$I$9)),"#",getgrade(Broadsheet!K230,data!$H$4:$I$9))</f>
        <v/>
      </c>
      <c r="AK119" s="188" t="str">
        <f>IF(ISERROR(getgrade(Broadsheet!L230,data!$H$4:$I$9)),"#",getgrade(Broadsheet!L230,data!$H$4:$I$9))</f>
        <v/>
      </c>
      <c r="AL119" s="188" t="str">
        <f>IF(ISERROR(getgrade(Broadsheet!M230,data!$H$4:$I$9)),"#",getgrade(Broadsheet!M230,data!$H$4:$I$9))</f>
        <v/>
      </c>
      <c r="AM119" s="188" t="str">
        <f>IF(ISERROR(getgrade(Broadsheet!N230,data!$H$4:$I$9)),"#",getgrade(Broadsheet!N230,data!$H$4:$I$9))</f>
        <v/>
      </c>
      <c r="AN119" s="188" t="str">
        <f>IF(ISERROR(getgrade(Broadsheet!O230,data!$H$4:$I$9)),"#",getgrade(Broadsheet!O230,data!$H$4:$I$9))</f>
        <v/>
      </c>
      <c r="AO119" s="188" t="str">
        <f>IF(ISERROR(getgrade(Broadsheet!P230,data!$H$4:$I$9)),"#",getgrade(Broadsheet!P230,data!$H$4:$I$9))</f>
        <v/>
      </c>
      <c r="AP119" s="188" t="str">
        <f>IF(ISERROR(getgrade(Broadsheet!Q230,data!$H$4:$I$9)),"#",getgrade(Broadsheet!Q230,data!$H$4:$I$9))</f>
        <v/>
      </c>
      <c r="AQ119" s="188" t="str">
        <f>IF(ISERROR(getgrade(Broadsheet!R230,data!$H$4:$I$9)),"#",getgrade(Broadsheet!R230,data!$H$4:$I$9))</f>
        <v/>
      </c>
      <c r="AR119" s="188" t="str">
        <f>IF(ISERROR(getgrade(Broadsheet!S230,data!$H$4:$I$9)),"#",getgrade(Broadsheet!S230,data!$H$4:$I$9))</f>
        <v/>
      </c>
      <c r="AS119" s="188" t="str">
        <f>IF(ISERROR(getgrade(Broadsheet!T230,data!$H$4:$I$9)),"#",getgrade(Broadsheet!T230,data!$H$4:$I$9))</f>
        <v/>
      </c>
      <c r="AT119" s="188" t="str">
        <f>IF(ISERROR(getgrade(Broadsheet!U230,data!$H$4:$I$9)),"#",getgrade(Broadsheet!U230,data!$H$4:$I$9))</f>
        <v/>
      </c>
      <c r="AU119" s="188" t="str">
        <f>IF(ISERROR(getgrade(Broadsheet!V230,data!$H$4:$I$9)),"#",getgrade(Broadsheet!V230,data!$H$4:$I$9))</f>
        <v/>
      </c>
      <c r="AV119" s="188" t="str">
        <f>IF(ISERROR(getgrade(Broadsheet!W230,data!$H$4:$I$9)),"#",getgrade(Broadsheet!W230,data!$H$4:$I$9))</f>
        <v/>
      </c>
      <c r="AW119" s="188" t="str">
        <f>IF(ISERROR(getgrade(Broadsheet!X230,data!$H$4:$I$9)),"#",getgrade(Broadsheet!X230,data!$H$4:$I$9))</f>
        <v/>
      </c>
      <c r="AX119" s="188" t="str">
        <f>IF(ISERROR(getgrade(Broadsheet!Y230,data!$H$4:$I$9)),"#",getgrade(Broadsheet!Y230,data!$H$4:$I$9))</f>
        <v/>
      </c>
      <c r="AY119" s="188" t="str">
        <f>IF(ISERROR(getgrade(Broadsheet!Z230,data!$H$4:$I$9)),"#",getgrade(Broadsheet!Z230,data!$H$4:$I$9))</f>
        <v/>
      </c>
      <c r="AZ119" s="188" t="str">
        <f>IF(ISERROR(getgrade(Broadsheet!AA230,data!$H$4:$I$9)),"#",getgrade(Broadsheet!AA230,data!$H$4:$I$9))</f>
        <v/>
      </c>
      <c r="BA119" s="188" t="str">
        <f>IF(ISERROR(getgrade(Broadsheet!AB230,data!$H$4:$I$9)),"#",getgrade(Broadsheet!AB230,data!$H$4:$I$9))</f>
        <v/>
      </c>
      <c r="BB119" s="188" t="str">
        <f>IF(ISERROR(getgrade(Broadsheet!AC230,data!$H$4:$I$9)),"#",getgrade(Broadsheet!AC230,data!$H$4:$I$9))</f>
        <v/>
      </c>
      <c r="BC119" s="188" t="str">
        <f>IF(ISERROR(getgrade(Broadsheet!AD230,data!$H$4:$I$9)),"#",getgrade(Broadsheet!AD230,data!$H$4:$I$9))</f>
        <v/>
      </c>
      <c r="BD119" s="188" t="str">
        <f>IF(ISERROR(getgrade(Broadsheet!AE230,data!$H$4:$I$9)),"#",getgrade(Broadsheet!AE230,data!$H$4:$I$9))</f>
        <v/>
      </c>
      <c r="BE119" s="188" t="str">
        <f>IF(ISERROR(getgrade(Broadsheet!AF230,data!$H$4:$I$9)),"#",getgrade(Broadsheet!AF230,data!$H$4:$I$9))</f>
        <v/>
      </c>
      <c r="BF119" s="188" t="str">
        <f>IF(ISERROR(getgrade(Broadsheet!AG230,data!$H$4:$I$9)),"#",getgrade(Broadsheet!AG230,data!$H$4:$I$9))</f>
        <v/>
      </c>
      <c r="BG119" s="188" t="str">
        <f>IF(ISERROR(getgrade(Broadsheet!AH230,data!$H$4:$I$9)),"#",getgrade(Broadsheet!AH230,data!$H$4:$I$9))</f>
        <v/>
      </c>
      <c r="BH119" s="188" t="str">
        <f>IF(ISERROR(getgrade(Broadsheet!AI230,data!$H$4:$I$9)),"#",getgrade(Broadsheet!AI230,data!$H$4:$I$9))</f>
        <v/>
      </c>
      <c r="BI119" s="188" t="str">
        <f>IF(ISERROR(getgrade(Broadsheet!AJ230,data!$H$4:$I$9)),"#",getgrade(Broadsheet!AJ230,data!$H$4:$I$9))</f>
        <v/>
      </c>
      <c r="BJ119" s="188" t="str">
        <f>IF(ISERROR(getgrade(Broadsheet!AK230,data!$H$4:$I$9)),"#",getgrade(Broadsheet!AK230,data!$H$4:$I$9))</f>
        <v/>
      </c>
      <c r="BK119" s="188" t="str">
        <f>IF(ISERROR(getgrade(Broadsheet!AL230,data!$H$4:$I$9)),"#",getgrade(Broadsheet!AL230,data!$H$4:$I$9))</f>
        <v/>
      </c>
      <c r="BL119" s="188" t="str">
        <f>IF(ISERROR(getgrade(Broadsheet!AM230,data!$H$4:$I$9)),"#",getgrade(Broadsheet!AM230,data!$H$4:$I$9))</f>
        <v/>
      </c>
      <c r="BM119" s="188" t="str">
        <f>IF(ISERROR(getgrade(Broadsheet!AN230,data!$H$4:$I$9)),"#",getgrade(Broadsheet!AN230,data!$H$4:$I$9))</f>
        <v/>
      </c>
      <c r="BN119" s="188" t="str">
        <f>IF(ISERROR(getgrade(Broadsheet!AO230,data!$H$4:$I$9)),"#",getgrade(Broadsheet!AO230,data!$H$4:$I$9))</f>
        <v/>
      </c>
      <c r="BO119" s="188" t="str">
        <f>IF(ISERROR(getgrade(Broadsheet!AP230,data!$H$4:$I$9)),"#",getgrade(Broadsheet!AP230,data!$H$4:$I$9))</f>
        <v/>
      </c>
      <c r="BP119" s="188" t="str">
        <f>IF(ISERROR(getgrade(Broadsheet!AQ230,data!$H$4:$I$9)),"#",getgrade(Broadsheet!AQ230,data!$H$4:$I$9))</f>
        <v/>
      </c>
      <c r="BQ119" s="188" t="str">
        <f>IF(ISERROR(getgrade(Broadsheet!AR230,data!$H$4:$I$9)),"#",getgrade(Broadsheet!AR230,data!$H$4:$I$9))</f>
        <v/>
      </c>
      <c r="BR119" s="188" t="str">
        <f>IF(ISERROR(getgrade(Broadsheet!AS230,data!$H$4:$I$9)),"#",getgrade(Broadsheet!AS230,data!$H$4:$I$9))</f>
        <v/>
      </c>
      <c r="BS119" s="188" t="str">
        <f>IF(ISERROR(getgrade(Broadsheet!AT230,data!$H$4:$I$9)),"#",getgrade(Broadsheet!AT230,data!$H$4:$I$9))</f>
        <v/>
      </c>
      <c r="BT119" s="188" t="str">
        <f>IF(ISERROR(getgrade(Broadsheet!AU230,data!$H$4:$I$9)),"#",getgrade(Broadsheet!AU230,data!$H$4:$I$9))</f>
        <v/>
      </c>
      <c r="BU119" s="188" t="str">
        <f>IF(ISERROR(getgrade(Broadsheet!AV230,data!$H$4:$I$9)),"#",getgrade(Broadsheet!AV230,data!$H$4:$I$9))</f>
        <v/>
      </c>
      <c r="BV119" s="188" t="str">
        <f>IF(ISERROR(getgrade(Broadsheet!AW230,data!$H$4:$I$9)),"#",getgrade(Broadsheet!AW230,data!$H$4:$I$9))</f>
        <v/>
      </c>
      <c r="BW119" s="188" t="str">
        <f>IF(ISERROR(getgrade(Broadsheet!AX230,data!$H$4:$I$9)),"#",getgrade(Broadsheet!AX230,data!$H$4:$I$9))</f>
        <v/>
      </c>
      <c r="BX119" s="188" t="str">
        <f>IF(ISERROR(getgrade(Broadsheet!AY230,data!$H$4:$I$9)),"#",getgrade(Broadsheet!AY230,data!$H$4:$I$9))</f>
        <v/>
      </c>
      <c r="BY119" s="188" t="str">
        <f>IF(ISERROR(getgrade(Broadsheet!AZ230,data!$H$4:$I$9)),"#",getgrade(Broadsheet!AZ230,data!$H$4:$I$9))</f>
        <v/>
      </c>
      <c r="BZ119" s="188" t="str">
        <f>IF(ISERROR(getgrade(Broadsheet!BA230,data!$H$4:$I$9)),"#",getgrade(Broadsheet!BA230,data!$H$4:$I$9))</f>
        <v/>
      </c>
      <c r="CA119" s="188" t="str">
        <f>IF(ISERROR(getgrade(Broadsheet!BB230,data!$H$4:$I$9)),"#",getgrade(Broadsheet!BB230,data!$H$4:$I$9))</f>
        <v/>
      </c>
      <c r="CB119" s="188" t="str">
        <f>IF(ISERROR(getgrade(Broadsheet!BC230,data!$H$4:$I$9)),"#",getgrade(Broadsheet!BC230,data!$H$4:$I$9))</f>
        <v/>
      </c>
      <c r="CC119" s="188" t="str">
        <f>IF(ISERROR(getgrade(Broadsheet!BD230,data!$H$4:$I$9)),"#",getgrade(Broadsheet!BD230,data!$H$4:$I$9))</f>
        <v/>
      </c>
      <c r="CD119" s="188" t="str">
        <f>IF(ISERROR(getgrade(Broadsheet!BE230,data!$H$4:$I$9)),"#",getgrade(Broadsheet!BE230,data!$H$4:$I$9))</f>
        <v/>
      </c>
      <c r="CE119" s="188" t="str">
        <f>IF(ISERROR(getgrade(Broadsheet!BF230,data!$H$4:$I$9)),"#",getgrade(Broadsheet!BF230,data!$H$4:$I$9))</f>
        <v/>
      </c>
      <c r="CF119" s="188" t="str">
        <f>IF(ISERROR(getgrade(Broadsheet!BG230,data!$H$4:$I$9)),"#",getgrade(Broadsheet!BG230,data!$H$4:$I$9))</f>
        <v/>
      </c>
      <c r="CG119" s="188" t="str">
        <f>IF(ISERROR(getgrade(Broadsheet!BH230,data!$H$4:$I$9)),"#",getgrade(Broadsheet!BH230,data!$H$4:$I$9))</f>
        <v/>
      </c>
      <c r="CH119" s="188" t="str">
        <f>IF(ISERROR(getgrade(Broadsheet!BI230,data!$H$4:$I$9)),"#",getgrade(Broadsheet!BI230,data!$H$4:$I$9))</f>
        <v/>
      </c>
      <c r="CI119" s="188" t="str">
        <f>IF(ISERROR(getgrade(Broadsheet!BJ230,data!$H$4:$I$9)),"#",getgrade(Broadsheet!BJ230,data!$H$4:$I$9))</f>
        <v/>
      </c>
      <c r="CJ119" s="188"/>
      <c r="CK119" s="188"/>
      <c r="CL119" s="188"/>
      <c r="CM119" s="188"/>
      <c r="CN119" s="188"/>
      <c r="CO119" s="188"/>
      <c r="CP119" s="188"/>
      <c r="CQ119" s="188"/>
      <c r="CR119" s="188"/>
      <c r="CS119" s="188"/>
      <c r="CT119" s="188"/>
      <c r="CU119" s="188"/>
      <c r="CV119" s="188"/>
      <c r="CW119" s="188"/>
      <c r="CX119" s="188"/>
      <c r="CY119" s="188"/>
      <c r="CZ119" s="188"/>
      <c r="DA119" s="188"/>
      <c r="DB119" s="188"/>
      <c r="DC119" s="188"/>
      <c r="DD119" s="188"/>
      <c r="DE119" s="188"/>
      <c r="DF119" s="188"/>
      <c r="DG119" s="188"/>
      <c r="DH119" s="188"/>
      <c r="DI119" s="188"/>
      <c r="DJ119" s="188"/>
      <c r="DK119" s="188"/>
      <c r="DL119" s="188"/>
      <c r="DM119" s="188"/>
      <c r="DN119" s="188"/>
      <c r="DO119" s="188"/>
      <c r="DP119" s="188"/>
      <c r="DQ119" s="188"/>
      <c r="DR119" s="188"/>
      <c r="DS119" s="188"/>
      <c r="DT119" s="188"/>
      <c r="DU119" s="188"/>
      <c r="DV119" s="188"/>
      <c r="DW119" s="188"/>
      <c r="DX119" s="188"/>
      <c r="DY119" s="188"/>
      <c r="DZ119" s="188"/>
      <c r="EA119" s="188"/>
      <c r="EB119" s="188"/>
      <c r="EC119" s="188"/>
      <c r="ED119" s="188"/>
      <c r="EE119" s="188"/>
      <c r="EF119" s="188"/>
      <c r="EG119" s="188"/>
      <c r="EH119" s="188"/>
      <c r="EI119" s="188"/>
      <c r="EJ119" s="188"/>
      <c r="EK119" s="188"/>
      <c r="EL119" s="188"/>
      <c r="EM119" s="188"/>
      <c r="EN119" s="188"/>
      <c r="EO119" s="188"/>
      <c r="EP119" s="188"/>
      <c r="EQ119" s="188"/>
      <c r="ER119" s="188"/>
      <c r="ES119" s="188"/>
      <c r="ET119" s="188"/>
      <c r="EU119" s="188"/>
      <c r="EV119" s="188"/>
      <c r="EW119" s="188"/>
      <c r="EX119" s="188"/>
      <c r="EY119" s="188"/>
      <c r="EZ119" s="188"/>
    </row>
    <row r="120" spans="33:156" x14ac:dyDescent="0.2">
      <c r="AG120" s="188" t="str">
        <f>IF(ISERROR(getgrade(Broadsheet!H231,data!$H$4:$I$9)),"#",getgrade(Broadsheet!H231,data!$H$4:$I$9))</f>
        <v/>
      </c>
      <c r="AH120" s="188" t="str">
        <f>IF(ISERROR(getgrade(Broadsheet!I231,data!$H$4:$I$9)),"#",getgrade(Broadsheet!I231,data!$H$4:$I$9))</f>
        <v/>
      </c>
      <c r="AI120" s="188" t="str">
        <f>IF(ISERROR(getgrade(Broadsheet!J231,data!$H$4:$I$9)),"#",getgrade(Broadsheet!J231,data!$H$4:$I$9))</f>
        <v/>
      </c>
      <c r="AJ120" s="188" t="str">
        <f>IF(ISERROR(getgrade(Broadsheet!K231,data!$H$4:$I$9)),"#",getgrade(Broadsheet!K231,data!$H$4:$I$9))</f>
        <v/>
      </c>
      <c r="AK120" s="188" t="str">
        <f>IF(ISERROR(getgrade(Broadsheet!L231,data!$H$4:$I$9)),"#",getgrade(Broadsheet!L231,data!$H$4:$I$9))</f>
        <v/>
      </c>
      <c r="AL120" s="188" t="str">
        <f>IF(ISERROR(getgrade(Broadsheet!M231,data!$H$4:$I$9)),"#",getgrade(Broadsheet!M231,data!$H$4:$I$9))</f>
        <v/>
      </c>
      <c r="AM120" s="188" t="str">
        <f>IF(ISERROR(getgrade(Broadsheet!N231,data!$H$4:$I$9)),"#",getgrade(Broadsheet!N231,data!$H$4:$I$9))</f>
        <v/>
      </c>
      <c r="AN120" s="188" t="str">
        <f>IF(ISERROR(getgrade(Broadsheet!O231,data!$H$4:$I$9)),"#",getgrade(Broadsheet!O231,data!$H$4:$I$9))</f>
        <v/>
      </c>
      <c r="AO120" s="188" t="str">
        <f>IF(ISERROR(getgrade(Broadsheet!P231,data!$H$4:$I$9)),"#",getgrade(Broadsheet!P231,data!$H$4:$I$9))</f>
        <v/>
      </c>
      <c r="AP120" s="188" t="str">
        <f>IF(ISERROR(getgrade(Broadsheet!Q231,data!$H$4:$I$9)),"#",getgrade(Broadsheet!Q231,data!$H$4:$I$9))</f>
        <v/>
      </c>
      <c r="AQ120" s="188" t="str">
        <f>IF(ISERROR(getgrade(Broadsheet!R231,data!$H$4:$I$9)),"#",getgrade(Broadsheet!R231,data!$H$4:$I$9))</f>
        <v/>
      </c>
      <c r="AR120" s="188" t="str">
        <f>IF(ISERROR(getgrade(Broadsheet!S231,data!$H$4:$I$9)),"#",getgrade(Broadsheet!S231,data!$H$4:$I$9))</f>
        <v/>
      </c>
      <c r="AS120" s="188" t="str">
        <f>IF(ISERROR(getgrade(Broadsheet!T231,data!$H$4:$I$9)),"#",getgrade(Broadsheet!T231,data!$H$4:$I$9))</f>
        <v/>
      </c>
      <c r="AT120" s="188" t="str">
        <f>IF(ISERROR(getgrade(Broadsheet!U231,data!$H$4:$I$9)),"#",getgrade(Broadsheet!U231,data!$H$4:$I$9))</f>
        <v/>
      </c>
      <c r="AU120" s="188" t="str">
        <f>IF(ISERROR(getgrade(Broadsheet!V231,data!$H$4:$I$9)),"#",getgrade(Broadsheet!V231,data!$H$4:$I$9))</f>
        <v/>
      </c>
      <c r="AV120" s="188" t="str">
        <f>IF(ISERROR(getgrade(Broadsheet!W231,data!$H$4:$I$9)),"#",getgrade(Broadsheet!W231,data!$H$4:$I$9))</f>
        <v/>
      </c>
      <c r="AW120" s="188" t="str">
        <f>IF(ISERROR(getgrade(Broadsheet!X231,data!$H$4:$I$9)),"#",getgrade(Broadsheet!X231,data!$H$4:$I$9))</f>
        <v/>
      </c>
      <c r="AX120" s="188" t="str">
        <f>IF(ISERROR(getgrade(Broadsheet!Y231,data!$H$4:$I$9)),"#",getgrade(Broadsheet!Y231,data!$H$4:$I$9))</f>
        <v/>
      </c>
      <c r="AY120" s="188" t="str">
        <f>IF(ISERROR(getgrade(Broadsheet!Z231,data!$H$4:$I$9)),"#",getgrade(Broadsheet!Z231,data!$H$4:$I$9))</f>
        <v/>
      </c>
      <c r="AZ120" s="188" t="str">
        <f>IF(ISERROR(getgrade(Broadsheet!AA231,data!$H$4:$I$9)),"#",getgrade(Broadsheet!AA231,data!$H$4:$I$9))</f>
        <v/>
      </c>
      <c r="BA120" s="188" t="str">
        <f>IF(ISERROR(getgrade(Broadsheet!AB231,data!$H$4:$I$9)),"#",getgrade(Broadsheet!AB231,data!$H$4:$I$9))</f>
        <v/>
      </c>
      <c r="BB120" s="188" t="str">
        <f>IF(ISERROR(getgrade(Broadsheet!AC231,data!$H$4:$I$9)),"#",getgrade(Broadsheet!AC231,data!$H$4:$I$9))</f>
        <v/>
      </c>
      <c r="BC120" s="188" t="str">
        <f>IF(ISERROR(getgrade(Broadsheet!AD231,data!$H$4:$I$9)),"#",getgrade(Broadsheet!AD231,data!$H$4:$I$9))</f>
        <v/>
      </c>
      <c r="BD120" s="188" t="str">
        <f>IF(ISERROR(getgrade(Broadsheet!AE231,data!$H$4:$I$9)),"#",getgrade(Broadsheet!AE231,data!$H$4:$I$9))</f>
        <v/>
      </c>
      <c r="BE120" s="188" t="str">
        <f>IF(ISERROR(getgrade(Broadsheet!AF231,data!$H$4:$I$9)),"#",getgrade(Broadsheet!AF231,data!$H$4:$I$9))</f>
        <v/>
      </c>
      <c r="BF120" s="188" t="str">
        <f>IF(ISERROR(getgrade(Broadsheet!AG231,data!$H$4:$I$9)),"#",getgrade(Broadsheet!AG231,data!$H$4:$I$9))</f>
        <v/>
      </c>
      <c r="BG120" s="188" t="str">
        <f>IF(ISERROR(getgrade(Broadsheet!AH231,data!$H$4:$I$9)),"#",getgrade(Broadsheet!AH231,data!$H$4:$I$9))</f>
        <v/>
      </c>
      <c r="BH120" s="188" t="str">
        <f>IF(ISERROR(getgrade(Broadsheet!AI231,data!$H$4:$I$9)),"#",getgrade(Broadsheet!AI231,data!$H$4:$I$9))</f>
        <v/>
      </c>
      <c r="BI120" s="188" t="str">
        <f>IF(ISERROR(getgrade(Broadsheet!AJ231,data!$H$4:$I$9)),"#",getgrade(Broadsheet!AJ231,data!$H$4:$I$9))</f>
        <v/>
      </c>
      <c r="BJ120" s="188" t="str">
        <f>IF(ISERROR(getgrade(Broadsheet!AK231,data!$H$4:$I$9)),"#",getgrade(Broadsheet!AK231,data!$H$4:$I$9))</f>
        <v/>
      </c>
      <c r="BK120" s="188" t="str">
        <f>IF(ISERROR(getgrade(Broadsheet!AL231,data!$H$4:$I$9)),"#",getgrade(Broadsheet!AL231,data!$H$4:$I$9))</f>
        <v/>
      </c>
      <c r="BL120" s="188" t="str">
        <f>IF(ISERROR(getgrade(Broadsheet!AM231,data!$H$4:$I$9)),"#",getgrade(Broadsheet!AM231,data!$H$4:$I$9))</f>
        <v/>
      </c>
      <c r="BM120" s="188" t="str">
        <f>IF(ISERROR(getgrade(Broadsheet!AN231,data!$H$4:$I$9)),"#",getgrade(Broadsheet!AN231,data!$H$4:$I$9))</f>
        <v/>
      </c>
      <c r="BN120" s="188" t="str">
        <f>IF(ISERROR(getgrade(Broadsheet!AO231,data!$H$4:$I$9)),"#",getgrade(Broadsheet!AO231,data!$H$4:$I$9))</f>
        <v/>
      </c>
      <c r="BO120" s="188" t="str">
        <f>IF(ISERROR(getgrade(Broadsheet!AP231,data!$H$4:$I$9)),"#",getgrade(Broadsheet!AP231,data!$H$4:$I$9))</f>
        <v/>
      </c>
      <c r="BP120" s="188" t="str">
        <f>IF(ISERROR(getgrade(Broadsheet!AQ231,data!$H$4:$I$9)),"#",getgrade(Broadsheet!AQ231,data!$H$4:$I$9))</f>
        <v/>
      </c>
      <c r="BQ120" s="188" t="str">
        <f>IF(ISERROR(getgrade(Broadsheet!AR231,data!$H$4:$I$9)),"#",getgrade(Broadsheet!AR231,data!$H$4:$I$9))</f>
        <v/>
      </c>
      <c r="BR120" s="188" t="str">
        <f>IF(ISERROR(getgrade(Broadsheet!AS231,data!$H$4:$I$9)),"#",getgrade(Broadsheet!AS231,data!$H$4:$I$9))</f>
        <v/>
      </c>
      <c r="BS120" s="188" t="str">
        <f>IF(ISERROR(getgrade(Broadsheet!AT231,data!$H$4:$I$9)),"#",getgrade(Broadsheet!AT231,data!$H$4:$I$9))</f>
        <v/>
      </c>
      <c r="BT120" s="188" t="str">
        <f>IF(ISERROR(getgrade(Broadsheet!AU231,data!$H$4:$I$9)),"#",getgrade(Broadsheet!AU231,data!$H$4:$I$9))</f>
        <v/>
      </c>
      <c r="BU120" s="188" t="str">
        <f>IF(ISERROR(getgrade(Broadsheet!AV231,data!$H$4:$I$9)),"#",getgrade(Broadsheet!AV231,data!$H$4:$I$9))</f>
        <v/>
      </c>
      <c r="BV120" s="188" t="str">
        <f>IF(ISERROR(getgrade(Broadsheet!AW231,data!$H$4:$I$9)),"#",getgrade(Broadsheet!AW231,data!$H$4:$I$9))</f>
        <v/>
      </c>
      <c r="BW120" s="188" t="str">
        <f>IF(ISERROR(getgrade(Broadsheet!AX231,data!$H$4:$I$9)),"#",getgrade(Broadsheet!AX231,data!$H$4:$I$9))</f>
        <v/>
      </c>
      <c r="BX120" s="188" t="str">
        <f>IF(ISERROR(getgrade(Broadsheet!AY231,data!$H$4:$I$9)),"#",getgrade(Broadsheet!AY231,data!$H$4:$I$9))</f>
        <v/>
      </c>
      <c r="BY120" s="188" t="str">
        <f>IF(ISERROR(getgrade(Broadsheet!AZ231,data!$H$4:$I$9)),"#",getgrade(Broadsheet!AZ231,data!$H$4:$I$9))</f>
        <v/>
      </c>
      <c r="BZ120" s="188" t="str">
        <f>IF(ISERROR(getgrade(Broadsheet!BA231,data!$H$4:$I$9)),"#",getgrade(Broadsheet!BA231,data!$H$4:$I$9))</f>
        <v/>
      </c>
      <c r="CA120" s="188" t="str">
        <f>IF(ISERROR(getgrade(Broadsheet!BB231,data!$H$4:$I$9)),"#",getgrade(Broadsheet!BB231,data!$H$4:$I$9))</f>
        <v/>
      </c>
      <c r="CB120" s="188" t="str">
        <f>IF(ISERROR(getgrade(Broadsheet!BC231,data!$H$4:$I$9)),"#",getgrade(Broadsheet!BC231,data!$H$4:$I$9))</f>
        <v/>
      </c>
      <c r="CC120" s="188" t="str">
        <f>IF(ISERROR(getgrade(Broadsheet!BD231,data!$H$4:$I$9)),"#",getgrade(Broadsheet!BD231,data!$H$4:$I$9))</f>
        <v/>
      </c>
      <c r="CD120" s="188" t="str">
        <f>IF(ISERROR(getgrade(Broadsheet!BE231,data!$H$4:$I$9)),"#",getgrade(Broadsheet!BE231,data!$H$4:$I$9))</f>
        <v/>
      </c>
      <c r="CE120" s="188" t="str">
        <f>IF(ISERROR(getgrade(Broadsheet!BF231,data!$H$4:$I$9)),"#",getgrade(Broadsheet!BF231,data!$H$4:$I$9))</f>
        <v/>
      </c>
      <c r="CF120" s="188" t="str">
        <f>IF(ISERROR(getgrade(Broadsheet!BG231,data!$H$4:$I$9)),"#",getgrade(Broadsheet!BG231,data!$H$4:$I$9))</f>
        <v/>
      </c>
      <c r="CG120" s="188" t="str">
        <f>IF(ISERROR(getgrade(Broadsheet!BH231,data!$H$4:$I$9)),"#",getgrade(Broadsheet!BH231,data!$H$4:$I$9))</f>
        <v/>
      </c>
      <c r="CH120" s="188" t="str">
        <f>IF(ISERROR(getgrade(Broadsheet!BI231,data!$H$4:$I$9)),"#",getgrade(Broadsheet!BI231,data!$H$4:$I$9))</f>
        <v/>
      </c>
      <c r="CI120" s="188" t="str">
        <f>IF(ISERROR(getgrade(Broadsheet!BJ231,data!$H$4:$I$9)),"#",getgrade(Broadsheet!BJ231,data!$H$4:$I$9))</f>
        <v/>
      </c>
      <c r="CJ120" s="188"/>
      <c r="CK120" s="188"/>
      <c r="CL120" s="188"/>
      <c r="CM120" s="188"/>
      <c r="CN120" s="188"/>
      <c r="CO120" s="188"/>
      <c r="CP120" s="188"/>
      <c r="CQ120" s="188"/>
      <c r="CR120" s="188"/>
      <c r="CS120" s="188"/>
      <c r="CT120" s="188"/>
      <c r="CU120" s="188"/>
      <c r="CV120" s="188"/>
      <c r="CW120" s="188"/>
      <c r="CX120" s="188"/>
      <c r="CY120" s="188"/>
      <c r="CZ120" s="188"/>
      <c r="DA120" s="188"/>
      <c r="DB120" s="188"/>
      <c r="DC120" s="188"/>
      <c r="DD120" s="188"/>
      <c r="DE120" s="188"/>
      <c r="DF120" s="188"/>
      <c r="DG120" s="188"/>
      <c r="DH120" s="188"/>
      <c r="DI120" s="188"/>
      <c r="DJ120" s="188"/>
      <c r="DK120" s="188"/>
      <c r="DL120" s="188"/>
      <c r="DM120" s="188"/>
      <c r="DN120" s="188"/>
      <c r="DO120" s="188"/>
      <c r="DP120" s="188"/>
      <c r="DQ120" s="188"/>
      <c r="DR120" s="188"/>
      <c r="DS120" s="188"/>
      <c r="DT120" s="188"/>
      <c r="DU120" s="188"/>
      <c r="DV120" s="188"/>
      <c r="DW120" s="188"/>
      <c r="DX120" s="188"/>
      <c r="DY120" s="188"/>
      <c r="DZ120" s="188"/>
      <c r="EA120" s="188"/>
      <c r="EB120" s="188"/>
      <c r="EC120" s="188"/>
      <c r="ED120" s="188"/>
      <c r="EE120" s="188"/>
      <c r="EF120" s="188"/>
      <c r="EG120" s="188"/>
      <c r="EH120" s="188"/>
      <c r="EI120" s="188"/>
      <c r="EJ120" s="188"/>
      <c r="EK120" s="188"/>
      <c r="EL120" s="188"/>
      <c r="EM120" s="188"/>
      <c r="EN120" s="188"/>
      <c r="EO120" s="188"/>
      <c r="EP120" s="188"/>
      <c r="EQ120" s="188"/>
      <c r="ER120" s="188"/>
      <c r="ES120" s="188"/>
      <c r="ET120" s="188"/>
      <c r="EU120" s="188"/>
      <c r="EV120" s="188"/>
      <c r="EW120" s="188"/>
      <c r="EX120" s="188"/>
      <c r="EY120" s="188"/>
      <c r="EZ120" s="188"/>
    </row>
    <row r="121" spans="33:156" x14ac:dyDescent="0.2">
      <c r="AG121" s="188" t="str">
        <f>IF(ISERROR(getgrade(Broadsheet!H232,data!$H$4:$I$9)),"#",getgrade(Broadsheet!H232,data!$H$4:$I$9))</f>
        <v/>
      </c>
      <c r="AH121" s="188" t="str">
        <f>IF(ISERROR(getgrade(Broadsheet!I232,data!$H$4:$I$9)),"#",getgrade(Broadsheet!I232,data!$H$4:$I$9))</f>
        <v/>
      </c>
      <c r="AI121" s="188" t="str">
        <f>IF(ISERROR(getgrade(Broadsheet!J232,data!$H$4:$I$9)),"#",getgrade(Broadsheet!J232,data!$H$4:$I$9))</f>
        <v/>
      </c>
      <c r="AJ121" s="188" t="str">
        <f>IF(ISERROR(getgrade(Broadsheet!K232,data!$H$4:$I$9)),"#",getgrade(Broadsheet!K232,data!$H$4:$I$9))</f>
        <v/>
      </c>
      <c r="AK121" s="188" t="str">
        <f>IF(ISERROR(getgrade(Broadsheet!L232,data!$H$4:$I$9)),"#",getgrade(Broadsheet!L232,data!$H$4:$I$9))</f>
        <v/>
      </c>
      <c r="AL121" s="188" t="str">
        <f>IF(ISERROR(getgrade(Broadsheet!M232,data!$H$4:$I$9)),"#",getgrade(Broadsheet!M232,data!$H$4:$I$9))</f>
        <v/>
      </c>
      <c r="AM121" s="188" t="str">
        <f>IF(ISERROR(getgrade(Broadsheet!N232,data!$H$4:$I$9)),"#",getgrade(Broadsheet!N232,data!$H$4:$I$9))</f>
        <v/>
      </c>
      <c r="AN121" s="188" t="str">
        <f>IF(ISERROR(getgrade(Broadsheet!O232,data!$H$4:$I$9)),"#",getgrade(Broadsheet!O232,data!$H$4:$I$9))</f>
        <v/>
      </c>
      <c r="AO121" s="188" t="str">
        <f>IF(ISERROR(getgrade(Broadsheet!P232,data!$H$4:$I$9)),"#",getgrade(Broadsheet!P232,data!$H$4:$I$9))</f>
        <v/>
      </c>
      <c r="AP121" s="188" t="str">
        <f>IF(ISERROR(getgrade(Broadsheet!Q232,data!$H$4:$I$9)),"#",getgrade(Broadsheet!Q232,data!$H$4:$I$9))</f>
        <v/>
      </c>
      <c r="AQ121" s="188" t="str">
        <f>IF(ISERROR(getgrade(Broadsheet!R232,data!$H$4:$I$9)),"#",getgrade(Broadsheet!R232,data!$H$4:$I$9))</f>
        <v/>
      </c>
      <c r="AR121" s="188" t="str">
        <f>IF(ISERROR(getgrade(Broadsheet!S232,data!$H$4:$I$9)),"#",getgrade(Broadsheet!S232,data!$H$4:$I$9))</f>
        <v/>
      </c>
      <c r="AS121" s="188" t="str">
        <f>IF(ISERROR(getgrade(Broadsheet!T232,data!$H$4:$I$9)),"#",getgrade(Broadsheet!T232,data!$H$4:$I$9))</f>
        <v/>
      </c>
      <c r="AT121" s="188" t="str">
        <f>IF(ISERROR(getgrade(Broadsheet!U232,data!$H$4:$I$9)),"#",getgrade(Broadsheet!U232,data!$H$4:$I$9))</f>
        <v/>
      </c>
      <c r="AU121" s="188" t="str">
        <f>IF(ISERROR(getgrade(Broadsheet!V232,data!$H$4:$I$9)),"#",getgrade(Broadsheet!V232,data!$H$4:$I$9))</f>
        <v/>
      </c>
      <c r="AV121" s="188" t="str">
        <f>IF(ISERROR(getgrade(Broadsheet!W232,data!$H$4:$I$9)),"#",getgrade(Broadsheet!W232,data!$H$4:$I$9))</f>
        <v/>
      </c>
      <c r="AW121" s="188" t="str">
        <f>IF(ISERROR(getgrade(Broadsheet!X232,data!$H$4:$I$9)),"#",getgrade(Broadsheet!X232,data!$H$4:$I$9))</f>
        <v/>
      </c>
      <c r="AX121" s="188" t="str">
        <f>IF(ISERROR(getgrade(Broadsheet!Y232,data!$H$4:$I$9)),"#",getgrade(Broadsheet!Y232,data!$H$4:$I$9))</f>
        <v/>
      </c>
      <c r="AY121" s="188" t="str">
        <f>IF(ISERROR(getgrade(Broadsheet!Z232,data!$H$4:$I$9)),"#",getgrade(Broadsheet!Z232,data!$H$4:$I$9))</f>
        <v/>
      </c>
      <c r="AZ121" s="188" t="str">
        <f>IF(ISERROR(getgrade(Broadsheet!AA232,data!$H$4:$I$9)),"#",getgrade(Broadsheet!AA232,data!$H$4:$I$9))</f>
        <v/>
      </c>
      <c r="BA121" s="188" t="str">
        <f>IF(ISERROR(getgrade(Broadsheet!AB232,data!$H$4:$I$9)),"#",getgrade(Broadsheet!AB232,data!$H$4:$I$9))</f>
        <v/>
      </c>
      <c r="BB121" s="188" t="str">
        <f>IF(ISERROR(getgrade(Broadsheet!AC232,data!$H$4:$I$9)),"#",getgrade(Broadsheet!AC232,data!$H$4:$I$9))</f>
        <v/>
      </c>
      <c r="BC121" s="188" t="str">
        <f>IF(ISERROR(getgrade(Broadsheet!AD232,data!$H$4:$I$9)),"#",getgrade(Broadsheet!AD232,data!$H$4:$I$9))</f>
        <v/>
      </c>
      <c r="BD121" s="188" t="str">
        <f>IF(ISERROR(getgrade(Broadsheet!AE232,data!$H$4:$I$9)),"#",getgrade(Broadsheet!AE232,data!$H$4:$I$9))</f>
        <v/>
      </c>
      <c r="BE121" s="188" t="str">
        <f>IF(ISERROR(getgrade(Broadsheet!AF232,data!$H$4:$I$9)),"#",getgrade(Broadsheet!AF232,data!$H$4:$I$9))</f>
        <v/>
      </c>
      <c r="BF121" s="188" t="str">
        <f>IF(ISERROR(getgrade(Broadsheet!AG232,data!$H$4:$I$9)),"#",getgrade(Broadsheet!AG232,data!$H$4:$I$9))</f>
        <v/>
      </c>
      <c r="BG121" s="188" t="str">
        <f>IF(ISERROR(getgrade(Broadsheet!AH232,data!$H$4:$I$9)),"#",getgrade(Broadsheet!AH232,data!$H$4:$I$9))</f>
        <v/>
      </c>
      <c r="BH121" s="188" t="str">
        <f>IF(ISERROR(getgrade(Broadsheet!AI232,data!$H$4:$I$9)),"#",getgrade(Broadsheet!AI232,data!$H$4:$I$9))</f>
        <v/>
      </c>
      <c r="BI121" s="188" t="str">
        <f>IF(ISERROR(getgrade(Broadsheet!AJ232,data!$H$4:$I$9)),"#",getgrade(Broadsheet!AJ232,data!$H$4:$I$9))</f>
        <v/>
      </c>
      <c r="BJ121" s="188" t="str">
        <f>IF(ISERROR(getgrade(Broadsheet!AK232,data!$H$4:$I$9)),"#",getgrade(Broadsheet!AK232,data!$H$4:$I$9))</f>
        <v/>
      </c>
      <c r="BK121" s="188" t="str">
        <f>IF(ISERROR(getgrade(Broadsheet!AL232,data!$H$4:$I$9)),"#",getgrade(Broadsheet!AL232,data!$H$4:$I$9))</f>
        <v/>
      </c>
      <c r="BL121" s="188" t="str">
        <f>IF(ISERROR(getgrade(Broadsheet!AM232,data!$H$4:$I$9)),"#",getgrade(Broadsheet!AM232,data!$H$4:$I$9))</f>
        <v/>
      </c>
      <c r="BM121" s="188" t="str">
        <f>IF(ISERROR(getgrade(Broadsheet!AN232,data!$H$4:$I$9)),"#",getgrade(Broadsheet!AN232,data!$H$4:$I$9))</f>
        <v/>
      </c>
      <c r="BN121" s="188" t="str">
        <f>IF(ISERROR(getgrade(Broadsheet!AO232,data!$H$4:$I$9)),"#",getgrade(Broadsheet!AO232,data!$H$4:$I$9))</f>
        <v/>
      </c>
      <c r="BO121" s="188" t="str">
        <f>IF(ISERROR(getgrade(Broadsheet!AP232,data!$H$4:$I$9)),"#",getgrade(Broadsheet!AP232,data!$H$4:$I$9))</f>
        <v/>
      </c>
      <c r="BP121" s="188" t="str">
        <f>IF(ISERROR(getgrade(Broadsheet!AQ232,data!$H$4:$I$9)),"#",getgrade(Broadsheet!AQ232,data!$H$4:$I$9))</f>
        <v/>
      </c>
      <c r="BQ121" s="188" t="str">
        <f>IF(ISERROR(getgrade(Broadsheet!AR232,data!$H$4:$I$9)),"#",getgrade(Broadsheet!AR232,data!$H$4:$I$9))</f>
        <v/>
      </c>
      <c r="BR121" s="188" t="str">
        <f>IF(ISERROR(getgrade(Broadsheet!AS232,data!$H$4:$I$9)),"#",getgrade(Broadsheet!AS232,data!$H$4:$I$9))</f>
        <v/>
      </c>
      <c r="BS121" s="188" t="str">
        <f>IF(ISERROR(getgrade(Broadsheet!AT232,data!$H$4:$I$9)),"#",getgrade(Broadsheet!AT232,data!$H$4:$I$9))</f>
        <v/>
      </c>
      <c r="BT121" s="188" t="str">
        <f>IF(ISERROR(getgrade(Broadsheet!AU232,data!$H$4:$I$9)),"#",getgrade(Broadsheet!AU232,data!$H$4:$I$9))</f>
        <v/>
      </c>
      <c r="BU121" s="188" t="str">
        <f>IF(ISERROR(getgrade(Broadsheet!AV232,data!$H$4:$I$9)),"#",getgrade(Broadsheet!AV232,data!$H$4:$I$9))</f>
        <v/>
      </c>
      <c r="BV121" s="188" t="str">
        <f>IF(ISERROR(getgrade(Broadsheet!AW232,data!$H$4:$I$9)),"#",getgrade(Broadsheet!AW232,data!$H$4:$I$9))</f>
        <v/>
      </c>
      <c r="BW121" s="188" t="str">
        <f>IF(ISERROR(getgrade(Broadsheet!AX232,data!$H$4:$I$9)),"#",getgrade(Broadsheet!AX232,data!$H$4:$I$9))</f>
        <v/>
      </c>
      <c r="BX121" s="188" t="str">
        <f>IF(ISERROR(getgrade(Broadsheet!AY232,data!$H$4:$I$9)),"#",getgrade(Broadsheet!AY232,data!$H$4:$I$9))</f>
        <v/>
      </c>
      <c r="BY121" s="188" t="str">
        <f>IF(ISERROR(getgrade(Broadsheet!AZ232,data!$H$4:$I$9)),"#",getgrade(Broadsheet!AZ232,data!$H$4:$I$9))</f>
        <v/>
      </c>
      <c r="BZ121" s="188" t="str">
        <f>IF(ISERROR(getgrade(Broadsheet!BA232,data!$H$4:$I$9)),"#",getgrade(Broadsheet!BA232,data!$H$4:$I$9))</f>
        <v/>
      </c>
      <c r="CA121" s="188" t="str">
        <f>IF(ISERROR(getgrade(Broadsheet!BB232,data!$H$4:$I$9)),"#",getgrade(Broadsheet!BB232,data!$H$4:$I$9))</f>
        <v/>
      </c>
      <c r="CB121" s="188" t="str">
        <f>IF(ISERROR(getgrade(Broadsheet!BC232,data!$H$4:$I$9)),"#",getgrade(Broadsheet!BC232,data!$H$4:$I$9))</f>
        <v/>
      </c>
      <c r="CC121" s="188" t="str">
        <f>IF(ISERROR(getgrade(Broadsheet!BD232,data!$H$4:$I$9)),"#",getgrade(Broadsheet!BD232,data!$H$4:$I$9))</f>
        <v/>
      </c>
      <c r="CD121" s="188" t="str">
        <f>IF(ISERROR(getgrade(Broadsheet!BE232,data!$H$4:$I$9)),"#",getgrade(Broadsheet!BE232,data!$H$4:$I$9))</f>
        <v/>
      </c>
      <c r="CE121" s="188" t="str">
        <f>IF(ISERROR(getgrade(Broadsheet!BF232,data!$H$4:$I$9)),"#",getgrade(Broadsheet!BF232,data!$H$4:$I$9))</f>
        <v/>
      </c>
      <c r="CF121" s="188" t="str">
        <f>IF(ISERROR(getgrade(Broadsheet!BG232,data!$H$4:$I$9)),"#",getgrade(Broadsheet!BG232,data!$H$4:$I$9))</f>
        <v/>
      </c>
      <c r="CG121" s="188" t="str">
        <f>IF(ISERROR(getgrade(Broadsheet!BH232,data!$H$4:$I$9)),"#",getgrade(Broadsheet!BH232,data!$H$4:$I$9))</f>
        <v/>
      </c>
      <c r="CH121" s="188" t="str">
        <f>IF(ISERROR(getgrade(Broadsheet!BI232,data!$H$4:$I$9)),"#",getgrade(Broadsheet!BI232,data!$H$4:$I$9))</f>
        <v/>
      </c>
      <c r="CI121" s="188" t="str">
        <f>IF(ISERROR(getgrade(Broadsheet!BJ232,data!$H$4:$I$9)),"#",getgrade(Broadsheet!BJ232,data!$H$4:$I$9))</f>
        <v/>
      </c>
      <c r="CJ121" s="188"/>
      <c r="CK121" s="188"/>
      <c r="CL121" s="188"/>
      <c r="CM121" s="188"/>
      <c r="CN121" s="188"/>
      <c r="CO121" s="188"/>
      <c r="CP121" s="188"/>
      <c r="CQ121" s="188"/>
      <c r="CR121" s="188"/>
      <c r="CS121" s="188"/>
      <c r="CT121" s="188"/>
      <c r="CU121" s="188"/>
      <c r="CV121" s="188"/>
      <c r="CW121" s="188"/>
      <c r="CX121" s="188"/>
      <c r="CY121" s="188"/>
      <c r="CZ121" s="188"/>
      <c r="DA121" s="188"/>
      <c r="DB121" s="188"/>
      <c r="DC121" s="188"/>
      <c r="DD121" s="188"/>
      <c r="DE121" s="188"/>
      <c r="DF121" s="188"/>
      <c r="DG121" s="188"/>
      <c r="DH121" s="188"/>
      <c r="DI121" s="188"/>
      <c r="DJ121" s="188"/>
      <c r="DK121" s="188"/>
      <c r="DL121" s="188"/>
      <c r="DM121" s="188"/>
      <c r="DN121" s="188"/>
      <c r="DO121" s="188"/>
      <c r="DP121" s="188"/>
      <c r="DQ121" s="188"/>
      <c r="DR121" s="188"/>
      <c r="DS121" s="188"/>
      <c r="DT121" s="188"/>
      <c r="DU121" s="188"/>
      <c r="DV121" s="188"/>
      <c r="DW121" s="188"/>
      <c r="DX121" s="188"/>
      <c r="DY121" s="188"/>
      <c r="DZ121" s="188"/>
      <c r="EA121" s="188"/>
      <c r="EB121" s="188"/>
      <c r="EC121" s="188"/>
      <c r="ED121" s="188"/>
      <c r="EE121" s="188"/>
      <c r="EF121" s="188"/>
      <c r="EG121" s="188"/>
      <c r="EH121" s="188"/>
      <c r="EI121" s="188"/>
      <c r="EJ121" s="188"/>
      <c r="EK121" s="188"/>
      <c r="EL121" s="188"/>
      <c r="EM121" s="188"/>
      <c r="EN121" s="188"/>
      <c r="EO121" s="188"/>
      <c r="EP121" s="188"/>
      <c r="EQ121" s="188"/>
      <c r="ER121" s="188"/>
      <c r="ES121" s="188"/>
      <c r="ET121" s="188"/>
      <c r="EU121" s="188"/>
      <c r="EV121" s="188"/>
      <c r="EW121" s="188"/>
      <c r="EX121" s="188"/>
      <c r="EY121" s="188"/>
      <c r="EZ121" s="188"/>
    </row>
    <row r="122" spans="33:156" x14ac:dyDescent="0.2">
      <c r="AG122" s="188" t="str">
        <f>IF(ISERROR(getgrade(Broadsheet!H233,data!$H$4:$I$9)),"#",getgrade(Broadsheet!H233,data!$H$4:$I$9))</f>
        <v/>
      </c>
      <c r="AH122" s="188" t="str">
        <f>IF(ISERROR(getgrade(Broadsheet!I233,data!$H$4:$I$9)),"#",getgrade(Broadsheet!I233,data!$H$4:$I$9))</f>
        <v/>
      </c>
      <c r="AI122" s="188" t="str">
        <f>IF(ISERROR(getgrade(Broadsheet!J233,data!$H$4:$I$9)),"#",getgrade(Broadsheet!J233,data!$H$4:$I$9))</f>
        <v/>
      </c>
      <c r="AJ122" s="188" t="str">
        <f>IF(ISERROR(getgrade(Broadsheet!K233,data!$H$4:$I$9)),"#",getgrade(Broadsheet!K233,data!$H$4:$I$9))</f>
        <v/>
      </c>
      <c r="AK122" s="188" t="str">
        <f>IF(ISERROR(getgrade(Broadsheet!L233,data!$H$4:$I$9)),"#",getgrade(Broadsheet!L233,data!$H$4:$I$9))</f>
        <v/>
      </c>
      <c r="AL122" s="188" t="str">
        <f>IF(ISERROR(getgrade(Broadsheet!M233,data!$H$4:$I$9)),"#",getgrade(Broadsheet!M233,data!$H$4:$I$9))</f>
        <v/>
      </c>
      <c r="AM122" s="188" t="str">
        <f>IF(ISERROR(getgrade(Broadsheet!N233,data!$H$4:$I$9)),"#",getgrade(Broadsheet!N233,data!$H$4:$I$9))</f>
        <v/>
      </c>
      <c r="AN122" s="188" t="str">
        <f>IF(ISERROR(getgrade(Broadsheet!O233,data!$H$4:$I$9)),"#",getgrade(Broadsheet!O233,data!$H$4:$I$9))</f>
        <v/>
      </c>
      <c r="AO122" s="188" t="str">
        <f>IF(ISERROR(getgrade(Broadsheet!P233,data!$H$4:$I$9)),"#",getgrade(Broadsheet!P233,data!$H$4:$I$9))</f>
        <v/>
      </c>
      <c r="AP122" s="188" t="str">
        <f>IF(ISERROR(getgrade(Broadsheet!Q233,data!$H$4:$I$9)),"#",getgrade(Broadsheet!Q233,data!$H$4:$I$9))</f>
        <v/>
      </c>
      <c r="AQ122" s="188" t="str">
        <f>IF(ISERROR(getgrade(Broadsheet!R233,data!$H$4:$I$9)),"#",getgrade(Broadsheet!R233,data!$H$4:$I$9))</f>
        <v/>
      </c>
      <c r="AR122" s="188" t="str">
        <f>IF(ISERROR(getgrade(Broadsheet!S233,data!$H$4:$I$9)),"#",getgrade(Broadsheet!S233,data!$H$4:$I$9))</f>
        <v/>
      </c>
      <c r="AS122" s="188" t="str">
        <f>IF(ISERROR(getgrade(Broadsheet!T233,data!$H$4:$I$9)),"#",getgrade(Broadsheet!T233,data!$H$4:$I$9))</f>
        <v/>
      </c>
      <c r="AT122" s="188" t="str">
        <f>IF(ISERROR(getgrade(Broadsheet!U233,data!$H$4:$I$9)),"#",getgrade(Broadsheet!U233,data!$H$4:$I$9))</f>
        <v/>
      </c>
      <c r="AU122" s="188" t="str">
        <f>IF(ISERROR(getgrade(Broadsheet!V233,data!$H$4:$I$9)),"#",getgrade(Broadsheet!V233,data!$H$4:$I$9))</f>
        <v/>
      </c>
      <c r="AV122" s="188" t="str">
        <f>IF(ISERROR(getgrade(Broadsheet!W233,data!$H$4:$I$9)),"#",getgrade(Broadsheet!W233,data!$H$4:$I$9))</f>
        <v/>
      </c>
      <c r="AW122" s="188" t="str">
        <f>IF(ISERROR(getgrade(Broadsheet!X233,data!$H$4:$I$9)),"#",getgrade(Broadsheet!X233,data!$H$4:$I$9))</f>
        <v/>
      </c>
      <c r="AX122" s="188" t="str">
        <f>IF(ISERROR(getgrade(Broadsheet!Y233,data!$H$4:$I$9)),"#",getgrade(Broadsheet!Y233,data!$H$4:$I$9))</f>
        <v/>
      </c>
      <c r="AY122" s="188" t="str">
        <f>IF(ISERROR(getgrade(Broadsheet!Z233,data!$H$4:$I$9)),"#",getgrade(Broadsheet!Z233,data!$H$4:$I$9))</f>
        <v/>
      </c>
      <c r="AZ122" s="188" t="str">
        <f>IF(ISERROR(getgrade(Broadsheet!AA233,data!$H$4:$I$9)),"#",getgrade(Broadsheet!AA233,data!$H$4:$I$9))</f>
        <v/>
      </c>
      <c r="BA122" s="188" t="str">
        <f>IF(ISERROR(getgrade(Broadsheet!AB233,data!$H$4:$I$9)),"#",getgrade(Broadsheet!AB233,data!$H$4:$I$9))</f>
        <v/>
      </c>
      <c r="BB122" s="188" t="str">
        <f>IF(ISERROR(getgrade(Broadsheet!AC233,data!$H$4:$I$9)),"#",getgrade(Broadsheet!AC233,data!$H$4:$I$9))</f>
        <v/>
      </c>
      <c r="BC122" s="188" t="str">
        <f>IF(ISERROR(getgrade(Broadsheet!AD233,data!$H$4:$I$9)),"#",getgrade(Broadsheet!AD233,data!$H$4:$I$9))</f>
        <v/>
      </c>
      <c r="BD122" s="188" t="str">
        <f>IF(ISERROR(getgrade(Broadsheet!AE233,data!$H$4:$I$9)),"#",getgrade(Broadsheet!AE233,data!$H$4:$I$9))</f>
        <v/>
      </c>
      <c r="BE122" s="188" t="str">
        <f>IF(ISERROR(getgrade(Broadsheet!AF233,data!$H$4:$I$9)),"#",getgrade(Broadsheet!AF233,data!$H$4:$I$9))</f>
        <v/>
      </c>
      <c r="BF122" s="188" t="str">
        <f>IF(ISERROR(getgrade(Broadsheet!AG233,data!$H$4:$I$9)),"#",getgrade(Broadsheet!AG233,data!$H$4:$I$9))</f>
        <v/>
      </c>
      <c r="BG122" s="188" t="str">
        <f>IF(ISERROR(getgrade(Broadsheet!AH233,data!$H$4:$I$9)),"#",getgrade(Broadsheet!AH233,data!$H$4:$I$9))</f>
        <v/>
      </c>
      <c r="BH122" s="188" t="str">
        <f>IF(ISERROR(getgrade(Broadsheet!AI233,data!$H$4:$I$9)),"#",getgrade(Broadsheet!AI233,data!$H$4:$I$9))</f>
        <v/>
      </c>
      <c r="BI122" s="188" t="str">
        <f>IF(ISERROR(getgrade(Broadsheet!AJ233,data!$H$4:$I$9)),"#",getgrade(Broadsheet!AJ233,data!$H$4:$I$9))</f>
        <v/>
      </c>
      <c r="BJ122" s="188" t="str">
        <f>IF(ISERROR(getgrade(Broadsheet!AK233,data!$H$4:$I$9)),"#",getgrade(Broadsheet!AK233,data!$H$4:$I$9))</f>
        <v/>
      </c>
      <c r="BK122" s="188" t="str">
        <f>IF(ISERROR(getgrade(Broadsheet!AL233,data!$H$4:$I$9)),"#",getgrade(Broadsheet!AL233,data!$H$4:$I$9))</f>
        <v/>
      </c>
      <c r="BL122" s="188" t="str">
        <f>IF(ISERROR(getgrade(Broadsheet!AM233,data!$H$4:$I$9)),"#",getgrade(Broadsheet!AM233,data!$H$4:$I$9))</f>
        <v/>
      </c>
      <c r="BM122" s="188" t="str">
        <f>IF(ISERROR(getgrade(Broadsheet!AN233,data!$H$4:$I$9)),"#",getgrade(Broadsheet!AN233,data!$H$4:$I$9))</f>
        <v/>
      </c>
      <c r="BN122" s="188" t="str">
        <f>IF(ISERROR(getgrade(Broadsheet!AO233,data!$H$4:$I$9)),"#",getgrade(Broadsheet!AO233,data!$H$4:$I$9))</f>
        <v/>
      </c>
      <c r="BO122" s="188" t="str">
        <f>IF(ISERROR(getgrade(Broadsheet!AP233,data!$H$4:$I$9)),"#",getgrade(Broadsheet!AP233,data!$H$4:$I$9))</f>
        <v/>
      </c>
      <c r="BP122" s="188" t="str">
        <f>IF(ISERROR(getgrade(Broadsheet!AQ233,data!$H$4:$I$9)),"#",getgrade(Broadsheet!AQ233,data!$H$4:$I$9))</f>
        <v/>
      </c>
      <c r="BQ122" s="188" t="str">
        <f>IF(ISERROR(getgrade(Broadsheet!AR233,data!$H$4:$I$9)),"#",getgrade(Broadsheet!AR233,data!$H$4:$I$9))</f>
        <v/>
      </c>
      <c r="BR122" s="188" t="str">
        <f>IF(ISERROR(getgrade(Broadsheet!AS233,data!$H$4:$I$9)),"#",getgrade(Broadsheet!AS233,data!$H$4:$I$9))</f>
        <v/>
      </c>
      <c r="BS122" s="188" t="str">
        <f>IF(ISERROR(getgrade(Broadsheet!AT233,data!$H$4:$I$9)),"#",getgrade(Broadsheet!AT233,data!$H$4:$I$9))</f>
        <v/>
      </c>
      <c r="BT122" s="188" t="str">
        <f>IF(ISERROR(getgrade(Broadsheet!AU233,data!$H$4:$I$9)),"#",getgrade(Broadsheet!AU233,data!$H$4:$I$9))</f>
        <v/>
      </c>
      <c r="BU122" s="188" t="str">
        <f>IF(ISERROR(getgrade(Broadsheet!AV233,data!$H$4:$I$9)),"#",getgrade(Broadsheet!AV233,data!$H$4:$I$9))</f>
        <v/>
      </c>
      <c r="BV122" s="188" t="str">
        <f>IF(ISERROR(getgrade(Broadsheet!AW233,data!$H$4:$I$9)),"#",getgrade(Broadsheet!AW233,data!$H$4:$I$9))</f>
        <v/>
      </c>
      <c r="BW122" s="188" t="str">
        <f>IF(ISERROR(getgrade(Broadsheet!AX233,data!$H$4:$I$9)),"#",getgrade(Broadsheet!AX233,data!$H$4:$I$9))</f>
        <v/>
      </c>
      <c r="BX122" s="188" t="str">
        <f>IF(ISERROR(getgrade(Broadsheet!AY233,data!$H$4:$I$9)),"#",getgrade(Broadsheet!AY233,data!$H$4:$I$9))</f>
        <v/>
      </c>
      <c r="BY122" s="188" t="str">
        <f>IF(ISERROR(getgrade(Broadsheet!AZ233,data!$H$4:$I$9)),"#",getgrade(Broadsheet!AZ233,data!$H$4:$I$9))</f>
        <v/>
      </c>
      <c r="BZ122" s="188" t="str">
        <f>IF(ISERROR(getgrade(Broadsheet!BA233,data!$H$4:$I$9)),"#",getgrade(Broadsheet!BA233,data!$H$4:$I$9))</f>
        <v/>
      </c>
      <c r="CA122" s="188" t="str">
        <f>IF(ISERROR(getgrade(Broadsheet!BB233,data!$H$4:$I$9)),"#",getgrade(Broadsheet!BB233,data!$H$4:$I$9))</f>
        <v/>
      </c>
      <c r="CB122" s="188" t="str">
        <f>IF(ISERROR(getgrade(Broadsheet!BC233,data!$H$4:$I$9)),"#",getgrade(Broadsheet!BC233,data!$H$4:$I$9))</f>
        <v/>
      </c>
      <c r="CC122" s="188" t="str">
        <f>IF(ISERROR(getgrade(Broadsheet!BD233,data!$H$4:$I$9)),"#",getgrade(Broadsheet!BD233,data!$H$4:$I$9))</f>
        <v/>
      </c>
      <c r="CD122" s="188" t="str">
        <f>IF(ISERROR(getgrade(Broadsheet!BE233,data!$H$4:$I$9)),"#",getgrade(Broadsheet!BE233,data!$H$4:$I$9))</f>
        <v/>
      </c>
      <c r="CE122" s="188" t="str">
        <f>IF(ISERROR(getgrade(Broadsheet!BF233,data!$H$4:$I$9)),"#",getgrade(Broadsheet!BF233,data!$H$4:$I$9))</f>
        <v/>
      </c>
      <c r="CF122" s="188" t="str">
        <f>IF(ISERROR(getgrade(Broadsheet!BG233,data!$H$4:$I$9)),"#",getgrade(Broadsheet!BG233,data!$H$4:$I$9))</f>
        <v/>
      </c>
      <c r="CG122" s="188" t="str">
        <f>IF(ISERROR(getgrade(Broadsheet!BH233,data!$H$4:$I$9)),"#",getgrade(Broadsheet!BH233,data!$H$4:$I$9))</f>
        <v/>
      </c>
      <c r="CH122" s="188" t="str">
        <f>IF(ISERROR(getgrade(Broadsheet!BI233,data!$H$4:$I$9)),"#",getgrade(Broadsheet!BI233,data!$H$4:$I$9))</f>
        <v/>
      </c>
      <c r="CI122" s="188" t="str">
        <f>IF(ISERROR(getgrade(Broadsheet!BJ233,data!$H$4:$I$9)),"#",getgrade(Broadsheet!BJ233,data!$H$4:$I$9))</f>
        <v/>
      </c>
      <c r="CJ122" s="188"/>
      <c r="CK122" s="188"/>
      <c r="CL122" s="188"/>
      <c r="CM122" s="188"/>
      <c r="CN122" s="188"/>
      <c r="CO122" s="188"/>
      <c r="CP122" s="188"/>
      <c r="CQ122" s="188"/>
      <c r="CR122" s="188"/>
      <c r="CS122" s="188"/>
      <c r="CT122" s="188"/>
      <c r="CU122" s="188"/>
      <c r="CV122" s="188"/>
      <c r="CW122" s="188"/>
      <c r="CX122" s="188"/>
      <c r="CY122" s="188"/>
      <c r="CZ122" s="188"/>
      <c r="DA122" s="188"/>
      <c r="DB122" s="188"/>
      <c r="DC122" s="188"/>
      <c r="DD122" s="188"/>
      <c r="DE122" s="188"/>
      <c r="DF122" s="188"/>
      <c r="DG122" s="188"/>
      <c r="DH122" s="188"/>
      <c r="DI122" s="188"/>
      <c r="DJ122" s="188"/>
      <c r="DK122" s="188"/>
      <c r="DL122" s="188"/>
      <c r="DM122" s="188"/>
      <c r="DN122" s="188"/>
      <c r="DO122" s="188"/>
      <c r="DP122" s="188"/>
      <c r="DQ122" s="188"/>
      <c r="DR122" s="188"/>
      <c r="DS122" s="188"/>
      <c r="DT122" s="188"/>
      <c r="DU122" s="188"/>
      <c r="DV122" s="188"/>
      <c r="DW122" s="188"/>
      <c r="DX122" s="188"/>
      <c r="DY122" s="188"/>
      <c r="DZ122" s="188"/>
      <c r="EA122" s="188"/>
      <c r="EB122" s="188"/>
      <c r="EC122" s="188"/>
      <c r="ED122" s="188"/>
      <c r="EE122" s="188"/>
      <c r="EF122" s="188"/>
      <c r="EG122" s="188"/>
      <c r="EH122" s="188"/>
      <c r="EI122" s="188"/>
      <c r="EJ122" s="188"/>
      <c r="EK122" s="188"/>
      <c r="EL122" s="188"/>
      <c r="EM122" s="188"/>
      <c r="EN122" s="188"/>
      <c r="EO122" s="188"/>
      <c r="EP122" s="188"/>
      <c r="EQ122" s="188"/>
      <c r="ER122" s="188"/>
      <c r="ES122" s="188"/>
      <c r="ET122" s="188"/>
      <c r="EU122" s="188"/>
      <c r="EV122" s="188"/>
      <c r="EW122" s="188"/>
      <c r="EX122" s="188"/>
      <c r="EY122" s="188"/>
      <c r="EZ122" s="188"/>
    </row>
    <row r="123" spans="33:156" x14ac:dyDescent="0.2">
      <c r="AG123" s="188" t="str">
        <f>IF(ISERROR(getgrade(Broadsheet!H234,data!$H$4:$I$9)),"#",getgrade(Broadsheet!H234,data!$H$4:$I$9))</f>
        <v/>
      </c>
      <c r="AH123" s="188" t="str">
        <f>IF(ISERROR(getgrade(Broadsheet!I234,data!$H$4:$I$9)),"#",getgrade(Broadsheet!I234,data!$H$4:$I$9))</f>
        <v/>
      </c>
      <c r="AI123" s="188" t="str">
        <f>IF(ISERROR(getgrade(Broadsheet!J234,data!$H$4:$I$9)),"#",getgrade(Broadsheet!J234,data!$H$4:$I$9))</f>
        <v/>
      </c>
      <c r="AJ123" s="188" t="str">
        <f>IF(ISERROR(getgrade(Broadsheet!K234,data!$H$4:$I$9)),"#",getgrade(Broadsheet!K234,data!$H$4:$I$9))</f>
        <v/>
      </c>
      <c r="AK123" s="188" t="str">
        <f>IF(ISERROR(getgrade(Broadsheet!L234,data!$H$4:$I$9)),"#",getgrade(Broadsheet!L234,data!$H$4:$I$9))</f>
        <v/>
      </c>
      <c r="AL123" s="188" t="str">
        <f>IF(ISERROR(getgrade(Broadsheet!M234,data!$H$4:$I$9)),"#",getgrade(Broadsheet!M234,data!$H$4:$I$9))</f>
        <v/>
      </c>
      <c r="AM123" s="188" t="str">
        <f>IF(ISERROR(getgrade(Broadsheet!N234,data!$H$4:$I$9)),"#",getgrade(Broadsheet!N234,data!$H$4:$I$9))</f>
        <v/>
      </c>
      <c r="AN123" s="188" t="str">
        <f>IF(ISERROR(getgrade(Broadsheet!O234,data!$H$4:$I$9)),"#",getgrade(Broadsheet!O234,data!$H$4:$I$9))</f>
        <v/>
      </c>
      <c r="AO123" s="188" t="str">
        <f>IF(ISERROR(getgrade(Broadsheet!P234,data!$H$4:$I$9)),"#",getgrade(Broadsheet!P234,data!$H$4:$I$9))</f>
        <v/>
      </c>
      <c r="AP123" s="188" t="str">
        <f>IF(ISERROR(getgrade(Broadsheet!Q234,data!$H$4:$I$9)),"#",getgrade(Broadsheet!Q234,data!$H$4:$I$9))</f>
        <v/>
      </c>
      <c r="AQ123" s="188" t="str">
        <f>IF(ISERROR(getgrade(Broadsheet!R234,data!$H$4:$I$9)),"#",getgrade(Broadsheet!R234,data!$H$4:$I$9))</f>
        <v/>
      </c>
      <c r="AR123" s="188" t="str">
        <f>IF(ISERROR(getgrade(Broadsheet!S234,data!$H$4:$I$9)),"#",getgrade(Broadsheet!S234,data!$H$4:$I$9))</f>
        <v/>
      </c>
      <c r="AS123" s="188" t="str">
        <f>IF(ISERROR(getgrade(Broadsheet!T234,data!$H$4:$I$9)),"#",getgrade(Broadsheet!T234,data!$H$4:$I$9))</f>
        <v/>
      </c>
      <c r="AT123" s="188" t="str">
        <f>IF(ISERROR(getgrade(Broadsheet!U234,data!$H$4:$I$9)),"#",getgrade(Broadsheet!U234,data!$H$4:$I$9))</f>
        <v/>
      </c>
      <c r="AU123" s="188" t="str">
        <f>IF(ISERROR(getgrade(Broadsheet!V234,data!$H$4:$I$9)),"#",getgrade(Broadsheet!V234,data!$H$4:$I$9))</f>
        <v/>
      </c>
      <c r="AV123" s="188" t="str">
        <f>IF(ISERROR(getgrade(Broadsheet!W234,data!$H$4:$I$9)),"#",getgrade(Broadsheet!W234,data!$H$4:$I$9))</f>
        <v/>
      </c>
      <c r="AW123" s="188" t="str">
        <f>IF(ISERROR(getgrade(Broadsheet!X234,data!$H$4:$I$9)),"#",getgrade(Broadsheet!X234,data!$H$4:$I$9))</f>
        <v/>
      </c>
      <c r="AX123" s="188" t="str">
        <f>IF(ISERROR(getgrade(Broadsheet!Y234,data!$H$4:$I$9)),"#",getgrade(Broadsheet!Y234,data!$H$4:$I$9))</f>
        <v/>
      </c>
      <c r="AY123" s="188" t="str">
        <f>IF(ISERROR(getgrade(Broadsheet!Z234,data!$H$4:$I$9)),"#",getgrade(Broadsheet!Z234,data!$H$4:$I$9))</f>
        <v/>
      </c>
      <c r="AZ123" s="188" t="str">
        <f>IF(ISERROR(getgrade(Broadsheet!AA234,data!$H$4:$I$9)),"#",getgrade(Broadsheet!AA234,data!$H$4:$I$9))</f>
        <v/>
      </c>
      <c r="BA123" s="188" t="str">
        <f>IF(ISERROR(getgrade(Broadsheet!AB234,data!$H$4:$I$9)),"#",getgrade(Broadsheet!AB234,data!$H$4:$I$9))</f>
        <v/>
      </c>
      <c r="BB123" s="188" t="str">
        <f>IF(ISERROR(getgrade(Broadsheet!AC234,data!$H$4:$I$9)),"#",getgrade(Broadsheet!AC234,data!$H$4:$I$9))</f>
        <v/>
      </c>
      <c r="BC123" s="188" t="str">
        <f>IF(ISERROR(getgrade(Broadsheet!AD234,data!$H$4:$I$9)),"#",getgrade(Broadsheet!AD234,data!$H$4:$I$9))</f>
        <v/>
      </c>
      <c r="BD123" s="188" t="str">
        <f>IF(ISERROR(getgrade(Broadsheet!AE234,data!$H$4:$I$9)),"#",getgrade(Broadsheet!AE234,data!$H$4:$I$9))</f>
        <v/>
      </c>
      <c r="BE123" s="188" t="str">
        <f>IF(ISERROR(getgrade(Broadsheet!AF234,data!$H$4:$I$9)),"#",getgrade(Broadsheet!AF234,data!$H$4:$I$9))</f>
        <v/>
      </c>
      <c r="BF123" s="188" t="str">
        <f>IF(ISERROR(getgrade(Broadsheet!AG234,data!$H$4:$I$9)),"#",getgrade(Broadsheet!AG234,data!$H$4:$I$9))</f>
        <v/>
      </c>
      <c r="BG123" s="188" t="str">
        <f>IF(ISERROR(getgrade(Broadsheet!AH234,data!$H$4:$I$9)),"#",getgrade(Broadsheet!AH234,data!$H$4:$I$9))</f>
        <v/>
      </c>
      <c r="BH123" s="188" t="str">
        <f>IF(ISERROR(getgrade(Broadsheet!AI234,data!$H$4:$I$9)),"#",getgrade(Broadsheet!AI234,data!$H$4:$I$9))</f>
        <v/>
      </c>
      <c r="BI123" s="188" t="str">
        <f>IF(ISERROR(getgrade(Broadsheet!AJ234,data!$H$4:$I$9)),"#",getgrade(Broadsheet!AJ234,data!$H$4:$I$9))</f>
        <v/>
      </c>
      <c r="BJ123" s="188" t="str">
        <f>IF(ISERROR(getgrade(Broadsheet!AK234,data!$H$4:$I$9)),"#",getgrade(Broadsheet!AK234,data!$H$4:$I$9))</f>
        <v/>
      </c>
      <c r="BK123" s="188" t="str">
        <f>IF(ISERROR(getgrade(Broadsheet!AL234,data!$H$4:$I$9)),"#",getgrade(Broadsheet!AL234,data!$H$4:$I$9))</f>
        <v/>
      </c>
      <c r="BL123" s="188" t="str">
        <f>IF(ISERROR(getgrade(Broadsheet!AM234,data!$H$4:$I$9)),"#",getgrade(Broadsheet!AM234,data!$H$4:$I$9))</f>
        <v/>
      </c>
      <c r="BM123" s="188" t="str">
        <f>IF(ISERROR(getgrade(Broadsheet!AN234,data!$H$4:$I$9)),"#",getgrade(Broadsheet!AN234,data!$H$4:$I$9))</f>
        <v/>
      </c>
      <c r="BN123" s="188" t="str">
        <f>IF(ISERROR(getgrade(Broadsheet!AO234,data!$H$4:$I$9)),"#",getgrade(Broadsheet!AO234,data!$H$4:$I$9))</f>
        <v/>
      </c>
      <c r="BO123" s="188" t="str">
        <f>IF(ISERROR(getgrade(Broadsheet!AP234,data!$H$4:$I$9)),"#",getgrade(Broadsheet!AP234,data!$H$4:$I$9))</f>
        <v/>
      </c>
      <c r="BP123" s="188" t="str">
        <f>IF(ISERROR(getgrade(Broadsheet!AQ234,data!$H$4:$I$9)),"#",getgrade(Broadsheet!AQ234,data!$H$4:$I$9))</f>
        <v/>
      </c>
      <c r="BQ123" s="188" t="str">
        <f>IF(ISERROR(getgrade(Broadsheet!AR234,data!$H$4:$I$9)),"#",getgrade(Broadsheet!AR234,data!$H$4:$I$9))</f>
        <v/>
      </c>
      <c r="BR123" s="188" t="str">
        <f>IF(ISERROR(getgrade(Broadsheet!AS234,data!$H$4:$I$9)),"#",getgrade(Broadsheet!AS234,data!$H$4:$I$9))</f>
        <v/>
      </c>
      <c r="BS123" s="188" t="str">
        <f>IF(ISERROR(getgrade(Broadsheet!AT234,data!$H$4:$I$9)),"#",getgrade(Broadsheet!AT234,data!$H$4:$I$9))</f>
        <v/>
      </c>
      <c r="BT123" s="188" t="str">
        <f>IF(ISERROR(getgrade(Broadsheet!AU234,data!$H$4:$I$9)),"#",getgrade(Broadsheet!AU234,data!$H$4:$I$9))</f>
        <v/>
      </c>
      <c r="BU123" s="188" t="str">
        <f>IF(ISERROR(getgrade(Broadsheet!AV234,data!$H$4:$I$9)),"#",getgrade(Broadsheet!AV234,data!$H$4:$I$9))</f>
        <v/>
      </c>
      <c r="BV123" s="188" t="str">
        <f>IF(ISERROR(getgrade(Broadsheet!AW234,data!$H$4:$I$9)),"#",getgrade(Broadsheet!AW234,data!$H$4:$I$9))</f>
        <v/>
      </c>
      <c r="BW123" s="188" t="str">
        <f>IF(ISERROR(getgrade(Broadsheet!AX234,data!$H$4:$I$9)),"#",getgrade(Broadsheet!AX234,data!$H$4:$I$9))</f>
        <v/>
      </c>
      <c r="BX123" s="188" t="str">
        <f>IF(ISERROR(getgrade(Broadsheet!AY234,data!$H$4:$I$9)),"#",getgrade(Broadsheet!AY234,data!$H$4:$I$9))</f>
        <v/>
      </c>
      <c r="BY123" s="188" t="str">
        <f>IF(ISERROR(getgrade(Broadsheet!AZ234,data!$H$4:$I$9)),"#",getgrade(Broadsheet!AZ234,data!$H$4:$I$9))</f>
        <v/>
      </c>
      <c r="BZ123" s="188" t="str">
        <f>IF(ISERROR(getgrade(Broadsheet!BA234,data!$H$4:$I$9)),"#",getgrade(Broadsheet!BA234,data!$H$4:$I$9))</f>
        <v/>
      </c>
      <c r="CA123" s="188" t="str">
        <f>IF(ISERROR(getgrade(Broadsheet!BB234,data!$H$4:$I$9)),"#",getgrade(Broadsheet!BB234,data!$H$4:$I$9))</f>
        <v/>
      </c>
      <c r="CB123" s="188" t="str">
        <f>IF(ISERROR(getgrade(Broadsheet!BC234,data!$H$4:$I$9)),"#",getgrade(Broadsheet!BC234,data!$H$4:$I$9))</f>
        <v/>
      </c>
      <c r="CC123" s="188" t="str">
        <f>IF(ISERROR(getgrade(Broadsheet!BD234,data!$H$4:$I$9)),"#",getgrade(Broadsheet!BD234,data!$H$4:$I$9))</f>
        <v/>
      </c>
      <c r="CD123" s="188" t="str">
        <f>IF(ISERROR(getgrade(Broadsheet!BE234,data!$H$4:$I$9)),"#",getgrade(Broadsheet!BE234,data!$H$4:$I$9))</f>
        <v/>
      </c>
      <c r="CE123" s="188" t="str">
        <f>IF(ISERROR(getgrade(Broadsheet!BF234,data!$H$4:$I$9)),"#",getgrade(Broadsheet!BF234,data!$H$4:$I$9))</f>
        <v/>
      </c>
      <c r="CF123" s="188" t="str">
        <f>IF(ISERROR(getgrade(Broadsheet!BG234,data!$H$4:$I$9)),"#",getgrade(Broadsheet!BG234,data!$H$4:$I$9))</f>
        <v/>
      </c>
      <c r="CG123" s="188" t="str">
        <f>IF(ISERROR(getgrade(Broadsheet!BH234,data!$H$4:$I$9)),"#",getgrade(Broadsheet!BH234,data!$H$4:$I$9))</f>
        <v/>
      </c>
      <c r="CH123" s="188" t="str">
        <f>IF(ISERROR(getgrade(Broadsheet!BI234,data!$H$4:$I$9)),"#",getgrade(Broadsheet!BI234,data!$H$4:$I$9))</f>
        <v/>
      </c>
      <c r="CI123" s="188" t="str">
        <f>IF(ISERROR(getgrade(Broadsheet!BJ234,data!$H$4:$I$9)),"#",getgrade(Broadsheet!BJ234,data!$H$4:$I$9))</f>
        <v/>
      </c>
      <c r="CJ123" s="188"/>
      <c r="CK123" s="188"/>
      <c r="CL123" s="188"/>
      <c r="CM123" s="188"/>
      <c r="CN123" s="188"/>
      <c r="CO123" s="188"/>
      <c r="CP123" s="188"/>
      <c r="CQ123" s="188"/>
      <c r="CR123" s="188"/>
      <c r="CS123" s="188"/>
      <c r="CT123" s="188"/>
      <c r="CU123" s="188"/>
      <c r="CV123" s="188"/>
      <c r="CW123" s="188"/>
      <c r="CX123" s="188"/>
      <c r="CY123" s="188"/>
      <c r="CZ123" s="188"/>
      <c r="DA123" s="188"/>
      <c r="DB123" s="188"/>
      <c r="DC123" s="188"/>
      <c r="DD123" s="188"/>
      <c r="DE123" s="188"/>
      <c r="DF123" s="188"/>
      <c r="DG123" s="188"/>
      <c r="DH123" s="188"/>
      <c r="DI123" s="188"/>
      <c r="DJ123" s="188"/>
      <c r="DK123" s="188"/>
      <c r="DL123" s="188"/>
      <c r="DM123" s="188"/>
      <c r="DN123" s="188"/>
      <c r="DO123" s="188"/>
      <c r="DP123" s="188"/>
      <c r="DQ123" s="188"/>
      <c r="DR123" s="188"/>
      <c r="DS123" s="188"/>
      <c r="DT123" s="188"/>
      <c r="DU123" s="188"/>
      <c r="DV123" s="188"/>
      <c r="DW123" s="188"/>
      <c r="DX123" s="188"/>
      <c r="DY123" s="188"/>
      <c r="DZ123" s="188"/>
      <c r="EA123" s="188"/>
      <c r="EB123" s="188"/>
      <c r="EC123" s="188"/>
      <c r="ED123" s="188"/>
      <c r="EE123" s="188"/>
      <c r="EF123" s="188"/>
      <c r="EG123" s="188"/>
      <c r="EH123" s="188"/>
      <c r="EI123" s="188"/>
      <c r="EJ123" s="188"/>
      <c r="EK123" s="188"/>
      <c r="EL123" s="188"/>
      <c r="EM123" s="188"/>
      <c r="EN123" s="188"/>
      <c r="EO123" s="188"/>
      <c r="EP123" s="188"/>
      <c r="EQ123" s="188"/>
      <c r="ER123" s="188"/>
      <c r="ES123" s="188"/>
      <c r="ET123" s="188"/>
      <c r="EU123" s="188"/>
      <c r="EV123" s="188"/>
      <c r="EW123" s="188"/>
      <c r="EX123" s="188"/>
      <c r="EY123" s="188"/>
      <c r="EZ123" s="188"/>
    </row>
    <row r="124" spans="33:156" x14ac:dyDescent="0.2">
      <c r="AG124" s="188" t="str">
        <f>IF(ISERROR(getgrade(Broadsheet!H235,data!$H$4:$I$9)),"#",getgrade(Broadsheet!H235,data!$H$4:$I$9))</f>
        <v/>
      </c>
      <c r="AH124" s="188" t="str">
        <f>IF(ISERROR(getgrade(Broadsheet!I235,data!$H$4:$I$9)),"#",getgrade(Broadsheet!I235,data!$H$4:$I$9))</f>
        <v/>
      </c>
      <c r="AI124" s="188" t="str">
        <f>IF(ISERROR(getgrade(Broadsheet!J235,data!$H$4:$I$9)),"#",getgrade(Broadsheet!J235,data!$H$4:$I$9))</f>
        <v/>
      </c>
      <c r="AJ124" s="188" t="str">
        <f>IF(ISERROR(getgrade(Broadsheet!K235,data!$H$4:$I$9)),"#",getgrade(Broadsheet!K235,data!$H$4:$I$9))</f>
        <v/>
      </c>
      <c r="AK124" s="188" t="str">
        <f>IF(ISERROR(getgrade(Broadsheet!L235,data!$H$4:$I$9)),"#",getgrade(Broadsheet!L235,data!$H$4:$I$9))</f>
        <v/>
      </c>
      <c r="AL124" s="188" t="str">
        <f>IF(ISERROR(getgrade(Broadsheet!M235,data!$H$4:$I$9)),"#",getgrade(Broadsheet!M235,data!$H$4:$I$9))</f>
        <v/>
      </c>
      <c r="AM124" s="188" t="str">
        <f>IF(ISERROR(getgrade(Broadsheet!N235,data!$H$4:$I$9)),"#",getgrade(Broadsheet!N235,data!$H$4:$I$9))</f>
        <v/>
      </c>
      <c r="AN124" s="188" t="str">
        <f>IF(ISERROR(getgrade(Broadsheet!O235,data!$H$4:$I$9)),"#",getgrade(Broadsheet!O235,data!$H$4:$I$9))</f>
        <v/>
      </c>
      <c r="AO124" s="188" t="str">
        <f>IF(ISERROR(getgrade(Broadsheet!P235,data!$H$4:$I$9)),"#",getgrade(Broadsheet!P235,data!$H$4:$I$9))</f>
        <v/>
      </c>
      <c r="AP124" s="188" t="str">
        <f>IF(ISERROR(getgrade(Broadsheet!Q235,data!$H$4:$I$9)),"#",getgrade(Broadsheet!Q235,data!$H$4:$I$9))</f>
        <v/>
      </c>
      <c r="AQ124" s="188" t="str">
        <f>IF(ISERROR(getgrade(Broadsheet!R235,data!$H$4:$I$9)),"#",getgrade(Broadsheet!R235,data!$H$4:$I$9))</f>
        <v/>
      </c>
      <c r="AR124" s="188" t="str">
        <f>IF(ISERROR(getgrade(Broadsheet!S235,data!$H$4:$I$9)),"#",getgrade(Broadsheet!S235,data!$H$4:$I$9))</f>
        <v/>
      </c>
      <c r="AS124" s="188" t="str">
        <f>IF(ISERROR(getgrade(Broadsheet!T235,data!$H$4:$I$9)),"#",getgrade(Broadsheet!T235,data!$H$4:$I$9))</f>
        <v/>
      </c>
      <c r="AT124" s="188" t="str">
        <f>IF(ISERROR(getgrade(Broadsheet!U235,data!$H$4:$I$9)),"#",getgrade(Broadsheet!U235,data!$H$4:$I$9))</f>
        <v/>
      </c>
      <c r="AU124" s="188" t="str">
        <f>IF(ISERROR(getgrade(Broadsheet!V235,data!$H$4:$I$9)),"#",getgrade(Broadsheet!V235,data!$H$4:$I$9))</f>
        <v/>
      </c>
      <c r="AV124" s="188" t="str">
        <f>IF(ISERROR(getgrade(Broadsheet!W235,data!$H$4:$I$9)),"#",getgrade(Broadsheet!W235,data!$H$4:$I$9))</f>
        <v/>
      </c>
      <c r="AW124" s="188" t="str">
        <f>IF(ISERROR(getgrade(Broadsheet!X235,data!$H$4:$I$9)),"#",getgrade(Broadsheet!X235,data!$H$4:$I$9))</f>
        <v/>
      </c>
      <c r="AX124" s="188" t="str">
        <f>IF(ISERROR(getgrade(Broadsheet!Y235,data!$H$4:$I$9)),"#",getgrade(Broadsheet!Y235,data!$H$4:$I$9))</f>
        <v/>
      </c>
      <c r="AY124" s="188" t="str">
        <f>IF(ISERROR(getgrade(Broadsheet!Z235,data!$H$4:$I$9)),"#",getgrade(Broadsheet!Z235,data!$H$4:$I$9))</f>
        <v/>
      </c>
      <c r="AZ124" s="188" t="str">
        <f>IF(ISERROR(getgrade(Broadsheet!AA235,data!$H$4:$I$9)),"#",getgrade(Broadsheet!AA235,data!$H$4:$I$9))</f>
        <v/>
      </c>
      <c r="BA124" s="188" t="str">
        <f>IF(ISERROR(getgrade(Broadsheet!AB235,data!$H$4:$I$9)),"#",getgrade(Broadsheet!AB235,data!$H$4:$I$9))</f>
        <v/>
      </c>
      <c r="BB124" s="188" t="str">
        <f>IF(ISERROR(getgrade(Broadsheet!AC235,data!$H$4:$I$9)),"#",getgrade(Broadsheet!AC235,data!$H$4:$I$9))</f>
        <v/>
      </c>
      <c r="BC124" s="188" t="str">
        <f>IF(ISERROR(getgrade(Broadsheet!AD235,data!$H$4:$I$9)),"#",getgrade(Broadsheet!AD235,data!$H$4:$I$9))</f>
        <v/>
      </c>
      <c r="BD124" s="188" t="str">
        <f>IF(ISERROR(getgrade(Broadsheet!AE235,data!$H$4:$I$9)),"#",getgrade(Broadsheet!AE235,data!$H$4:$I$9))</f>
        <v/>
      </c>
      <c r="BE124" s="188" t="str">
        <f>IF(ISERROR(getgrade(Broadsheet!AF235,data!$H$4:$I$9)),"#",getgrade(Broadsheet!AF235,data!$H$4:$I$9))</f>
        <v/>
      </c>
      <c r="BF124" s="188" t="str">
        <f>IF(ISERROR(getgrade(Broadsheet!AG235,data!$H$4:$I$9)),"#",getgrade(Broadsheet!AG235,data!$H$4:$I$9))</f>
        <v/>
      </c>
      <c r="BG124" s="188" t="str">
        <f>IF(ISERROR(getgrade(Broadsheet!AH235,data!$H$4:$I$9)),"#",getgrade(Broadsheet!AH235,data!$H$4:$I$9))</f>
        <v/>
      </c>
      <c r="BH124" s="188" t="str">
        <f>IF(ISERROR(getgrade(Broadsheet!AI235,data!$H$4:$I$9)),"#",getgrade(Broadsheet!AI235,data!$H$4:$I$9))</f>
        <v/>
      </c>
      <c r="BI124" s="188" t="str">
        <f>IF(ISERROR(getgrade(Broadsheet!AJ235,data!$H$4:$I$9)),"#",getgrade(Broadsheet!AJ235,data!$H$4:$I$9))</f>
        <v/>
      </c>
      <c r="BJ124" s="188" t="str">
        <f>IF(ISERROR(getgrade(Broadsheet!AK235,data!$H$4:$I$9)),"#",getgrade(Broadsheet!AK235,data!$H$4:$I$9))</f>
        <v/>
      </c>
      <c r="BK124" s="188" t="str">
        <f>IF(ISERROR(getgrade(Broadsheet!AL235,data!$H$4:$I$9)),"#",getgrade(Broadsheet!AL235,data!$H$4:$I$9))</f>
        <v/>
      </c>
      <c r="BL124" s="188" t="str">
        <f>IF(ISERROR(getgrade(Broadsheet!AM235,data!$H$4:$I$9)),"#",getgrade(Broadsheet!AM235,data!$H$4:$I$9))</f>
        <v/>
      </c>
      <c r="BM124" s="188" t="str">
        <f>IF(ISERROR(getgrade(Broadsheet!AN235,data!$H$4:$I$9)),"#",getgrade(Broadsheet!AN235,data!$H$4:$I$9))</f>
        <v/>
      </c>
      <c r="BN124" s="188" t="str">
        <f>IF(ISERROR(getgrade(Broadsheet!AO235,data!$H$4:$I$9)),"#",getgrade(Broadsheet!AO235,data!$H$4:$I$9))</f>
        <v/>
      </c>
      <c r="BO124" s="188" t="str">
        <f>IF(ISERROR(getgrade(Broadsheet!AP235,data!$H$4:$I$9)),"#",getgrade(Broadsheet!AP235,data!$H$4:$I$9))</f>
        <v/>
      </c>
      <c r="BP124" s="188" t="str">
        <f>IF(ISERROR(getgrade(Broadsheet!AQ235,data!$H$4:$I$9)),"#",getgrade(Broadsheet!AQ235,data!$H$4:$I$9))</f>
        <v/>
      </c>
      <c r="BQ124" s="188" t="str">
        <f>IF(ISERROR(getgrade(Broadsheet!AR235,data!$H$4:$I$9)),"#",getgrade(Broadsheet!AR235,data!$H$4:$I$9))</f>
        <v/>
      </c>
      <c r="BR124" s="188" t="str">
        <f>IF(ISERROR(getgrade(Broadsheet!AS235,data!$H$4:$I$9)),"#",getgrade(Broadsheet!AS235,data!$H$4:$I$9))</f>
        <v/>
      </c>
      <c r="BS124" s="188" t="str">
        <f>IF(ISERROR(getgrade(Broadsheet!AT235,data!$H$4:$I$9)),"#",getgrade(Broadsheet!AT235,data!$H$4:$I$9))</f>
        <v/>
      </c>
      <c r="BT124" s="188" t="str">
        <f>IF(ISERROR(getgrade(Broadsheet!AU235,data!$H$4:$I$9)),"#",getgrade(Broadsheet!AU235,data!$H$4:$I$9))</f>
        <v/>
      </c>
      <c r="BU124" s="188" t="str">
        <f>IF(ISERROR(getgrade(Broadsheet!AV235,data!$H$4:$I$9)),"#",getgrade(Broadsheet!AV235,data!$H$4:$I$9))</f>
        <v/>
      </c>
      <c r="BV124" s="188" t="str">
        <f>IF(ISERROR(getgrade(Broadsheet!AW235,data!$H$4:$I$9)),"#",getgrade(Broadsheet!AW235,data!$H$4:$I$9))</f>
        <v/>
      </c>
      <c r="BW124" s="188" t="str">
        <f>IF(ISERROR(getgrade(Broadsheet!AX235,data!$H$4:$I$9)),"#",getgrade(Broadsheet!AX235,data!$H$4:$I$9))</f>
        <v/>
      </c>
      <c r="BX124" s="188" t="str">
        <f>IF(ISERROR(getgrade(Broadsheet!AY235,data!$H$4:$I$9)),"#",getgrade(Broadsheet!AY235,data!$H$4:$I$9))</f>
        <v/>
      </c>
      <c r="BY124" s="188" t="str">
        <f>IF(ISERROR(getgrade(Broadsheet!AZ235,data!$H$4:$I$9)),"#",getgrade(Broadsheet!AZ235,data!$H$4:$I$9))</f>
        <v/>
      </c>
      <c r="BZ124" s="188" t="str">
        <f>IF(ISERROR(getgrade(Broadsheet!BA235,data!$H$4:$I$9)),"#",getgrade(Broadsheet!BA235,data!$H$4:$I$9))</f>
        <v/>
      </c>
      <c r="CA124" s="188" t="str">
        <f>IF(ISERROR(getgrade(Broadsheet!BB235,data!$H$4:$I$9)),"#",getgrade(Broadsheet!BB235,data!$H$4:$I$9))</f>
        <v/>
      </c>
      <c r="CB124" s="188" t="str">
        <f>IF(ISERROR(getgrade(Broadsheet!BC235,data!$H$4:$I$9)),"#",getgrade(Broadsheet!BC235,data!$H$4:$I$9))</f>
        <v/>
      </c>
      <c r="CC124" s="188" t="str">
        <f>IF(ISERROR(getgrade(Broadsheet!BD235,data!$H$4:$I$9)),"#",getgrade(Broadsheet!BD235,data!$H$4:$I$9))</f>
        <v/>
      </c>
      <c r="CD124" s="188" t="str">
        <f>IF(ISERROR(getgrade(Broadsheet!BE235,data!$H$4:$I$9)),"#",getgrade(Broadsheet!BE235,data!$H$4:$I$9))</f>
        <v/>
      </c>
      <c r="CE124" s="188" t="str">
        <f>IF(ISERROR(getgrade(Broadsheet!BF235,data!$H$4:$I$9)),"#",getgrade(Broadsheet!BF235,data!$H$4:$I$9))</f>
        <v/>
      </c>
      <c r="CF124" s="188" t="str">
        <f>IF(ISERROR(getgrade(Broadsheet!BG235,data!$H$4:$I$9)),"#",getgrade(Broadsheet!BG235,data!$H$4:$I$9))</f>
        <v/>
      </c>
      <c r="CG124" s="188" t="str">
        <f>IF(ISERROR(getgrade(Broadsheet!BH235,data!$H$4:$I$9)),"#",getgrade(Broadsheet!BH235,data!$H$4:$I$9))</f>
        <v/>
      </c>
      <c r="CH124" s="188" t="str">
        <f>IF(ISERROR(getgrade(Broadsheet!BI235,data!$H$4:$I$9)),"#",getgrade(Broadsheet!BI235,data!$H$4:$I$9))</f>
        <v/>
      </c>
      <c r="CI124" s="188" t="str">
        <f>IF(ISERROR(getgrade(Broadsheet!BJ235,data!$H$4:$I$9)),"#",getgrade(Broadsheet!BJ235,data!$H$4:$I$9))</f>
        <v/>
      </c>
      <c r="CJ124" s="188"/>
      <c r="CK124" s="188"/>
      <c r="CL124" s="188"/>
      <c r="CM124" s="188"/>
      <c r="CN124" s="188"/>
      <c r="CO124" s="188"/>
      <c r="CP124" s="188"/>
      <c r="CQ124" s="188"/>
      <c r="CR124" s="188"/>
      <c r="CS124" s="188"/>
      <c r="CT124" s="188"/>
      <c r="CU124" s="188"/>
      <c r="CV124" s="188"/>
      <c r="CW124" s="188"/>
      <c r="CX124" s="188"/>
      <c r="CY124" s="188"/>
      <c r="CZ124" s="188"/>
      <c r="DA124" s="188"/>
      <c r="DB124" s="188"/>
      <c r="DC124" s="188"/>
      <c r="DD124" s="188"/>
      <c r="DE124" s="188"/>
      <c r="DF124" s="188"/>
      <c r="DG124" s="188"/>
      <c r="DH124" s="188"/>
      <c r="DI124" s="188"/>
      <c r="DJ124" s="188"/>
      <c r="DK124" s="188"/>
      <c r="DL124" s="188"/>
      <c r="DM124" s="188"/>
      <c r="DN124" s="188"/>
      <c r="DO124" s="188"/>
      <c r="DP124" s="188"/>
      <c r="DQ124" s="188"/>
      <c r="DR124" s="188"/>
      <c r="DS124" s="188"/>
      <c r="DT124" s="188"/>
      <c r="DU124" s="188"/>
      <c r="DV124" s="188"/>
      <c r="DW124" s="188"/>
      <c r="DX124" s="188"/>
      <c r="DY124" s="188"/>
      <c r="DZ124" s="188"/>
      <c r="EA124" s="188"/>
      <c r="EB124" s="188"/>
      <c r="EC124" s="188"/>
      <c r="ED124" s="188"/>
      <c r="EE124" s="188"/>
      <c r="EF124" s="188"/>
      <c r="EG124" s="188"/>
      <c r="EH124" s="188"/>
      <c r="EI124" s="188"/>
      <c r="EJ124" s="188"/>
      <c r="EK124" s="188"/>
      <c r="EL124" s="188"/>
      <c r="EM124" s="188"/>
      <c r="EN124" s="188"/>
      <c r="EO124" s="188"/>
      <c r="EP124" s="188"/>
      <c r="EQ124" s="188"/>
      <c r="ER124" s="188"/>
      <c r="ES124" s="188"/>
      <c r="ET124" s="188"/>
      <c r="EU124" s="188"/>
      <c r="EV124" s="188"/>
      <c r="EW124" s="188"/>
      <c r="EX124" s="188"/>
      <c r="EY124" s="188"/>
      <c r="EZ124" s="188"/>
    </row>
    <row r="125" spans="33:156" x14ac:dyDescent="0.2">
      <c r="AG125" s="188" t="str">
        <f>IF(ISERROR(getgrade(Broadsheet!H236,data!$H$4:$I$9)),"#",getgrade(Broadsheet!H236,data!$H$4:$I$9))</f>
        <v/>
      </c>
      <c r="AH125" s="188" t="str">
        <f>IF(ISERROR(getgrade(Broadsheet!I236,data!$H$4:$I$9)),"#",getgrade(Broadsheet!I236,data!$H$4:$I$9))</f>
        <v/>
      </c>
      <c r="AI125" s="188" t="str">
        <f>IF(ISERROR(getgrade(Broadsheet!J236,data!$H$4:$I$9)),"#",getgrade(Broadsheet!J236,data!$H$4:$I$9))</f>
        <v/>
      </c>
      <c r="AJ125" s="188" t="str">
        <f>IF(ISERROR(getgrade(Broadsheet!K236,data!$H$4:$I$9)),"#",getgrade(Broadsheet!K236,data!$H$4:$I$9))</f>
        <v/>
      </c>
      <c r="AK125" s="188" t="str">
        <f>IF(ISERROR(getgrade(Broadsheet!L236,data!$H$4:$I$9)),"#",getgrade(Broadsheet!L236,data!$H$4:$I$9))</f>
        <v/>
      </c>
      <c r="AL125" s="188" t="str">
        <f>IF(ISERROR(getgrade(Broadsheet!M236,data!$H$4:$I$9)),"#",getgrade(Broadsheet!M236,data!$H$4:$I$9))</f>
        <v/>
      </c>
      <c r="AM125" s="188" t="str">
        <f>IF(ISERROR(getgrade(Broadsheet!N236,data!$H$4:$I$9)),"#",getgrade(Broadsheet!N236,data!$H$4:$I$9))</f>
        <v/>
      </c>
      <c r="AN125" s="188" t="str">
        <f>IF(ISERROR(getgrade(Broadsheet!O236,data!$H$4:$I$9)),"#",getgrade(Broadsheet!O236,data!$H$4:$I$9))</f>
        <v/>
      </c>
      <c r="AO125" s="188" t="str">
        <f>IF(ISERROR(getgrade(Broadsheet!P236,data!$H$4:$I$9)),"#",getgrade(Broadsheet!P236,data!$H$4:$I$9))</f>
        <v/>
      </c>
      <c r="AP125" s="188" t="str">
        <f>IF(ISERROR(getgrade(Broadsheet!Q236,data!$H$4:$I$9)),"#",getgrade(Broadsheet!Q236,data!$H$4:$I$9))</f>
        <v/>
      </c>
      <c r="AQ125" s="188" t="str">
        <f>IF(ISERROR(getgrade(Broadsheet!R236,data!$H$4:$I$9)),"#",getgrade(Broadsheet!R236,data!$H$4:$I$9))</f>
        <v/>
      </c>
      <c r="AR125" s="188" t="str">
        <f>IF(ISERROR(getgrade(Broadsheet!S236,data!$H$4:$I$9)),"#",getgrade(Broadsheet!S236,data!$H$4:$I$9))</f>
        <v/>
      </c>
      <c r="AS125" s="188" t="str">
        <f>IF(ISERROR(getgrade(Broadsheet!T236,data!$H$4:$I$9)),"#",getgrade(Broadsheet!T236,data!$H$4:$I$9))</f>
        <v/>
      </c>
      <c r="AT125" s="188" t="str">
        <f>IF(ISERROR(getgrade(Broadsheet!U236,data!$H$4:$I$9)),"#",getgrade(Broadsheet!U236,data!$H$4:$I$9))</f>
        <v/>
      </c>
      <c r="AU125" s="188" t="str">
        <f>IF(ISERROR(getgrade(Broadsheet!V236,data!$H$4:$I$9)),"#",getgrade(Broadsheet!V236,data!$H$4:$I$9))</f>
        <v/>
      </c>
      <c r="AV125" s="188" t="str">
        <f>IF(ISERROR(getgrade(Broadsheet!W236,data!$H$4:$I$9)),"#",getgrade(Broadsheet!W236,data!$H$4:$I$9))</f>
        <v/>
      </c>
      <c r="AW125" s="188" t="str">
        <f>IF(ISERROR(getgrade(Broadsheet!X236,data!$H$4:$I$9)),"#",getgrade(Broadsheet!X236,data!$H$4:$I$9))</f>
        <v/>
      </c>
      <c r="AX125" s="188" t="str">
        <f>IF(ISERROR(getgrade(Broadsheet!Y236,data!$H$4:$I$9)),"#",getgrade(Broadsheet!Y236,data!$H$4:$I$9))</f>
        <v/>
      </c>
      <c r="AY125" s="188" t="str">
        <f>IF(ISERROR(getgrade(Broadsheet!Z236,data!$H$4:$I$9)),"#",getgrade(Broadsheet!Z236,data!$H$4:$I$9))</f>
        <v/>
      </c>
      <c r="AZ125" s="188" t="str">
        <f>IF(ISERROR(getgrade(Broadsheet!AA236,data!$H$4:$I$9)),"#",getgrade(Broadsheet!AA236,data!$H$4:$I$9))</f>
        <v/>
      </c>
      <c r="BA125" s="188" t="str">
        <f>IF(ISERROR(getgrade(Broadsheet!AB236,data!$H$4:$I$9)),"#",getgrade(Broadsheet!AB236,data!$H$4:$I$9))</f>
        <v/>
      </c>
      <c r="BB125" s="188" t="str">
        <f>IF(ISERROR(getgrade(Broadsheet!AC236,data!$H$4:$I$9)),"#",getgrade(Broadsheet!AC236,data!$H$4:$I$9))</f>
        <v/>
      </c>
      <c r="BC125" s="188" t="str">
        <f>IF(ISERROR(getgrade(Broadsheet!AD236,data!$H$4:$I$9)),"#",getgrade(Broadsheet!AD236,data!$H$4:$I$9))</f>
        <v/>
      </c>
      <c r="BD125" s="188" t="str">
        <f>IF(ISERROR(getgrade(Broadsheet!AE236,data!$H$4:$I$9)),"#",getgrade(Broadsheet!AE236,data!$H$4:$I$9))</f>
        <v/>
      </c>
      <c r="BE125" s="188" t="str">
        <f>IF(ISERROR(getgrade(Broadsheet!AF236,data!$H$4:$I$9)),"#",getgrade(Broadsheet!AF236,data!$H$4:$I$9))</f>
        <v/>
      </c>
      <c r="BF125" s="188" t="str">
        <f>IF(ISERROR(getgrade(Broadsheet!AG236,data!$H$4:$I$9)),"#",getgrade(Broadsheet!AG236,data!$H$4:$I$9))</f>
        <v/>
      </c>
      <c r="BG125" s="188" t="str">
        <f>IF(ISERROR(getgrade(Broadsheet!AH236,data!$H$4:$I$9)),"#",getgrade(Broadsheet!AH236,data!$H$4:$I$9))</f>
        <v/>
      </c>
      <c r="BH125" s="188" t="str">
        <f>IF(ISERROR(getgrade(Broadsheet!AI236,data!$H$4:$I$9)),"#",getgrade(Broadsheet!AI236,data!$H$4:$I$9))</f>
        <v/>
      </c>
      <c r="BI125" s="188" t="str">
        <f>IF(ISERROR(getgrade(Broadsheet!AJ236,data!$H$4:$I$9)),"#",getgrade(Broadsheet!AJ236,data!$H$4:$I$9))</f>
        <v/>
      </c>
      <c r="BJ125" s="188" t="str">
        <f>IF(ISERROR(getgrade(Broadsheet!AK236,data!$H$4:$I$9)),"#",getgrade(Broadsheet!AK236,data!$H$4:$I$9))</f>
        <v/>
      </c>
      <c r="BK125" s="188" t="str">
        <f>IF(ISERROR(getgrade(Broadsheet!AL236,data!$H$4:$I$9)),"#",getgrade(Broadsheet!AL236,data!$H$4:$I$9))</f>
        <v/>
      </c>
      <c r="BL125" s="188" t="str">
        <f>IF(ISERROR(getgrade(Broadsheet!AM236,data!$H$4:$I$9)),"#",getgrade(Broadsheet!AM236,data!$H$4:$I$9))</f>
        <v/>
      </c>
      <c r="BM125" s="188" t="str">
        <f>IF(ISERROR(getgrade(Broadsheet!AN236,data!$H$4:$I$9)),"#",getgrade(Broadsheet!AN236,data!$H$4:$I$9))</f>
        <v/>
      </c>
      <c r="BN125" s="188" t="str">
        <f>IF(ISERROR(getgrade(Broadsheet!AO236,data!$H$4:$I$9)),"#",getgrade(Broadsheet!AO236,data!$H$4:$I$9))</f>
        <v/>
      </c>
      <c r="BO125" s="188" t="str">
        <f>IF(ISERROR(getgrade(Broadsheet!AP236,data!$H$4:$I$9)),"#",getgrade(Broadsheet!AP236,data!$H$4:$I$9))</f>
        <v/>
      </c>
      <c r="BP125" s="188" t="str">
        <f>IF(ISERROR(getgrade(Broadsheet!AQ236,data!$H$4:$I$9)),"#",getgrade(Broadsheet!AQ236,data!$H$4:$I$9))</f>
        <v/>
      </c>
      <c r="BQ125" s="188" t="str">
        <f>IF(ISERROR(getgrade(Broadsheet!AR236,data!$H$4:$I$9)),"#",getgrade(Broadsheet!AR236,data!$H$4:$I$9))</f>
        <v/>
      </c>
      <c r="BR125" s="188" t="str">
        <f>IF(ISERROR(getgrade(Broadsheet!AS236,data!$H$4:$I$9)),"#",getgrade(Broadsheet!AS236,data!$H$4:$I$9))</f>
        <v/>
      </c>
      <c r="BS125" s="188" t="str">
        <f>IF(ISERROR(getgrade(Broadsheet!AT236,data!$H$4:$I$9)),"#",getgrade(Broadsheet!AT236,data!$H$4:$I$9))</f>
        <v/>
      </c>
      <c r="BT125" s="188" t="str">
        <f>IF(ISERROR(getgrade(Broadsheet!AU236,data!$H$4:$I$9)),"#",getgrade(Broadsheet!AU236,data!$H$4:$I$9))</f>
        <v/>
      </c>
      <c r="BU125" s="188" t="str">
        <f>IF(ISERROR(getgrade(Broadsheet!AV236,data!$H$4:$I$9)),"#",getgrade(Broadsheet!AV236,data!$H$4:$I$9))</f>
        <v/>
      </c>
      <c r="BV125" s="188" t="str">
        <f>IF(ISERROR(getgrade(Broadsheet!AW236,data!$H$4:$I$9)),"#",getgrade(Broadsheet!AW236,data!$H$4:$I$9))</f>
        <v/>
      </c>
      <c r="BW125" s="188" t="str">
        <f>IF(ISERROR(getgrade(Broadsheet!AX236,data!$H$4:$I$9)),"#",getgrade(Broadsheet!AX236,data!$H$4:$I$9))</f>
        <v/>
      </c>
      <c r="BX125" s="188" t="str">
        <f>IF(ISERROR(getgrade(Broadsheet!AY236,data!$H$4:$I$9)),"#",getgrade(Broadsheet!AY236,data!$H$4:$I$9))</f>
        <v/>
      </c>
      <c r="BY125" s="188" t="str">
        <f>IF(ISERROR(getgrade(Broadsheet!AZ236,data!$H$4:$I$9)),"#",getgrade(Broadsheet!AZ236,data!$H$4:$I$9))</f>
        <v/>
      </c>
      <c r="BZ125" s="188" t="str">
        <f>IF(ISERROR(getgrade(Broadsheet!BA236,data!$H$4:$I$9)),"#",getgrade(Broadsheet!BA236,data!$H$4:$I$9))</f>
        <v/>
      </c>
      <c r="CA125" s="188" t="str">
        <f>IF(ISERROR(getgrade(Broadsheet!BB236,data!$H$4:$I$9)),"#",getgrade(Broadsheet!BB236,data!$H$4:$I$9))</f>
        <v/>
      </c>
      <c r="CB125" s="188" t="str">
        <f>IF(ISERROR(getgrade(Broadsheet!BC236,data!$H$4:$I$9)),"#",getgrade(Broadsheet!BC236,data!$H$4:$I$9))</f>
        <v/>
      </c>
      <c r="CC125" s="188" t="str">
        <f>IF(ISERROR(getgrade(Broadsheet!BD236,data!$H$4:$I$9)),"#",getgrade(Broadsheet!BD236,data!$H$4:$I$9))</f>
        <v/>
      </c>
      <c r="CD125" s="188" t="str">
        <f>IF(ISERROR(getgrade(Broadsheet!BE236,data!$H$4:$I$9)),"#",getgrade(Broadsheet!BE236,data!$H$4:$I$9))</f>
        <v/>
      </c>
      <c r="CE125" s="188" t="str">
        <f>IF(ISERROR(getgrade(Broadsheet!BF236,data!$H$4:$I$9)),"#",getgrade(Broadsheet!BF236,data!$H$4:$I$9))</f>
        <v/>
      </c>
      <c r="CF125" s="188" t="str">
        <f>IF(ISERROR(getgrade(Broadsheet!BG236,data!$H$4:$I$9)),"#",getgrade(Broadsheet!BG236,data!$H$4:$I$9))</f>
        <v/>
      </c>
      <c r="CG125" s="188" t="str">
        <f>IF(ISERROR(getgrade(Broadsheet!BH236,data!$H$4:$I$9)),"#",getgrade(Broadsheet!BH236,data!$H$4:$I$9))</f>
        <v/>
      </c>
      <c r="CH125" s="188" t="str">
        <f>IF(ISERROR(getgrade(Broadsheet!BI236,data!$H$4:$I$9)),"#",getgrade(Broadsheet!BI236,data!$H$4:$I$9))</f>
        <v/>
      </c>
      <c r="CI125" s="188" t="str">
        <f>IF(ISERROR(getgrade(Broadsheet!BJ236,data!$H$4:$I$9)),"#",getgrade(Broadsheet!BJ236,data!$H$4:$I$9))</f>
        <v/>
      </c>
      <c r="CJ125" s="188"/>
      <c r="CK125" s="188"/>
      <c r="CL125" s="188"/>
      <c r="CM125" s="188"/>
      <c r="CN125" s="188"/>
      <c r="CO125" s="188"/>
      <c r="CP125" s="188"/>
      <c r="CQ125" s="188"/>
      <c r="CR125" s="188"/>
      <c r="CS125" s="188"/>
      <c r="CT125" s="188"/>
      <c r="CU125" s="188"/>
      <c r="CV125" s="188"/>
      <c r="CW125" s="188"/>
      <c r="CX125" s="188"/>
      <c r="CY125" s="188"/>
      <c r="CZ125" s="188"/>
      <c r="DA125" s="188"/>
      <c r="DB125" s="188"/>
      <c r="DC125" s="188"/>
      <c r="DD125" s="188"/>
      <c r="DE125" s="188"/>
      <c r="DF125" s="188"/>
      <c r="DG125" s="188"/>
      <c r="DH125" s="188"/>
      <c r="DI125" s="188"/>
      <c r="DJ125" s="188"/>
      <c r="DK125" s="188"/>
      <c r="DL125" s="188"/>
      <c r="DM125" s="188"/>
      <c r="DN125" s="188"/>
      <c r="DO125" s="188"/>
      <c r="DP125" s="188"/>
      <c r="DQ125" s="188"/>
      <c r="DR125" s="188"/>
      <c r="DS125" s="188"/>
      <c r="DT125" s="188"/>
      <c r="DU125" s="188"/>
      <c r="DV125" s="188"/>
      <c r="DW125" s="188"/>
      <c r="DX125" s="188"/>
      <c r="DY125" s="188"/>
      <c r="DZ125" s="188"/>
      <c r="EA125" s="188"/>
      <c r="EB125" s="188"/>
      <c r="EC125" s="188"/>
      <c r="ED125" s="188"/>
      <c r="EE125" s="188"/>
      <c r="EF125" s="188"/>
      <c r="EG125" s="188"/>
      <c r="EH125" s="188"/>
      <c r="EI125" s="188"/>
      <c r="EJ125" s="188"/>
      <c r="EK125" s="188"/>
      <c r="EL125" s="188"/>
      <c r="EM125" s="188"/>
      <c r="EN125" s="188"/>
      <c r="EO125" s="188"/>
      <c r="EP125" s="188"/>
      <c r="EQ125" s="188"/>
      <c r="ER125" s="188"/>
      <c r="ES125" s="188"/>
      <c r="ET125" s="188"/>
      <c r="EU125" s="188"/>
      <c r="EV125" s="188"/>
      <c r="EW125" s="188"/>
      <c r="EX125" s="188"/>
      <c r="EY125" s="188"/>
      <c r="EZ125" s="188"/>
    </row>
    <row r="126" spans="33:156" x14ac:dyDescent="0.2">
      <c r="AG126" s="188" t="str">
        <f>IF(ISERROR(getgrade(Broadsheet!H237,data!$H$4:$I$9)),"#",getgrade(Broadsheet!H237,data!$H$4:$I$9))</f>
        <v/>
      </c>
      <c r="AH126" s="188" t="str">
        <f>IF(ISERROR(getgrade(Broadsheet!I237,data!$H$4:$I$9)),"#",getgrade(Broadsheet!I237,data!$H$4:$I$9))</f>
        <v/>
      </c>
      <c r="AI126" s="188" t="str">
        <f>IF(ISERROR(getgrade(Broadsheet!J237,data!$H$4:$I$9)),"#",getgrade(Broadsheet!J237,data!$H$4:$I$9))</f>
        <v/>
      </c>
      <c r="AJ126" s="188" t="str">
        <f>IF(ISERROR(getgrade(Broadsheet!K237,data!$H$4:$I$9)),"#",getgrade(Broadsheet!K237,data!$H$4:$I$9))</f>
        <v/>
      </c>
      <c r="AK126" s="188" t="str">
        <f>IF(ISERROR(getgrade(Broadsheet!L237,data!$H$4:$I$9)),"#",getgrade(Broadsheet!L237,data!$H$4:$I$9))</f>
        <v/>
      </c>
      <c r="AL126" s="188" t="str">
        <f>IF(ISERROR(getgrade(Broadsheet!M237,data!$H$4:$I$9)),"#",getgrade(Broadsheet!M237,data!$H$4:$I$9))</f>
        <v/>
      </c>
      <c r="AM126" s="188" t="str">
        <f>IF(ISERROR(getgrade(Broadsheet!N237,data!$H$4:$I$9)),"#",getgrade(Broadsheet!N237,data!$H$4:$I$9))</f>
        <v/>
      </c>
      <c r="AN126" s="188" t="str">
        <f>IF(ISERROR(getgrade(Broadsheet!O237,data!$H$4:$I$9)),"#",getgrade(Broadsheet!O237,data!$H$4:$I$9))</f>
        <v/>
      </c>
      <c r="AO126" s="188" t="str">
        <f>IF(ISERROR(getgrade(Broadsheet!P237,data!$H$4:$I$9)),"#",getgrade(Broadsheet!P237,data!$H$4:$I$9))</f>
        <v/>
      </c>
      <c r="AP126" s="188" t="str">
        <f>IF(ISERROR(getgrade(Broadsheet!Q237,data!$H$4:$I$9)),"#",getgrade(Broadsheet!Q237,data!$H$4:$I$9))</f>
        <v/>
      </c>
      <c r="AQ126" s="188" t="str">
        <f>IF(ISERROR(getgrade(Broadsheet!R237,data!$H$4:$I$9)),"#",getgrade(Broadsheet!R237,data!$H$4:$I$9))</f>
        <v/>
      </c>
      <c r="AR126" s="188" t="str">
        <f>IF(ISERROR(getgrade(Broadsheet!S237,data!$H$4:$I$9)),"#",getgrade(Broadsheet!S237,data!$H$4:$I$9))</f>
        <v/>
      </c>
      <c r="AS126" s="188" t="str">
        <f>IF(ISERROR(getgrade(Broadsheet!T237,data!$H$4:$I$9)),"#",getgrade(Broadsheet!T237,data!$H$4:$I$9))</f>
        <v/>
      </c>
      <c r="AT126" s="188" t="str">
        <f>IF(ISERROR(getgrade(Broadsheet!U237,data!$H$4:$I$9)),"#",getgrade(Broadsheet!U237,data!$H$4:$I$9))</f>
        <v/>
      </c>
      <c r="AU126" s="188" t="str">
        <f>IF(ISERROR(getgrade(Broadsheet!V237,data!$H$4:$I$9)),"#",getgrade(Broadsheet!V237,data!$H$4:$I$9))</f>
        <v/>
      </c>
      <c r="AV126" s="188" t="str">
        <f>IF(ISERROR(getgrade(Broadsheet!W237,data!$H$4:$I$9)),"#",getgrade(Broadsheet!W237,data!$H$4:$I$9))</f>
        <v/>
      </c>
      <c r="AW126" s="188" t="str">
        <f>IF(ISERROR(getgrade(Broadsheet!X237,data!$H$4:$I$9)),"#",getgrade(Broadsheet!X237,data!$H$4:$I$9))</f>
        <v/>
      </c>
      <c r="AX126" s="188" t="str">
        <f>IF(ISERROR(getgrade(Broadsheet!Y237,data!$H$4:$I$9)),"#",getgrade(Broadsheet!Y237,data!$H$4:$I$9))</f>
        <v/>
      </c>
      <c r="AY126" s="188" t="str">
        <f>IF(ISERROR(getgrade(Broadsheet!Z237,data!$H$4:$I$9)),"#",getgrade(Broadsheet!Z237,data!$H$4:$I$9))</f>
        <v/>
      </c>
      <c r="AZ126" s="188" t="str">
        <f>IF(ISERROR(getgrade(Broadsheet!AA237,data!$H$4:$I$9)),"#",getgrade(Broadsheet!AA237,data!$H$4:$I$9))</f>
        <v/>
      </c>
      <c r="BA126" s="188" t="str">
        <f>IF(ISERROR(getgrade(Broadsheet!AB237,data!$H$4:$I$9)),"#",getgrade(Broadsheet!AB237,data!$H$4:$I$9))</f>
        <v/>
      </c>
      <c r="BB126" s="188" t="str">
        <f>IF(ISERROR(getgrade(Broadsheet!AC237,data!$H$4:$I$9)),"#",getgrade(Broadsheet!AC237,data!$H$4:$I$9))</f>
        <v/>
      </c>
      <c r="BC126" s="188" t="str">
        <f>IF(ISERROR(getgrade(Broadsheet!AD237,data!$H$4:$I$9)),"#",getgrade(Broadsheet!AD237,data!$H$4:$I$9))</f>
        <v/>
      </c>
      <c r="BD126" s="188" t="str">
        <f>IF(ISERROR(getgrade(Broadsheet!AE237,data!$H$4:$I$9)),"#",getgrade(Broadsheet!AE237,data!$H$4:$I$9))</f>
        <v/>
      </c>
      <c r="BE126" s="188" t="str">
        <f>IF(ISERROR(getgrade(Broadsheet!AF237,data!$H$4:$I$9)),"#",getgrade(Broadsheet!AF237,data!$H$4:$I$9))</f>
        <v/>
      </c>
      <c r="BF126" s="188" t="str">
        <f>IF(ISERROR(getgrade(Broadsheet!AG237,data!$H$4:$I$9)),"#",getgrade(Broadsheet!AG237,data!$H$4:$I$9))</f>
        <v/>
      </c>
      <c r="BG126" s="188" t="str">
        <f>IF(ISERROR(getgrade(Broadsheet!AH237,data!$H$4:$I$9)),"#",getgrade(Broadsheet!AH237,data!$H$4:$I$9))</f>
        <v/>
      </c>
      <c r="BH126" s="188" t="str">
        <f>IF(ISERROR(getgrade(Broadsheet!AI237,data!$H$4:$I$9)),"#",getgrade(Broadsheet!AI237,data!$H$4:$I$9))</f>
        <v/>
      </c>
      <c r="BI126" s="188" t="str">
        <f>IF(ISERROR(getgrade(Broadsheet!AJ237,data!$H$4:$I$9)),"#",getgrade(Broadsheet!AJ237,data!$H$4:$I$9))</f>
        <v/>
      </c>
      <c r="BJ126" s="188" t="str">
        <f>IF(ISERROR(getgrade(Broadsheet!AK237,data!$H$4:$I$9)),"#",getgrade(Broadsheet!AK237,data!$H$4:$I$9))</f>
        <v/>
      </c>
      <c r="BK126" s="188" t="str">
        <f>IF(ISERROR(getgrade(Broadsheet!AL237,data!$H$4:$I$9)),"#",getgrade(Broadsheet!AL237,data!$H$4:$I$9))</f>
        <v/>
      </c>
      <c r="BL126" s="188" t="str">
        <f>IF(ISERROR(getgrade(Broadsheet!AM237,data!$H$4:$I$9)),"#",getgrade(Broadsheet!AM237,data!$H$4:$I$9))</f>
        <v/>
      </c>
      <c r="BM126" s="188" t="str">
        <f>IF(ISERROR(getgrade(Broadsheet!AN237,data!$H$4:$I$9)),"#",getgrade(Broadsheet!AN237,data!$H$4:$I$9))</f>
        <v/>
      </c>
      <c r="BN126" s="188" t="str">
        <f>IF(ISERROR(getgrade(Broadsheet!AO237,data!$H$4:$I$9)),"#",getgrade(Broadsheet!AO237,data!$H$4:$I$9))</f>
        <v/>
      </c>
      <c r="BO126" s="188" t="str">
        <f>IF(ISERROR(getgrade(Broadsheet!AP237,data!$H$4:$I$9)),"#",getgrade(Broadsheet!AP237,data!$H$4:$I$9))</f>
        <v/>
      </c>
      <c r="BP126" s="188" t="str">
        <f>IF(ISERROR(getgrade(Broadsheet!AQ237,data!$H$4:$I$9)),"#",getgrade(Broadsheet!AQ237,data!$H$4:$I$9))</f>
        <v/>
      </c>
      <c r="BQ126" s="188" t="str">
        <f>IF(ISERROR(getgrade(Broadsheet!AR237,data!$H$4:$I$9)),"#",getgrade(Broadsheet!AR237,data!$H$4:$I$9))</f>
        <v/>
      </c>
      <c r="BR126" s="188" t="str">
        <f>IF(ISERROR(getgrade(Broadsheet!AS237,data!$H$4:$I$9)),"#",getgrade(Broadsheet!AS237,data!$H$4:$I$9))</f>
        <v/>
      </c>
      <c r="BS126" s="188" t="str">
        <f>IF(ISERROR(getgrade(Broadsheet!AT237,data!$H$4:$I$9)),"#",getgrade(Broadsheet!AT237,data!$H$4:$I$9))</f>
        <v/>
      </c>
      <c r="BT126" s="188" t="str">
        <f>IF(ISERROR(getgrade(Broadsheet!AU237,data!$H$4:$I$9)),"#",getgrade(Broadsheet!AU237,data!$H$4:$I$9))</f>
        <v/>
      </c>
      <c r="BU126" s="188" t="str">
        <f>IF(ISERROR(getgrade(Broadsheet!AV237,data!$H$4:$I$9)),"#",getgrade(Broadsheet!AV237,data!$H$4:$I$9))</f>
        <v/>
      </c>
      <c r="BV126" s="188" t="str">
        <f>IF(ISERROR(getgrade(Broadsheet!AW237,data!$H$4:$I$9)),"#",getgrade(Broadsheet!AW237,data!$H$4:$I$9))</f>
        <v/>
      </c>
      <c r="BW126" s="188" t="str">
        <f>IF(ISERROR(getgrade(Broadsheet!AX237,data!$H$4:$I$9)),"#",getgrade(Broadsheet!AX237,data!$H$4:$I$9))</f>
        <v/>
      </c>
      <c r="BX126" s="188" t="str">
        <f>IF(ISERROR(getgrade(Broadsheet!AY237,data!$H$4:$I$9)),"#",getgrade(Broadsheet!AY237,data!$H$4:$I$9))</f>
        <v/>
      </c>
      <c r="BY126" s="188" t="str">
        <f>IF(ISERROR(getgrade(Broadsheet!AZ237,data!$H$4:$I$9)),"#",getgrade(Broadsheet!AZ237,data!$H$4:$I$9))</f>
        <v/>
      </c>
      <c r="BZ126" s="188" t="str">
        <f>IF(ISERROR(getgrade(Broadsheet!BA237,data!$H$4:$I$9)),"#",getgrade(Broadsheet!BA237,data!$H$4:$I$9))</f>
        <v/>
      </c>
      <c r="CA126" s="188" t="str">
        <f>IF(ISERROR(getgrade(Broadsheet!BB237,data!$H$4:$I$9)),"#",getgrade(Broadsheet!BB237,data!$H$4:$I$9))</f>
        <v/>
      </c>
      <c r="CB126" s="188" t="str">
        <f>IF(ISERROR(getgrade(Broadsheet!BC237,data!$H$4:$I$9)),"#",getgrade(Broadsheet!BC237,data!$H$4:$I$9))</f>
        <v/>
      </c>
      <c r="CC126" s="188" t="str">
        <f>IF(ISERROR(getgrade(Broadsheet!BD237,data!$H$4:$I$9)),"#",getgrade(Broadsheet!BD237,data!$H$4:$I$9))</f>
        <v/>
      </c>
      <c r="CD126" s="188" t="str">
        <f>IF(ISERROR(getgrade(Broadsheet!BE237,data!$H$4:$I$9)),"#",getgrade(Broadsheet!BE237,data!$H$4:$I$9))</f>
        <v/>
      </c>
      <c r="CE126" s="188" t="str">
        <f>IF(ISERROR(getgrade(Broadsheet!BF237,data!$H$4:$I$9)),"#",getgrade(Broadsheet!BF237,data!$H$4:$I$9))</f>
        <v/>
      </c>
      <c r="CF126" s="188" t="str">
        <f>IF(ISERROR(getgrade(Broadsheet!BG237,data!$H$4:$I$9)),"#",getgrade(Broadsheet!BG237,data!$H$4:$I$9))</f>
        <v/>
      </c>
      <c r="CG126" s="188" t="str">
        <f>IF(ISERROR(getgrade(Broadsheet!BH237,data!$H$4:$I$9)),"#",getgrade(Broadsheet!BH237,data!$H$4:$I$9))</f>
        <v/>
      </c>
      <c r="CH126" s="188" t="str">
        <f>IF(ISERROR(getgrade(Broadsheet!BI237,data!$H$4:$I$9)),"#",getgrade(Broadsheet!BI237,data!$H$4:$I$9))</f>
        <v/>
      </c>
      <c r="CI126" s="188" t="str">
        <f>IF(ISERROR(getgrade(Broadsheet!BJ237,data!$H$4:$I$9)),"#",getgrade(Broadsheet!BJ237,data!$H$4:$I$9))</f>
        <v/>
      </c>
      <c r="CJ126" s="188"/>
      <c r="CK126" s="188"/>
      <c r="CL126" s="188"/>
      <c r="CM126" s="188"/>
      <c r="CN126" s="188"/>
      <c r="CO126" s="188"/>
      <c r="CP126" s="188"/>
      <c r="CQ126" s="188"/>
      <c r="CR126" s="188"/>
      <c r="CS126" s="188"/>
      <c r="CT126" s="188"/>
      <c r="CU126" s="188"/>
      <c r="CV126" s="188"/>
      <c r="CW126" s="188"/>
      <c r="CX126" s="188"/>
      <c r="CY126" s="188"/>
      <c r="CZ126" s="188"/>
      <c r="DA126" s="188"/>
      <c r="DB126" s="188"/>
      <c r="DC126" s="188"/>
      <c r="DD126" s="188"/>
      <c r="DE126" s="188"/>
      <c r="DF126" s="188"/>
      <c r="DG126" s="188"/>
      <c r="DH126" s="188"/>
      <c r="DI126" s="188"/>
      <c r="DJ126" s="188"/>
      <c r="DK126" s="188"/>
      <c r="DL126" s="188"/>
      <c r="DM126" s="188"/>
      <c r="DN126" s="188"/>
      <c r="DO126" s="188"/>
      <c r="DP126" s="188"/>
      <c r="DQ126" s="188"/>
      <c r="DR126" s="188"/>
      <c r="DS126" s="188"/>
      <c r="DT126" s="188"/>
      <c r="DU126" s="188"/>
      <c r="DV126" s="188"/>
      <c r="DW126" s="188"/>
      <c r="DX126" s="188"/>
      <c r="DY126" s="188"/>
      <c r="DZ126" s="188"/>
      <c r="EA126" s="188"/>
      <c r="EB126" s="188"/>
      <c r="EC126" s="188"/>
      <c r="ED126" s="188"/>
      <c r="EE126" s="188"/>
      <c r="EF126" s="188"/>
      <c r="EG126" s="188"/>
      <c r="EH126" s="188"/>
      <c r="EI126" s="188"/>
      <c r="EJ126" s="188"/>
      <c r="EK126" s="188"/>
      <c r="EL126" s="188"/>
      <c r="EM126" s="188"/>
      <c r="EN126" s="188"/>
      <c r="EO126" s="188"/>
      <c r="EP126" s="188"/>
      <c r="EQ126" s="188"/>
      <c r="ER126" s="188"/>
      <c r="ES126" s="188"/>
      <c r="ET126" s="188"/>
      <c r="EU126" s="188"/>
      <c r="EV126" s="188"/>
      <c r="EW126" s="188"/>
      <c r="EX126" s="188"/>
      <c r="EY126" s="188"/>
      <c r="EZ126" s="188"/>
    </row>
    <row r="127" spans="33:156" x14ac:dyDescent="0.2">
      <c r="AG127" s="188" t="str">
        <f>IF(ISERROR(getgrade(Broadsheet!H238,data!$H$4:$I$9)),"#",getgrade(Broadsheet!H238,data!$H$4:$I$9))</f>
        <v/>
      </c>
      <c r="AH127" s="188" t="str">
        <f>IF(ISERROR(getgrade(Broadsheet!I238,data!$H$4:$I$9)),"#",getgrade(Broadsheet!I238,data!$H$4:$I$9))</f>
        <v/>
      </c>
      <c r="AI127" s="188" t="str">
        <f>IF(ISERROR(getgrade(Broadsheet!J238,data!$H$4:$I$9)),"#",getgrade(Broadsheet!J238,data!$H$4:$I$9))</f>
        <v/>
      </c>
      <c r="AJ127" s="188" t="str">
        <f>IF(ISERROR(getgrade(Broadsheet!K238,data!$H$4:$I$9)),"#",getgrade(Broadsheet!K238,data!$H$4:$I$9))</f>
        <v/>
      </c>
      <c r="AK127" s="188" t="str">
        <f>IF(ISERROR(getgrade(Broadsheet!L238,data!$H$4:$I$9)),"#",getgrade(Broadsheet!L238,data!$H$4:$I$9))</f>
        <v/>
      </c>
      <c r="AL127" s="188" t="str">
        <f>IF(ISERROR(getgrade(Broadsheet!M238,data!$H$4:$I$9)),"#",getgrade(Broadsheet!M238,data!$H$4:$I$9))</f>
        <v/>
      </c>
      <c r="AM127" s="188" t="str">
        <f>IF(ISERROR(getgrade(Broadsheet!N238,data!$H$4:$I$9)),"#",getgrade(Broadsheet!N238,data!$H$4:$I$9))</f>
        <v/>
      </c>
      <c r="AN127" s="188" t="str">
        <f>IF(ISERROR(getgrade(Broadsheet!O238,data!$H$4:$I$9)),"#",getgrade(Broadsheet!O238,data!$H$4:$I$9))</f>
        <v/>
      </c>
      <c r="AO127" s="188" t="str">
        <f>IF(ISERROR(getgrade(Broadsheet!P238,data!$H$4:$I$9)),"#",getgrade(Broadsheet!P238,data!$H$4:$I$9))</f>
        <v/>
      </c>
      <c r="AP127" s="188" t="str">
        <f>IF(ISERROR(getgrade(Broadsheet!Q238,data!$H$4:$I$9)),"#",getgrade(Broadsheet!Q238,data!$H$4:$I$9))</f>
        <v/>
      </c>
      <c r="AQ127" s="188" t="str">
        <f>IF(ISERROR(getgrade(Broadsheet!R238,data!$H$4:$I$9)),"#",getgrade(Broadsheet!R238,data!$H$4:$I$9))</f>
        <v/>
      </c>
      <c r="AR127" s="188" t="str">
        <f>IF(ISERROR(getgrade(Broadsheet!S238,data!$H$4:$I$9)),"#",getgrade(Broadsheet!S238,data!$H$4:$I$9))</f>
        <v/>
      </c>
      <c r="AS127" s="188" t="str">
        <f>IF(ISERROR(getgrade(Broadsheet!T238,data!$H$4:$I$9)),"#",getgrade(Broadsheet!T238,data!$H$4:$I$9))</f>
        <v/>
      </c>
      <c r="AT127" s="188" t="str">
        <f>IF(ISERROR(getgrade(Broadsheet!U238,data!$H$4:$I$9)),"#",getgrade(Broadsheet!U238,data!$H$4:$I$9))</f>
        <v/>
      </c>
      <c r="AU127" s="188" t="str">
        <f>IF(ISERROR(getgrade(Broadsheet!V238,data!$H$4:$I$9)),"#",getgrade(Broadsheet!V238,data!$H$4:$I$9))</f>
        <v/>
      </c>
      <c r="AV127" s="188" t="str">
        <f>IF(ISERROR(getgrade(Broadsheet!W238,data!$H$4:$I$9)),"#",getgrade(Broadsheet!W238,data!$H$4:$I$9))</f>
        <v/>
      </c>
      <c r="AW127" s="188" t="str">
        <f>IF(ISERROR(getgrade(Broadsheet!X238,data!$H$4:$I$9)),"#",getgrade(Broadsheet!X238,data!$H$4:$I$9))</f>
        <v/>
      </c>
      <c r="AX127" s="188" t="str">
        <f>IF(ISERROR(getgrade(Broadsheet!Y238,data!$H$4:$I$9)),"#",getgrade(Broadsheet!Y238,data!$H$4:$I$9))</f>
        <v/>
      </c>
      <c r="AY127" s="188" t="str">
        <f>IF(ISERROR(getgrade(Broadsheet!Z238,data!$H$4:$I$9)),"#",getgrade(Broadsheet!Z238,data!$H$4:$I$9))</f>
        <v/>
      </c>
      <c r="AZ127" s="188" t="str">
        <f>IF(ISERROR(getgrade(Broadsheet!AA238,data!$H$4:$I$9)),"#",getgrade(Broadsheet!AA238,data!$H$4:$I$9))</f>
        <v/>
      </c>
      <c r="BA127" s="188" t="str">
        <f>IF(ISERROR(getgrade(Broadsheet!AB238,data!$H$4:$I$9)),"#",getgrade(Broadsheet!AB238,data!$H$4:$I$9))</f>
        <v/>
      </c>
      <c r="BB127" s="188" t="str">
        <f>IF(ISERROR(getgrade(Broadsheet!AC238,data!$H$4:$I$9)),"#",getgrade(Broadsheet!AC238,data!$H$4:$I$9))</f>
        <v/>
      </c>
      <c r="BC127" s="188" t="str">
        <f>IF(ISERROR(getgrade(Broadsheet!AD238,data!$H$4:$I$9)),"#",getgrade(Broadsheet!AD238,data!$H$4:$I$9))</f>
        <v/>
      </c>
      <c r="BD127" s="188" t="str">
        <f>IF(ISERROR(getgrade(Broadsheet!AE238,data!$H$4:$I$9)),"#",getgrade(Broadsheet!AE238,data!$H$4:$I$9))</f>
        <v/>
      </c>
      <c r="BE127" s="188" t="str">
        <f>IF(ISERROR(getgrade(Broadsheet!AF238,data!$H$4:$I$9)),"#",getgrade(Broadsheet!AF238,data!$H$4:$I$9))</f>
        <v/>
      </c>
      <c r="BF127" s="188" t="str">
        <f>IF(ISERROR(getgrade(Broadsheet!AG238,data!$H$4:$I$9)),"#",getgrade(Broadsheet!AG238,data!$H$4:$I$9))</f>
        <v/>
      </c>
      <c r="BG127" s="188" t="str">
        <f>IF(ISERROR(getgrade(Broadsheet!AH238,data!$H$4:$I$9)),"#",getgrade(Broadsheet!AH238,data!$H$4:$I$9))</f>
        <v/>
      </c>
      <c r="BH127" s="188" t="str">
        <f>IF(ISERROR(getgrade(Broadsheet!AI238,data!$H$4:$I$9)),"#",getgrade(Broadsheet!AI238,data!$H$4:$I$9))</f>
        <v/>
      </c>
      <c r="BI127" s="188" t="str">
        <f>IF(ISERROR(getgrade(Broadsheet!AJ238,data!$H$4:$I$9)),"#",getgrade(Broadsheet!AJ238,data!$H$4:$I$9))</f>
        <v/>
      </c>
      <c r="BJ127" s="188" t="str">
        <f>IF(ISERROR(getgrade(Broadsheet!AK238,data!$H$4:$I$9)),"#",getgrade(Broadsheet!AK238,data!$H$4:$I$9))</f>
        <v/>
      </c>
      <c r="BK127" s="188" t="str">
        <f>IF(ISERROR(getgrade(Broadsheet!AL238,data!$H$4:$I$9)),"#",getgrade(Broadsheet!AL238,data!$H$4:$I$9))</f>
        <v/>
      </c>
      <c r="BL127" s="188" t="str">
        <f>IF(ISERROR(getgrade(Broadsheet!AM238,data!$H$4:$I$9)),"#",getgrade(Broadsheet!AM238,data!$H$4:$I$9))</f>
        <v/>
      </c>
      <c r="BM127" s="188" t="str">
        <f>IF(ISERROR(getgrade(Broadsheet!AN238,data!$H$4:$I$9)),"#",getgrade(Broadsheet!AN238,data!$H$4:$I$9))</f>
        <v/>
      </c>
      <c r="BN127" s="188" t="str">
        <f>IF(ISERROR(getgrade(Broadsheet!AO238,data!$H$4:$I$9)),"#",getgrade(Broadsheet!AO238,data!$H$4:$I$9))</f>
        <v/>
      </c>
      <c r="BO127" s="188" t="str">
        <f>IF(ISERROR(getgrade(Broadsheet!AP238,data!$H$4:$I$9)),"#",getgrade(Broadsheet!AP238,data!$H$4:$I$9))</f>
        <v/>
      </c>
      <c r="BP127" s="188" t="str">
        <f>IF(ISERROR(getgrade(Broadsheet!AQ238,data!$H$4:$I$9)),"#",getgrade(Broadsheet!AQ238,data!$H$4:$I$9))</f>
        <v/>
      </c>
      <c r="BQ127" s="188" t="str">
        <f>IF(ISERROR(getgrade(Broadsheet!AR238,data!$H$4:$I$9)),"#",getgrade(Broadsheet!AR238,data!$H$4:$I$9))</f>
        <v/>
      </c>
      <c r="BR127" s="188" t="str">
        <f>IF(ISERROR(getgrade(Broadsheet!AS238,data!$H$4:$I$9)),"#",getgrade(Broadsheet!AS238,data!$H$4:$I$9))</f>
        <v/>
      </c>
      <c r="BS127" s="188" t="str">
        <f>IF(ISERROR(getgrade(Broadsheet!AT238,data!$H$4:$I$9)),"#",getgrade(Broadsheet!AT238,data!$H$4:$I$9))</f>
        <v/>
      </c>
      <c r="BT127" s="188" t="str">
        <f>IF(ISERROR(getgrade(Broadsheet!AU238,data!$H$4:$I$9)),"#",getgrade(Broadsheet!AU238,data!$H$4:$I$9))</f>
        <v/>
      </c>
      <c r="BU127" s="188" t="str">
        <f>IF(ISERROR(getgrade(Broadsheet!AV238,data!$H$4:$I$9)),"#",getgrade(Broadsheet!AV238,data!$H$4:$I$9))</f>
        <v/>
      </c>
      <c r="BV127" s="188" t="str">
        <f>IF(ISERROR(getgrade(Broadsheet!AW238,data!$H$4:$I$9)),"#",getgrade(Broadsheet!AW238,data!$H$4:$I$9))</f>
        <v/>
      </c>
      <c r="BW127" s="188" t="str">
        <f>IF(ISERROR(getgrade(Broadsheet!AX238,data!$H$4:$I$9)),"#",getgrade(Broadsheet!AX238,data!$H$4:$I$9))</f>
        <v/>
      </c>
      <c r="BX127" s="188" t="str">
        <f>IF(ISERROR(getgrade(Broadsheet!AY238,data!$H$4:$I$9)),"#",getgrade(Broadsheet!AY238,data!$H$4:$I$9))</f>
        <v/>
      </c>
      <c r="BY127" s="188" t="str">
        <f>IF(ISERROR(getgrade(Broadsheet!AZ238,data!$H$4:$I$9)),"#",getgrade(Broadsheet!AZ238,data!$H$4:$I$9))</f>
        <v/>
      </c>
      <c r="BZ127" s="188" t="str">
        <f>IF(ISERROR(getgrade(Broadsheet!BA238,data!$H$4:$I$9)),"#",getgrade(Broadsheet!BA238,data!$H$4:$I$9))</f>
        <v/>
      </c>
      <c r="CA127" s="188" t="str">
        <f>IF(ISERROR(getgrade(Broadsheet!BB238,data!$H$4:$I$9)),"#",getgrade(Broadsheet!BB238,data!$H$4:$I$9))</f>
        <v/>
      </c>
      <c r="CB127" s="188" t="str">
        <f>IF(ISERROR(getgrade(Broadsheet!BC238,data!$H$4:$I$9)),"#",getgrade(Broadsheet!BC238,data!$H$4:$I$9))</f>
        <v/>
      </c>
      <c r="CC127" s="188" t="str">
        <f>IF(ISERROR(getgrade(Broadsheet!BD238,data!$H$4:$I$9)),"#",getgrade(Broadsheet!BD238,data!$H$4:$I$9))</f>
        <v/>
      </c>
      <c r="CD127" s="188" t="str">
        <f>IF(ISERROR(getgrade(Broadsheet!BE238,data!$H$4:$I$9)),"#",getgrade(Broadsheet!BE238,data!$H$4:$I$9))</f>
        <v/>
      </c>
      <c r="CE127" s="188" t="str">
        <f>IF(ISERROR(getgrade(Broadsheet!BF238,data!$H$4:$I$9)),"#",getgrade(Broadsheet!BF238,data!$H$4:$I$9))</f>
        <v/>
      </c>
      <c r="CF127" s="188" t="str">
        <f>IF(ISERROR(getgrade(Broadsheet!BG238,data!$H$4:$I$9)),"#",getgrade(Broadsheet!BG238,data!$H$4:$I$9))</f>
        <v/>
      </c>
      <c r="CG127" s="188" t="str">
        <f>IF(ISERROR(getgrade(Broadsheet!BH238,data!$H$4:$I$9)),"#",getgrade(Broadsheet!BH238,data!$H$4:$I$9))</f>
        <v/>
      </c>
      <c r="CH127" s="188" t="str">
        <f>IF(ISERROR(getgrade(Broadsheet!BI238,data!$H$4:$I$9)),"#",getgrade(Broadsheet!BI238,data!$H$4:$I$9))</f>
        <v/>
      </c>
      <c r="CI127" s="188" t="str">
        <f>IF(ISERROR(getgrade(Broadsheet!BJ238,data!$H$4:$I$9)),"#",getgrade(Broadsheet!BJ238,data!$H$4:$I$9))</f>
        <v/>
      </c>
      <c r="CJ127" s="188"/>
      <c r="CK127" s="188"/>
      <c r="CL127" s="188"/>
      <c r="CM127" s="188"/>
      <c r="CN127" s="188"/>
      <c r="CO127" s="188"/>
      <c r="CP127" s="188"/>
      <c r="CQ127" s="188"/>
      <c r="CR127" s="188"/>
      <c r="CS127" s="188"/>
      <c r="CT127" s="188"/>
      <c r="CU127" s="188"/>
      <c r="CV127" s="188"/>
      <c r="CW127" s="188"/>
      <c r="CX127" s="188"/>
      <c r="CY127" s="188"/>
      <c r="CZ127" s="188"/>
      <c r="DA127" s="188"/>
      <c r="DB127" s="188"/>
      <c r="DC127" s="188"/>
      <c r="DD127" s="188"/>
      <c r="DE127" s="188"/>
      <c r="DF127" s="188"/>
      <c r="DG127" s="188"/>
      <c r="DH127" s="188"/>
      <c r="DI127" s="188"/>
      <c r="DJ127" s="188"/>
      <c r="DK127" s="188"/>
      <c r="DL127" s="188"/>
      <c r="DM127" s="188"/>
      <c r="DN127" s="188"/>
      <c r="DO127" s="188"/>
      <c r="DP127" s="188"/>
      <c r="DQ127" s="188"/>
      <c r="DR127" s="188"/>
      <c r="DS127" s="188"/>
      <c r="DT127" s="188"/>
      <c r="DU127" s="188"/>
      <c r="DV127" s="188"/>
      <c r="DW127" s="188"/>
      <c r="DX127" s="188"/>
      <c r="DY127" s="188"/>
      <c r="DZ127" s="188"/>
      <c r="EA127" s="188"/>
      <c r="EB127" s="188"/>
      <c r="EC127" s="188"/>
      <c r="ED127" s="188"/>
      <c r="EE127" s="188"/>
      <c r="EF127" s="188"/>
      <c r="EG127" s="188"/>
      <c r="EH127" s="188"/>
      <c r="EI127" s="188"/>
      <c r="EJ127" s="188"/>
      <c r="EK127" s="188"/>
      <c r="EL127" s="188"/>
      <c r="EM127" s="188"/>
      <c r="EN127" s="188"/>
      <c r="EO127" s="188"/>
      <c r="EP127" s="188"/>
      <c r="EQ127" s="188"/>
      <c r="ER127" s="188"/>
      <c r="ES127" s="188"/>
      <c r="ET127" s="188"/>
      <c r="EU127" s="188"/>
      <c r="EV127" s="188"/>
      <c r="EW127" s="188"/>
      <c r="EX127" s="188"/>
      <c r="EY127" s="188"/>
      <c r="EZ127" s="188"/>
    </row>
    <row r="128" spans="33:156" x14ac:dyDescent="0.2">
      <c r="AG128" s="188" t="str">
        <f>IF(ISERROR(getgrade(Broadsheet!H239,data!$H$4:$I$9)),"#",getgrade(Broadsheet!H239,data!$H$4:$I$9))</f>
        <v/>
      </c>
      <c r="AH128" s="188" t="str">
        <f>IF(ISERROR(getgrade(Broadsheet!I239,data!$H$4:$I$9)),"#",getgrade(Broadsheet!I239,data!$H$4:$I$9))</f>
        <v/>
      </c>
      <c r="AI128" s="188" t="str">
        <f>IF(ISERROR(getgrade(Broadsheet!J239,data!$H$4:$I$9)),"#",getgrade(Broadsheet!J239,data!$H$4:$I$9))</f>
        <v/>
      </c>
      <c r="AJ128" s="188" t="str">
        <f>IF(ISERROR(getgrade(Broadsheet!K239,data!$H$4:$I$9)),"#",getgrade(Broadsheet!K239,data!$H$4:$I$9))</f>
        <v/>
      </c>
      <c r="AK128" s="188" t="str">
        <f>IF(ISERROR(getgrade(Broadsheet!L239,data!$H$4:$I$9)),"#",getgrade(Broadsheet!L239,data!$H$4:$I$9))</f>
        <v/>
      </c>
      <c r="AL128" s="188" t="str">
        <f>IF(ISERROR(getgrade(Broadsheet!M239,data!$H$4:$I$9)),"#",getgrade(Broadsheet!M239,data!$H$4:$I$9))</f>
        <v/>
      </c>
      <c r="AM128" s="188" t="str">
        <f>IF(ISERROR(getgrade(Broadsheet!N239,data!$H$4:$I$9)),"#",getgrade(Broadsheet!N239,data!$H$4:$I$9))</f>
        <v/>
      </c>
      <c r="AN128" s="188" t="str">
        <f>IF(ISERROR(getgrade(Broadsheet!O239,data!$H$4:$I$9)),"#",getgrade(Broadsheet!O239,data!$H$4:$I$9))</f>
        <v/>
      </c>
      <c r="AO128" s="188" t="str">
        <f>IF(ISERROR(getgrade(Broadsheet!P239,data!$H$4:$I$9)),"#",getgrade(Broadsheet!P239,data!$H$4:$I$9))</f>
        <v/>
      </c>
      <c r="AP128" s="188" t="str">
        <f>IF(ISERROR(getgrade(Broadsheet!Q239,data!$H$4:$I$9)),"#",getgrade(Broadsheet!Q239,data!$H$4:$I$9))</f>
        <v/>
      </c>
      <c r="AQ128" s="188" t="str">
        <f>IF(ISERROR(getgrade(Broadsheet!R239,data!$H$4:$I$9)),"#",getgrade(Broadsheet!R239,data!$H$4:$I$9))</f>
        <v/>
      </c>
      <c r="AR128" s="188" t="str">
        <f>IF(ISERROR(getgrade(Broadsheet!S239,data!$H$4:$I$9)),"#",getgrade(Broadsheet!S239,data!$H$4:$I$9))</f>
        <v/>
      </c>
      <c r="AS128" s="188" t="str">
        <f>IF(ISERROR(getgrade(Broadsheet!T239,data!$H$4:$I$9)),"#",getgrade(Broadsheet!T239,data!$H$4:$I$9))</f>
        <v/>
      </c>
      <c r="AT128" s="188" t="str">
        <f>IF(ISERROR(getgrade(Broadsheet!U239,data!$H$4:$I$9)),"#",getgrade(Broadsheet!U239,data!$H$4:$I$9))</f>
        <v/>
      </c>
      <c r="AU128" s="188" t="str">
        <f>IF(ISERROR(getgrade(Broadsheet!V239,data!$H$4:$I$9)),"#",getgrade(Broadsheet!V239,data!$H$4:$I$9))</f>
        <v/>
      </c>
      <c r="AV128" s="188" t="str">
        <f>IF(ISERROR(getgrade(Broadsheet!W239,data!$H$4:$I$9)),"#",getgrade(Broadsheet!W239,data!$H$4:$I$9))</f>
        <v/>
      </c>
      <c r="AW128" s="188" t="str">
        <f>IF(ISERROR(getgrade(Broadsheet!X239,data!$H$4:$I$9)),"#",getgrade(Broadsheet!X239,data!$H$4:$I$9))</f>
        <v/>
      </c>
      <c r="AX128" s="188" t="str">
        <f>IF(ISERROR(getgrade(Broadsheet!Y239,data!$H$4:$I$9)),"#",getgrade(Broadsheet!Y239,data!$H$4:$I$9))</f>
        <v/>
      </c>
      <c r="AY128" s="188" t="str">
        <f>IF(ISERROR(getgrade(Broadsheet!Z239,data!$H$4:$I$9)),"#",getgrade(Broadsheet!Z239,data!$H$4:$I$9))</f>
        <v/>
      </c>
      <c r="AZ128" s="188" t="str">
        <f>IF(ISERROR(getgrade(Broadsheet!AA239,data!$H$4:$I$9)),"#",getgrade(Broadsheet!AA239,data!$H$4:$I$9))</f>
        <v/>
      </c>
      <c r="BA128" s="188" t="str">
        <f>IF(ISERROR(getgrade(Broadsheet!AB239,data!$H$4:$I$9)),"#",getgrade(Broadsheet!AB239,data!$H$4:$I$9))</f>
        <v/>
      </c>
      <c r="BB128" s="188" t="str">
        <f>IF(ISERROR(getgrade(Broadsheet!AC239,data!$H$4:$I$9)),"#",getgrade(Broadsheet!AC239,data!$H$4:$I$9))</f>
        <v/>
      </c>
      <c r="BC128" s="188" t="str">
        <f>IF(ISERROR(getgrade(Broadsheet!AD239,data!$H$4:$I$9)),"#",getgrade(Broadsheet!AD239,data!$H$4:$I$9))</f>
        <v/>
      </c>
      <c r="BD128" s="188" t="str">
        <f>IF(ISERROR(getgrade(Broadsheet!AE239,data!$H$4:$I$9)),"#",getgrade(Broadsheet!AE239,data!$H$4:$I$9))</f>
        <v/>
      </c>
      <c r="BE128" s="188" t="str">
        <f>IF(ISERROR(getgrade(Broadsheet!AF239,data!$H$4:$I$9)),"#",getgrade(Broadsheet!AF239,data!$H$4:$I$9))</f>
        <v/>
      </c>
      <c r="BF128" s="188" t="str">
        <f>IF(ISERROR(getgrade(Broadsheet!AG239,data!$H$4:$I$9)),"#",getgrade(Broadsheet!AG239,data!$H$4:$I$9))</f>
        <v/>
      </c>
      <c r="BG128" s="188" t="str">
        <f>IF(ISERROR(getgrade(Broadsheet!AH239,data!$H$4:$I$9)),"#",getgrade(Broadsheet!AH239,data!$H$4:$I$9))</f>
        <v/>
      </c>
      <c r="BH128" s="188" t="str">
        <f>IF(ISERROR(getgrade(Broadsheet!AI239,data!$H$4:$I$9)),"#",getgrade(Broadsheet!AI239,data!$H$4:$I$9))</f>
        <v/>
      </c>
      <c r="BI128" s="188" t="str">
        <f>IF(ISERROR(getgrade(Broadsheet!AJ239,data!$H$4:$I$9)),"#",getgrade(Broadsheet!AJ239,data!$H$4:$I$9))</f>
        <v/>
      </c>
      <c r="BJ128" s="188" t="str">
        <f>IF(ISERROR(getgrade(Broadsheet!AK239,data!$H$4:$I$9)),"#",getgrade(Broadsheet!AK239,data!$H$4:$I$9))</f>
        <v/>
      </c>
      <c r="BK128" s="188" t="str">
        <f>IF(ISERROR(getgrade(Broadsheet!AL239,data!$H$4:$I$9)),"#",getgrade(Broadsheet!AL239,data!$H$4:$I$9))</f>
        <v/>
      </c>
      <c r="BL128" s="188" t="str">
        <f>IF(ISERROR(getgrade(Broadsheet!AM239,data!$H$4:$I$9)),"#",getgrade(Broadsheet!AM239,data!$H$4:$I$9))</f>
        <v/>
      </c>
      <c r="BM128" s="188" t="str">
        <f>IF(ISERROR(getgrade(Broadsheet!AN239,data!$H$4:$I$9)),"#",getgrade(Broadsheet!AN239,data!$H$4:$I$9))</f>
        <v/>
      </c>
      <c r="BN128" s="188" t="str">
        <f>IF(ISERROR(getgrade(Broadsheet!AO239,data!$H$4:$I$9)),"#",getgrade(Broadsheet!AO239,data!$H$4:$I$9))</f>
        <v/>
      </c>
      <c r="BO128" s="188" t="str">
        <f>IF(ISERROR(getgrade(Broadsheet!AP239,data!$H$4:$I$9)),"#",getgrade(Broadsheet!AP239,data!$H$4:$I$9))</f>
        <v/>
      </c>
      <c r="BP128" s="188" t="str">
        <f>IF(ISERROR(getgrade(Broadsheet!AQ239,data!$H$4:$I$9)),"#",getgrade(Broadsheet!AQ239,data!$H$4:$I$9))</f>
        <v/>
      </c>
      <c r="BQ128" s="188" t="str">
        <f>IF(ISERROR(getgrade(Broadsheet!AR239,data!$H$4:$I$9)),"#",getgrade(Broadsheet!AR239,data!$H$4:$I$9))</f>
        <v/>
      </c>
      <c r="BR128" s="188" t="str">
        <f>IF(ISERROR(getgrade(Broadsheet!AS239,data!$H$4:$I$9)),"#",getgrade(Broadsheet!AS239,data!$H$4:$I$9))</f>
        <v/>
      </c>
      <c r="BS128" s="188" t="str">
        <f>IF(ISERROR(getgrade(Broadsheet!AT239,data!$H$4:$I$9)),"#",getgrade(Broadsheet!AT239,data!$H$4:$I$9))</f>
        <v/>
      </c>
      <c r="BT128" s="188" t="str">
        <f>IF(ISERROR(getgrade(Broadsheet!AU239,data!$H$4:$I$9)),"#",getgrade(Broadsheet!AU239,data!$H$4:$I$9))</f>
        <v/>
      </c>
      <c r="BU128" s="188" t="str">
        <f>IF(ISERROR(getgrade(Broadsheet!AV239,data!$H$4:$I$9)),"#",getgrade(Broadsheet!AV239,data!$H$4:$I$9))</f>
        <v/>
      </c>
      <c r="BV128" s="188" t="str">
        <f>IF(ISERROR(getgrade(Broadsheet!AW239,data!$H$4:$I$9)),"#",getgrade(Broadsheet!AW239,data!$H$4:$I$9))</f>
        <v/>
      </c>
      <c r="BW128" s="188" t="str">
        <f>IF(ISERROR(getgrade(Broadsheet!AX239,data!$H$4:$I$9)),"#",getgrade(Broadsheet!AX239,data!$H$4:$I$9))</f>
        <v/>
      </c>
      <c r="BX128" s="188" t="str">
        <f>IF(ISERROR(getgrade(Broadsheet!AY239,data!$H$4:$I$9)),"#",getgrade(Broadsheet!AY239,data!$H$4:$I$9))</f>
        <v/>
      </c>
      <c r="BY128" s="188" t="str">
        <f>IF(ISERROR(getgrade(Broadsheet!AZ239,data!$H$4:$I$9)),"#",getgrade(Broadsheet!AZ239,data!$H$4:$I$9))</f>
        <v/>
      </c>
      <c r="BZ128" s="188" t="str">
        <f>IF(ISERROR(getgrade(Broadsheet!BA239,data!$H$4:$I$9)),"#",getgrade(Broadsheet!BA239,data!$H$4:$I$9))</f>
        <v/>
      </c>
      <c r="CA128" s="188" t="str">
        <f>IF(ISERROR(getgrade(Broadsheet!BB239,data!$H$4:$I$9)),"#",getgrade(Broadsheet!BB239,data!$H$4:$I$9))</f>
        <v/>
      </c>
      <c r="CB128" s="188" t="str">
        <f>IF(ISERROR(getgrade(Broadsheet!BC239,data!$H$4:$I$9)),"#",getgrade(Broadsheet!BC239,data!$H$4:$I$9))</f>
        <v/>
      </c>
      <c r="CC128" s="188" t="str">
        <f>IF(ISERROR(getgrade(Broadsheet!BD239,data!$H$4:$I$9)),"#",getgrade(Broadsheet!BD239,data!$H$4:$I$9))</f>
        <v/>
      </c>
      <c r="CD128" s="188" t="str">
        <f>IF(ISERROR(getgrade(Broadsheet!BE239,data!$H$4:$I$9)),"#",getgrade(Broadsheet!BE239,data!$H$4:$I$9))</f>
        <v/>
      </c>
      <c r="CE128" s="188" t="str">
        <f>IF(ISERROR(getgrade(Broadsheet!BF239,data!$H$4:$I$9)),"#",getgrade(Broadsheet!BF239,data!$H$4:$I$9))</f>
        <v/>
      </c>
      <c r="CF128" s="188" t="str">
        <f>IF(ISERROR(getgrade(Broadsheet!BG239,data!$H$4:$I$9)),"#",getgrade(Broadsheet!BG239,data!$H$4:$I$9))</f>
        <v/>
      </c>
      <c r="CG128" s="188" t="str">
        <f>IF(ISERROR(getgrade(Broadsheet!BH239,data!$H$4:$I$9)),"#",getgrade(Broadsheet!BH239,data!$H$4:$I$9))</f>
        <v/>
      </c>
      <c r="CH128" s="188" t="str">
        <f>IF(ISERROR(getgrade(Broadsheet!BI239,data!$H$4:$I$9)),"#",getgrade(Broadsheet!BI239,data!$H$4:$I$9))</f>
        <v/>
      </c>
      <c r="CI128" s="188" t="str">
        <f>IF(ISERROR(getgrade(Broadsheet!BJ239,data!$H$4:$I$9)),"#",getgrade(Broadsheet!BJ239,data!$H$4:$I$9))</f>
        <v/>
      </c>
      <c r="CJ128" s="188"/>
      <c r="CK128" s="188"/>
      <c r="CL128" s="188"/>
      <c r="CM128" s="188"/>
      <c r="CN128" s="188"/>
      <c r="CO128" s="188"/>
      <c r="CP128" s="188"/>
      <c r="CQ128" s="188"/>
      <c r="CR128" s="188"/>
      <c r="CS128" s="188"/>
      <c r="CT128" s="188"/>
      <c r="CU128" s="188"/>
      <c r="CV128" s="188"/>
      <c r="CW128" s="188"/>
      <c r="CX128" s="188"/>
      <c r="CY128" s="188"/>
      <c r="CZ128" s="188"/>
      <c r="DA128" s="188"/>
      <c r="DB128" s="188"/>
      <c r="DC128" s="188"/>
      <c r="DD128" s="188"/>
      <c r="DE128" s="188"/>
      <c r="DF128" s="188"/>
      <c r="DG128" s="188"/>
      <c r="DH128" s="188"/>
      <c r="DI128" s="188"/>
      <c r="DJ128" s="188"/>
      <c r="DK128" s="188"/>
      <c r="DL128" s="188"/>
      <c r="DM128" s="188"/>
      <c r="DN128" s="188"/>
      <c r="DO128" s="188"/>
      <c r="DP128" s="188"/>
      <c r="DQ128" s="188"/>
      <c r="DR128" s="188"/>
      <c r="DS128" s="188"/>
      <c r="DT128" s="188"/>
      <c r="DU128" s="188"/>
      <c r="DV128" s="188"/>
      <c r="DW128" s="188"/>
      <c r="DX128" s="188"/>
      <c r="DY128" s="188"/>
      <c r="DZ128" s="188"/>
      <c r="EA128" s="188"/>
      <c r="EB128" s="188"/>
      <c r="EC128" s="188"/>
      <c r="ED128" s="188"/>
      <c r="EE128" s="188"/>
      <c r="EF128" s="188"/>
      <c r="EG128" s="188"/>
      <c r="EH128" s="188"/>
      <c r="EI128" s="188"/>
      <c r="EJ128" s="188"/>
      <c r="EK128" s="188"/>
      <c r="EL128" s="188"/>
      <c r="EM128" s="188"/>
      <c r="EN128" s="188"/>
      <c r="EO128" s="188"/>
      <c r="EP128" s="188"/>
      <c r="EQ128" s="188"/>
      <c r="ER128" s="188"/>
      <c r="ES128" s="188"/>
      <c r="ET128" s="188"/>
      <c r="EU128" s="188"/>
      <c r="EV128" s="188"/>
      <c r="EW128" s="188"/>
      <c r="EX128" s="188"/>
      <c r="EY128" s="188"/>
      <c r="EZ128" s="188"/>
    </row>
    <row r="129" spans="33:156" x14ac:dyDescent="0.2">
      <c r="AG129" s="188" t="str">
        <f>IF(ISERROR(getgrade(Broadsheet!H240,data!$H$4:$I$9)),"#",getgrade(Broadsheet!H240,data!$H$4:$I$9))</f>
        <v/>
      </c>
      <c r="AH129" s="188" t="str">
        <f>IF(ISERROR(getgrade(Broadsheet!I240,data!$H$4:$I$9)),"#",getgrade(Broadsheet!I240,data!$H$4:$I$9))</f>
        <v/>
      </c>
      <c r="AI129" s="188" t="str">
        <f>IF(ISERROR(getgrade(Broadsheet!J240,data!$H$4:$I$9)),"#",getgrade(Broadsheet!J240,data!$H$4:$I$9))</f>
        <v/>
      </c>
      <c r="AJ129" s="188" t="str">
        <f>IF(ISERROR(getgrade(Broadsheet!K240,data!$H$4:$I$9)),"#",getgrade(Broadsheet!K240,data!$H$4:$I$9))</f>
        <v/>
      </c>
      <c r="AK129" s="188" t="str">
        <f>IF(ISERROR(getgrade(Broadsheet!L240,data!$H$4:$I$9)),"#",getgrade(Broadsheet!L240,data!$H$4:$I$9))</f>
        <v/>
      </c>
      <c r="AL129" s="188" t="str">
        <f>IF(ISERROR(getgrade(Broadsheet!M240,data!$H$4:$I$9)),"#",getgrade(Broadsheet!M240,data!$H$4:$I$9))</f>
        <v/>
      </c>
      <c r="AM129" s="188" t="str">
        <f>IF(ISERROR(getgrade(Broadsheet!N240,data!$H$4:$I$9)),"#",getgrade(Broadsheet!N240,data!$H$4:$I$9))</f>
        <v/>
      </c>
      <c r="AN129" s="188" t="str">
        <f>IF(ISERROR(getgrade(Broadsheet!O240,data!$H$4:$I$9)),"#",getgrade(Broadsheet!O240,data!$H$4:$I$9))</f>
        <v/>
      </c>
      <c r="AO129" s="188" t="str">
        <f>IF(ISERROR(getgrade(Broadsheet!P240,data!$H$4:$I$9)),"#",getgrade(Broadsheet!P240,data!$H$4:$I$9))</f>
        <v/>
      </c>
      <c r="AP129" s="188" t="str">
        <f>IF(ISERROR(getgrade(Broadsheet!Q240,data!$H$4:$I$9)),"#",getgrade(Broadsheet!Q240,data!$H$4:$I$9))</f>
        <v/>
      </c>
      <c r="AQ129" s="188" t="str">
        <f>IF(ISERROR(getgrade(Broadsheet!R240,data!$H$4:$I$9)),"#",getgrade(Broadsheet!R240,data!$H$4:$I$9))</f>
        <v/>
      </c>
      <c r="AR129" s="188" t="str">
        <f>IF(ISERROR(getgrade(Broadsheet!S240,data!$H$4:$I$9)),"#",getgrade(Broadsheet!S240,data!$H$4:$I$9))</f>
        <v/>
      </c>
      <c r="AS129" s="188" t="str">
        <f>IF(ISERROR(getgrade(Broadsheet!T240,data!$H$4:$I$9)),"#",getgrade(Broadsheet!T240,data!$H$4:$I$9))</f>
        <v/>
      </c>
      <c r="AT129" s="188" t="str">
        <f>IF(ISERROR(getgrade(Broadsheet!U240,data!$H$4:$I$9)),"#",getgrade(Broadsheet!U240,data!$H$4:$I$9))</f>
        <v/>
      </c>
      <c r="AU129" s="188" t="str">
        <f>IF(ISERROR(getgrade(Broadsheet!V240,data!$H$4:$I$9)),"#",getgrade(Broadsheet!V240,data!$H$4:$I$9))</f>
        <v/>
      </c>
      <c r="AV129" s="188" t="str">
        <f>IF(ISERROR(getgrade(Broadsheet!W240,data!$H$4:$I$9)),"#",getgrade(Broadsheet!W240,data!$H$4:$I$9))</f>
        <v/>
      </c>
      <c r="AW129" s="188" t="str">
        <f>IF(ISERROR(getgrade(Broadsheet!X240,data!$H$4:$I$9)),"#",getgrade(Broadsheet!X240,data!$H$4:$I$9))</f>
        <v/>
      </c>
      <c r="AX129" s="188" t="str">
        <f>IF(ISERROR(getgrade(Broadsheet!Y240,data!$H$4:$I$9)),"#",getgrade(Broadsheet!Y240,data!$H$4:$I$9))</f>
        <v/>
      </c>
      <c r="AY129" s="188" t="str">
        <f>IF(ISERROR(getgrade(Broadsheet!Z240,data!$H$4:$I$9)),"#",getgrade(Broadsheet!Z240,data!$H$4:$I$9))</f>
        <v/>
      </c>
      <c r="AZ129" s="188" t="str">
        <f>IF(ISERROR(getgrade(Broadsheet!AA240,data!$H$4:$I$9)),"#",getgrade(Broadsheet!AA240,data!$H$4:$I$9))</f>
        <v/>
      </c>
      <c r="BA129" s="188" t="str">
        <f>IF(ISERROR(getgrade(Broadsheet!AB240,data!$H$4:$I$9)),"#",getgrade(Broadsheet!AB240,data!$H$4:$I$9))</f>
        <v/>
      </c>
      <c r="BB129" s="188" t="str">
        <f>IF(ISERROR(getgrade(Broadsheet!AC240,data!$H$4:$I$9)),"#",getgrade(Broadsheet!AC240,data!$H$4:$I$9))</f>
        <v/>
      </c>
      <c r="BC129" s="188" t="str">
        <f>IF(ISERROR(getgrade(Broadsheet!AD240,data!$H$4:$I$9)),"#",getgrade(Broadsheet!AD240,data!$H$4:$I$9))</f>
        <v/>
      </c>
      <c r="BD129" s="188" t="str">
        <f>IF(ISERROR(getgrade(Broadsheet!AE240,data!$H$4:$I$9)),"#",getgrade(Broadsheet!AE240,data!$H$4:$I$9))</f>
        <v/>
      </c>
      <c r="BE129" s="188" t="str">
        <f>IF(ISERROR(getgrade(Broadsheet!AF240,data!$H$4:$I$9)),"#",getgrade(Broadsheet!AF240,data!$H$4:$I$9))</f>
        <v/>
      </c>
      <c r="BF129" s="188" t="str">
        <f>IF(ISERROR(getgrade(Broadsheet!AG240,data!$H$4:$I$9)),"#",getgrade(Broadsheet!AG240,data!$H$4:$I$9))</f>
        <v/>
      </c>
      <c r="BG129" s="188" t="str">
        <f>IF(ISERROR(getgrade(Broadsheet!AH240,data!$H$4:$I$9)),"#",getgrade(Broadsheet!AH240,data!$H$4:$I$9))</f>
        <v/>
      </c>
      <c r="BH129" s="188" t="str">
        <f>IF(ISERROR(getgrade(Broadsheet!AI240,data!$H$4:$I$9)),"#",getgrade(Broadsheet!AI240,data!$H$4:$I$9))</f>
        <v/>
      </c>
      <c r="BI129" s="188" t="str">
        <f>IF(ISERROR(getgrade(Broadsheet!AJ240,data!$H$4:$I$9)),"#",getgrade(Broadsheet!AJ240,data!$H$4:$I$9))</f>
        <v/>
      </c>
      <c r="BJ129" s="188" t="str">
        <f>IF(ISERROR(getgrade(Broadsheet!AK240,data!$H$4:$I$9)),"#",getgrade(Broadsheet!AK240,data!$H$4:$I$9))</f>
        <v/>
      </c>
      <c r="BK129" s="188" t="str">
        <f>IF(ISERROR(getgrade(Broadsheet!AL240,data!$H$4:$I$9)),"#",getgrade(Broadsheet!AL240,data!$H$4:$I$9))</f>
        <v/>
      </c>
      <c r="BL129" s="188" t="str">
        <f>IF(ISERROR(getgrade(Broadsheet!AM240,data!$H$4:$I$9)),"#",getgrade(Broadsheet!AM240,data!$H$4:$I$9))</f>
        <v/>
      </c>
      <c r="BM129" s="188" t="str">
        <f>IF(ISERROR(getgrade(Broadsheet!AN240,data!$H$4:$I$9)),"#",getgrade(Broadsheet!AN240,data!$H$4:$I$9))</f>
        <v/>
      </c>
      <c r="BN129" s="188" t="str">
        <f>IF(ISERROR(getgrade(Broadsheet!AO240,data!$H$4:$I$9)),"#",getgrade(Broadsheet!AO240,data!$H$4:$I$9))</f>
        <v/>
      </c>
      <c r="BO129" s="188" t="str">
        <f>IF(ISERROR(getgrade(Broadsheet!AP240,data!$H$4:$I$9)),"#",getgrade(Broadsheet!AP240,data!$H$4:$I$9))</f>
        <v/>
      </c>
      <c r="BP129" s="188" t="str">
        <f>IF(ISERROR(getgrade(Broadsheet!AQ240,data!$H$4:$I$9)),"#",getgrade(Broadsheet!AQ240,data!$H$4:$I$9))</f>
        <v/>
      </c>
      <c r="BQ129" s="188" t="str">
        <f>IF(ISERROR(getgrade(Broadsheet!AR240,data!$H$4:$I$9)),"#",getgrade(Broadsheet!AR240,data!$H$4:$I$9))</f>
        <v/>
      </c>
      <c r="BR129" s="188" t="str">
        <f>IF(ISERROR(getgrade(Broadsheet!AS240,data!$H$4:$I$9)),"#",getgrade(Broadsheet!AS240,data!$H$4:$I$9))</f>
        <v/>
      </c>
      <c r="BS129" s="188" t="str">
        <f>IF(ISERROR(getgrade(Broadsheet!AT240,data!$H$4:$I$9)),"#",getgrade(Broadsheet!AT240,data!$H$4:$I$9))</f>
        <v/>
      </c>
      <c r="BT129" s="188" t="str">
        <f>IF(ISERROR(getgrade(Broadsheet!AU240,data!$H$4:$I$9)),"#",getgrade(Broadsheet!AU240,data!$H$4:$I$9))</f>
        <v/>
      </c>
      <c r="BU129" s="188" t="str">
        <f>IF(ISERROR(getgrade(Broadsheet!AV240,data!$H$4:$I$9)),"#",getgrade(Broadsheet!AV240,data!$H$4:$I$9))</f>
        <v/>
      </c>
      <c r="BV129" s="188" t="str">
        <f>IF(ISERROR(getgrade(Broadsheet!AW240,data!$H$4:$I$9)),"#",getgrade(Broadsheet!AW240,data!$H$4:$I$9))</f>
        <v/>
      </c>
      <c r="BW129" s="188" t="str">
        <f>IF(ISERROR(getgrade(Broadsheet!AX240,data!$H$4:$I$9)),"#",getgrade(Broadsheet!AX240,data!$H$4:$I$9))</f>
        <v/>
      </c>
      <c r="BX129" s="188" t="str">
        <f>IF(ISERROR(getgrade(Broadsheet!AY240,data!$H$4:$I$9)),"#",getgrade(Broadsheet!AY240,data!$H$4:$I$9))</f>
        <v/>
      </c>
      <c r="BY129" s="188" t="str">
        <f>IF(ISERROR(getgrade(Broadsheet!AZ240,data!$H$4:$I$9)),"#",getgrade(Broadsheet!AZ240,data!$H$4:$I$9))</f>
        <v/>
      </c>
      <c r="BZ129" s="188" t="str">
        <f>IF(ISERROR(getgrade(Broadsheet!BA240,data!$H$4:$I$9)),"#",getgrade(Broadsheet!BA240,data!$H$4:$I$9))</f>
        <v/>
      </c>
      <c r="CA129" s="188" t="str">
        <f>IF(ISERROR(getgrade(Broadsheet!BB240,data!$H$4:$I$9)),"#",getgrade(Broadsheet!BB240,data!$H$4:$I$9))</f>
        <v/>
      </c>
      <c r="CB129" s="188" t="str">
        <f>IF(ISERROR(getgrade(Broadsheet!BC240,data!$H$4:$I$9)),"#",getgrade(Broadsheet!BC240,data!$H$4:$I$9))</f>
        <v/>
      </c>
      <c r="CC129" s="188" t="str">
        <f>IF(ISERROR(getgrade(Broadsheet!BD240,data!$H$4:$I$9)),"#",getgrade(Broadsheet!BD240,data!$H$4:$I$9))</f>
        <v/>
      </c>
      <c r="CD129" s="188" t="str">
        <f>IF(ISERROR(getgrade(Broadsheet!BE240,data!$H$4:$I$9)),"#",getgrade(Broadsheet!BE240,data!$H$4:$I$9))</f>
        <v/>
      </c>
      <c r="CE129" s="188" t="str">
        <f>IF(ISERROR(getgrade(Broadsheet!BF240,data!$H$4:$I$9)),"#",getgrade(Broadsheet!BF240,data!$H$4:$I$9))</f>
        <v/>
      </c>
      <c r="CF129" s="188" t="str">
        <f>IF(ISERROR(getgrade(Broadsheet!BG240,data!$H$4:$I$9)),"#",getgrade(Broadsheet!BG240,data!$H$4:$I$9))</f>
        <v/>
      </c>
      <c r="CG129" s="188" t="str">
        <f>IF(ISERROR(getgrade(Broadsheet!BH240,data!$H$4:$I$9)),"#",getgrade(Broadsheet!BH240,data!$H$4:$I$9))</f>
        <v/>
      </c>
      <c r="CH129" s="188" t="str">
        <f>IF(ISERROR(getgrade(Broadsheet!BI240,data!$H$4:$I$9)),"#",getgrade(Broadsheet!BI240,data!$H$4:$I$9))</f>
        <v/>
      </c>
      <c r="CI129" s="188" t="str">
        <f>IF(ISERROR(getgrade(Broadsheet!BJ240,data!$H$4:$I$9)),"#",getgrade(Broadsheet!BJ240,data!$H$4:$I$9))</f>
        <v/>
      </c>
      <c r="CJ129" s="188"/>
      <c r="CK129" s="188"/>
      <c r="CL129" s="188"/>
      <c r="CM129" s="188"/>
      <c r="CN129" s="188"/>
      <c r="CO129" s="188"/>
      <c r="CP129" s="188"/>
      <c r="CQ129" s="188"/>
      <c r="CR129" s="188"/>
      <c r="CS129" s="188"/>
      <c r="CT129" s="188"/>
      <c r="CU129" s="188"/>
      <c r="CV129" s="188"/>
      <c r="CW129" s="188"/>
      <c r="CX129" s="188"/>
      <c r="CY129" s="188"/>
      <c r="CZ129" s="188"/>
      <c r="DA129" s="188"/>
      <c r="DB129" s="188"/>
      <c r="DC129" s="188"/>
      <c r="DD129" s="188"/>
      <c r="DE129" s="188"/>
      <c r="DF129" s="188"/>
      <c r="DG129" s="188"/>
      <c r="DH129" s="188"/>
      <c r="DI129" s="188"/>
      <c r="DJ129" s="188"/>
      <c r="DK129" s="188"/>
      <c r="DL129" s="188"/>
      <c r="DM129" s="188"/>
      <c r="DN129" s="188"/>
      <c r="DO129" s="188"/>
      <c r="DP129" s="188"/>
      <c r="DQ129" s="188"/>
      <c r="DR129" s="188"/>
      <c r="DS129" s="188"/>
      <c r="DT129" s="188"/>
      <c r="DU129" s="188"/>
      <c r="DV129" s="188"/>
      <c r="DW129" s="188"/>
      <c r="DX129" s="188"/>
      <c r="DY129" s="188"/>
      <c r="DZ129" s="188"/>
      <c r="EA129" s="188"/>
      <c r="EB129" s="188"/>
      <c r="EC129" s="188"/>
      <c r="ED129" s="188"/>
      <c r="EE129" s="188"/>
      <c r="EF129" s="188"/>
      <c r="EG129" s="188"/>
      <c r="EH129" s="188"/>
      <c r="EI129" s="188"/>
      <c r="EJ129" s="188"/>
      <c r="EK129" s="188"/>
      <c r="EL129" s="188"/>
      <c r="EM129" s="188"/>
      <c r="EN129" s="188"/>
      <c r="EO129" s="188"/>
      <c r="EP129" s="188"/>
      <c r="EQ129" s="188"/>
      <c r="ER129" s="188"/>
      <c r="ES129" s="188"/>
      <c r="ET129" s="188"/>
      <c r="EU129" s="188"/>
      <c r="EV129" s="188"/>
      <c r="EW129" s="188"/>
      <c r="EX129" s="188"/>
      <c r="EY129" s="188"/>
      <c r="EZ129" s="188"/>
    </row>
    <row r="130" spans="33:156" x14ac:dyDescent="0.2">
      <c r="AG130" s="188" t="str">
        <f>IF(ISERROR(getgrade(Broadsheet!H241,data!$H$4:$I$9)),"#",getgrade(Broadsheet!H241,data!$H$4:$I$9))</f>
        <v/>
      </c>
      <c r="AH130" s="188" t="str">
        <f>IF(ISERROR(getgrade(Broadsheet!I241,data!$H$4:$I$9)),"#",getgrade(Broadsheet!I241,data!$H$4:$I$9))</f>
        <v/>
      </c>
      <c r="AI130" s="188" t="str">
        <f>IF(ISERROR(getgrade(Broadsheet!J241,data!$H$4:$I$9)),"#",getgrade(Broadsheet!J241,data!$H$4:$I$9))</f>
        <v/>
      </c>
      <c r="AJ130" s="188" t="str">
        <f>IF(ISERROR(getgrade(Broadsheet!K241,data!$H$4:$I$9)),"#",getgrade(Broadsheet!K241,data!$H$4:$I$9))</f>
        <v/>
      </c>
      <c r="AK130" s="188" t="str">
        <f>IF(ISERROR(getgrade(Broadsheet!L241,data!$H$4:$I$9)),"#",getgrade(Broadsheet!L241,data!$H$4:$I$9))</f>
        <v/>
      </c>
      <c r="AL130" s="188" t="str">
        <f>IF(ISERROR(getgrade(Broadsheet!M241,data!$H$4:$I$9)),"#",getgrade(Broadsheet!M241,data!$H$4:$I$9))</f>
        <v/>
      </c>
      <c r="AM130" s="188" t="str">
        <f>IF(ISERROR(getgrade(Broadsheet!N241,data!$H$4:$I$9)),"#",getgrade(Broadsheet!N241,data!$H$4:$I$9))</f>
        <v/>
      </c>
      <c r="AN130" s="188" t="str">
        <f>IF(ISERROR(getgrade(Broadsheet!O241,data!$H$4:$I$9)),"#",getgrade(Broadsheet!O241,data!$H$4:$I$9))</f>
        <v/>
      </c>
      <c r="AO130" s="188" t="str">
        <f>IF(ISERROR(getgrade(Broadsheet!P241,data!$H$4:$I$9)),"#",getgrade(Broadsheet!P241,data!$H$4:$I$9))</f>
        <v/>
      </c>
      <c r="AP130" s="188" t="str">
        <f>IF(ISERROR(getgrade(Broadsheet!Q241,data!$H$4:$I$9)),"#",getgrade(Broadsheet!Q241,data!$H$4:$I$9))</f>
        <v/>
      </c>
      <c r="AQ130" s="188" t="str">
        <f>IF(ISERROR(getgrade(Broadsheet!R241,data!$H$4:$I$9)),"#",getgrade(Broadsheet!R241,data!$H$4:$I$9))</f>
        <v/>
      </c>
      <c r="AR130" s="188" t="str">
        <f>IF(ISERROR(getgrade(Broadsheet!S241,data!$H$4:$I$9)),"#",getgrade(Broadsheet!S241,data!$H$4:$I$9))</f>
        <v/>
      </c>
      <c r="AS130" s="188" t="str">
        <f>IF(ISERROR(getgrade(Broadsheet!T241,data!$H$4:$I$9)),"#",getgrade(Broadsheet!T241,data!$H$4:$I$9))</f>
        <v/>
      </c>
      <c r="AT130" s="188" t="str">
        <f>IF(ISERROR(getgrade(Broadsheet!U241,data!$H$4:$I$9)),"#",getgrade(Broadsheet!U241,data!$H$4:$I$9))</f>
        <v/>
      </c>
      <c r="AU130" s="188" t="str">
        <f>IF(ISERROR(getgrade(Broadsheet!V241,data!$H$4:$I$9)),"#",getgrade(Broadsheet!V241,data!$H$4:$I$9))</f>
        <v/>
      </c>
      <c r="AV130" s="188" t="str">
        <f>IF(ISERROR(getgrade(Broadsheet!W241,data!$H$4:$I$9)),"#",getgrade(Broadsheet!W241,data!$H$4:$I$9))</f>
        <v/>
      </c>
      <c r="AW130" s="188" t="str">
        <f>IF(ISERROR(getgrade(Broadsheet!X241,data!$H$4:$I$9)),"#",getgrade(Broadsheet!X241,data!$H$4:$I$9))</f>
        <v/>
      </c>
      <c r="AX130" s="188" t="str">
        <f>IF(ISERROR(getgrade(Broadsheet!Y241,data!$H$4:$I$9)),"#",getgrade(Broadsheet!Y241,data!$H$4:$I$9))</f>
        <v/>
      </c>
      <c r="AY130" s="188" t="str">
        <f>IF(ISERROR(getgrade(Broadsheet!Z241,data!$H$4:$I$9)),"#",getgrade(Broadsheet!Z241,data!$H$4:$I$9))</f>
        <v/>
      </c>
      <c r="AZ130" s="188" t="str">
        <f>IF(ISERROR(getgrade(Broadsheet!AA241,data!$H$4:$I$9)),"#",getgrade(Broadsheet!AA241,data!$H$4:$I$9))</f>
        <v/>
      </c>
      <c r="BA130" s="188" t="str">
        <f>IF(ISERROR(getgrade(Broadsheet!AB241,data!$H$4:$I$9)),"#",getgrade(Broadsheet!AB241,data!$H$4:$I$9))</f>
        <v/>
      </c>
      <c r="BB130" s="188" t="str">
        <f>IF(ISERROR(getgrade(Broadsheet!AC241,data!$H$4:$I$9)),"#",getgrade(Broadsheet!AC241,data!$H$4:$I$9))</f>
        <v/>
      </c>
      <c r="BC130" s="188" t="str">
        <f>IF(ISERROR(getgrade(Broadsheet!AD241,data!$H$4:$I$9)),"#",getgrade(Broadsheet!AD241,data!$H$4:$I$9))</f>
        <v/>
      </c>
      <c r="BD130" s="188" t="str">
        <f>IF(ISERROR(getgrade(Broadsheet!AE241,data!$H$4:$I$9)),"#",getgrade(Broadsheet!AE241,data!$H$4:$I$9))</f>
        <v/>
      </c>
      <c r="BE130" s="188" t="str">
        <f>IF(ISERROR(getgrade(Broadsheet!AF241,data!$H$4:$I$9)),"#",getgrade(Broadsheet!AF241,data!$H$4:$I$9))</f>
        <v/>
      </c>
      <c r="BF130" s="188" t="str">
        <f>IF(ISERROR(getgrade(Broadsheet!AG241,data!$H$4:$I$9)),"#",getgrade(Broadsheet!AG241,data!$H$4:$I$9))</f>
        <v/>
      </c>
      <c r="BG130" s="188" t="str">
        <f>IF(ISERROR(getgrade(Broadsheet!AH241,data!$H$4:$I$9)),"#",getgrade(Broadsheet!AH241,data!$H$4:$I$9))</f>
        <v/>
      </c>
      <c r="BH130" s="188" t="str">
        <f>IF(ISERROR(getgrade(Broadsheet!AI241,data!$H$4:$I$9)),"#",getgrade(Broadsheet!AI241,data!$H$4:$I$9))</f>
        <v/>
      </c>
      <c r="BI130" s="188" t="str">
        <f>IF(ISERROR(getgrade(Broadsheet!AJ241,data!$H$4:$I$9)),"#",getgrade(Broadsheet!AJ241,data!$H$4:$I$9))</f>
        <v/>
      </c>
      <c r="BJ130" s="188" t="str">
        <f>IF(ISERROR(getgrade(Broadsheet!AK241,data!$H$4:$I$9)),"#",getgrade(Broadsheet!AK241,data!$H$4:$I$9))</f>
        <v/>
      </c>
      <c r="BK130" s="188" t="str">
        <f>IF(ISERROR(getgrade(Broadsheet!AL241,data!$H$4:$I$9)),"#",getgrade(Broadsheet!AL241,data!$H$4:$I$9))</f>
        <v/>
      </c>
      <c r="BL130" s="188" t="str">
        <f>IF(ISERROR(getgrade(Broadsheet!AM241,data!$H$4:$I$9)),"#",getgrade(Broadsheet!AM241,data!$H$4:$I$9))</f>
        <v/>
      </c>
      <c r="BM130" s="188" t="str">
        <f>IF(ISERROR(getgrade(Broadsheet!AN241,data!$H$4:$I$9)),"#",getgrade(Broadsheet!AN241,data!$H$4:$I$9))</f>
        <v/>
      </c>
      <c r="BN130" s="188" t="str">
        <f>IF(ISERROR(getgrade(Broadsheet!AO241,data!$H$4:$I$9)),"#",getgrade(Broadsheet!AO241,data!$H$4:$I$9))</f>
        <v/>
      </c>
      <c r="BO130" s="188" t="str">
        <f>IF(ISERROR(getgrade(Broadsheet!AP241,data!$H$4:$I$9)),"#",getgrade(Broadsheet!AP241,data!$H$4:$I$9))</f>
        <v/>
      </c>
      <c r="BP130" s="188" t="str">
        <f>IF(ISERROR(getgrade(Broadsheet!AQ241,data!$H$4:$I$9)),"#",getgrade(Broadsheet!AQ241,data!$H$4:$I$9))</f>
        <v/>
      </c>
      <c r="BQ130" s="188" t="str">
        <f>IF(ISERROR(getgrade(Broadsheet!AR241,data!$H$4:$I$9)),"#",getgrade(Broadsheet!AR241,data!$H$4:$I$9))</f>
        <v/>
      </c>
      <c r="BR130" s="188" t="str">
        <f>IF(ISERROR(getgrade(Broadsheet!AS241,data!$H$4:$I$9)),"#",getgrade(Broadsheet!AS241,data!$H$4:$I$9))</f>
        <v/>
      </c>
      <c r="BS130" s="188" t="str">
        <f>IF(ISERROR(getgrade(Broadsheet!AT241,data!$H$4:$I$9)),"#",getgrade(Broadsheet!AT241,data!$H$4:$I$9))</f>
        <v/>
      </c>
      <c r="BT130" s="188" t="str">
        <f>IF(ISERROR(getgrade(Broadsheet!AU241,data!$H$4:$I$9)),"#",getgrade(Broadsheet!AU241,data!$H$4:$I$9))</f>
        <v/>
      </c>
      <c r="BU130" s="188" t="str">
        <f>IF(ISERROR(getgrade(Broadsheet!AV241,data!$H$4:$I$9)),"#",getgrade(Broadsheet!AV241,data!$H$4:$I$9))</f>
        <v/>
      </c>
      <c r="BV130" s="188" t="str">
        <f>IF(ISERROR(getgrade(Broadsheet!AW241,data!$H$4:$I$9)),"#",getgrade(Broadsheet!AW241,data!$H$4:$I$9))</f>
        <v/>
      </c>
      <c r="BW130" s="188" t="str">
        <f>IF(ISERROR(getgrade(Broadsheet!AX241,data!$H$4:$I$9)),"#",getgrade(Broadsheet!AX241,data!$H$4:$I$9))</f>
        <v/>
      </c>
      <c r="BX130" s="188" t="str">
        <f>IF(ISERROR(getgrade(Broadsheet!AY241,data!$H$4:$I$9)),"#",getgrade(Broadsheet!AY241,data!$H$4:$I$9))</f>
        <v/>
      </c>
      <c r="BY130" s="188" t="str">
        <f>IF(ISERROR(getgrade(Broadsheet!AZ241,data!$H$4:$I$9)),"#",getgrade(Broadsheet!AZ241,data!$H$4:$I$9))</f>
        <v/>
      </c>
      <c r="BZ130" s="188" t="str">
        <f>IF(ISERROR(getgrade(Broadsheet!BA241,data!$H$4:$I$9)),"#",getgrade(Broadsheet!BA241,data!$H$4:$I$9))</f>
        <v/>
      </c>
      <c r="CA130" s="188" t="str">
        <f>IF(ISERROR(getgrade(Broadsheet!BB241,data!$H$4:$I$9)),"#",getgrade(Broadsheet!BB241,data!$H$4:$I$9))</f>
        <v/>
      </c>
      <c r="CB130" s="188" t="str">
        <f>IF(ISERROR(getgrade(Broadsheet!BC241,data!$H$4:$I$9)),"#",getgrade(Broadsheet!BC241,data!$H$4:$I$9))</f>
        <v/>
      </c>
      <c r="CC130" s="188" t="str">
        <f>IF(ISERROR(getgrade(Broadsheet!BD241,data!$H$4:$I$9)),"#",getgrade(Broadsheet!BD241,data!$H$4:$I$9))</f>
        <v/>
      </c>
      <c r="CD130" s="188" t="str">
        <f>IF(ISERROR(getgrade(Broadsheet!BE241,data!$H$4:$I$9)),"#",getgrade(Broadsheet!BE241,data!$H$4:$I$9))</f>
        <v/>
      </c>
      <c r="CE130" s="188" t="str">
        <f>IF(ISERROR(getgrade(Broadsheet!BF241,data!$H$4:$I$9)),"#",getgrade(Broadsheet!BF241,data!$H$4:$I$9))</f>
        <v/>
      </c>
      <c r="CF130" s="188" t="str">
        <f>IF(ISERROR(getgrade(Broadsheet!BG241,data!$H$4:$I$9)),"#",getgrade(Broadsheet!BG241,data!$H$4:$I$9))</f>
        <v/>
      </c>
      <c r="CG130" s="188" t="str">
        <f>IF(ISERROR(getgrade(Broadsheet!BH241,data!$H$4:$I$9)),"#",getgrade(Broadsheet!BH241,data!$H$4:$I$9))</f>
        <v/>
      </c>
      <c r="CH130" s="188" t="str">
        <f>IF(ISERROR(getgrade(Broadsheet!BI241,data!$H$4:$I$9)),"#",getgrade(Broadsheet!BI241,data!$H$4:$I$9))</f>
        <v/>
      </c>
      <c r="CI130" s="188" t="str">
        <f>IF(ISERROR(getgrade(Broadsheet!BJ241,data!$H$4:$I$9)),"#",getgrade(Broadsheet!BJ241,data!$H$4:$I$9))</f>
        <v/>
      </c>
      <c r="CJ130" s="188"/>
      <c r="CK130" s="188"/>
      <c r="CL130" s="188"/>
      <c r="CM130" s="188"/>
      <c r="CN130" s="188"/>
      <c r="CO130" s="188"/>
      <c r="CP130" s="188"/>
      <c r="CQ130" s="188"/>
      <c r="CR130" s="188"/>
      <c r="CS130" s="188"/>
      <c r="CT130" s="188"/>
      <c r="CU130" s="188"/>
      <c r="CV130" s="188"/>
      <c r="CW130" s="188"/>
      <c r="CX130" s="188"/>
      <c r="CY130" s="188"/>
      <c r="CZ130" s="188"/>
      <c r="DA130" s="188"/>
      <c r="DB130" s="188"/>
      <c r="DC130" s="188"/>
      <c r="DD130" s="188"/>
      <c r="DE130" s="188"/>
      <c r="DF130" s="188"/>
      <c r="DG130" s="188"/>
      <c r="DH130" s="188"/>
      <c r="DI130" s="188"/>
      <c r="DJ130" s="188"/>
      <c r="DK130" s="188"/>
      <c r="DL130" s="188"/>
      <c r="DM130" s="188"/>
      <c r="DN130" s="188"/>
      <c r="DO130" s="188"/>
      <c r="DP130" s="188"/>
      <c r="DQ130" s="188"/>
      <c r="DR130" s="188"/>
      <c r="DS130" s="188"/>
      <c r="DT130" s="188"/>
      <c r="DU130" s="188"/>
      <c r="DV130" s="188"/>
      <c r="DW130" s="188"/>
      <c r="DX130" s="188"/>
      <c r="DY130" s="188"/>
      <c r="DZ130" s="188"/>
      <c r="EA130" s="188"/>
      <c r="EB130" s="188"/>
      <c r="EC130" s="188"/>
      <c r="ED130" s="188"/>
      <c r="EE130" s="188"/>
      <c r="EF130" s="188"/>
      <c r="EG130" s="188"/>
      <c r="EH130" s="188"/>
      <c r="EI130" s="188"/>
      <c r="EJ130" s="188"/>
      <c r="EK130" s="188"/>
      <c r="EL130" s="188"/>
      <c r="EM130" s="188"/>
      <c r="EN130" s="188"/>
      <c r="EO130" s="188"/>
      <c r="EP130" s="188"/>
      <c r="EQ130" s="188"/>
      <c r="ER130" s="188"/>
      <c r="ES130" s="188"/>
      <c r="ET130" s="188"/>
      <c r="EU130" s="188"/>
      <c r="EV130" s="188"/>
      <c r="EW130" s="188"/>
      <c r="EX130" s="188"/>
      <c r="EY130" s="188"/>
      <c r="EZ130" s="188"/>
    </row>
    <row r="131" spans="33:156" x14ac:dyDescent="0.2">
      <c r="AG131" s="188" t="str">
        <f>IF(ISERROR(getgrade(Broadsheet!H242,data!$H$4:$I$9)),"#",getgrade(Broadsheet!H242,data!$H$4:$I$9))</f>
        <v/>
      </c>
      <c r="AH131" s="188" t="str">
        <f>IF(ISERROR(getgrade(Broadsheet!I242,data!$H$4:$I$9)),"#",getgrade(Broadsheet!I242,data!$H$4:$I$9))</f>
        <v/>
      </c>
      <c r="AI131" s="188" t="str">
        <f>IF(ISERROR(getgrade(Broadsheet!J242,data!$H$4:$I$9)),"#",getgrade(Broadsheet!J242,data!$H$4:$I$9))</f>
        <v/>
      </c>
      <c r="AJ131" s="188" t="str">
        <f>IF(ISERROR(getgrade(Broadsheet!K242,data!$H$4:$I$9)),"#",getgrade(Broadsheet!K242,data!$H$4:$I$9))</f>
        <v/>
      </c>
      <c r="AK131" s="188" t="str">
        <f>IF(ISERROR(getgrade(Broadsheet!L242,data!$H$4:$I$9)),"#",getgrade(Broadsheet!L242,data!$H$4:$I$9))</f>
        <v/>
      </c>
      <c r="AL131" s="188" t="str">
        <f>IF(ISERROR(getgrade(Broadsheet!M242,data!$H$4:$I$9)),"#",getgrade(Broadsheet!M242,data!$H$4:$I$9))</f>
        <v/>
      </c>
      <c r="AM131" s="188" t="str">
        <f>IF(ISERROR(getgrade(Broadsheet!N242,data!$H$4:$I$9)),"#",getgrade(Broadsheet!N242,data!$H$4:$I$9))</f>
        <v/>
      </c>
      <c r="AN131" s="188" t="str">
        <f>IF(ISERROR(getgrade(Broadsheet!O242,data!$H$4:$I$9)),"#",getgrade(Broadsheet!O242,data!$H$4:$I$9))</f>
        <v/>
      </c>
      <c r="AO131" s="188" t="str">
        <f>IF(ISERROR(getgrade(Broadsheet!P242,data!$H$4:$I$9)),"#",getgrade(Broadsheet!P242,data!$H$4:$I$9))</f>
        <v/>
      </c>
      <c r="AP131" s="188" t="str">
        <f>IF(ISERROR(getgrade(Broadsheet!Q242,data!$H$4:$I$9)),"#",getgrade(Broadsheet!Q242,data!$H$4:$I$9))</f>
        <v/>
      </c>
      <c r="AQ131" s="188" t="str">
        <f>IF(ISERROR(getgrade(Broadsheet!R242,data!$H$4:$I$9)),"#",getgrade(Broadsheet!R242,data!$H$4:$I$9))</f>
        <v/>
      </c>
      <c r="AR131" s="188" t="str">
        <f>IF(ISERROR(getgrade(Broadsheet!S242,data!$H$4:$I$9)),"#",getgrade(Broadsheet!S242,data!$H$4:$I$9))</f>
        <v/>
      </c>
      <c r="AS131" s="188" t="str">
        <f>IF(ISERROR(getgrade(Broadsheet!T242,data!$H$4:$I$9)),"#",getgrade(Broadsheet!T242,data!$H$4:$I$9))</f>
        <v/>
      </c>
      <c r="AT131" s="188" t="str">
        <f>IF(ISERROR(getgrade(Broadsheet!U242,data!$H$4:$I$9)),"#",getgrade(Broadsheet!U242,data!$H$4:$I$9))</f>
        <v/>
      </c>
      <c r="AU131" s="188" t="str">
        <f>IF(ISERROR(getgrade(Broadsheet!V242,data!$H$4:$I$9)),"#",getgrade(Broadsheet!V242,data!$H$4:$I$9))</f>
        <v/>
      </c>
      <c r="AV131" s="188" t="str">
        <f>IF(ISERROR(getgrade(Broadsheet!W242,data!$H$4:$I$9)),"#",getgrade(Broadsheet!W242,data!$H$4:$I$9))</f>
        <v/>
      </c>
      <c r="AW131" s="188" t="str">
        <f>IF(ISERROR(getgrade(Broadsheet!X242,data!$H$4:$I$9)),"#",getgrade(Broadsheet!X242,data!$H$4:$I$9))</f>
        <v/>
      </c>
      <c r="AX131" s="188" t="str">
        <f>IF(ISERROR(getgrade(Broadsheet!Y242,data!$H$4:$I$9)),"#",getgrade(Broadsheet!Y242,data!$H$4:$I$9))</f>
        <v/>
      </c>
      <c r="AY131" s="188" t="str">
        <f>IF(ISERROR(getgrade(Broadsheet!Z242,data!$H$4:$I$9)),"#",getgrade(Broadsheet!Z242,data!$H$4:$I$9))</f>
        <v/>
      </c>
      <c r="AZ131" s="188" t="str">
        <f>IF(ISERROR(getgrade(Broadsheet!AA242,data!$H$4:$I$9)),"#",getgrade(Broadsheet!AA242,data!$H$4:$I$9))</f>
        <v/>
      </c>
      <c r="BA131" s="188" t="str">
        <f>IF(ISERROR(getgrade(Broadsheet!AB242,data!$H$4:$I$9)),"#",getgrade(Broadsheet!AB242,data!$H$4:$I$9))</f>
        <v/>
      </c>
      <c r="BB131" s="188" t="str">
        <f>IF(ISERROR(getgrade(Broadsheet!AC242,data!$H$4:$I$9)),"#",getgrade(Broadsheet!AC242,data!$H$4:$I$9))</f>
        <v/>
      </c>
      <c r="BC131" s="188" t="str">
        <f>IF(ISERROR(getgrade(Broadsheet!AD242,data!$H$4:$I$9)),"#",getgrade(Broadsheet!AD242,data!$H$4:$I$9))</f>
        <v/>
      </c>
      <c r="BD131" s="188" t="str">
        <f>IF(ISERROR(getgrade(Broadsheet!AE242,data!$H$4:$I$9)),"#",getgrade(Broadsheet!AE242,data!$H$4:$I$9))</f>
        <v/>
      </c>
      <c r="BE131" s="188" t="str">
        <f>IF(ISERROR(getgrade(Broadsheet!AF242,data!$H$4:$I$9)),"#",getgrade(Broadsheet!AF242,data!$H$4:$I$9))</f>
        <v/>
      </c>
      <c r="BF131" s="188" t="str">
        <f>IF(ISERROR(getgrade(Broadsheet!AG242,data!$H$4:$I$9)),"#",getgrade(Broadsheet!AG242,data!$H$4:$I$9))</f>
        <v/>
      </c>
      <c r="BG131" s="188" t="str">
        <f>IF(ISERROR(getgrade(Broadsheet!AH242,data!$H$4:$I$9)),"#",getgrade(Broadsheet!AH242,data!$H$4:$I$9))</f>
        <v/>
      </c>
      <c r="BH131" s="188" t="str">
        <f>IF(ISERROR(getgrade(Broadsheet!AI242,data!$H$4:$I$9)),"#",getgrade(Broadsheet!AI242,data!$H$4:$I$9))</f>
        <v/>
      </c>
      <c r="BI131" s="188" t="str">
        <f>IF(ISERROR(getgrade(Broadsheet!AJ242,data!$H$4:$I$9)),"#",getgrade(Broadsheet!AJ242,data!$H$4:$I$9))</f>
        <v/>
      </c>
      <c r="BJ131" s="188" t="str">
        <f>IF(ISERROR(getgrade(Broadsheet!AK242,data!$H$4:$I$9)),"#",getgrade(Broadsheet!AK242,data!$H$4:$I$9))</f>
        <v/>
      </c>
      <c r="BK131" s="188" t="str">
        <f>IF(ISERROR(getgrade(Broadsheet!AL242,data!$H$4:$I$9)),"#",getgrade(Broadsheet!AL242,data!$H$4:$I$9))</f>
        <v/>
      </c>
      <c r="BL131" s="188" t="str">
        <f>IF(ISERROR(getgrade(Broadsheet!AM242,data!$H$4:$I$9)),"#",getgrade(Broadsheet!AM242,data!$H$4:$I$9))</f>
        <v/>
      </c>
      <c r="BM131" s="188" t="str">
        <f>IF(ISERROR(getgrade(Broadsheet!AN242,data!$H$4:$I$9)),"#",getgrade(Broadsheet!AN242,data!$H$4:$I$9))</f>
        <v/>
      </c>
      <c r="BN131" s="188" t="str">
        <f>IF(ISERROR(getgrade(Broadsheet!AO242,data!$H$4:$I$9)),"#",getgrade(Broadsheet!AO242,data!$H$4:$I$9))</f>
        <v/>
      </c>
      <c r="BO131" s="188" t="str">
        <f>IF(ISERROR(getgrade(Broadsheet!AP242,data!$H$4:$I$9)),"#",getgrade(Broadsheet!AP242,data!$H$4:$I$9))</f>
        <v/>
      </c>
      <c r="BP131" s="188" t="str">
        <f>IF(ISERROR(getgrade(Broadsheet!AQ242,data!$H$4:$I$9)),"#",getgrade(Broadsheet!AQ242,data!$H$4:$I$9))</f>
        <v/>
      </c>
      <c r="BQ131" s="188" t="str">
        <f>IF(ISERROR(getgrade(Broadsheet!AR242,data!$H$4:$I$9)),"#",getgrade(Broadsheet!AR242,data!$H$4:$I$9))</f>
        <v/>
      </c>
      <c r="BR131" s="188" t="str">
        <f>IF(ISERROR(getgrade(Broadsheet!AS242,data!$H$4:$I$9)),"#",getgrade(Broadsheet!AS242,data!$H$4:$I$9))</f>
        <v/>
      </c>
      <c r="BS131" s="188" t="str">
        <f>IF(ISERROR(getgrade(Broadsheet!AT242,data!$H$4:$I$9)),"#",getgrade(Broadsheet!AT242,data!$H$4:$I$9))</f>
        <v/>
      </c>
      <c r="BT131" s="188" t="str">
        <f>IF(ISERROR(getgrade(Broadsheet!AU242,data!$H$4:$I$9)),"#",getgrade(Broadsheet!AU242,data!$H$4:$I$9))</f>
        <v/>
      </c>
      <c r="BU131" s="188" t="str">
        <f>IF(ISERROR(getgrade(Broadsheet!AV242,data!$H$4:$I$9)),"#",getgrade(Broadsheet!AV242,data!$H$4:$I$9))</f>
        <v/>
      </c>
      <c r="BV131" s="188" t="str">
        <f>IF(ISERROR(getgrade(Broadsheet!AW242,data!$H$4:$I$9)),"#",getgrade(Broadsheet!AW242,data!$H$4:$I$9))</f>
        <v/>
      </c>
      <c r="BW131" s="188" t="str">
        <f>IF(ISERROR(getgrade(Broadsheet!AX242,data!$H$4:$I$9)),"#",getgrade(Broadsheet!AX242,data!$H$4:$I$9))</f>
        <v/>
      </c>
      <c r="BX131" s="188" t="str">
        <f>IF(ISERROR(getgrade(Broadsheet!AY242,data!$H$4:$I$9)),"#",getgrade(Broadsheet!AY242,data!$H$4:$I$9))</f>
        <v/>
      </c>
      <c r="BY131" s="188" t="str">
        <f>IF(ISERROR(getgrade(Broadsheet!AZ242,data!$H$4:$I$9)),"#",getgrade(Broadsheet!AZ242,data!$H$4:$I$9))</f>
        <v/>
      </c>
      <c r="BZ131" s="188" t="str">
        <f>IF(ISERROR(getgrade(Broadsheet!BA242,data!$H$4:$I$9)),"#",getgrade(Broadsheet!BA242,data!$H$4:$I$9))</f>
        <v/>
      </c>
      <c r="CA131" s="188" t="str">
        <f>IF(ISERROR(getgrade(Broadsheet!BB242,data!$H$4:$I$9)),"#",getgrade(Broadsheet!BB242,data!$H$4:$I$9))</f>
        <v/>
      </c>
      <c r="CB131" s="188" t="str">
        <f>IF(ISERROR(getgrade(Broadsheet!BC242,data!$H$4:$I$9)),"#",getgrade(Broadsheet!BC242,data!$H$4:$I$9))</f>
        <v/>
      </c>
      <c r="CC131" s="188" t="str">
        <f>IF(ISERROR(getgrade(Broadsheet!BD242,data!$H$4:$I$9)),"#",getgrade(Broadsheet!BD242,data!$H$4:$I$9))</f>
        <v/>
      </c>
      <c r="CD131" s="188" t="str">
        <f>IF(ISERROR(getgrade(Broadsheet!BE242,data!$H$4:$I$9)),"#",getgrade(Broadsheet!BE242,data!$H$4:$I$9))</f>
        <v/>
      </c>
      <c r="CE131" s="188" t="str">
        <f>IF(ISERROR(getgrade(Broadsheet!BF242,data!$H$4:$I$9)),"#",getgrade(Broadsheet!BF242,data!$H$4:$I$9))</f>
        <v/>
      </c>
      <c r="CF131" s="188" t="str">
        <f>IF(ISERROR(getgrade(Broadsheet!BG242,data!$H$4:$I$9)),"#",getgrade(Broadsheet!BG242,data!$H$4:$I$9))</f>
        <v/>
      </c>
      <c r="CG131" s="188" t="str">
        <f>IF(ISERROR(getgrade(Broadsheet!BH242,data!$H$4:$I$9)),"#",getgrade(Broadsheet!BH242,data!$H$4:$I$9))</f>
        <v/>
      </c>
      <c r="CH131" s="188" t="str">
        <f>IF(ISERROR(getgrade(Broadsheet!BI242,data!$H$4:$I$9)),"#",getgrade(Broadsheet!BI242,data!$H$4:$I$9))</f>
        <v/>
      </c>
      <c r="CI131" s="188" t="str">
        <f>IF(ISERROR(getgrade(Broadsheet!BJ242,data!$H$4:$I$9)),"#",getgrade(Broadsheet!BJ242,data!$H$4:$I$9))</f>
        <v/>
      </c>
      <c r="CJ131" s="188"/>
      <c r="CK131" s="188"/>
      <c r="CL131" s="188"/>
      <c r="CM131" s="188"/>
      <c r="CN131" s="188"/>
      <c r="CO131" s="188"/>
      <c r="CP131" s="188"/>
      <c r="CQ131" s="188"/>
      <c r="CR131" s="188"/>
      <c r="CS131" s="188"/>
      <c r="CT131" s="188"/>
      <c r="CU131" s="188"/>
      <c r="CV131" s="188"/>
      <c r="CW131" s="188"/>
      <c r="CX131" s="188"/>
      <c r="CY131" s="188"/>
      <c r="CZ131" s="188"/>
      <c r="DA131" s="188"/>
      <c r="DB131" s="188"/>
      <c r="DC131" s="188"/>
      <c r="DD131" s="188"/>
      <c r="DE131" s="188"/>
      <c r="DF131" s="188"/>
      <c r="DG131" s="188"/>
      <c r="DH131" s="188"/>
      <c r="DI131" s="188"/>
      <c r="DJ131" s="188"/>
      <c r="DK131" s="188"/>
      <c r="DL131" s="188"/>
      <c r="DM131" s="188"/>
      <c r="DN131" s="188"/>
      <c r="DO131" s="188"/>
      <c r="DP131" s="188"/>
      <c r="DQ131" s="188"/>
      <c r="DR131" s="188"/>
      <c r="DS131" s="188"/>
      <c r="DT131" s="188"/>
      <c r="DU131" s="188"/>
      <c r="DV131" s="188"/>
      <c r="DW131" s="188"/>
      <c r="DX131" s="188"/>
      <c r="DY131" s="188"/>
      <c r="DZ131" s="188"/>
      <c r="EA131" s="188"/>
      <c r="EB131" s="188"/>
      <c r="EC131" s="188"/>
      <c r="ED131" s="188"/>
      <c r="EE131" s="188"/>
      <c r="EF131" s="188"/>
      <c r="EG131" s="188"/>
      <c r="EH131" s="188"/>
      <c r="EI131" s="188"/>
      <c r="EJ131" s="188"/>
      <c r="EK131" s="188"/>
      <c r="EL131" s="188"/>
      <c r="EM131" s="188"/>
      <c r="EN131" s="188"/>
      <c r="EO131" s="188"/>
      <c r="EP131" s="188"/>
      <c r="EQ131" s="188"/>
      <c r="ER131" s="188"/>
      <c r="ES131" s="188"/>
      <c r="ET131" s="188"/>
      <c r="EU131" s="188"/>
      <c r="EV131" s="188"/>
      <c r="EW131" s="188"/>
      <c r="EX131" s="188"/>
      <c r="EY131" s="188"/>
      <c r="EZ131" s="188"/>
    </row>
    <row r="132" spans="33:156" x14ac:dyDescent="0.2">
      <c r="AG132" s="188" t="str">
        <f>IF(ISERROR(getgrade(Broadsheet!H243,data!$H$4:$I$9)),"#",getgrade(Broadsheet!H243,data!$H$4:$I$9))</f>
        <v/>
      </c>
      <c r="AH132" s="188" t="str">
        <f>IF(ISERROR(getgrade(Broadsheet!I243,data!$H$4:$I$9)),"#",getgrade(Broadsheet!I243,data!$H$4:$I$9))</f>
        <v/>
      </c>
      <c r="AI132" s="188" t="str">
        <f>IF(ISERROR(getgrade(Broadsheet!J243,data!$H$4:$I$9)),"#",getgrade(Broadsheet!J243,data!$H$4:$I$9))</f>
        <v/>
      </c>
      <c r="AJ132" s="188" t="str">
        <f>IF(ISERROR(getgrade(Broadsheet!K243,data!$H$4:$I$9)),"#",getgrade(Broadsheet!K243,data!$H$4:$I$9))</f>
        <v/>
      </c>
      <c r="AK132" s="188" t="str">
        <f>IF(ISERROR(getgrade(Broadsheet!L243,data!$H$4:$I$9)),"#",getgrade(Broadsheet!L243,data!$H$4:$I$9))</f>
        <v/>
      </c>
      <c r="AL132" s="188" t="str">
        <f>IF(ISERROR(getgrade(Broadsheet!M243,data!$H$4:$I$9)),"#",getgrade(Broadsheet!M243,data!$H$4:$I$9))</f>
        <v/>
      </c>
      <c r="AM132" s="188" t="str">
        <f>IF(ISERROR(getgrade(Broadsheet!N243,data!$H$4:$I$9)),"#",getgrade(Broadsheet!N243,data!$H$4:$I$9))</f>
        <v/>
      </c>
      <c r="AN132" s="188" t="str">
        <f>IF(ISERROR(getgrade(Broadsheet!O243,data!$H$4:$I$9)),"#",getgrade(Broadsheet!O243,data!$H$4:$I$9))</f>
        <v/>
      </c>
      <c r="AO132" s="188" t="str">
        <f>IF(ISERROR(getgrade(Broadsheet!P243,data!$H$4:$I$9)),"#",getgrade(Broadsheet!P243,data!$H$4:$I$9))</f>
        <v/>
      </c>
      <c r="AP132" s="188" t="str">
        <f>IF(ISERROR(getgrade(Broadsheet!Q243,data!$H$4:$I$9)),"#",getgrade(Broadsheet!Q243,data!$H$4:$I$9))</f>
        <v/>
      </c>
      <c r="AQ132" s="188" t="str">
        <f>IF(ISERROR(getgrade(Broadsheet!R243,data!$H$4:$I$9)),"#",getgrade(Broadsheet!R243,data!$H$4:$I$9))</f>
        <v/>
      </c>
      <c r="AR132" s="188" t="str">
        <f>IF(ISERROR(getgrade(Broadsheet!S243,data!$H$4:$I$9)),"#",getgrade(Broadsheet!S243,data!$H$4:$I$9))</f>
        <v/>
      </c>
      <c r="AS132" s="188" t="str">
        <f>IF(ISERROR(getgrade(Broadsheet!T243,data!$H$4:$I$9)),"#",getgrade(Broadsheet!T243,data!$H$4:$I$9))</f>
        <v/>
      </c>
      <c r="AT132" s="188" t="str">
        <f>IF(ISERROR(getgrade(Broadsheet!U243,data!$H$4:$I$9)),"#",getgrade(Broadsheet!U243,data!$H$4:$I$9))</f>
        <v/>
      </c>
      <c r="AU132" s="188" t="str">
        <f>IF(ISERROR(getgrade(Broadsheet!V243,data!$H$4:$I$9)),"#",getgrade(Broadsheet!V243,data!$H$4:$I$9))</f>
        <v/>
      </c>
      <c r="AV132" s="188" t="str">
        <f>IF(ISERROR(getgrade(Broadsheet!W243,data!$H$4:$I$9)),"#",getgrade(Broadsheet!W243,data!$H$4:$I$9))</f>
        <v/>
      </c>
      <c r="AW132" s="188" t="str">
        <f>IF(ISERROR(getgrade(Broadsheet!X243,data!$H$4:$I$9)),"#",getgrade(Broadsheet!X243,data!$H$4:$I$9))</f>
        <v/>
      </c>
      <c r="AX132" s="188" t="str">
        <f>IF(ISERROR(getgrade(Broadsheet!Y243,data!$H$4:$I$9)),"#",getgrade(Broadsheet!Y243,data!$H$4:$I$9))</f>
        <v/>
      </c>
      <c r="AY132" s="188" t="str">
        <f>IF(ISERROR(getgrade(Broadsheet!Z243,data!$H$4:$I$9)),"#",getgrade(Broadsheet!Z243,data!$H$4:$I$9))</f>
        <v/>
      </c>
      <c r="AZ132" s="188" t="str">
        <f>IF(ISERROR(getgrade(Broadsheet!AA243,data!$H$4:$I$9)),"#",getgrade(Broadsheet!AA243,data!$H$4:$I$9))</f>
        <v/>
      </c>
      <c r="BA132" s="188" t="str">
        <f>IF(ISERROR(getgrade(Broadsheet!AB243,data!$H$4:$I$9)),"#",getgrade(Broadsheet!AB243,data!$H$4:$I$9))</f>
        <v/>
      </c>
      <c r="BB132" s="188" t="str">
        <f>IF(ISERROR(getgrade(Broadsheet!AC243,data!$H$4:$I$9)),"#",getgrade(Broadsheet!AC243,data!$H$4:$I$9))</f>
        <v/>
      </c>
      <c r="BC132" s="188" t="str">
        <f>IF(ISERROR(getgrade(Broadsheet!AD243,data!$H$4:$I$9)),"#",getgrade(Broadsheet!AD243,data!$H$4:$I$9))</f>
        <v/>
      </c>
      <c r="BD132" s="188" t="str">
        <f>IF(ISERROR(getgrade(Broadsheet!AE243,data!$H$4:$I$9)),"#",getgrade(Broadsheet!AE243,data!$H$4:$I$9))</f>
        <v/>
      </c>
      <c r="BE132" s="188" t="str">
        <f>IF(ISERROR(getgrade(Broadsheet!AF243,data!$H$4:$I$9)),"#",getgrade(Broadsheet!AF243,data!$H$4:$I$9))</f>
        <v/>
      </c>
      <c r="BF132" s="188" t="str">
        <f>IF(ISERROR(getgrade(Broadsheet!AG243,data!$H$4:$I$9)),"#",getgrade(Broadsheet!AG243,data!$H$4:$I$9))</f>
        <v/>
      </c>
      <c r="BG132" s="188" t="str">
        <f>IF(ISERROR(getgrade(Broadsheet!AH243,data!$H$4:$I$9)),"#",getgrade(Broadsheet!AH243,data!$H$4:$I$9))</f>
        <v/>
      </c>
      <c r="BH132" s="188" t="str">
        <f>IF(ISERROR(getgrade(Broadsheet!AI243,data!$H$4:$I$9)),"#",getgrade(Broadsheet!AI243,data!$H$4:$I$9))</f>
        <v/>
      </c>
      <c r="BI132" s="188" t="str">
        <f>IF(ISERROR(getgrade(Broadsheet!AJ243,data!$H$4:$I$9)),"#",getgrade(Broadsheet!AJ243,data!$H$4:$I$9))</f>
        <v/>
      </c>
      <c r="BJ132" s="188" t="str">
        <f>IF(ISERROR(getgrade(Broadsheet!AK243,data!$H$4:$I$9)),"#",getgrade(Broadsheet!AK243,data!$H$4:$I$9))</f>
        <v/>
      </c>
      <c r="BK132" s="188" t="str">
        <f>IF(ISERROR(getgrade(Broadsheet!AL243,data!$H$4:$I$9)),"#",getgrade(Broadsheet!AL243,data!$H$4:$I$9))</f>
        <v/>
      </c>
      <c r="BL132" s="188" t="str">
        <f>IF(ISERROR(getgrade(Broadsheet!AM243,data!$H$4:$I$9)),"#",getgrade(Broadsheet!AM243,data!$H$4:$I$9))</f>
        <v/>
      </c>
      <c r="BM132" s="188" t="str">
        <f>IF(ISERROR(getgrade(Broadsheet!AN243,data!$H$4:$I$9)),"#",getgrade(Broadsheet!AN243,data!$H$4:$I$9))</f>
        <v/>
      </c>
      <c r="BN132" s="188" t="str">
        <f>IF(ISERROR(getgrade(Broadsheet!AO243,data!$H$4:$I$9)),"#",getgrade(Broadsheet!AO243,data!$H$4:$I$9))</f>
        <v/>
      </c>
      <c r="BO132" s="188" t="str">
        <f>IF(ISERROR(getgrade(Broadsheet!AP243,data!$H$4:$I$9)),"#",getgrade(Broadsheet!AP243,data!$H$4:$I$9))</f>
        <v/>
      </c>
      <c r="BP132" s="188" t="str">
        <f>IF(ISERROR(getgrade(Broadsheet!AQ243,data!$H$4:$I$9)),"#",getgrade(Broadsheet!AQ243,data!$H$4:$I$9))</f>
        <v/>
      </c>
      <c r="BQ132" s="188" t="str">
        <f>IF(ISERROR(getgrade(Broadsheet!AR243,data!$H$4:$I$9)),"#",getgrade(Broadsheet!AR243,data!$H$4:$I$9))</f>
        <v/>
      </c>
      <c r="BR132" s="188" t="str">
        <f>IF(ISERROR(getgrade(Broadsheet!AS243,data!$H$4:$I$9)),"#",getgrade(Broadsheet!AS243,data!$H$4:$I$9))</f>
        <v/>
      </c>
      <c r="BS132" s="188" t="str">
        <f>IF(ISERROR(getgrade(Broadsheet!AT243,data!$H$4:$I$9)),"#",getgrade(Broadsheet!AT243,data!$H$4:$I$9))</f>
        <v/>
      </c>
      <c r="BT132" s="188" t="str">
        <f>IF(ISERROR(getgrade(Broadsheet!AU243,data!$H$4:$I$9)),"#",getgrade(Broadsheet!AU243,data!$H$4:$I$9))</f>
        <v/>
      </c>
      <c r="BU132" s="188" t="str">
        <f>IF(ISERROR(getgrade(Broadsheet!AV243,data!$H$4:$I$9)),"#",getgrade(Broadsheet!AV243,data!$H$4:$I$9))</f>
        <v/>
      </c>
      <c r="BV132" s="188" t="str">
        <f>IF(ISERROR(getgrade(Broadsheet!AW243,data!$H$4:$I$9)),"#",getgrade(Broadsheet!AW243,data!$H$4:$I$9))</f>
        <v/>
      </c>
      <c r="BW132" s="188" t="str">
        <f>IF(ISERROR(getgrade(Broadsheet!AX243,data!$H$4:$I$9)),"#",getgrade(Broadsheet!AX243,data!$H$4:$I$9))</f>
        <v/>
      </c>
      <c r="BX132" s="188" t="str">
        <f>IF(ISERROR(getgrade(Broadsheet!AY243,data!$H$4:$I$9)),"#",getgrade(Broadsheet!AY243,data!$H$4:$I$9))</f>
        <v/>
      </c>
      <c r="BY132" s="188" t="str">
        <f>IF(ISERROR(getgrade(Broadsheet!AZ243,data!$H$4:$I$9)),"#",getgrade(Broadsheet!AZ243,data!$H$4:$I$9))</f>
        <v/>
      </c>
      <c r="BZ132" s="188" t="str">
        <f>IF(ISERROR(getgrade(Broadsheet!BA243,data!$H$4:$I$9)),"#",getgrade(Broadsheet!BA243,data!$H$4:$I$9))</f>
        <v/>
      </c>
      <c r="CA132" s="188" t="str">
        <f>IF(ISERROR(getgrade(Broadsheet!BB243,data!$H$4:$I$9)),"#",getgrade(Broadsheet!BB243,data!$H$4:$I$9))</f>
        <v/>
      </c>
      <c r="CB132" s="188" t="str">
        <f>IF(ISERROR(getgrade(Broadsheet!BC243,data!$H$4:$I$9)),"#",getgrade(Broadsheet!BC243,data!$H$4:$I$9))</f>
        <v/>
      </c>
      <c r="CC132" s="188" t="str">
        <f>IF(ISERROR(getgrade(Broadsheet!BD243,data!$H$4:$I$9)),"#",getgrade(Broadsheet!BD243,data!$H$4:$I$9))</f>
        <v/>
      </c>
      <c r="CD132" s="188" t="str">
        <f>IF(ISERROR(getgrade(Broadsheet!BE243,data!$H$4:$I$9)),"#",getgrade(Broadsheet!BE243,data!$H$4:$I$9))</f>
        <v/>
      </c>
      <c r="CE132" s="188" t="str">
        <f>IF(ISERROR(getgrade(Broadsheet!BF243,data!$H$4:$I$9)),"#",getgrade(Broadsheet!BF243,data!$H$4:$I$9))</f>
        <v/>
      </c>
      <c r="CF132" s="188" t="str">
        <f>IF(ISERROR(getgrade(Broadsheet!BG243,data!$H$4:$I$9)),"#",getgrade(Broadsheet!BG243,data!$H$4:$I$9))</f>
        <v/>
      </c>
      <c r="CG132" s="188" t="str">
        <f>IF(ISERROR(getgrade(Broadsheet!BH243,data!$H$4:$I$9)),"#",getgrade(Broadsheet!BH243,data!$H$4:$I$9))</f>
        <v/>
      </c>
      <c r="CH132" s="188" t="str">
        <f>IF(ISERROR(getgrade(Broadsheet!BI243,data!$H$4:$I$9)),"#",getgrade(Broadsheet!BI243,data!$H$4:$I$9))</f>
        <v/>
      </c>
      <c r="CI132" s="188" t="str">
        <f>IF(ISERROR(getgrade(Broadsheet!BJ243,data!$H$4:$I$9)),"#",getgrade(Broadsheet!BJ243,data!$H$4:$I$9))</f>
        <v/>
      </c>
      <c r="CJ132" s="188"/>
      <c r="CK132" s="188"/>
      <c r="CL132" s="188"/>
      <c r="CM132" s="188"/>
      <c r="CN132" s="188"/>
      <c r="CO132" s="188"/>
      <c r="CP132" s="188"/>
      <c r="CQ132" s="188"/>
      <c r="CR132" s="188"/>
      <c r="CS132" s="188"/>
      <c r="CT132" s="188"/>
      <c r="CU132" s="188"/>
      <c r="CV132" s="188"/>
      <c r="CW132" s="188"/>
      <c r="CX132" s="188"/>
      <c r="CY132" s="188"/>
      <c r="CZ132" s="188"/>
      <c r="DA132" s="188"/>
      <c r="DB132" s="188"/>
      <c r="DC132" s="188"/>
      <c r="DD132" s="188"/>
      <c r="DE132" s="188"/>
      <c r="DF132" s="188"/>
      <c r="DG132" s="188"/>
      <c r="DH132" s="188"/>
      <c r="DI132" s="188"/>
      <c r="DJ132" s="188"/>
      <c r="DK132" s="188"/>
      <c r="DL132" s="188"/>
      <c r="DM132" s="188"/>
      <c r="DN132" s="188"/>
      <c r="DO132" s="188"/>
      <c r="DP132" s="188"/>
      <c r="DQ132" s="188"/>
      <c r="DR132" s="188"/>
      <c r="DS132" s="188"/>
      <c r="DT132" s="188"/>
      <c r="DU132" s="188"/>
      <c r="DV132" s="188"/>
      <c r="DW132" s="188"/>
      <c r="DX132" s="188"/>
      <c r="DY132" s="188"/>
      <c r="DZ132" s="188"/>
      <c r="EA132" s="188"/>
      <c r="EB132" s="188"/>
      <c r="EC132" s="188"/>
      <c r="ED132" s="188"/>
      <c r="EE132" s="188"/>
      <c r="EF132" s="188"/>
      <c r="EG132" s="188"/>
      <c r="EH132" s="188"/>
      <c r="EI132" s="188"/>
      <c r="EJ132" s="188"/>
      <c r="EK132" s="188"/>
      <c r="EL132" s="188"/>
      <c r="EM132" s="188"/>
      <c r="EN132" s="188"/>
      <c r="EO132" s="188"/>
      <c r="EP132" s="188"/>
      <c r="EQ132" s="188"/>
      <c r="ER132" s="188"/>
      <c r="ES132" s="188"/>
      <c r="ET132" s="188"/>
      <c r="EU132" s="188"/>
      <c r="EV132" s="188"/>
      <c r="EW132" s="188"/>
      <c r="EX132" s="188"/>
      <c r="EY132" s="188"/>
      <c r="EZ132" s="188"/>
    </row>
    <row r="133" spans="33:156" x14ac:dyDescent="0.2">
      <c r="AG133" s="188" t="str">
        <f>IF(ISERROR(getgrade(Broadsheet!H244,data!$H$4:$I$9)),"#",getgrade(Broadsheet!H244,data!$H$4:$I$9))</f>
        <v/>
      </c>
      <c r="AH133" s="188" t="str">
        <f>IF(ISERROR(getgrade(Broadsheet!I244,data!$H$4:$I$9)),"#",getgrade(Broadsheet!I244,data!$H$4:$I$9))</f>
        <v/>
      </c>
      <c r="AI133" s="188" t="str">
        <f>IF(ISERROR(getgrade(Broadsheet!J244,data!$H$4:$I$9)),"#",getgrade(Broadsheet!J244,data!$H$4:$I$9))</f>
        <v/>
      </c>
      <c r="AJ133" s="188" t="str">
        <f>IF(ISERROR(getgrade(Broadsheet!K244,data!$H$4:$I$9)),"#",getgrade(Broadsheet!K244,data!$H$4:$I$9))</f>
        <v/>
      </c>
      <c r="AK133" s="188" t="str">
        <f>IF(ISERROR(getgrade(Broadsheet!L244,data!$H$4:$I$9)),"#",getgrade(Broadsheet!L244,data!$H$4:$I$9))</f>
        <v/>
      </c>
      <c r="AL133" s="188" t="str">
        <f>IF(ISERROR(getgrade(Broadsheet!M244,data!$H$4:$I$9)),"#",getgrade(Broadsheet!M244,data!$H$4:$I$9))</f>
        <v/>
      </c>
      <c r="AM133" s="188" t="str">
        <f>IF(ISERROR(getgrade(Broadsheet!N244,data!$H$4:$I$9)),"#",getgrade(Broadsheet!N244,data!$H$4:$I$9))</f>
        <v/>
      </c>
      <c r="AN133" s="188" t="str">
        <f>IF(ISERROR(getgrade(Broadsheet!O244,data!$H$4:$I$9)),"#",getgrade(Broadsheet!O244,data!$H$4:$I$9))</f>
        <v/>
      </c>
      <c r="AO133" s="188" t="str">
        <f>IF(ISERROR(getgrade(Broadsheet!P244,data!$H$4:$I$9)),"#",getgrade(Broadsheet!P244,data!$H$4:$I$9))</f>
        <v/>
      </c>
      <c r="AP133" s="188" t="str">
        <f>IF(ISERROR(getgrade(Broadsheet!Q244,data!$H$4:$I$9)),"#",getgrade(Broadsheet!Q244,data!$H$4:$I$9))</f>
        <v/>
      </c>
      <c r="AQ133" s="188" t="str">
        <f>IF(ISERROR(getgrade(Broadsheet!R244,data!$H$4:$I$9)),"#",getgrade(Broadsheet!R244,data!$H$4:$I$9))</f>
        <v/>
      </c>
      <c r="AR133" s="188" t="str">
        <f>IF(ISERROR(getgrade(Broadsheet!S244,data!$H$4:$I$9)),"#",getgrade(Broadsheet!S244,data!$H$4:$I$9))</f>
        <v/>
      </c>
      <c r="AS133" s="188" t="str">
        <f>IF(ISERROR(getgrade(Broadsheet!T244,data!$H$4:$I$9)),"#",getgrade(Broadsheet!T244,data!$H$4:$I$9))</f>
        <v/>
      </c>
      <c r="AT133" s="188" t="str">
        <f>IF(ISERROR(getgrade(Broadsheet!U244,data!$H$4:$I$9)),"#",getgrade(Broadsheet!U244,data!$H$4:$I$9))</f>
        <v/>
      </c>
      <c r="AU133" s="188" t="str">
        <f>IF(ISERROR(getgrade(Broadsheet!V244,data!$H$4:$I$9)),"#",getgrade(Broadsheet!V244,data!$H$4:$I$9))</f>
        <v/>
      </c>
      <c r="AV133" s="188" t="str">
        <f>IF(ISERROR(getgrade(Broadsheet!W244,data!$H$4:$I$9)),"#",getgrade(Broadsheet!W244,data!$H$4:$I$9))</f>
        <v/>
      </c>
      <c r="AW133" s="188" t="str">
        <f>IF(ISERROR(getgrade(Broadsheet!X244,data!$H$4:$I$9)),"#",getgrade(Broadsheet!X244,data!$H$4:$I$9))</f>
        <v/>
      </c>
      <c r="AX133" s="188" t="str">
        <f>IF(ISERROR(getgrade(Broadsheet!Y244,data!$H$4:$I$9)),"#",getgrade(Broadsheet!Y244,data!$H$4:$I$9))</f>
        <v/>
      </c>
      <c r="AY133" s="188" t="str">
        <f>IF(ISERROR(getgrade(Broadsheet!Z244,data!$H$4:$I$9)),"#",getgrade(Broadsheet!Z244,data!$H$4:$I$9))</f>
        <v/>
      </c>
      <c r="AZ133" s="188" t="str">
        <f>IF(ISERROR(getgrade(Broadsheet!AA244,data!$H$4:$I$9)),"#",getgrade(Broadsheet!AA244,data!$H$4:$I$9))</f>
        <v/>
      </c>
      <c r="BA133" s="188" t="str">
        <f>IF(ISERROR(getgrade(Broadsheet!AB244,data!$H$4:$I$9)),"#",getgrade(Broadsheet!AB244,data!$H$4:$I$9))</f>
        <v/>
      </c>
      <c r="BB133" s="188" t="str">
        <f>IF(ISERROR(getgrade(Broadsheet!AC244,data!$H$4:$I$9)),"#",getgrade(Broadsheet!AC244,data!$H$4:$I$9))</f>
        <v/>
      </c>
      <c r="BC133" s="188" t="str">
        <f>IF(ISERROR(getgrade(Broadsheet!AD244,data!$H$4:$I$9)),"#",getgrade(Broadsheet!AD244,data!$H$4:$I$9))</f>
        <v/>
      </c>
      <c r="BD133" s="188" t="str">
        <f>IF(ISERROR(getgrade(Broadsheet!AE244,data!$H$4:$I$9)),"#",getgrade(Broadsheet!AE244,data!$H$4:$I$9))</f>
        <v/>
      </c>
      <c r="BE133" s="188" t="str">
        <f>IF(ISERROR(getgrade(Broadsheet!AF244,data!$H$4:$I$9)),"#",getgrade(Broadsheet!AF244,data!$H$4:$I$9))</f>
        <v/>
      </c>
      <c r="BF133" s="188" t="str">
        <f>IF(ISERROR(getgrade(Broadsheet!AG244,data!$H$4:$I$9)),"#",getgrade(Broadsheet!AG244,data!$H$4:$I$9))</f>
        <v/>
      </c>
      <c r="BG133" s="188" t="str">
        <f>IF(ISERROR(getgrade(Broadsheet!AH244,data!$H$4:$I$9)),"#",getgrade(Broadsheet!AH244,data!$H$4:$I$9))</f>
        <v/>
      </c>
      <c r="BH133" s="188" t="str">
        <f>IF(ISERROR(getgrade(Broadsheet!AI244,data!$H$4:$I$9)),"#",getgrade(Broadsheet!AI244,data!$H$4:$I$9))</f>
        <v/>
      </c>
      <c r="BI133" s="188" t="str">
        <f>IF(ISERROR(getgrade(Broadsheet!AJ244,data!$H$4:$I$9)),"#",getgrade(Broadsheet!AJ244,data!$H$4:$I$9))</f>
        <v/>
      </c>
      <c r="BJ133" s="188" t="str">
        <f>IF(ISERROR(getgrade(Broadsheet!AK244,data!$H$4:$I$9)),"#",getgrade(Broadsheet!AK244,data!$H$4:$I$9))</f>
        <v/>
      </c>
      <c r="BK133" s="188" t="str">
        <f>IF(ISERROR(getgrade(Broadsheet!AL244,data!$H$4:$I$9)),"#",getgrade(Broadsheet!AL244,data!$H$4:$I$9))</f>
        <v/>
      </c>
      <c r="BL133" s="188" t="str">
        <f>IF(ISERROR(getgrade(Broadsheet!AM244,data!$H$4:$I$9)),"#",getgrade(Broadsheet!AM244,data!$H$4:$I$9))</f>
        <v/>
      </c>
      <c r="BM133" s="188" t="str">
        <f>IF(ISERROR(getgrade(Broadsheet!AN244,data!$H$4:$I$9)),"#",getgrade(Broadsheet!AN244,data!$H$4:$I$9))</f>
        <v/>
      </c>
      <c r="BN133" s="188" t="str">
        <f>IF(ISERROR(getgrade(Broadsheet!AO244,data!$H$4:$I$9)),"#",getgrade(Broadsheet!AO244,data!$H$4:$I$9))</f>
        <v/>
      </c>
      <c r="BO133" s="188" t="str">
        <f>IF(ISERROR(getgrade(Broadsheet!AP244,data!$H$4:$I$9)),"#",getgrade(Broadsheet!AP244,data!$H$4:$I$9))</f>
        <v/>
      </c>
      <c r="BP133" s="188" t="str">
        <f>IF(ISERROR(getgrade(Broadsheet!AQ244,data!$H$4:$I$9)),"#",getgrade(Broadsheet!AQ244,data!$H$4:$I$9))</f>
        <v/>
      </c>
      <c r="BQ133" s="188" t="str">
        <f>IF(ISERROR(getgrade(Broadsheet!AR244,data!$H$4:$I$9)),"#",getgrade(Broadsheet!AR244,data!$H$4:$I$9))</f>
        <v/>
      </c>
      <c r="BR133" s="188" t="str">
        <f>IF(ISERROR(getgrade(Broadsheet!AS244,data!$H$4:$I$9)),"#",getgrade(Broadsheet!AS244,data!$H$4:$I$9))</f>
        <v/>
      </c>
      <c r="BS133" s="188" t="str">
        <f>IF(ISERROR(getgrade(Broadsheet!AT244,data!$H$4:$I$9)),"#",getgrade(Broadsheet!AT244,data!$H$4:$I$9))</f>
        <v/>
      </c>
      <c r="BT133" s="188" t="str">
        <f>IF(ISERROR(getgrade(Broadsheet!AU244,data!$H$4:$I$9)),"#",getgrade(Broadsheet!AU244,data!$H$4:$I$9))</f>
        <v/>
      </c>
      <c r="BU133" s="188" t="str">
        <f>IF(ISERROR(getgrade(Broadsheet!AV244,data!$H$4:$I$9)),"#",getgrade(Broadsheet!AV244,data!$H$4:$I$9))</f>
        <v/>
      </c>
      <c r="BV133" s="188" t="str">
        <f>IF(ISERROR(getgrade(Broadsheet!AW244,data!$H$4:$I$9)),"#",getgrade(Broadsheet!AW244,data!$H$4:$I$9))</f>
        <v/>
      </c>
      <c r="BW133" s="188" t="str">
        <f>IF(ISERROR(getgrade(Broadsheet!AX244,data!$H$4:$I$9)),"#",getgrade(Broadsheet!AX244,data!$H$4:$I$9))</f>
        <v/>
      </c>
      <c r="BX133" s="188" t="str">
        <f>IF(ISERROR(getgrade(Broadsheet!AY244,data!$H$4:$I$9)),"#",getgrade(Broadsheet!AY244,data!$H$4:$I$9))</f>
        <v/>
      </c>
      <c r="BY133" s="188" t="str">
        <f>IF(ISERROR(getgrade(Broadsheet!AZ244,data!$H$4:$I$9)),"#",getgrade(Broadsheet!AZ244,data!$H$4:$I$9))</f>
        <v/>
      </c>
      <c r="BZ133" s="188" t="str">
        <f>IF(ISERROR(getgrade(Broadsheet!BA244,data!$H$4:$I$9)),"#",getgrade(Broadsheet!BA244,data!$H$4:$I$9))</f>
        <v/>
      </c>
      <c r="CA133" s="188" t="str">
        <f>IF(ISERROR(getgrade(Broadsheet!BB244,data!$H$4:$I$9)),"#",getgrade(Broadsheet!BB244,data!$H$4:$I$9))</f>
        <v/>
      </c>
      <c r="CB133" s="188" t="str">
        <f>IF(ISERROR(getgrade(Broadsheet!BC244,data!$H$4:$I$9)),"#",getgrade(Broadsheet!BC244,data!$H$4:$I$9))</f>
        <v/>
      </c>
      <c r="CC133" s="188" t="str">
        <f>IF(ISERROR(getgrade(Broadsheet!BD244,data!$H$4:$I$9)),"#",getgrade(Broadsheet!BD244,data!$H$4:$I$9))</f>
        <v/>
      </c>
      <c r="CD133" s="188" t="str">
        <f>IF(ISERROR(getgrade(Broadsheet!BE244,data!$H$4:$I$9)),"#",getgrade(Broadsheet!BE244,data!$H$4:$I$9))</f>
        <v/>
      </c>
      <c r="CE133" s="188" t="str">
        <f>IF(ISERROR(getgrade(Broadsheet!BF244,data!$H$4:$I$9)),"#",getgrade(Broadsheet!BF244,data!$H$4:$I$9))</f>
        <v/>
      </c>
      <c r="CF133" s="188" t="str">
        <f>IF(ISERROR(getgrade(Broadsheet!BG244,data!$H$4:$I$9)),"#",getgrade(Broadsheet!BG244,data!$H$4:$I$9))</f>
        <v/>
      </c>
      <c r="CG133" s="188" t="str">
        <f>IF(ISERROR(getgrade(Broadsheet!BH244,data!$H$4:$I$9)),"#",getgrade(Broadsheet!BH244,data!$H$4:$I$9))</f>
        <v/>
      </c>
      <c r="CH133" s="188" t="str">
        <f>IF(ISERROR(getgrade(Broadsheet!BI244,data!$H$4:$I$9)),"#",getgrade(Broadsheet!BI244,data!$H$4:$I$9))</f>
        <v/>
      </c>
      <c r="CI133" s="188" t="str">
        <f>IF(ISERROR(getgrade(Broadsheet!BJ244,data!$H$4:$I$9)),"#",getgrade(Broadsheet!BJ244,data!$H$4:$I$9))</f>
        <v/>
      </c>
      <c r="CJ133" s="188"/>
      <c r="CK133" s="188"/>
      <c r="CL133" s="188"/>
      <c r="CM133" s="188"/>
      <c r="CN133" s="188"/>
      <c r="CO133" s="188"/>
      <c r="CP133" s="188"/>
      <c r="CQ133" s="188"/>
      <c r="CR133" s="188"/>
      <c r="CS133" s="188"/>
      <c r="CT133" s="188"/>
      <c r="CU133" s="188"/>
      <c r="CV133" s="188"/>
      <c r="CW133" s="188"/>
      <c r="CX133" s="188"/>
      <c r="CY133" s="188"/>
      <c r="CZ133" s="188"/>
      <c r="DA133" s="188"/>
      <c r="DB133" s="188"/>
      <c r="DC133" s="188"/>
      <c r="DD133" s="188"/>
      <c r="DE133" s="188"/>
      <c r="DF133" s="188"/>
      <c r="DG133" s="188"/>
      <c r="DH133" s="188"/>
      <c r="DI133" s="188"/>
      <c r="DJ133" s="188"/>
      <c r="DK133" s="188"/>
      <c r="DL133" s="188"/>
      <c r="DM133" s="188"/>
      <c r="DN133" s="188"/>
      <c r="DO133" s="188"/>
      <c r="DP133" s="188"/>
      <c r="DQ133" s="188"/>
      <c r="DR133" s="188"/>
      <c r="DS133" s="188"/>
      <c r="DT133" s="188"/>
      <c r="DU133" s="188"/>
      <c r="DV133" s="188"/>
      <c r="DW133" s="188"/>
      <c r="DX133" s="188"/>
      <c r="DY133" s="188"/>
      <c r="DZ133" s="188"/>
      <c r="EA133" s="188"/>
      <c r="EB133" s="188"/>
      <c r="EC133" s="188"/>
      <c r="ED133" s="188"/>
      <c r="EE133" s="188"/>
      <c r="EF133" s="188"/>
      <c r="EG133" s="188"/>
      <c r="EH133" s="188"/>
      <c r="EI133" s="188"/>
      <c r="EJ133" s="188"/>
      <c r="EK133" s="188"/>
      <c r="EL133" s="188"/>
      <c r="EM133" s="188"/>
      <c r="EN133" s="188"/>
      <c r="EO133" s="188"/>
      <c r="EP133" s="188"/>
      <c r="EQ133" s="188"/>
      <c r="ER133" s="188"/>
      <c r="ES133" s="188"/>
      <c r="ET133" s="188"/>
      <c r="EU133" s="188"/>
      <c r="EV133" s="188"/>
      <c r="EW133" s="188"/>
      <c r="EX133" s="188"/>
      <c r="EY133" s="188"/>
      <c r="EZ133" s="188"/>
    </row>
    <row r="134" spans="33:156" x14ac:dyDescent="0.2">
      <c r="AG134" s="188" t="str">
        <f>IF(ISERROR(getgrade(Broadsheet!H245,data!$H$4:$I$9)),"#",getgrade(Broadsheet!H245,data!$H$4:$I$9))</f>
        <v/>
      </c>
      <c r="AH134" s="188" t="str">
        <f>IF(ISERROR(getgrade(Broadsheet!I245,data!$H$4:$I$9)),"#",getgrade(Broadsheet!I245,data!$H$4:$I$9))</f>
        <v/>
      </c>
      <c r="AI134" s="188" t="str">
        <f>IF(ISERROR(getgrade(Broadsheet!J245,data!$H$4:$I$9)),"#",getgrade(Broadsheet!J245,data!$H$4:$I$9))</f>
        <v/>
      </c>
      <c r="AJ134" s="188" t="str">
        <f>IF(ISERROR(getgrade(Broadsheet!K245,data!$H$4:$I$9)),"#",getgrade(Broadsheet!K245,data!$H$4:$I$9))</f>
        <v/>
      </c>
      <c r="AK134" s="188" t="str">
        <f>IF(ISERROR(getgrade(Broadsheet!L245,data!$H$4:$I$9)),"#",getgrade(Broadsheet!L245,data!$H$4:$I$9))</f>
        <v/>
      </c>
      <c r="AL134" s="188" t="str">
        <f>IF(ISERROR(getgrade(Broadsheet!M245,data!$H$4:$I$9)),"#",getgrade(Broadsheet!M245,data!$H$4:$I$9))</f>
        <v/>
      </c>
      <c r="AM134" s="188" t="str">
        <f>IF(ISERROR(getgrade(Broadsheet!N245,data!$H$4:$I$9)),"#",getgrade(Broadsheet!N245,data!$H$4:$I$9))</f>
        <v/>
      </c>
      <c r="AN134" s="188" t="str">
        <f>IF(ISERROR(getgrade(Broadsheet!O245,data!$H$4:$I$9)),"#",getgrade(Broadsheet!O245,data!$H$4:$I$9))</f>
        <v/>
      </c>
      <c r="AO134" s="188" t="str">
        <f>IF(ISERROR(getgrade(Broadsheet!P245,data!$H$4:$I$9)),"#",getgrade(Broadsheet!P245,data!$H$4:$I$9))</f>
        <v/>
      </c>
      <c r="AP134" s="188" t="str">
        <f>IF(ISERROR(getgrade(Broadsheet!Q245,data!$H$4:$I$9)),"#",getgrade(Broadsheet!Q245,data!$H$4:$I$9))</f>
        <v/>
      </c>
      <c r="AQ134" s="188" t="str">
        <f>IF(ISERROR(getgrade(Broadsheet!R245,data!$H$4:$I$9)),"#",getgrade(Broadsheet!R245,data!$H$4:$I$9))</f>
        <v/>
      </c>
      <c r="AR134" s="188" t="str">
        <f>IF(ISERROR(getgrade(Broadsheet!S245,data!$H$4:$I$9)),"#",getgrade(Broadsheet!S245,data!$H$4:$I$9))</f>
        <v/>
      </c>
      <c r="AS134" s="188" t="str">
        <f>IF(ISERROR(getgrade(Broadsheet!T245,data!$H$4:$I$9)),"#",getgrade(Broadsheet!T245,data!$H$4:$I$9))</f>
        <v/>
      </c>
      <c r="AT134" s="188" t="str">
        <f>IF(ISERROR(getgrade(Broadsheet!U245,data!$H$4:$I$9)),"#",getgrade(Broadsheet!U245,data!$H$4:$I$9))</f>
        <v/>
      </c>
      <c r="AU134" s="188" t="str">
        <f>IF(ISERROR(getgrade(Broadsheet!V245,data!$H$4:$I$9)),"#",getgrade(Broadsheet!V245,data!$H$4:$I$9))</f>
        <v/>
      </c>
      <c r="AV134" s="188" t="str">
        <f>IF(ISERROR(getgrade(Broadsheet!W245,data!$H$4:$I$9)),"#",getgrade(Broadsheet!W245,data!$H$4:$I$9))</f>
        <v/>
      </c>
      <c r="AW134" s="188" t="str">
        <f>IF(ISERROR(getgrade(Broadsheet!X245,data!$H$4:$I$9)),"#",getgrade(Broadsheet!X245,data!$H$4:$I$9))</f>
        <v/>
      </c>
      <c r="AX134" s="188" t="str">
        <f>IF(ISERROR(getgrade(Broadsheet!Y245,data!$H$4:$I$9)),"#",getgrade(Broadsheet!Y245,data!$H$4:$I$9))</f>
        <v/>
      </c>
      <c r="AY134" s="188" t="str">
        <f>IF(ISERROR(getgrade(Broadsheet!Z245,data!$H$4:$I$9)),"#",getgrade(Broadsheet!Z245,data!$H$4:$I$9))</f>
        <v/>
      </c>
      <c r="AZ134" s="188" t="str">
        <f>IF(ISERROR(getgrade(Broadsheet!AA245,data!$H$4:$I$9)),"#",getgrade(Broadsheet!AA245,data!$H$4:$I$9))</f>
        <v/>
      </c>
      <c r="BA134" s="188" t="str">
        <f>IF(ISERROR(getgrade(Broadsheet!AB245,data!$H$4:$I$9)),"#",getgrade(Broadsheet!AB245,data!$H$4:$I$9))</f>
        <v/>
      </c>
      <c r="BB134" s="188" t="str">
        <f>IF(ISERROR(getgrade(Broadsheet!AC245,data!$H$4:$I$9)),"#",getgrade(Broadsheet!AC245,data!$H$4:$I$9))</f>
        <v/>
      </c>
      <c r="BC134" s="188" t="str">
        <f>IF(ISERROR(getgrade(Broadsheet!AD245,data!$H$4:$I$9)),"#",getgrade(Broadsheet!AD245,data!$H$4:$I$9))</f>
        <v/>
      </c>
      <c r="BD134" s="188" t="str">
        <f>IF(ISERROR(getgrade(Broadsheet!AE245,data!$H$4:$I$9)),"#",getgrade(Broadsheet!AE245,data!$H$4:$I$9))</f>
        <v/>
      </c>
      <c r="BE134" s="188" t="str">
        <f>IF(ISERROR(getgrade(Broadsheet!AF245,data!$H$4:$I$9)),"#",getgrade(Broadsheet!AF245,data!$H$4:$I$9))</f>
        <v/>
      </c>
      <c r="BF134" s="188" t="str">
        <f>IF(ISERROR(getgrade(Broadsheet!AG245,data!$H$4:$I$9)),"#",getgrade(Broadsheet!AG245,data!$H$4:$I$9))</f>
        <v/>
      </c>
      <c r="BG134" s="188" t="str">
        <f>IF(ISERROR(getgrade(Broadsheet!AH245,data!$H$4:$I$9)),"#",getgrade(Broadsheet!AH245,data!$H$4:$I$9))</f>
        <v/>
      </c>
      <c r="BH134" s="188" t="str">
        <f>IF(ISERROR(getgrade(Broadsheet!AI245,data!$H$4:$I$9)),"#",getgrade(Broadsheet!AI245,data!$H$4:$I$9))</f>
        <v/>
      </c>
      <c r="BI134" s="188" t="str">
        <f>IF(ISERROR(getgrade(Broadsheet!AJ245,data!$H$4:$I$9)),"#",getgrade(Broadsheet!AJ245,data!$H$4:$I$9))</f>
        <v/>
      </c>
      <c r="BJ134" s="188" t="str">
        <f>IF(ISERROR(getgrade(Broadsheet!AK245,data!$H$4:$I$9)),"#",getgrade(Broadsheet!AK245,data!$H$4:$I$9))</f>
        <v/>
      </c>
      <c r="BK134" s="188" t="str">
        <f>IF(ISERROR(getgrade(Broadsheet!AL245,data!$H$4:$I$9)),"#",getgrade(Broadsheet!AL245,data!$H$4:$I$9))</f>
        <v/>
      </c>
      <c r="BL134" s="188" t="str">
        <f>IF(ISERROR(getgrade(Broadsheet!AM245,data!$H$4:$I$9)),"#",getgrade(Broadsheet!AM245,data!$H$4:$I$9))</f>
        <v/>
      </c>
      <c r="BM134" s="188" t="str">
        <f>IF(ISERROR(getgrade(Broadsheet!AN245,data!$H$4:$I$9)),"#",getgrade(Broadsheet!AN245,data!$H$4:$I$9))</f>
        <v/>
      </c>
      <c r="BN134" s="188" t="str">
        <f>IF(ISERROR(getgrade(Broadsheet!AO245,data!$H$4:$I$9)),"#",getgrade(Broadsheet!AO245,data!$H$4:$I$9))</f>
        <v/>
      </c>
      <c r="BO134" s="188" t="str">
        <f>IF(ISERROR(getgrade(Broadsheet!AP245,data!$H$4:$I$9)),"#",getgrade(Broadsheet!AP245,data!$H$4:$I$9))</f>
        <v/>
      </c>
      <c r="BP134" s="188" t="str">
        <f>IF(ISERROR(getgrade(Broadsheet!AQ245,data!$H$4:$I$9)),"#",getgrade(Broadsheet!AQ245,data!$H$4:$I$9))</f>
        <v/>
      </c>
      <c r="BQ134" s="188" t="str">
        <f>IF(ISERROR(getgrade(Broadsheet!AR245,data!$H$4:$I$9)),"#",getgrade(Broadsheet!AR245,data!$H$4:$I$9))</f>
        <v/>
      </c>
      <c r="BR134" s="188" t="str">
        <f>IF(ISERROR(getgrade(Broadsheet!AS245,data!$H$4:$I$9)),"#",getgrade(Broadsheet!AS245,data!$H$4:$I$9))</f>
        <v/>
      </c>
      <c r="BS134" s="188" t="str">
        <f>IF(ISERROR(getgrade(Broadsheet!AT245,data!$H$4:$I$9)),"#",getgrade(Broadsheet!AT245,data!$H$4:$I$9))</f>
        <v/>
      </c>
      <c r="BT134" s="188" t="str">
        <f>IF(ISERROR(getgrade(Broadsheet!AU245,data!$H$4:$I$9)),"#",getgrade(Broadsheet!AU245,data!$H$4:$I$9))</f>
        <v/>
      </c>
      <c r="BU134" s="188" t="str">
        <f>IF(ISERROR(getgrade(Broadsheet!AV245,data!$H$4:$I$9)),"#",getgrade(Broadsheet!AV245,data!$H$4:$I$9))</f>
        <v/>
      </c>
      <c r="BV134" s="188" t="str">
        <f>IF(ISERROR(getgrade(Broadsheet!AW245,data!$H$4:$I$9)),"#",getgrade(Broadsheet!AW245,data!$H$4:$I$9))</f>
        <v/>
      </c>
      <c r="BW134" s="188" t="str">
        <f>IF(ISERROR(getgrade(Broadsheet!AX245,data!$H$4:$I$9)),"#",getgrade(Broadsheet!AX245,data!$H$4:$I$9))</f>
        <v/>
      </c>
      <c r="BX134" s="188" t="str">
        <f>IF(ISERROR(getgrade(Broadsheet!AY245,data!$H$4:$I$9)),"#",getgrade(Broadsheet!AY245,data!$H$4:$I$9))</f>
        <v/>
      </c>
      <c r="BY134" s="188" t="str">
        <f>IF(ISERROR(getgrade(Broadsheet!AZ245,data!$H$4:$I$9)),"#",getgrade(Broadsheet!AZ245,data!$H$4:$I$9))</f>
        <v/>
      </c>
      <c r="BZ134" s="188" t="str">
        <f>IF(ISERROR(getgrade(Broadsheet!BA245,data!$H$4:$I$9)),"#",getgrade(Broadsheet!BA245,data!$H$4:$I$9))</f>
        <v/>
      </c>
      <c r="CA134" s="188" t="str">
        <f>IF(ISERROR(getgrade(Broadsheet!BB245,data!$H$4:$I$9)),"#",getgrade(Broadsheet!BB245,data!$H$4:$I$9))</f>
        <v/>
      </c>
      <c r="CB134" s="188" t="str">
        <f>IF(ISERROR(getgrade(Broadsheet!BC245,data!$H$4:$I$9)),"#",getgrade(Broadsheet!BC245,data!$H$4:$I$9))</f>
        <v/>
      </c>
      <c r="CC134" s="188" t="str">
        <f>IF(ISERROR(getgrade(Broadsheet!BD245,data!$H$4:$I$9)),"#",getgrade(Broadsheet!BD245,data!$H$4:$I$9))</f>
        <v/>
      </c>
      <c r="CD134" s="188" t="str">
        <f>IF(ISERROR(getgrade(Broadsheet!BE245,data!$H$4:$I$9)),"#",getgrade(Broadsheet!BE245,data!$H$4:$I$9))</f>
        <v/>
      </c>
      <c r="CE134" s="188" t="str">
        <f>IF(ISERROR(getgrade(Broadsheet!BF245,data!$H$4:$I$9)),"#",getgrade(Broadsheet!BF245,data!$H$4:$I$9))</f>
        <v/>
      </c>
      <c r="CF134" s="188" t="str">
        <f>IF(ISERROR(getgrade(Broadsheet!BG245,data!$H$4:$I$9)),"#",getgrade(Broadsheet!BG245,data!$H$4:$I$9))</f>
        <v/>
      </c>
      <c r="CG134" s="188" t="str">
        <f>IF(ISERROR(getgrade(Broadsheet!BH245,data!$H$4:$I$9)),"#",getgrade(Broadsheet!BH245,data!$H$4:$I$9))</f>
        <v/>
      </c>
      <c r="CH134" s="188" t="str">
        <f>IF(ISERROR(getgrade(Broadsheet!BI245,data!$H$4:$I$9)),"#",getgrade(Broadsheet!BI245,data!$H$4:$I$9))</f>
        <v/>
      </c>
      <c r="CI134" s="188" t="str">
        <f>IF(ISERROR(getgrade(Broadsheet!BJ245,data!$H$4:$I$9)),"#",getgrade(Broadsheet!BJ245,data!$H$4:$I$9))</f>
        <v/>
      </c>
      <c r="CJ134" s="188"/>
      <c r="CK134" s="188"/>
      <c r="CL134" s="188"/>
      <c r="CM134" s="188"/>
      <c r="CN134" s="188"/>
      <c r="CO134" s="188"/>
      <c r="CP134" s="188"/>
      <c r="CQ134" s="188"/>
      <c r="CR134" s="188"/>
      <c r="CS134" s="188"/>
      <c r="CT134" s="188"/>
      <c r="CU134" s="188"/>
      <c r="CV134" s="188"/>
      <c r="CW134" s="188"/>
      <c r="CX134" s="188"/>
      <c r="CY134" s="188"/>
      <c r="CZ134" s="188"/>
      <c r="DA134" s="188"/>
      <c r="DB134" s="188"/>
      <c r="DC134" s="188"/>
      <c r="DD134" s="188"/>
      <c r="DE134" s="188"/>
      <c r="DF134" s="188"/>
      <c r="DG134" s="188"/>
      <c r="DH134" s="188"/>
      <c r="DI134" s="188"/>
      <c r="DJ134" s="188"/>
      <c r="DK134" s="188"/>
      <c r="DL134" s="188"/>
      <c r="DM134" s="188"/>
      <c r="DN134" s="188"/>
      <c r="DO134" s="188"/>
      <c r="DP134" s="188"/>
      <c r="DQ134" s="188"/>
      <c r="DR134" s="188"/>
      <c r="DS134" s="188"/>
      <c r="DT134" s="188"/>
      <c r="DU134" s="188"/>
      <c r="DV134" s="188"/>
      <c r="DW134" s="188"/>
      <c r="DX134" s="188"/>
      <c r="DY134" s="188"/>
      <c r="DZ134" s="188"/>
      <c r="EA134" s="188"/>
      <c r="EB134" s="188"/>
      <c r="EC134" s="188"/>
      <c r="ED134" s="188"/>
      <c r="EE134" s="188"/>
      <c r="EF134" s="188"/>
      <c r="EG134" s="188"/>
      <c r="EH134" s="188"/>
      <c r="EI134" s="188"/>
      <c r="EJ134" s="188"/>
      <c r="EK134" s="188"/>
      <c r="EL134" s="188"/>
      <c r="EM134" s="188"/>
      <c r="EN134" s="188"/>
      <c r="EO134" s="188"/>
      <c r="EP134" s="188"/>
      <c r="EQ134" s="188"/>
      <c r="ER134" s="188"/>
      <c r="ES134" s="188"/>
      <c r="ET134" s="188"/>
      <c r="EU134" s="188"/>
      <c r="EV134" s="188"/>
      <c r="EW134" s="188"/>
      <c r="EX134" s="188"/>
      <c r="EY134" s="188"/>
      <c r="EZ134" s="188"/>
    </row>
    <row r="135" spans="33:156" x14ac:dyDescent="0.2">
      <c r="AG135" s="188" t="str">
        <f>IF(ISERROR(getgrade(Broadsheet!H246,data!$H$4:$I$9)),"#",getgrade(Broadsheet!H246,data!$H$4:$I$9))</f>
        <v/>
      </c>
      <c r="AH135" s="188" t="str">
        <f>IF(ISERROR(getgrade(Broadsheet!I246,data!$H$4:$I$9)),"#",getgrade(Broadsheet!I246,data!$H$4:$I$9))</f>
        <v/>
      </c>
      <c r="AI135" s="188" t="str">
        <f>IF(ISERROR(getgrade(Broadsheet!J246,data!$H$4:$I$9)),"#",getgrade(Broadsheet!J246,data!$H$4:$I$9))</f>
        <v/>
      </c>
      <c r="AJ135" s="188" t="str">
        <f>IF(ISERROR(getgrade(Broadsheet!K246,data!$H$4:$I$9)),"#",getgrade(Broadsheet!K246,data!$H$4:$I$9))</f>
        <v/>
      </c>
      <c r="AK135" s="188" t="str">
        <f>IF(ISERROR(getgrade(Broadsheet!L246,data!$H$4:$I$9)),"#",getgrade(Broadsheet!L246,data!$H$4:$I$9))</f>
        <v/>
      </c>
      <c r="AL135" s="188" t="str">
        <f>IF(ISERROR(getgrade(Broadsheet!M246,data!$H$4:$I$9)),"#",getgrade(Broadsheet!M246,data!$H$4:$I$9))</f>
        <v/>
      </c>
      <c r="AM135" s="188" t="str">
        <f>IF(ISERROR(getgrade(Broadsheet!N246,data!$H$4:$I$9)),"#",getgrade(Broadsheet!N246,data!$H$4:$I$9))</f>
        <v/>
      </c>
      <c r="AN135" s="188" t="str">
        <f>IF(ISERROR(getgrade(Broadsheet!O246,data!$H$4:$I$9)),"#",getgrade(Broadsheet!O246,data!$H$4:$I$9))</f>
        <v/>
      </c>
      <c r="AO135" s="188" t="str">
        <f>IF(ISERROR(getgrade(Broadsheet!P246,data!$H$4:$I$9)),"#",getgrade(Broadsheet!P246,data!$H$4:$I$9))</f>
        <v/>
      </c>
      <c r="AP135" s="188" t="str">
        <f>IF(ISERROR(getgrade(Broadsheet!Q246,data!$H$4:$I$9)),"#",getgrade(Broadsheet!Q246,data!$H$4:$I$9))</f>
        <v/>
      </c>
      <c r="AQ135" s="188" t="str">
        <f>IF(ISERROR(getgrade(Broadsheet!R246,data!$H$4:$I$9)),"#",getgrade(Broadsheet!R246,data!$H$4:$I$9))</f>
        <v/>
      </c>
      <c r="AR135" s="188" t="str">
        <f>IF(ISERROR(getgrade(Broadsheet!S246,data!$H$4:$I$9)),"#",getgrade(Broadsheet!S246,data!$H$4:$I$9))</f>
        <v/>
      </c>
      <c r="AS135" s="188" t="str">
        <f>IF(ISERROR(getgrade(Broadsheet!T246,data!$H$4:$I$9)),"#",getgrade(Broadsheet!T246,data!$H$4:$I$9))</f>
        <v/>
      </c>
      <c r="AT135" s="188" t="str">
        <f>IF(ISERROR(getgrade(Broadsheet!U246,data!$H$4:$I$9)),"#",getgrade(Broadsheet!U246,data!$H$4:$I$9))</f>
        <v/>
      </c>
      <c r="AU135" s="188" t="str">
        <f>IF(ISERROR(getgrade(Broadsheet!V246,data!$H$4:$I$9)),"#",getgrade(Broadsheet!V246,data!$H$4:$I$9))</f>
        <v/>
      </c>
      <c r="AV135" s="188" t="str">
        <f>IF(ISERROR(getgrade(Broadsheet!W246,data!$H$4:$I$9)),"#",getgrade(Broadsheet!W246,data!$H$4:$I$9))</f>
        <v/>
      </c>
      <c r="AW135" s="188" t="str">
        <f>IF(ISERROR(getgrade(Broadsheet!X246,data!$H$4:$I$9)),"#",getgrade(Broadsheet!X246,data!$H$4:$I$9))</f>
        <v/>
      </c>
      <c r="AX135" s="188" t="str">
        <f>IF(ISERROR(getgrade(Broadsheet!Y246,data!$H$4:$I$9)),"#",getgrade(Broadsheet!Y246,data!$H$4:$I$9))</f>
        <v/>
      </c>
      <c r="AY135" s="188" t="str">
        <f>IF(ISERROR(getgrade(Broadsheet!Z246,data!$H$4:$I$9)),"#",getgrade(Broadsheet!Z246,data!$H$4:$I$9))</f>
        <v/>
      </c>
      <c r="AZ135" s="188" t="str">
        <f>IF(ISERROR(getgrade(Broadsheet!AA246,data!$H$4:$I$9)),"#",getgrade(Broadsheet!AA246,data!$H$4:$I$9))</f>
        <v/>
      </c>
      <c r="BA135" s="188" t="str">
        <f>IF(ISERROR(getgrade(Broadsheet!AB246,data!$H$4:$I$9)),"#",getgrade(Broadsheet!AB246,data!$H$4:$I$9))</f>
        <v/>
      </c>
      <c r="BB135" s="188" t="str">
        <f>IF(ISERROR(getgrade(Broadsheet!AC246,data!$H$4:$I$9)),"#",getgrade(Broadsheet!AC246,data!$H$4:$I$9))</f>
        <v/>
      </c>
      <c r="BC135" s="188" t="str">
        <f>IF(ISERROR(getgrade(Broadsheet!AD246,data!$H$4:$I$9)),"#",getgrade(Broadsheet!AD246,data!$H$4:$I$9))</f>
        <v/>
      </c>
      <c r="BD135" s="188" t="str">
        <f>IF(ISERROR(getgrade(Broadsheet!AE246,data!$H$4:$I$9)),"#",getgrade(Broadsheet!AE246,data!$H$4:$I$9))</f>
        <v/>
      </c>
      <c r="BE135" s="188" t="str">
        <f>IF(ISERROR(getgrade(Broadsheet!AF246,data!$H$4:$I$9)),"#",getgrade(Broadsheet!AF246,data!$H$4:$I$9))</f>
        <v/>
      </c>
      <c r="BF135" s="188" t="str">
        <f>IF(ISERROR(getgrade(Broadsheet!AG246,data!$H$4:$I$9)),"#",getgrade(Broadsheet!AG246,data!$H$4:$I$9))</f>
        <v/>
      </c>
      <c r="BG135" s="188" t="str">
        <f>IF(ISERROR(getgrade(Broadsheet!AH246,data!$H$4:$I$9)),"#",getgrade(Broadsheet!AH246,data!$H$4:$I$9))</f>
        <v/>
      </c>
      <c r="BH135" s="188" t="str">
        <f>IF(ISERROR(getgrade(Broadsheet!AI246,data!$H$4:$I$9)),"#",getgrade(Broadsheet!AI246,data!$H$4:$I$9))</f>
        <v/>
      </c>
      <c r="BI135" s="188" t="str">
        <f>IF(ISERROR(getgrade(Broadsheet!AJ246,data!$H$4:$I$9)),"#",getgrade(Broadsheet!AJ246,data!$H$4:$I$9))</f>
        <v/>
      </c>
      <c r="BJ135" s="188" t="str">
        <f>IF(ISERROR(getgrade(Broadsheet!AK246,data!$H$4:$I$9)),"#",getgrade(Broadsheet!AK246,data!$H$4:$I$9))</f>
        <v/>
      </c>
      <c r="BK135" s="188" t="str">
        <f>IF(ISERROR(getgrade(Broadsheet!AL246,data!$H$4:$I$9)),"#",getgrade(Broadsheet!AL246,data!$H$4:$I$9))</f>
        <v/>
      </c>
      <c r="BL135" s="188" t="str">
        <f>IF(ISERROR(getgrade(Broadsheet!AM246,data!$H$4:$I$9)),"#",getgrade(Broadsheet!AM246,data!$H$4:$I$9))</f>
        <v/>
      </c>
      <c r="BM135" s="188" t="str">
        <f>IF(ISERROR(getgrade(Broadsheet!AN246,data!$H$4:$I$9)),"#",getgrade(Broadsheet!AN246,data!$H$4:$I$9))</f>
        <v/>
      </c>
      <c r="BN135" s="188" t="str">
        <f>IF(ISERROR(getgrade(Broadsheet!AO246,data!$H$4:$I$9)),"#",getgrade(Broadsheet!AO246,data!$H$4:$I$9))</f>
        <v/>
      </c>
      <c r="BO135" s="188" t="str">
        <f>IF(ISERROR(getgrade(Broadsheet!AP246,data!$H$4:$I$9)),"#",getgrade(Broadsheet!AP246,data!$H$4:$I$9))</f>
        <v/>
      </c>
      <c r="BP135" s="188" t="str">
        <f>IF(ISERROR(getgrade(Broadsheet!AQ246,data!$H$4:$I$9)),"#",getgrade(Broadsheet!AQ246,data!$H$4:$I$9))</f>
        <v/>
      </c>
      <c r="BQ135" s="188" t="str">
        <f>IF(ISERROR(getgrade(Broadsheet!AR246,data!$H$4:$I$9)),"#",getgrade(Broadsheet!AR246,data!$H$4:$I$9))</f>
        <v/>
      </c>
      <c r="BR135" s="188" t="str">
        <f>IF(ISERROR(getgrade(Broadsheet!AS246,data!$H$4:$I$9)),"#",getgrade(Broadsheet!AS246,data!$H$4:$I$9))</f>
        <v/>
      </c>
      <c r="BS135" s="188" t="str">
        <f>IF(ISERROR(getgrade(Broadsheet!AT246,data!$H$4:$I$9)),"#",getgrade(Broadsheet!AT246,data!$H$4:$I$9))</f>
        <v/>
      </c>
      <c r="BT135" s="188" t="str">
        <f>IF(ISERROR(getgrade(Broadsheet!AU246,data!$H$4:$I$9)),"#",getgrade(Broadsheet!AU246,data!$H$4:$I$9))</f>
        <v/>
      </c>
      <c r="BU135" s="188" t="str">
        <f>IF(ISERROR(getgrade(Broadsheet!AV246,data!$H$4:$I$9)),"#",getgrade(Broadsheet!AV246,data!$H$4:$I$9))</f>
        <v/>
      </c>
      <c r="BV135" s="188" t="str">
        <f>IF(ISERROR(getgrade(Broadsheet!AW246,data!$H$4:$I$9)),"#",getgrade(Broadsheet!AW246,data!$H$4:$I$9))</f>
        <v/>
      </c>
      <c r="BW135" s="188" t="str">
        <f>IF(ISERROR(getgrade(Broadsheet!AX246,data!$H$4:$I$9)),"#",getgrade(Broadsheet!AX246,data!$H$4:$I$9))</f>
        <v/>
      </c>
      <c r="BX135" s="188" t="str">
        <f>IF(ISERROR(getgrade(Broadsheet!AY246,data!$H$4:$I$9)),"#",getgrade(Broadsheet!AY246,data!$H$4:$I$9))</f>
        <v/>
      </c>
      <c r="BY135" s="188" t="str">
        <f>IF(ISERROR(getgrade(Broadsheet!AZ246,data!$H$4:$I$9)),"#",getgrade(Broadsheet!AZ246,data!$H$4:$I$9))</f>
        <v/>
      </c>
      <c r="BZ135" s="188" t="str">
        <f>IF(ISERROR(getgrade(Broadsheet!BA246,data!$H$4:$I$9)),"#",getgrade(Broadsheet!BA246,data!$H$4:$I$9))</f>
        <v/>
      </c>
      <c r="CA135" s="188" t="str">
        <f>IF(ISERROR(getgrade(Broadsheet!BB246,data!$H$4:$I$9)),"#",getgrade(Broadsheet!BB246,data!$H$4:$I$9))</f>
        <v/>
      </c>
      <c r="CB135" s="188" t="str">
        <f>IF(ISERROR(getgrade(Broadsheet!BC246,data!$H$4:$I$9)),"#",getgrade(Broadsheet!BC246,data!$H$4:$I$9))</f>
        <v/>
      </c>
      <c r="CC135" s="188" t="str">
        <f>IF(ISERROR(getgrade(Broadsheet!BD246,data!$H$4:$I$9)),"#",getgrade(Broadsheet!BD246,data!$H$4:$I$9))</f>
        <v/>
      </c>
      <c r="CD135" s="188" t="str">
        <f>IF(ISERROR(getgrade(Broadsheet!BE246,data!$H$4:$I$9)),"#",getgrade(Broadsheet!BE246,data!$H$4:$I$9))</f>
        <v/>
      </c>
      <c r="CE135" s="188" t="str">
        <f>IF(ISERROR(getgrade(Broadsheet!BF246,data!$H$4:$I$9)),"#",getgrade(Broadsheet!BF246,data!$H$4:$I$9))</f>
        <v/>
      </c>
      <c r="CF135" s="188" t="str">
        <f>IF(ISERROR(getgrade(Broadsheet!BG246,data!$H$4:$I$9)),"#",getgrade(Broadsheet!BG246,data!$H$4:$I$9))</f>
        <v/>
      </c>
      <c r="CG135" s="188" t="str">
        <f>IF(ISERROR(getgrade(Broadsheet!BH246,data!$H$4:$I$9)),"#",getgrade(Broadsheet!BH246,data!$H$4:$I$9))</f>
        <v/>
      </c>
      <c r="CH135" s="188" t="str">
        <f>IF(ISERROR(getgrade(Broadsheet!BI246,data!$H$4:$I$9)),"#",getgrade(Broadsheet!BI246,data!$H$4:$I$9))</f>
        <v/>
      </c>
      <c r="CI135" s="188" t="str">
        <f>IF(ISERROR(getgrade(Broadsheet!BJ246,data!$H$4:$I$9)),"#",getgrade(Broadsheet!BJ246,data!$H$4:$I$9))</f>
        <v/>
      </c>
      <c r="CJ135" s="188"/>
      <c r="CK135" s="188"/>
      <c r="CL135" s="188"/>
      <c r="CM135" s="188"/>
      <c r="CN135" s="188"/>
      <c r="CO135" s="188"/>
      <c r="CP135" s="188"/>
      <c r="CQ135" s="188"/>
      <c r="CR135" s="188"/>
      <c r="CS135" s="188"/>
      <c r="CT135" s="188"/>
      <c r="CU135" s="188"/>
      <c r="CV135" s="188"/>
      <c r="CW135" s="188"/>
      <c r="CX135" s="188"/>
      <c r="CY135" s="188"/>
      <c r="CZ135" s="188"/>
      <c r="DA135" s="188"/>
      <c r="DB135" s="188"/>
      <c r="DC135" s="188"/>
      <c r="DD135" s="188"/>
      <c r="DE135" s="188"/>
      <c r="DF135" s="188"/>
      <c r="DG135" s="188"/>
      <c r="DH135" s="188"/>
      <c r="DI135" s="188"/>
      <c r="DJ135" s="188"/>
      <c r="DK135" s="188"/>
      <c r="DL135" s="188"/>
      <c r="DM135" s="188"/>
      <c r="DN135" s="188"/>
      <c r="DO135" s="188"/>
      <c r="DP135" s="188"/>
      <c r="DQ135" s="188"/>
      <c r="DR135" s="188"/>
      <c r="DS135" s="188"/>
      <c r="DT135" s="188"/>
      <c r="DU135" s="188"/>
      <c r="DV135" s="188"/>
      <c r="DW135" s="188"/>
      <c r="DX135" s="188"/>
      <c r="DY135" s="188"/>
      <c r="DZ135" s="188"/>
      <c r="EA135" s="188"/>
      <c r="EB135" s="188"/>
      <c r="EC135" s="188"/>
      <c r="ED135" s="188"/>
      <c r="EE135" s="188"/>
      <c r="EF135" s="188"/>
      <c r="EG135" s="188"/>
      <c r="EH135" s="188"/>
      <c r="EI135" s="188"/>
      <c r="EJ135" s="188"/>
      <c r="EK135" s="188"/>
      <c r="EL135" s="188"/>
      <c r="EM135" s="188"/>
      <c r="EN135" s="188"/>
      <c r="EO135" s="188"/>
      <c r="EP135" s="188"/>
      <c r="EQ135" s="188"/>
      <c r="ER135" s="188"/>
      <c r="ES135" s="188"/>
      <c r="ET135" s="188"/>
      <c r="EU135" s="188"/>
      <c r="EV135" s="188"/>
      <c r="EW135" s="188"/>
      <c r="EX135" s="188"/>
      <c r="EY135" s="188"/>
      <c r="EZ135" s="188"/>
    </row>
    <row r="136" spans="33:156" x14ac:dyDescent="0.2">
      <c r="AG136" s="188" t="str">
        <f>IF(ISERROR(getgrade(Broadsheet!H247,data!$H$4:$I$9)),"#",getgrade(Broadsheet!H247,data!$H$4:$I$9))</f>
        <v/>
      </c>
      <c r="AH136" s="188" t="str">
        <f>IF(ISERROR(getgrade(Broadsheet!I247,data!$H$4:$I$9)),"#",getgrade(Broadsheet!I247,data!$H$4:$I$9))</f>
        <v/>
      </c>
      <c r="AI136" s="188" t="str">
        <f>IF(ISERROR(getgrade(Broadsheet!J247,data!$H$4:$I$9)),"#",getgrade(Broadsheet!J247,data!$H$4:$I$9))</f>
        <v/>
      </c>
      <c r="AJ136" s="188" t="str">
        <f>IF(ISERROR(getgrade(Broadsheet!K247,data!$H$4:$I$9)),"#",getgrade(Broadsheet!K247,data!$H$4:$I$9))</f>
        <v/>
      </c>
      <c r="AK136" s="188" t="str">
        <f>IF(ISERROR(getgrade(Broadsheet!L247,data!$H$4:$I$9)),"#",getgrade(Broadsheet!L247,data!$H$4:$I$9))</f>
        <v/>
      </c>
      <c r="AL136" s="188" t="str">
        <f>IF(ISERROR(getgrade(Broadsheet!M247,data!$H$4:$I$9)),"#",getgrade(Broadsheet!M247,data!$H$4:$I$9))</f>
        <v/>
      </c>
      <c r="AM136" s="188" t="str">
        <f>IF(ISERROR(getgrade(Broadsheet!N247,data!$H$4:$I$9)),"#",getgrade(Broadsheet!N247,data!$H$4:$I$9))</f>
        <v/>
      </c>
      <c r="AN136" s="188" t="str">
        <f>IF(ISERROR(getgrade(Broadsheet!O247,data!$H$4:$I$9)),"#",getgrade(Broadsheet!O247,data!$H$4:$I$9))</f>
        <v/>
      </c>
      <c r="AO136" s="188" t="str">
        <f>IF(ISERROR(getgrade(Broadsheet!P247,data!$H$4:$I$9)),"#",getgrade(Broadsheet!P247,data!$H$4:$I$9))</f>
        <v/>
      </c>
      <c r="AP136" s="188" t="str">
        <f>IF(ISERROR(getgrade(Broadsheet!Q247,data!$H$4:$I$9)),"#",getgrade(Broadsheet!Q247,data!$H$4:$I$9))</f>
        <v/>
      </c>
      <c r="AQ136" s="188" t="str">
        <f>IF(ISERROR(getgrade(Broadsheet!R247,data!$H$4:$I$9)),"#",getgrade(Broadsheet!R247,data!$H$4:$I$9))</f>
        <v/>
      </c>
      <c r="AR136" s="188" t="str">
        <f>IF(ISERROR(getgrade(Broadsheet!S247,data!$H$4:$I$9)),"#",getgrade(Broadsheet!S247,data!$H$4:$I$9))</f>
        <v/>
      </c>
      <c r="AS136" s="188" t="str">
        <f>IF(ISERROR(getgrade(Broadsheet!T247,data!$H$4:$I$9)),"#",getgrade(Broadsheet!T247,data!$H$4:$I$9))</f>
        <v/>
      </c>
      <c r="AT136" s="188" t="str">
        <f>IF(ISERROR(getgrade(Broadsheet!U247,data!$H$4:$I$9)),"#",getgrade(Broadsheet!U247,data!$H$4:$I$9))</f>
        <v/>
      </c>
      <c r="AU136" s="188" t="str">
        <f>IF(ISERROR(getgrade(Broadsheet!V247,data!$H$4:$I$9)),"#",getgrade(Broadsheet!V247,data!$H$4:$I$9))</f>
        <v/>
      </c>
      <c r="AV136" s="188" t="str">
        <f>IF(ISERROR(getgrade(Broadsheet!W247,data!$H$4:$I$9)),"#",getgrade(Broadsheet!W247,data!$H$4:$I$9))</f>
        <v/>
      </c>
      <c r="AW136" s="188" t="str">
        <f>IF(ISERROR(getgrade(Broadsheet!X247,data!$H$4:$I$9)),"#",getgrade(Broadsheet!X247,data!$H$4:$I$9))</f>
        <v/>
      </c>
      <c r="AX136" s="188" t="str">
        <f>IF(ISERROR(getgrade(Broadsheet!Y247,data!$H$4:$I$9)),"#",getgrade(Broadsheet!Y247,data!$H$4:$I$9))</f>
        <v/>
      </c>
      <c r="AY136" s="188" t="str">
        <f>IF(ISERROR(getgrade(Broadsheet!Z247,data!$H$4:$I$9)),"#",getgrade(Broadsheet!Z247,data!$H$4:$I$9))</f>
        <v/>
      </c>
      <c r="AZ136" s="188" t="str">
        <f>IF(ISERROR(getgrade(Broadsheet!AA247,data!$H$4:$I$9)),"#",getgrade(Broadsheet!AA247,data!$H$4:$I$9))</f>
        <v/>
      </c>
      <c r="BA136" s="188" t="str">
        <f>IF(ISERROR(getgrade(Broadsheet!AB247,data!$H$4:$I$9)),"#",getgrade(Broadsheet!AB247,data!$H$4:$I$9))</f>
        <v/>
      </c>
      <c r="BB136" s="188" t="str">
        <f>IF(ISERROR(getgrade(Broadsheet!AC247,data!$H$4:$I$9)),"#",getgrade(Broadsheet!AC247,data!$H$4:$I$9))</f>
        <v/>
      </c>
      <c r="BC136" s="188" t="str">
        <f>IF(ISERROR(getgrade(Broadsheet!AD247,data!$H$4:$I$9)),"#",getgrade(Broadsheet!AD247,data!$H$4:$I$9))</f>
        <v/>
      </c>
      <c r="BD136" s="188" t="str">
        <f>IF(ISERROR(getgrade(Broadsheet!AE247,data!$H$4:$I$9)),"#",getgrade(Broadsheet!AE247,data!$H$4:$I$9))</f>
        <v/>
      </c>
      <c r="BE136" s="188" t="str">
        <f>IF(ISERROR(getgrade(Broadsheet!AF247,data!$H$4:$I$9)),"#",getgrade(Broadsheet!AF247,data!$H$4:$I$9))</f>
        <v/>
      </c>
      <c r="BF136" s="188" t="str">
        <f>IF(ISERROR(getgrade(Broadsheet!AG247,data!$H$4:$I$9)),"#",getgrade(Broadsheet!AG247,data!$H$4:$I$9))</f>
        <v/>
      </c>
      <c r="BG136" s="188" t="str">
        <f>IF(ISERROR(getgrade(Broadsheet!AH247,data!$H$4:$I$9)),"#",getgrade(Broadsheet!AH247,data!$H$4:$I$9))</f>
        <v/>
      </c>
      <c r="BH136" s="188" t="str">
        <f>IF(ISERROR(getgrade(Broadsheet!AI247,data!$H$4:$I$9)),"#",getgrade(Broadsheet!AI247,data!$H$4:$I$9))</f>
        <v/>
      </c>
      <c r="BI136" s="188" t="str">
        <f>IF(ISERROR(getgrade(Broadsheet!AJ247,data!$H$4:$I$9)),"#",getgrade(Broadsheet!AJ247,data!$H$4:$I$9))</f>
        <v/>
      </c>
      <c r="BJ136" s="188" t="str">
        <f>IF(ISERROR(getgrade(Broadsheet!AK247,data!$H$4:$I$9)),"#",getgrade(Broadsheet!AK247,data!$H$4:$I$9))</f>
        <v/>
      </c>
      <c r="BK136" s="188" t="str">
        <f>IF(ISERROR(getgrade(Broadsheet!AL247,data!$H$4:$I$9)),"#",getgrade(Broadsheet!AL247,data!$H$4:$I$9))</f>
        <v/>
      </c>
      <c r="BL136" s="188" t="str">
        <f>IF(ISERROR(getgrade(Broadsheet!AM247,data!$H$4:$I$9)),"#",getgrade(Broadsheet!AM247,data!$H$4:$I$9))</f>
        <v/>
      </c>
      <c r="BM136" s="188" t="str">
        <f>IF(ISERROR(getgrade(Broadsheet!AN247,data!$H$4:$I$9)),"#",getgrade(Broadsheet!AN247,data!$H$4:$I$9))</f>
        <v/>
      </c>
      <c r="BN136" s="188" t="str">
        <f>IF(ISERROR(getgrade(Broadsheet!AO247,data!$H$4:$I$9)),"#",getgrade(Broadsheet!AO247,data!$H$4:$I$9))</f>
        <v/>
      </c>
      <c r="BO136" s="188" t="str">
        <f>IF(ISERROR(getgrade(Broadsheet!AP247,data!$H$4:$I$9)),"#",getgrade(Broadsheet!AP247,data!$H$4:$I$9))</f>
        <v/>
      </c>
      <c r="BP136" s="188" t="str">
        <f>IF(ISERROR(getgrade(Broadsheet!AQ247,data!$H$4:$I$9)),"#",getgrade(Broadsheet!AQ247,data!$H$4:$I$9))</f>
        <v/>
      </c>
      <c r="BQ136" s="188" t="str">
        <f>IF(ISERROR(getgrade(Broadsheet!AR247,data!$H$4:$I$9)),"#",getgrade(Broadsheet!AR247,data!$H$4:$I$9))</f>
        <v/>
      </c>
      <c r="BR136" s="188" t="str">
        <f>IF(ISERROR(getgrade(Broadsheet!AS247,data!$H$4:$I$9)),"#",getgrade(Broadsheet!AS247,data!$H$4:$I$9))</f>
        <v/>
      </c>
      <c r="BS136" s="188" t="str">
        <f>IF(ISERROR(getgrade(Broadsheet!AT247,data!$H$4:$I$9)),"#",getgrade(Broadsheet!AT247,data!$H$4:$I$9))</f>
        <v/>
      </c>
      <c r="BT136" s="188" t="str">
        <f>IF(ISERROR(getgrade(Broadsheet!AU247,data!$H$4:$I$9)),"#",getgrade(Broadsheet!AU247,data!$H$4:$I$9))</f>
        <v/>
      </c>
      <c r="BU136" s="188" t="str">
        <f>IF(ISERROR(getgrade(Broadsheet!AV247,data!$H$4:$I$9)),"#",getgrade(Broadsheet!AV247,data!$H$4:$I$9))</f>
        <v/>
      </c>
      <c r="BV136" s="188" t="str">
        <f>IF(ISERROR(getgrade(Broadsheet!AW247,data!$H$4:$I$9)),"#",getgrade(Broadsheet!AW247,data!$H$4:$I$9))</f>
        <v/>
      </c>
      <c r="BW136" s="188" t="str">
        <f>IF(ISERROR(getgrade(Broadsheet!AX247,data!$H$4:$I$9)),"#",getgrade(Broadsheet!AX247,data!$H$4:$I$9))</f>
        <v/>
      </c>
      <c r="BX136" s="188" t="str">
        <f>IF(ISERROR(getgrade(Broadsheet!AY247,data!$H$4:$I$9)),"#",getgrade(Broadsheet!AY247,data!$H$4:$I$9))</f>
        <v/>
      </c>
      <c r="BY136" s="188" t="str">
        <f>IF(ISERROR(getgrade(Broadsheet!AZ247,data!$H$4:$I$9)),"#",getgrade(Broadsheet!AZ247,data!$H$4:$I$9))</f>
        <v/>
      </c>
      <c r="BZ136" s="188" t="str">
        <f>IF(ISERROR(getgrade(Broadsheet!BA247,data!$H$4:$I$9)),"#",getgrade(Broadsheet!BA247,data!$H$4:$I$9))</f>
        <v/>
      </c>
      <c r="CA136" s="188" t="str">
        <f>IF(ISERROR(getgrade(Broadsheet!BB247,data!$H$4:$I$9)),"#",getgrade(Broadsheet!BB247,data!$H$4:$I$9))</f>
        <v/>
      </c>
      <c r="CB136" s="188" t="str">
        <f>IF(ISERROR(getgrade(Broadsheet!BC247,data!$H$4:$I$9)),"#",getgrade(Broadsheet!BC247,data!$H$4:$I$9))</f>
        <v/>
      </c>
      <c r="CC136" s="188" t="str">
        <f>IF(ISERROR(getgrade(Broadsheet!BD247,data!$H$4:$I$9)),"#",getgrade(Broadsheet!BD247,data!$H$4:$I$9))</f>
        <v/>
      </c>
      <c r="CD136" s="188" t="str">
        <f>IF(ISERROR(getgrade(Broadsheet!BE247,data!$H$4:$I$9)),"#",getgrade(Broadsheet!BE247,data!$H$4:$I$9))</f>
        <v/>
      </c>
      <c r="CE136" s="188" t="str">
        <f>IF(ISERROR(getgrade(Broadsheet!BF247,data!$H$4:$I$9)),"#",getgrade(Broadsheet!BF247,data!$H$4:$I$9))</f>
        <v/>
      </c>
      <c r="CF136" s="188" t="str">
        <f>IF(ISERROR(getgrade(Broadsheet!BG247,data!$H$4:$I$9)),"#",getgrade(Broadsheet!BG247,data!$H$4:$I$9))</f>
        <v/>
      </c>
      <c r="CG136" s="188" t="str">
        <f>IF(ISERROR(getgrade(Broadsheet!BH247,data!$H$4:$I$9)),"#",getgrade(Broadsheet!BH247,data!$H$4:$I$9))</f>
        <v/>
      </c>
      <c r="CH136" s="188" t="str">
        <f>IF(ISERROR(getgrade(Broadsheet!BI247,data!$H$4:$I$9)),"#",getgrade(Broadsheet!BI247,data!$H$4:$I$9))</f>
        <v/>
      </c>
      <c r="CI136" s="188" t="str">
        <f>IF(ISERROR(getgrade(Broadsheet!BJ247,data!$H$4:$I$9)),"#",getgrade(Broadsheet!BJ247,data!$H$4:$I$9))</f>
        <v/>
      </c>
      <c r="CJ136" s="188"/>
      <c r="CK136" s="188"/>
      <c r="CL136" s="188"/>
      <c r="CM136" s="188"/>
      <c r="CN136" s="188"/>
      <c r="CO136" s="188"/>
      <c r="CP136" s="188"/>
      <c r="CQ136" s="188"/>
      <c r="CR136" s="188"/>
      <c r="CS136" s="188"/>
      <c r="CT136" s="188"/>
      <c r="CU136" s="188"/>
      <c r="CV136" s="188"/>
      <c r="CW136" s="188"/>
      <c r="CX136" s="188"/>
      <c r="CY136" s="188"/>
      <c r="CZ136" s="188"/>
      <c r="DA136" s="188"/>
      <c r="DB136" s="188"/>
      <c r="DC136" s="188"/>
      <c r="DD136" s="188"/>
      <c r="DE136" s="188"/>
      <c r="DF136" s="188"/>
      <c r="DG136" s="188"/>
      <c r="DH136" s="188"/>
      <c r="DI136" s="188"/>
      <c r="DJ136" s="188"/>
      <c r="DK136" s="188"/>
      <c r="DL136" s="188"/>
      <c r="DM136" s="188"/>
      <c r="DN136" s="188"/>
      <c r="DO136" s="188"/>
      <c r="DP136" s="188"/>
      <c r="DQ136" s="188"/>
      <c r="DR136" s="188"/>
      <c r="DS136" s="188"/>
      <c r="DT136" s="188"/>
      <c r="DU136" s="188"/>
      <c r="DV136" s="188"/>
      <c r="DW136" s="188"/>
      <c r="DX136" s="188"/>
      <c r="DY136" s="188"/>
      <c r="DZ136" s="188"/>
      <c r="EA136" s="188"/>
      <c r="EB136" s="188"/>
      <c r="EC136" s="188"/>
      <c r="ED136" s="188"/>
      <c r="EE136" s="188"/>
      <c r="EF136" s="188"/>
      <c r="EG136" s="188"/>
      <c r="EH136" s="188"/>
      <c r="EI136" s="188"/>
      <c r="EJ136" s="188"/>
      <c r="EK136" s="188"/>
      <c r="EL136" s="188"/>
      <c r="EM136" s="188"/>
      <c r="EN136" s="188"/>
      <c r="EO136" s="188"/>
      <c r="EP136" s="188"/>
      <c r="EQ136" s="188"/>
      <c r="ER136" s="188"/>
      <c r="ES136" s="188"/>
      <c r="ET136" s="188"/>
      <c r="EU136" s="188"/>
      <c r="EV136" s="188"/>
      <c r="EW136" s="188"/>
      <c r="EX136" s="188"/>
      <c r="EY136" s="188"/>
      <c r="EZ136" s="188"/>
    </row>
    <row r="137" spans="33:156" x14ac:dyDescent="0.2">
      <c r="AG137" s="188" t="str">
        <f>IF(ISERROR(getgrade(Broadsheet!H248,data!$H$4:$I$9)),"#",getgrade(Broadsheet!H248,data!$H$4:$I$9))</f>
        <v/>
      </c>
      <c r="AH137" s="188" t="str">
        <f>IF(ISERROR(getgrade(Broadsheet!I248,data!$H$4:$I$9)),"#",getgrade(Broadsheet!I248,data!$H$4:$I$9))</f>
        <v/>
      </c>
      <c r="AI137" s="188" t="str">
        <f>IF(ISERROR(getgrade(Broadsheet!J248,data!$H$4:$I$9)),"#",getgrade(Broadsheet!J248,data!$H$4:$I$9))</f>
        <v/>
      </c>
      <c r="AJ137" s="188" t="str">
        <f>IF(ISERROR(getgrade(Broadsheet!K248,data!$H$4:$I$9)),"#",getgrade(Broadsheet!K248,data!$H$4:$I$9))</f>
        <v/>
      </c>
      <c r="AK137" s="188" t="str">
        <f>IF(ISERROR(getgrade(Broadsheet!L248,data!$H$4:$I$9)),"#",getgrade(Broadsheet!L248,data!$H$4:$I$9))</f>
        <v/>
      </c>
      <c r="AL137" s="188" t="str">
        <f>IF(ISERROR(getgrade(Broadsheet!M248,data!$H$4:$I$9)),"#",getgrade(Broadsheet!M248,data!$H$4:$I$9))</f>
        <v/>
      </c>
      <c r="AM137" s="188" t="str">
        <f>IF(ISERROR(getgrade(Broadsheet!N248,data!$H$4:$I$9)),"#",getgrade(Broadsheet!N248,data!$H$4:$I$9))</f>
        <v/>
      </c>
      <c r="AN137" s="188" t="str">
        <f>IF(ISERROR(getgrade(Broadsheet!O248,data!$H$4:$I$9)),"#",getgrade(Broadsheet!O248,data!$H$4:$I$9))</f>
        <v/>
      </c>
      <c r="AO137" s="188" t="str">
        <f>IF(ISERROR(getgrade(Broadsheet!P248,data!$H$4:$I$9)),"#",getgrade(Broadsheet!P248,data!$H$4:$I$9))</f>
        <v/>
      </c>
      <c r="AP137" s="188" t="str">
        <f>IF(ISERROR(getgrade(Broadsheet!Q248,data!$H$4:$I$9)),"#",getgrade(Broadsheet!Q248,data!$H$4:$I$9))</f>
        <v/>
      </c>
      <c r="AQ137" s="188" t="str">
        <f>IF(ISERROR(getgrade(Broadsheet!R248,data!$H$4:$I$9)),"#",getgrade(Broadsheet!R248,data!$H$4:$I$9))</f>
        <v/>
      </c>
      <c r="AR137" s="188" t="str">
        <f>IF(ISERROR(getgrade(Broadsheet!S248,data!$H$4:$I$9)),"#",getgrade(Broadsheet!S248,data!$H$4:$I$9))</f>
        <v/>
      </c>
      <c r="AS137" s="188" t="str">
        <f>IF(ISERROR(getgrade(Broadsheet!T248,data!$H$4:$I$9)),"#",getgrade(Broadsheet!T248,data!$H$4:$I$9))</f>
        <v/>
      </c>
      <c r="AT137" s="188" t="str">
        <f>IF(ISERROR(getgrade(Broadsheet!U248,data!$H$4:$I$9)),"#",getgrade(Broadsheet!U248,data!$H$4:$I$9))</f>
        <v/>
      </c>
      <c r="AU137" s="188" t="str">
        <f>IF(ISERROR(getgrade(Broadsheet!V248,data!$H$4:$I$9)),"#",getgrade(Broadsheet!V248,data!$H$4:$I$9))</f>
        <v/>
      </c>
      <c r="AV137" s="188" t="str">
        <f>IF(ISERROR(getgrade(Broadsheet!W248,data!$H$4:$I$9)),"#",getgrade(Broadsheet!W248,data!$H$4:$I$9))</f>
        <v/>
      </c>
      <c r="AW137" s="188" t="str">
        <f>IF(ISERROR(getgrade(Broadsheet!X248,data!$H$4:$I$9)),"#",getgrade(Broadsheet!X248,data!$H$4:$I$9))</f>
        <v/>
      </c>
      <c r="AX137" s="188" t="str">
        <f>IF(ISERROR(getgrade(Broadsheet!Y248,data!$H$4:$I$9)),"#",getgrade(Broadsheet!Y248,data!$H$4:$I$9))</f>
        <v/>
      </c>
      <c r="AY137" s="188" t="str">
        <f>IF(ISERROR(getgrade(Broadsheet!Z248,data!$H$4:$I$9)),"#",getgrade(Broadsheet!Z248,data!$H$4:$I$9))</f>
        <v/>
      </c>
      <c r="AZ137" s="188" t="str">
        <f>IF(ISERROR(getgrade(Broadsheet!AA248,data!$H$4:$I$9)),"#",getgrade(Broadsheet!AA248,data!$H$4:$I$9))</f>
        <v/>
      </c>
      <c r="BA137" s="188" t="str">
        <f>IF(ISERROR(getgrade(Broadsheet!AB248,data!$H$4:$I$9)),"#",getgrade(Broadsheet!AB248,data!$H$4:$I$9))</f>
        <v/>
      </c>
      <c r="BB137" s="188" t="str">
        <f>IF(ISERROR(getgrade(Broadsheet!AC248,data!$H$4:$I$9)),"#",getgrade(Broadsheet!AC248,data!$H$4:$I$9))</f>
        <v/>
      </c>
      <c r="BC137" s="188" t="str">
        <f>IF(ISERROR(getgrade(Broadsheet!AD248,data!$H$4:$I$9)),"#",getgrade(Broadsheet!AD248,data!$H$4:$I$9))</f>
        <v/>
      </c>
      <c r="BD137" s="188" t="str">
        <f>IF(ISERROR(getgrade(Broadsheet!AE248,data!$H$4:$I$9)),"#",getgrade(Broadsheet!AE248,data!$H$4:$I$9))</f>
        <v/>
      </c>
      <c r="BE137" s="188" t="str">
        <f>IF(ISERROR(getgrade(Broadsheet!AF248,data!$H$4:$I$9)),"#",getgrade(Broadsheet!AF248,data!$H$4:$I$9))</f>
        <v/>
      </c>
      <c r="BF137" s="188" t="str">
        <f>IF(ISERROR(getgrade(Broadsheet!AG248,data!$H$4:$I$9)),"#",getgrade(Broadsheet!AG248,data!$H$4:$I$9))</f>
        <v/>
      </c>
      <c r="BG137" s="188" t="str">
        <f>IF(ISERROR(getgrade(Broadsheet!AH248,data!$H$4:$I$9)),"#",getgrade(Broadsheet!AH248,data!$H$4:$I$9))</f>
        <v/>
      </c>
      <c r="BH137" s="188" t="str">
        <f>IF(ISERROR(getgrade(Broadsheet!AI248,data!$H$4:$I$9)),"#",getgrade(Broadsheet!AI248,data!$H$4:$I$9))</f>
        <v/>
      </c>
      <c r="BI137" s="188" t="str">
        <f>IF(ISERROR(getgrade(Broadsheet!AJ248,data!$H$4:$I$9)),"#",getgrade(Broadsheet!AJ248,data!$H$4:$I$9))</f>
        <v/>
      </c>
      <c r="BJ137" s="188" t="str">
        <f>IF(ISERROR(getgrade(Broadsheet!AK248,data!$H$4:$I$9)),"#",getgrade(Broadsheet!AK248,data!$H$4:$I$9))</f>
        <v/>
      </c>
      <c r="BK137" s="188" t="str">
        <f>IF(ISERROR(getgrade(Broadsheet!AL248,data!$H$4:$I$9)),"#",getgrade(Broadsheet!AL248,data!$H$4:$I$9))</f>
        <v/>
      </c>
      <c r="BL137" s="188" t="str">
        <f>IF(ISERROR(getgrade(Broadsheet!AM248,data!$H$4:$I$9)),"#",getgrade(Broadsheet!AM248,data!$H$4:$I$9))</f>
        <v/>
      </c>
      <c r="BM137" s="188" t="str">
        <f>IF(ISERROR(getgrade(Broadsheet!AN248,data!$H$4:$I$9)),"#",getgrade(Broadsheet!AN248,data!$H$4:$I$9))</f>
        <v/>
      </c>
      <c r="BN137" s="188" t="str">
        <f>IF(ISERROR(getgrade(Broadsheet!AO248,data!$H$4:$I$9)),"#",getgrade(Broadsheet!AO248,data!$H$4:$I$9))</f>
        <v/>
      </c>
      <c r="BO137" s="188" t="str">
        <f>IF(ISERROR(getgrade(Broadsheet!AP248,data!$H$4:$I$9)),"#",getgrade(Broadsheet!AP248,data!$H$4:$I$9))</f>
        <v/>
      </c>
      <c r="BP137" s="188" t="str">
        <f>IF(ISERROR(getgrade(Broadsheet!AQ248,data!$H$4:$I$9)),"#",getgrade(Broadsheet!AQ248,data!$H$4:$I$9))</f>
        <v/>
      </c>
      <c r="BQ137" s="188" t="str">
        <f>IF(ISERROR(getgrade(Broadsheet!AR248,data!$H$4:$I$9)),"#",getgrade(Broadsheet!AR248,data!$H$4:$I$9))</f>
        <v/>
      </c>
      <c r="BR137" s="188" t="str">
        <f>IF(ISERROR(getgrade(Broadsheet!AS248,data!$H$4:$I$9)),"#",getgrade(Broadsheet!AS248,data!$H$4:$I$9))</f>
        <v/>
      </c>
      <c r="BS137" s="188" t="str">
        <f>IF(ISERROR(getgrade(Broadsheet!AT248,data!$H$4:$I$9)),"#",getgrade(Broadsheet!AT248,data!$H$4:$I$9))</f>
        <v/>
      </c>
      <c r="BT137" s="188" t="str">
        <f>IF(ISERROR(getgrade(Broadsheet!AU248,data!$H$4:$I$9)),"#",getgrade(Broadsheet!AU248,data!$H$4:$I$9))</f>
        <v/>
      </c>
      <c r="BU137" s="188" t="str">
        <f>IF(ISERROR(getgrade(Broadsheet!AV248,data!$H$4:$I$9)),"#",getgrade(Broadsheet!AV248,data!$H$4:$I$9))</f>
        <v/>
      </c>
      <c r="BV137" s="188" t="str">
        <f>IF(ISERROR(getgrade(Broadsheet!AW248,data!$H$4:$I$9)),"#",getgrade(Broadsheet!AW248,data!$H$4:$I$9))</f>
        <v/>
      </c>
      <c r="BW137" s="188" t="str">
        <f>IF(ISERROR(getgrade(Broadsheet!AX248,data!$H$4:$I$9)),"#",getgrade(Broadsheet!AX248,data!$H$4:$I$9))</f>
        <v/>
      </c>
      <c r="BX137" s="188" t="str">
        <f>IF(ISERROR(getgrade(Broadsheet!AY248,data!$H$4:$I$9)),"#",getgrade(Broadsheet!AY248,data!$H$4:$I$9))</f>
        <v/>
      </c>
      <c r="BY137" s="188" t="str">
        <f>IF(ISERROR(getgrade(Broadsheet!AZ248,data!$H$4:$I$9)),"#",getgrade(Broadsheet!AZ248,data!$H$4:$I$9))</f>
        <v/>
      </c>
      <c r="BZ137" s="188" t="str">
        <f>IF(ISERROR(getgrade(Broadsheet!BA248,data!$H$4:$I$9)),"#",getgrade(Broadsheet!BA248,data!$H$4:$I$9))</f>
        <v/>
      </c>
      <c r="CA137" s="188" t="str">
        <f>IF(ISERROR(getgrade(Broadsheet!BB248,data!$H$4:$I$9)),"#",getgrade(Broadsheet!BB248,data!$H$4:$I$9))</f>
        <v/>
      </c>
      <c r="CB137" s="188" t="str">
        <f>IF(ISERROR(getgrade(Broadsheet!BC248,data!$H$4:$I$9)),"#",getgrade(Broadsheet!BC248,data!$H$4:$I$9))</f>
        <v/>
      </c>
      <c r="CC137" s="188" t="str">
        <f>IF(ISERROR(getgrade(Broadsheet!BD248,data!$H$4:$I$9)),"#",getgrade(Broadsheet!BD248,data!$H$4:$I$9))</f>
        <v/>
      </c>
      <c r="CD137" s="188" t="str">
        <f>IF(ISERROR(getgrade(Broadsheet!BE248,data!$H$4:$I$9)),"#",getgrade(Broadsheet!BE248,data!$H$4:$I$9))</f>
        <v/>
      </c>
      <c r="CE137" s="188" t="str">
        <f>IF(ISERROR(getgrade(Broadsheet!BF248,data!$H$4:$I$9)),"#",getgrade(Broadsheet!BF248,data!$H$4:$I$9))</f>
        <v/>
      </c>
      <c r="CF137" s="188" t="str">
        <f>IF(ISERROR(getgrade(Broadsheet!BG248,data!$H$4:$I$9)),"#",getgrade(Broadsheet!BG248,data!$H$4:$I$9))</f>
        <v/>
      </c>
      <c r="CG137" s="188" t="str">
        <f>IF(ISERROR(getgrade(Broadsheet!BH248,data!$H$4:$I$9)),"#",getgrade(Broadsheet!BH248,data!$H$4:$I$9))</f>
        <v/>
      </c>
      <c r="CH137" s="188" t="str">
        <f>IF(ISERROR(getgrade(Broadsheet!BI248,data!$H$4:$I$9)),"#",getgrade(Broadsheet!BI248,data!$H$4:$I$9))</f>
        <v/>
      </c>
      <c r="CI137" s="188" t="str">
        <f>IF(ISERROR(getgrade(Broadsheet!BJ248,data!$H$4:$I$9)),"#",getgrade(Broadsheet!BJ248,data!$H$4:$I$9))</f>
        <v/>
      </c>
      <c r="CJ137" s="188"/>
      <c r="CK137" s="188"/>
      <c r="CL137" s="188"/>
      <c r="CM137" s="188"/>
      <c r="CN137" s="188"/>
      <c r="CO137" s="188"/>
      <c r="CP137" s="188"/>
      <c r="CQ137" s="188"/>
      <c r="CR137" s="188"/>
      <c r="CS137" s="188"/>
      <c r="CT137" s="188"/>
      <c r="CU137" s="188"/>
      <c r="CV137" s="188"/>
      <c r="CW137" s="188"/>
      <c r="CX137" s="188"/>
      <c r="CY137" s="188"/>
      <c r="CZ137" s="188"/>
      <c r="DA137" s="188"/>
      <c r="DB137" s="188"/>
      <c r="DC137" s="188"/>
      <c r="DD137" s="188"/>
      <c r="DE137" s="188"/>
      <c r="DF137" s="188"/>
      <c r="DG137" s="188"/>
      <c r="DH137" s="188"/>
      <c r="DI137" s="188"/>
      <c r="DJ137" s="188"/>
      <c r="DK137" s="188"/>
      <c r="DL137" s="188"/>
      <c r="DM137" s="188"/>
      <c r="DN137" s="188"/>
      <c r="DO137" s="188"/>
      <c r="DP137" s="188"/>
      <c r="DQ137" s="188"/>
      <c r="DR137" s="188"/>
      <c r="DS137" s="188"/>
      <c r="DT137" s="188"/>
      <c r="DU137" s="188"/>
      <c r="DV137" s="188"/>
      <c r="DW137" s="188"/>
      <c r="DX137" s="188"/>
      <c r="DY137" s="188"/>
      <c r="DZ137" s="188"/>
      <c r="EA137" s="188"/>
      <c r="EB137" s="188"/>
      <c r="EC137" s="188"/>
      <c r="ED137" s="188"/>
      <c r="EE137" s="188"/>
      <c r="EF137" s="188"/>
      <c r="EG137" s="188"/>
      <c r="EH137" s="188"/>
      <c r="EI137" s="188"/>
      <c r="EJ137" s="188"/>
      <c r="EK137" s="188"/>
      <c r="EL137" s="188"/>
      <c r="EM137" s="188"/>
      <c r="EN137" s="188"/>
      <c r="EO137" s="188"/>
      <c r="EP137" s="188"/>
      <c r="EQ137" s="188"/>
      <c r="ER137" s="188"/>
      <c r="ES137" s="188"/>
      <c r="ET137" s="188"/>
      <c r="EU137" s="188"/>
      <c r="EV137" s="188"/>
      <c r="EW137" s="188"/>
      <c r="EX137" s="188"/>
      <c r="EY137" s="188"/>
      <c r="EZ137" s="188"/>
    </row>
    <row r="138" spans="33:156" x14ac:dyDescent="0.2">
      <c r="AG138" s="188" t="str">
        <f>IF(ISERROR(getgrade(Broadsheet!H249,data!$H$4:$I$9)),"#",getgrade(Broadsheet!H249,data!$H$4:$I$9))</f>
        <v/>
      </c>
      <c r="AH138" s="188" t="str">
        <f>IF(ISERROR(getgrade(Broadsheet!I249,data!$H$4:$I$9)),"#",getgrade(Broadsheet!I249,data!$H$4:$I$9))</f>
        <v/>
      </c>
      <c r="AI138" s="188" t="str">
        <f>IF(ISERROR(getgrade(Broadsheet!J249,data!$H$4:$I$9)),"#",getgrade(Broadsheet!J249,data!$H$4:$I$9))</f>
        <v/>
      </c>
      <c r="AJ138" s="188" t="str">
        <f>IF(ISERROR(getgrade(Broadsheet!K249,data!$H$4:$I$9)),"#",getgrade(Broadsheet!K249,data!$H$4:$I$9))</f>
        <v/>
      </c>
      <c r="AK138" s="188" t="str">
        <f>IF(ISERROR(getgrade(Broadsheet!L249,data!$H$4:$I$9)),"#",getgrade(Broadsheet!L249,data!$H$4:$I$9))</f>
        <v/>
      </c>
      <c r="AL138" s="188" t="str">
        <f>IF(ISERROR(getgrade(Broadsheet!M249,data!$H$4:$I$9)),"#",getgrade(Broadsheet!M249,data!$H$4:$I$9))</f>
        <v/>
      </c>
      <c r="AM138" s="188" t="str">
        <f>IF(ISERROR(getgrade(Broadsheet!N249,data!$H$4:$I$9)),"#",getgrade(Broadsheet!N249,data!$H$4:$I$9))</f>
        <v/>
      </c>
      <c r="AN138" s="188" t="str">
        <f>IF(ISERROR(getgrade(Broadsheet!O249,data!$H$4:$I$9)),"#",getgrade(Broadsheet!O249,data!$H$4:$I$9))</f>
        <v/>
      </c>
      <c r="AO138" s="188" t="str">
        <f>IF(ISERROR(getgrade(Broadsheet!P249,data!$H$4:$I$9)),"#",getgrade(Broadsheet!P249,data!$H$4:$I$9))</f>
        <v/>
      </c>
      <c r="AP138" s="188" t="str">
        <f>IF(ISERROR(getgrade(Broadsheet!Q249,data!$H$4:$I$9)),"#",getgrade(Broadsheet!Q249,data!$H$4:$I$9))</f>
        <v/>
      </c>
      <c r="AQ138" s="188" t="str">
        <f>IF(ISERROR(getgrade(Broadsheet!R249,data!$H$4:$I$9)),"#",getgrade(Broadsheet!R249,data!$H$4:$I$9))</f>
        <v/>
      </c>
      <c r="AR138" s="188" t="str">
        <f>IF(ISERROR(getgrade(Broadsheet!S249,data!$H$4:$I$9)),"#",getgrade(Broadsheet!S249,data!$H$4:$I$9))</f>
        <v/>
      </c>
      <c r="AS138" s="188" t="str">
        <f>IF(ISERROR(getgrade(Broadsheet!T249,data!$H$4:$I$9)),"#",getgrade(Broadsheet!T249,data!$H$4:$I$9))</f>
        <v/>
      </c>
      <c r="AT138" s="188" t="str">
        <f>IF(ISERROR(getgrade(Broadsheet!U249,data!$H$4:$I$9)),"#",getgrade(Broadsheet!U249,data!$H$4:$I$9))</f>
        <v/>
      </c>
      <c r="AU138" s="188" t="str">
        <f>IF(ISERROR(getgrade(Broadsheet!V249,data!$H$4:$I$9)),"#",getgrade(Broadsheet!V249,data!$H$4:$I$9))</f>
        <v/>
      </c>
      <c r="AV138" s="188" t="str">
        <f>IF(ISERROR(getgrade(Broadsheet!W249,data!$H$4:$I$9)),"#",getgrade(Broadsheet!W249,data!$H$4:$I$9))</f>
        <v/>
      </c>
      <c r="AW138" s="188" t="str">
        <f>IF(ISERROR(getgrade(Broadsheet!X249,data!$H$4:$I$9)),"#",getgrade(Broadsheet!X249,data!$H$4:$I$9))</f>
        <v/>
      </c>
      <c r="AX138" s="188" t="str">
        <f>IF(ISERROR(getgrade(Broadsheet!Y249,data!$H$4:$I$9)),"#",getgrade(Broadsheet!Y249,data!$H$4:$I$9))</f>
        <v/>
      </c>
      <c r="AY138" s="188" t="str">
        <f>IF(ISERROR(getgrade(Broadsheet!Z249,data!$H$4:$I$9)),"#",getgrade(Broadsheet!Z249,data!$H$4:$I$9))</f>
        <v/>
      </c>
      <c r="AZ138" s="188" t="str">
        <f>IF(ISERROR(getgrade(Broadsheet!AA249,data!$H$4:$I$9)),"#",getgrade(Broadsheet!AA249,data!$H$4:$I$9))</f>
        <v/>
      </c>
      <c r="BA138" s="188" t="str">
        <f>IF(ISERROR(getgrade(Broadsheet!AB249,data!$H$4:$I$9)),"#",getgrade(Broadsheet!AB249,data!$H$4:$I$9))</f>
        <v/>
      </c>
      <c r="BB138" s="188" t="str">
        <f>IF(ISERROR(getgrade(Broadsheet!AC249,data!$H$4:$I$9)),"#",getgrade(Broadsheet!AC249,data!$H$4:$I$9))</f>
        <v/>
      </c>
      <c r="BC138" s="188" t="str">
        <f>IF(ISERROR(getgrade(Broadsheet!AD249,data!$H$4:$I$9)),"#",getgrade(Broadsheet!AD249,data!$H$4:$I$9))</f>
        <v/>
      </c>
      <c r="BD138" s="188" t="str">
        <f>IF(ISERROR(getgrade(Broadsheet!AE249,data!$H$4:$I$9)),"#",getgrade(Broadsheet!AE249,data!$H$4:$I$9))</f>
        <v/>
      </c>
      <c r="BE138" s="188" t="str">
        <f>IF(ISERROR(getgrade(Broadsheet!AF249,data!$H$4:$I$9)),"#",getgrade(Broadsheet!AF249,data!$H$4:$I$9))</f>
        <v/>
      </c>
      <c r="BF138" s="188" t="str">
        <f>IF(ISERROR(getgrade(Broadsheet!AG249,data!$H$4:$I$9)),"#",getgrade(Broadsheet!AG249,data!$H$4:$I$9))</f>
        <v/>
      </c>
      <c r="BG138" s="188" t="str">
        <f>IF(ISERROR(getgrade(Broadsheet!AH249,data!$H$4:$I$9)),"#",getgrade(Broadsheet!AH249,data!$H$4:$I$9))</f>
        <v/>
      </c>
      <c r="BH138" s="188" t="str">
        <f>IF(ISERROR(getgrade(Broadsheet!AI249,data!$H$4:$I$9)),"#",getgrade(Broadsheet!AI249,data!$H$4:$I$9))</f>
        <v/>
      </c>
      <c r="BI138" s="188" t="str">
        <f>IF(ISERROR(getgrade(Broadsheet!AJ249,data!$H$4:$I$9)),"#",getgrade(Broadsheet!AJ249,data!$H$4:$I$9))</f>
        <v/>
      </c>
      <c r="BJ138" s="188" t="str">
        <f>IF(ISERROR(getgrade(Broadsheet!AK249,data!$H$4:$I$9)),"#",getgrade(Broadsheet!AK249,data!$H$4:$I$9))</f>
        <v/>
      </c>
      <c r="BK138" s="188" t="str">
        <f>IF(ISERROR(getgrade(Broadsheet!AL249,data!$H$4:$I$9)),"#",getgrade(Broadsheet!AL249,data!$H$4:$I$9))</f>
        <v/>
      </c>
      <c r="BL138" s="188" t="str">
        <f>IF(ISERROR(getgrade(Broadsheet!AM249,data!$H$4:$I$9)),"#",getgrade(Broadsheet!AM249,data!$H$4:$I$9))</f>
        <v/>
      </c>
      <c r="BM138" s="188" t="str">
        <f>IF(ISERROR(getgrade(Broadsheet!AN249,data!$H$4:$I$9)),"#",getgrade(Broadsheet!AN249,data!$H$4:$I$9))</f>
        <v/>
      </c>
      <c r="BN138" s="188" t="str">
        <f>IF(ISERROR(getgrade(Broadsheet!AO249,data!$H$4:$I$9)),"#",getgrade(Broadsheet!AO249,data!$H$4:$I$9))</f>
        <v/>
      </c>
      <c r="BO138" s="188" t="str">
        <f>IF(ISERROR(getgrade(Broadsheet!AP249,data!$H$4:$I$9)),"#",getgrade(Broadsheet!AP249,data!$H$4:$I$9))</f>
        <v/>
      </c>
      <c r="BP138" s="188" t="str">
        <f>IF(ISERROR(getgrade(Broadsheet!AQ249,data!$H$4:$I$9)),"#",getgrade(Broadsheet!AQ249,data!$H$4:$I$9))</f>
        <v/>
      </c>
      <c r="BQ138" s="188" t="str">
        <f>IF(ISERROR(getgrade(Broadsheet!AR249,data!$H$4:$I$9)),"#",getgrade(Broadsheet!AR249,data!$H$4:$I$9))</f>
        <v/>
      </c>
      <c r="BR138" s="188" t="str">
        <f>IF(ISERROR(getgrade(Broadsheet!AS249,data!$H$4:$I$9)),"#",getgrade(Broadsheet!AS249,data!$H$4:$I$9))</f>
        <v/>
      </c>
      <c r="BS138" s="188" t="str">
        <f>IF(ISERROR(getgrade(Broadsheet!AT249,data!$H$4:$I$9)),"#",getgrade(Broadsheet!AT249,data!$H$4:$I$9))</f>
        <v/>
      </c>
      <c r="BT138" s="188" t="str">
        <f>IF(ISERROR(getgrade(Broadsheet!AU249,data!$H$4:$I$9)),"#",getgrade(Broadsheet!AU249,data!$H$4:$I$9))</f>
        <v/>
      </c>
      <c r="BU138" s="188" t="str">
        <f>IF(ISERROR(getgrade(Broadsheet!AV249,data!$H$4:$I$9)),"#",getgrade(Broadsheet!AV249,data!$H$4:$I$9))</f>
        <v/>
      </c>
      <c r="BV138" s="188" t="str">
        <f>IF(ISERROR(getgrade(Broadsheet!AW249,data!$H$4:$I$9)),"#",getgrade(Broadsheet!AW249,data!$H$4:$I$9))</f>
        <v/>
      </c>
      <c r="BW138" s="188" t="str">
        <f>IF(ISERROR(getgrade(Broadsheet!AX249,data!$H$4:$I$9)),"#",getgrade(Broadsheet!AX249,data!$H$4:$I$9))</f>
        <v/>
      </c>
      <c r="BX138" s="188" t="str">
        <f>IF(ISERROR(getgrade(Broadsheet!AY249,data!$H$4:$I$9)),"#",getgrade(Broadsheet!AY249,data!$H$4:$I$9))</f>
        <v/>
      </c>
      <c r="BY138" s="188" t="str">
        <f>IF(ISERROR(getgrade(Broadsheet!AZ249,data!$H$4:$I$9)),"#",getgrade(Broadsheet!AZ249,data!$H$4:$I$9))</f>
        <v/>
      </c>
      <c r="BZ138" s="188" t="str">
        <f>IF(ISERROR(getgrade(Broadsheet!BA249,data!$H$4:$I$9)),"#",getgrade(Broadsheet!BA249,data!$H$4:$I$9))</f>
        <v/>
      </c>
      <c r="CA138" s="188" t="str">
        <f>IF(ISERROR(getgrade(Broadsheet!BB249,data!$H$4:$I$9)),"#",getgrade(Broadsheet!BB249,data!$H$4:$I$9))</f>
        <v/>
      </c>
      <c r="CB138" s="188" t="str">
        <f>IF(ISERROR(getgrade(Broadsheet!BC249,data!$H$4:$I$9)),"#",getgrade(Broadsheet!BC249,data!$H$4:$I$9))</f>
        <v/>
      </c>
      <c r="CC138" s="188" t="str">
        <f>IF(ISERROR(getgrade(Broadsheet!BD249,data!$H$4:$I$9)),"#",getgrade(Broadsheet!BD249,data!$H$4:$I$9))</f>
        <v/>
      </c>
      <c r="CD138" s="188" t="str">
        <f>IF(ISERROR(getgrade(Broadsheet!BE249,data!$H$4:$I$9)),"#",getgrade(Broadsheet!BE249,data!$H$4:$I$9))</f>
        <v/>
      </c>
      <c r="CE138" s="188" t="str">
        <f>IF(ISERROR(getgrade(Broadsheet!BF249,data!$H$4:$I$9)),"#",getgrade(Broadsheet!BF249,data!$H$4:$I$9))</f>
        <v/>
      </c>
      <c r="CF138" s="188" t="str">
        <f>IF(ISERROR(getgrade(Broadsheet!BG249,data!$H$4:$I$9)),"#",getgrade(Broadsheet!BG249,data!$H$4:$I$9))</f>
        <v/>
      </c>
      <c r="CG138" s="188" t="str">
        <f>IF(ISERROR(getgrade(Broadsheet!BH249,data!$H$4:$I$9)),"#",getgrade(Broadsheet!BH249,data!$H$4:$I$9))</f>
        <v/>
      </c>
      <c r="CH138" s="188" t="str">
        <f>IF(ISERROR(getgrade(Broadsheet!BI249,data!$H$4:$I$9)),"#",getgrade(Broadsheet!BI249,data!$H$4:$I$9))</f>
        <v/>
      </c>
      <c r="CI138" s="188" t="str">
        <f>IF(ISERROR(getgrade(Broadsheet!BJ249,data!$H$4:$I$9)),"#",getgrade(Broadsheet!BJ249,data!$H$4:$I$9))</f>
        <v/>
      </c>
      <c r="CJ138" s="188"/>
      <c r="CK138" s="188"/>
      <c r="CL138" s="188"/>
      <c r="CM138" s="188"/>
      <c r="CN138" s="188"/>
      <c r="CO138" s="188"/>
      <c r="CP138" s="188"/>
      <c r="CQ138" s="188"/>
      <c r="CR138" s="188"/>
      <c r="CS138" s="188"/>
      <c r="CT138" s="188"/>
      <c r="CU138" s="188"/>
      <c r="CV138" s="188"/>
      <c r="CW138" s="188"/>
      <c r="CX138" s="188"/>
      <c r="CY138" s="188"/>
      <c r="CZ138" s="188"/>
      <c r="DA138" s="188"/>
      <c r="DB138" s="188"/>
      <c r="DC138" s="188"/>
      <c r="DD138" s="188"/>
      <c r="DE138" s="188"/>
      <c r="DF138" s="188"/>
      <c r="DG138" s="188"/>
      <c r="DH138" s="188"/>
      <c r="DI138" s="188"/>
      <c r="DJ138" s="188"/>
      <c r="DK138" s="188"/>
      <c r="DL138" s="188"/>
      <c r="DM138" s="188"/>
      <c r="DN138" s="188"/>
      <c r="DO138" s="188"/>
      <c r="DP138" s="188"/>
      <c r="DQ138" s="188"/>
      <c r="DR138" s="188"/>
      <c r="DS138" s="188"/>
      <c r="DT138" s="188"/>
      <c r="DU138" s="188"/>
      <c r="DV138" s="188"/>
      <c r="DW138" s="188"/>
      <c r="DX138" s="188"/>
      <c r="DY138" s="188"/>
      <c r="DZ138" s="188"/>
      <c r="EA138" s="188"/>
      <c r="EB138" s="188"/>
      <c r="EC138" s="188"/>
      <c r="ED138" s="188"/>
      <c r="EE138" s="188"/>
      <c r="EF138" s="188"/>
      <c r="EG138" s="188"/>
      <c r="EH138" s="188"/>
      <c r="EI138" s="188"/>
      <c r="EJ138" s="188"/>
      <c r="EK138" s="188"/>
      <c r="EL138" s="188"/>
      <c r="EM138" s="188"/>
      <c r="EN138" s="188"/>
      <c r="EO138" s="188"/>
      <c r="EP138" s="188"/>
      <c r="EQ138" s="188"/>
      <c r="ER138" s="188"/>
      <c r="ES138" s="188"/>
      <c r="ET138" s="188"/>
      <c r="EU138" s="188"/>
      <c r="EV138" s="188"/>
      <c r="EW138" s="188"/>
      <c r="EX138" s="188"/>
      <c r="EY138" s="188"/>
      <c r="EZ138" s="188"/>
    </row>
    <row r="139" spans="33:156" x14ac:dyDescent="0.2">
      <c r="AG139" s="188" t="str">
        <f>IF(ISERROR(getgrade(Broadsheet!H250,data!$H$4:$I$9)),"#",getgrade(Broadsheet!H250,data!$H$4:$I$9))</f>
        <v/>
      </c>
      <c r="AH139" s="188" t="str">
        <f>IF(ISERROR(getgrade(Broadsheet!I250,data!$H$4:$I$9)),"#",getgrade(Broadsheet!I250,data!$H$4:$I$9))</f>
        <v/>
      </c>
      <c r="AI139" s="188" t="str">
        <f>IF(ISERROR(getgrade(Broadsheet!J250,data!$H$4:$I$9)),"#",getgrade(Broadsheet!J250,data!$H$4:$I$9))</f>
        <v/>
      </c>
      <c r="AJ139" s="188" t="str">
        <f>IF(ISERROR(getgrade(Broadsheet!K250,data!$H$4:$I$9)),"#",getgrade(Broadsheet!K250,data!$H$4:$I$9))</f>
        <v/>
      </c>
      <c r="AK139" s="188" t="str">
        <f>IF(ISERROR(getgrade(Broadsheet!L250,data!$H$4:$I$9)),"#",getgrade(Broadsheet!L250,data!$H$4:$I$9))</f>
        <v/>
      </c>
      <c r="AL139" s="188" t="str">
        <f>IF(ISERROR(getgrade(Broadsheet!M250,data!$H$4:$I$9)),"#",getgrade(Broadsheet!M250,data!$H$4:$I$9))</f>
        <v/>
      </c>
      <c r="AM139" s="188" t="str">
        <f>IF(ISERROR(getgrade(Broadsheet!N250,data!$H$4:$I$9)),"#",getgrade(Broadsheet!N250,data!$H$4:$I$9))</f>
        <v/>
      </c>
      <c r="AN139" s="188" t="str">
        <f>IF(ISERROR(getgrade(Broadsheet!O250,data!$H$4:$I$9)),"#",getgrade(Broadsheet!O250,data!$H$4:$I$9))</f>
        <v/>
      </c>
      <c r="AO139" s="188" t="str">
        <f>IF(ISERROR(getgrade(Broadsheet!P250,data!$H$4:$I$9)),"#",getgrade(Broadsheet!P250,data!$H$4:$I$9))</f>
        <v/>
      </c>
      <c r="AP139" s="188" t="str">
        <f>IF(ISERROR(getgrade(Broadsheet!Q250,data!$H$4:$I$9)),"#",getgrade(Broadsheet!Q250,data!$H$4:$I$9))</f>
        <v/>
      </c>
      <c r="AQ139" s="188" t="str">
        <f>IF(ISERROR(getgrade(Broadsheet!R250,data!$H$4:$I$9)),"#",getgrade(Broadsheet!R250,data!$H$4:$I$9))</f>
        <v/>
      </c>
      <c r="AR139" s="188" t="str">
        <f>IF(ISERROR(getgrade(Broadsheet!S250,data!$H$4:$I$9)),"#",getgrade(Broadsheet!S250,data!$H$4:$I$9))</f>
        <v/>
      </c>
      <c r="AS139" s="188" t="str">
        <f>IF(ISERROR(getgrade(Broadsheet!T250,data!$H$4:$I$9)),"#",getgrade(Broadsheet!T250,data!$H$4:$I$9))</f>
        <v/>
      </c>
      <c r="AT139" s="188" t="str">
        <f>IF(ISERROR(getgrade(Broadsheet!U250,data!$H$4:$I$9)),"#",getgrade(Broadsheet!U250,data!$H$4:$I$9))</f>
        <v/>
      </c>
      <c r="AU139" s="188" t="str">
        <f>IF(ISERROR(getgrade(Broadsheet!V250,data!$H$4:$I$9)),"#",getgrade(Broadsheet!V250,data!$H$4:$I$9))</f>
        <v/>
      </c>
      <c r="AV139" s="188" t="str">
        <f>IF(ISERROR(getgrade(Broadsheet!W250,data!$H$4:$I$9)),"#",getgrade(Broadsheet!W250,data!$H$4:$I$9))</f>
        <v/>
      </c>
      <c r="AW139" s="188" t="str">
        <f>IF(ISERROR(getgrade(Broadsheet!X250,data!$H$4:$I$9)),"#",getgrade(Broadsheet!X250,data!$H$4:$I$9))</f>
        <v/>
      </c>
      <c r="AX139" s="188" t="str">
        <f>IF(ISERROR(getgrade(Broadsheet!Y250,data!$H$4:$I$9)),"#",getgrade(Broadsheet!Y250,data!$H$4:$I$9))</f>
        <v/>
      </c>
      <c r="AY139" s="188" t="str">
        <f>IF(ISERROR(getgrade(Broadsheet!Z250,data!$H$4:$I$9)),"#",getgrade(Broadsheet!Z250,data!$H$4:$I$9))</f>
        <v/>
      </c>
      <c r="AZ139" s="188" t="str">
        <f>IF(ISERROR(getgrade(Broadsheet!AA250,data!$H$4:$I$9)),"#",getgrade(Broadsheet!AA250,data!$H$4:$I$9))</f>
        <v/>
      </c>
      <c r="BA139" s="188" t="str">
        <f>IF(ISERROR(getgrade(Broadsheet!AB250,data!$H$4:$I$9)),"#",getgrade(Broadsheet!AB250,data!$H$4:$I$9))</f>
        <v/>
      </c>
      <c r="BB139" s="188" t="str">
        <f>IF(ISERROR(getgrade(Broadsheet!AC250,data!$H$4:$I$9)),"#",getgrade(Broadsheet!AC250,data!$H$4:$I$9))</f>
        <v/>
      </c>
      <c r="BC139" s="188" t="str">
        <f>IF(ISERROR(getgrade(Broadsheet!AD250,data!$H$4:$I$9)),"#",getgrade(Broadsheet!AD250,data!$H$4:$I$9))</f>
        <v/>
      </c>
      <c r="BD139" s="188" t="str">
        <f>IF(ISERROR(getgrade(Broadsheet!AE250,data!$H$4:$I$9)),"#",getgrade(Broadsheet!AE250,data!$H$4:$I$9))</f>
        <v/>
      </c>
      <c r="BE139" s="188" t="str">
        <f>IF(ISERROR(getgrade(Broadsheet!AF250,data!$H$4:$I$9)),"#",getgrade(Broadsheet!AF250,data!$H$4:$I$9))</f>
        <v/>
      </c>
      <c r="BF139" s="188" t="str">
        <f>IF(ISERROR(getgrade(Broadsheet!AG250,data!$H$4:$I$9)),"#",getgrade(Broadsheet!AG250,data!$H$4:$I$9))</f>
        <v/>
      </c>
      <c r="BG139" s="188" t="str">
        <f>IF(ISERROR(getgrade(Broadsheet!AH250,data!$H$4:$I$9)),"#",getgrade(Broadsheet!AH250,data!$H$4:$I$9))</f>
        <v/>
      </c>
      <c r="BH139" s="188" t="str">
        <f>IF(ISERROR(getgrade(Broadsheet!AI250,data!$H$4:$I$9)),"#",getgrade(Broadsheet!AI250,data!$H$4:$I$9))</f>
        <v/>
      </c>
      <c r="BI139" s="188" t="str">
        <f>IF(ISERROR(getgrade(Broadsheet!AJ250,data!$H$4:$I$9)),"#",getgrade(Broadsheet!AJ250,data!$H$4:$I$9))</f>
        <v/>
      </c>
      <c r="BJ139" s="188" t="str">
        <f>IF(ISERROR(getgrade(Broadsheet!AK250,data!$H$4:$I$9)),"#",getgrade(Broadsheet!AK250,data!$H$4:$I$9))</f>
        <v/>
      </c>
      <c r="BK139" s="188" t="str">
        <f>IF(ISERROR(getgrade(Broadsheet!AL250,data!$H$4:$I$9)),"#",getgrade(Broadsheet!AL250,data!$H$4:$I$9))</f>
        <v/>
      </c>
      <c r="BL139" s="188" t="str">
        <f>IF(ISERROR(getgrade(Broadsheet!AM250,data!$H$4:$I$9)),"#",getgrade(Broadsheet!AM250,data!$H$4:$I$9))</f>
        <v/>
      </c>
      <c r="BM139" s="188" t="str">
        <f>IF(ISERROR(getgrade(Broadsheet!AN250,data!$H$4:$I$9)),"#",getgrade(Broadsheet!AN250,data!$H$4:$I$9))</f>
        <v/>
      </c>
      <c r="BN139" s="188" t="str">
        <f>IF(ISERROR(getgrade(Broadsheet!AO250,data!$H$4:$I$9)),"#",getgrade(Broadsheet!AO250,data!$H$4:$I$9))</f>
        <v/>
      </c>
      <c r="BO139" s="188" t="str">
        <f>IF(ISERROR(getgrade(Broadsheet!AP250,data!$H$4:$I$9)),"#",getgrade(Broadsheet!AP250,data!$H$4:$I$9))</f>
        <v/>
      </c>
      <c r="BP139" s="188" t="str">
        <f>IF(ISERROR(getgrade(Broadsheet!AQ250,data!$H$4:$I$9)),"#",getgrade(Broadsheet!AQ250,data!$H$4:$I$9))</f>
        <v/>
      </c>
      <c r="BQ139" s="188" t="str">
        <f>IF(ISERROR(getgrade(Broadsheet!AR250,data!$H$4:$I$9)),"#",getgrade(Broadsheet!AR250,data!$H$4:$I$9))</f>
        <v/>
      </c>
      <c r="BR139" s="188" t="str">
        <f>IF(ISERROR(getgrade(Broadsheet!AS250,data!$H$4:$I$9)),"#",getgrade(Broadsheet!AS250,data!$H$4:$I$9))</f>
        <v/>
      </c>
      <c r="BS139" s="188" t="str">
        <f>IF(ISERROR(getgrade(Broadsheet!AT250,data!$H$4:$I$9)),"#",getgrade(Broadsheet!AT250,data!$H$4:$I$9))</f>
        <v/>
      </c>
      <c r="BT139" s="188" t="str">
        <f>IF(ISERROR(getgrade(Broadsheet!AU250,data!$H$4:$I$9)),"#",getgrade(Broadsheet!AU250,data!$H$4:$I$9))</f>
        <v/>
      </c>
      <c r="BU139" s="188" t="str">
        <f>IF(ISERROR(getgrade(Broadsheet!AV250,data!$H$4:$I$9)),"#",getgrade(Broadsheet!AV250,data!$H$4:$I$9))</f>
        <v/>
      </c>
      <c r="BV139" s="188" t="str">
        <f>IF(ISERROR(getgrade(Broadsheet!AW250,data!$H$4:$I$9)),"#",getgrade(Broadsheet!AW250,data!$H$4:$I$9))</f>
        <v/>
      </c>
      <c r="BW139" s="188" t="str">
        <f>IF(ISERROR(getgrade(Broadsheet!AX250,data!$H$4:$I$9)),"#",getgrade(Broadsheet!AX250,data!$H$4:$I$9))</f>
        <v/>
      </c>
      <c r="BX139" s="188" t="str">
        <f>IF(ISERROR(getgrade(Broadsheet!AY250,data!$H$4:$I$9)),"#",getgrade(Broadsheet!AY250,data!$H$4:$I$9))</f>
        <v/>
      </c>
      <c r="BY139" s="188" t="str">
        <f>IF(ISERROR(getgrade(Broadsheet!AZ250,data!$H$4:$I$9)),"#",getgrade(Broadsheet!AZ250,data!$H$4:$I$9))</f>
        <v/>
      </c>
      <c r="BZ139" s="188" t="str">
        <f>IF(ISERROR(getgrade(Broadsheet!BA250,data!$H$4:$I$9)),"#",getgrade(Broadsheet!BA250,data!$H$4:$I$9))</f>
        <v/>
      </c>
      <c r="CA139" s="188" t="str">
        <f>IF(ISERROR(getgrade(Broadsheet!BB250,data!$H$4:$I$9)),"#",getgrade(Broadsheet!BB250,data!$H$4:$I$9))</f>
        <v/>
      </c>
      <c r="CB139" s="188" t="str">
        <f>IF(ISERROR(getgrade(Broadsheet!BC250,data!$H$4:$I$9)),"#",getgrade(Broadsheet!BC250,data!$H$4:$I$9))</f>
        <v/>
      </c>
      <c r="CC139" s="188" t="str">
        <f>IF(ISERROR(getgrade(Broadsheet!BD250,data!$H$4:$I$9)),"#",getgrade(Broadsheet!BD250,data!$H$4:$I$9))</f>
        <v/>
      </c>
      <c r="CD139" s="188" t="str">
        <f>IF(ISERROR(getgrade(Broadsheet!BE250,data!$H$4:$I$9)),"#",getgrade(Broadsheet!BE250,data!$H$4:$I$9))</f>
        <v/>
      </c>
      <c r="CE139" s="188" t="str">
        <f>IF(ISERROR(getgrade(Broadsheet!BF250,data!$H$4:$I$9)),"#",getgrade(Broadsheet!BF250,data!$H$4:$I$9))</f>
        <v/>
      </c>
      <c r="CF139" s="188" t="str">
        <f>IF(ISERROR(getgrade(Broadsheet!BG250,data!$H$4:$I$9)),"#",getgrade(Broadsheet!BG250,data!$H$4:$I$9))</f>
        <v/>
      </c>
      <c r="CG139" s="188" t="str">
        <f>IF(ISERROR(getgrade(Broadsheet!BH250,data!$H$4:$I$9)),"#",getgrade(Broadsheet!BH250,data!$H$4:$I$9))</f>
        <v/>
      </c>
      <c r="CH139" s="188" t="str">
        <f>IF(ISERROR(getgrade(Broadsheet!BI250,data!$H$4:$I$9)),"#",getgrade(Broadsheet!BI250,data!$H$4:$I$9))</f>
        <v/>
      </c>
      <c r="CI139" s="188" t="str">
        <f>IF(ISERROR(getgrade(Broadsheet!BJ250,data!$H$4:$I$9)),"#",getgrade(Broadsheet!BJ250,data!$H$4:$I$9))</f>
        <v/>
      </c>
      <c r="CJ139" s="188"/>
      <c r="CK139" s="188"/>
      <c r="CL139" s="188"/>
      <c r="CM139" s="188"/>
      <c r="CN139" s="188"/>
      <c r="CO139" s="188"/>
      <c r="CP139" s="188"/>
      <c r="CQ139" s="188"/>
      <c r="CR139" s="188"/>
      <c r="CS139" s="188"/>
      <c r="CT139" s="188"/>
      <c r="CU139" s="188"/>
      <c r="CV139" s="188"/>
      <c r="CW139" s="188"/>
      <c r="CX139" s="188"/>
      <c r="CY139" s="188"/>
      <c r="CZ139" s="188"/>
      <c r="DA139" s="188"/>
      <c r="DB139" s="188"/>
      <c r="DC139" s="188"/>
      <c r="DD139" s="188"/>
      <c r="DE139" s="188"/>
      <c r="DF139" s="188"/>
      <c r="DG139" s="188"/>
      <c r="DH139" s="188"/>
      <c r="DI139" s="188"/>
      <c r="DJ139" s="188"/>
      <c r="DK139" s="188"/>
      <c r="DL139" s="188"/>
      <c r="DM139" s="188"/>
      <c r="DN139" s="188"/>
      <c r="DO139" s="188"/>
      <c r="DP139" s="188"/>
      <c r="DQ139" s="188"/>
      <c r="DR139" s="188"/>
      <c r="DS139" s="188"/>
      <c r="DT139" s="188"/>
      <c r="DU139" s="188"/>
      <c r="DV139" s="188"/>
      <c r="DW139" s="188"/>
      <c r="DX139" s="188"/>
      <c r="DY139" s="188"/>
      <c r="DZ139" s="188"/>
      <c r="EA139" s="188"/>
      <c r="EB139" s="188"/>
      <c r="EC139" s="188"/>
      <c r="ED139" s="188"/>
      <c r="EE139" s="188"/>
      <c r="EF139" s="188"/>
      <c r="EG139" s="188"/>
      <c r="EH139" s="188"/>
      <c r="EI139" s="188"/>
      <c r="EJ139" s="188"/>
      <c r="EK139" s="188"/>
      <c r="EL139" s="188"/>
      <c r="EM139" s="188"/>
      <c r="EN139" s="188"/>
      <c r="EO139" s="188"/>
      <c r="EP139" s="188"/>
      <c r="EQ139" s="188"/>
      <c r="ER139" s="188"/>
      <c r="ES139" s="188"/>
      <c r="ET139" s="188"/>
      <c r="EU139" s="188"/>
      <c r="EV139" s="188"/>
      <c r="EW139" s="188"/>
      <c r="EX139" s="188"/>
      <c r="EY139" s="188"/>
      <c r="EZ139" s="188"/>
    </row>
    <row r="140" spans="33:156" x14ac:dyDescent="0.2">
      <c r="AG140" s="188" t="str">
        <f>IF(ISERROR(getgrade(Broadsheet!H251,data!$H$4:$I$9)),"#",getgrade(Broadsheet!H251,data!$H$4:$I$9))</f>
        <v/>
      </c>
      <c r="AH140" s="188" t="str">
        <f>IF(ISERROR(getgrade(Broadsheet!I251,data!$H$4:$I$9)),"#",getgrade(Broadsheet!I251,data!$H$4:$I$9))</f>
        <v/>
      </c>
      <c r="AI140" s="188" t="str">
        <f>IF(ISERROR(getgrade(Broadsheet!J251,data!$H$4:$I$9)),"#",getgrade(Broadsheet!J251,data!$H$4:$I$9))</f>
        <v/>
      </c>
      <c r="AJ140" s="188" t="str">
        <f>IF(ISERROR(getgrade(Broadsheet!K251,data!$H$4:$I$9)),"#",getgrade(Broadsheet!K251,data!$H$4:$I$9))</f>
        <v/>
      </c>
      <c r="AK140" s="188" t="str">
        <f>IF(ISERROR(getgrade(Broadsheet!L251,data!$H$4:$I$9)),"#",getgrade(Broadsheet!L251,data!$H$4:$I$9))</f>
        <v/>
      </c>
      <c r="AL140" s="188" t="str">
        <f>IF(ISERROR(getgrade(Broadsheet!M251,data!$H$4:$I$9)),"#",getgrade(Broadsheet!M251,data!$H$4:$I$9))</f>
        <v/>
      </c>
      <c r="AM140" s="188" t="str">
        <f>IF(ISERROR(getgrade(Broadsheet!N251,data!$H$4:$I$9)),"#",getgrade(Broadsheet!N251,data!$H$4:$I$9))</f>
        <v/>
      </c>
      <c r="AN140" s="188" t="str">
        <f>IF(ISERROR(getgrade(Broadsheet!O251,data!$H$4:$I$9)),"#",getgrade(Broadsheet!O251,data!$H$4:$I$9))</f>
        <v/>
      </c>
      <c r="AO140" s="188" t="str">
        <f>IF(ISERROR(getgrade(Broadsheet!P251,data!$H$4:$I$9)),"#",getgrade(Broadsheet!P251,data!$H$4:$I$9))</f>
        <v/>
      </c>
      <c r="AP140" s="188" t="str">
        <f>IF(ISERROR(getgrade(Broadsheet!Q251,data!$H$4:$I$9)),"#",getgrade(Broadsheet!Q251,data!$H$4:$I$9))</f>
        <v/>
      </c>
      <c r="AQ140" s="188" t="str">
        <f>IF(ISERROR(getgrade(Broadsheet!R251,data!$H$4:$I$9)),"#",getgrade(Broadsheet!R251,data!$H$4:$I$9))</f>
        <v/>
      </c>
      <c r="AR140" s="188" t="str">
        <f>IF(ISERROR(getgrade(Broadsheet!S251,data!$H$4:$I$9)),"#",getgrade(Broadsheet!S251,data!$H$4:$I$9))</f>
        <v/>
      </c>
      <c r="AS140" s="188" t="str">
        <f>IF(ISERROR(getgrade(Broadsheet!T251,data!$H$4:$I$9)),"#",getgrade(Broadsheet!T251,data!$H$4:$I$9))</f>
        <v/>
      </c>
      <c r="AT140" s="188" t="str">
        <f>IF(ISERROR(getgrade(Broadsheet!U251,data!$H$4:$I$9)),"#",getgrade(Broadsheet!U251,data!$H$4:$I$9))</f>
        <v/>
      </c>
      <c r="AU140" s="188" t="str">
        <f>IF(ISERROR(getgrade(Broadsheet!V251,data!$H$4:$I$9)),"#",getgrade(Broadsheet!V251,data!$H$4:$I$9))</f>
        <v/>
      </c>
      <c r="AV140" s="188" t="str">
        <f>IF(ISERROR(getgrade(Broadsheet!W251,data!$H$4:$I$9)),"#",getgrade(Broadsheet!W251,data!$H$4:$I$9))</f>
        <v/>
      </c>
      <c r="AW140" s="188" t="str">
        <f>IF(ISERROR(getgrade(Broadsheet!X251,data!$H$4:$I$9)),"#",getgrade(Broadsheet!X251,data!$H$4:$I$9))</f>
        <v/>
      </c>
      <c r="AX140" s="188" t="str">
        <f>IF(ISERROR(getgrade(Broadsheet!Y251,data!$H$4:$I$9)),"#",getgrade(Broadsheet!Y251,data!$H$4:$I$9))</f>
        <v/>
      </c>
      <c r="AY140" s="188" t="str">
        <f>IF(ISERROR(getgrade(Broadsheet!Z251,data!$H$4:$I$9)),"#",getgrade(Broadsheet!Z251,data!$H$4:$I$9))</f>
        <v/>
      </c>
      <c r="AZ140" s="188" t="str">
        <f>IF(ISERROR(getgrade(Broadsheet!AA251,data!$H$4:$I$9)),"#",getgrade(Broadsheet!AA251,data!$H$4:$I$9))</f>
        <v/>
      </c>
      <c r="BA140" s="188" t="str">
        <f>IF(ISERROR(getgrade(Broadsheet!AB251,data!$H$4:$I$9)),"#",getgrade(Broadsheet!AB251,data!$H$4:$I$9))</f>
        <v/>
      </c>
      <c r="BB140" s="188" t="str">
        <f>IF(ISERROR(getgrade(Broadsheet!AC251,data!$H$4:$I$9)),"#",getgrade(Broadsheet!AC251,data!$H$4:$I$9))</f>
        <v/>
      </c>
      <c r="BC140" s="188" t="str">
        <f>IF(ISERROR(getgrade(Broadsheet!AD251,data!$H$4:$I$9)),"#",getgrade(Broadsheet!AD251,data!$H$4:$I$9))</f>
        <v/>
      </c>
      <c r="BD140" s="188" t="str">
        <f>IF(ISERROR(getgrade(Broadsheet!AE251,data!$H$4:$I$9)),"#",getgrade(Broadsheet!AE251,data!$H$4:$I$9))</f>
        <v/>
      </c>
      <c r="BE140" s="188" t="str">
        <f>IF(ISERROR(getgrade(Broadsheet!AF251,data!$H$4:$I$9)),"#",getgrade(Broadsheet!AF251,data!$H$4:$I$9))</f>
        <v/>
      </c>
      <c r="BF140" s="188" t="str">
        <f>IF(ISERROR(getgrade(Broadsheet!AG251,data!$H$4:$I$9)),"#",getgrade(Broadsheet!AG251,data!$H$4:$I$9))</f>
        <v/>
      </c>
      <c r="BG140" s="188" t="str">
        <f>IF(ISERROR(getgrade(Broadsheet!AH251,data!$H$4:$I$9)),"#",getgrade(Broadsheet!AH251,data!$H$4:$I$9))</f>
        <v/>
      </c>
      <c r="BH140" s="188" t="str">
        <f>IF(ISERROR(getgrade(Broadsheet!AI251,data!$H$4:$I$9)),"#",getgrade(Broadsheet!AI251,data!$H$4:$I$9))</f>
        <v/>
      </c>
      <c r="BI140" s="188" t="str">
        <f>IF(ISERROR(getgrade(Broadsheet!AJ251,data!$H$4:$I$9)),"#",getgrade(Broadsheet!AJ251,data!$H$4:$I$9))</f>
        <v/>
      </c>
      <c r="BJ140" s="188" t="str">
        <f>IF(ISERROR(getgrade(Broadsheet!AK251,data!$H$4:$I$9)),"#",getgrade(Broadsheet!AK251,data!$H$4:$I$9))</f>
        <v/>
      </c>
      <c r="BK140" s="188" t="str">
        <f>IF(ISERROR(getgrade(Broadsheet!AL251,data!$H$4:$I$9)),"#",getgrade(Broadsheet!AL251,data!$H$4:$I$9))</f>
        <v/>
      </c>
      <c r="BL140" s="188" t="str">
        <f>IF(ISERROR(getgrade(Broadsheet!AM251,data!$H$4:$I$9)),"#",getgrade(Broadsheet!AM251,data!$H$4:$I$9))</f>
        <v/>
      </c>
      <c r="BM140" s="188" t="str">
        <f>IF(ISERROR(getgrade(Broadsheet!AN251,data!$H$4:$I$9)),"#",getgrade(Broadsheet!AN251,data!$H$4:$I$9))</f>
        <v/>
      </c>
      <c r="BN140" s="188" t="str">
        <f>IF(ISERROR(getgrade(Broadsheet!AO251,data!$H$4:$I$9)),"#",getgrade(Broadsheet!AO251,data!$H$4:$I$9))</f>
        <v/>
      </c>
      <c r="BO140" s="188" t="str">
        <f>IF(ISERROR(getgrade(Broadsheet!AP251,data!$H$4:$I$9)),"#",getgrade(Broadsheet!AP251,data!$H$4:$I$9))</f>
        <v/>
      </c>
      <c r="BP140" s="188" t="str">
        <f>IF(ISERROR(getgrade(Broadsheet!AQ251,data!$H$4:$I$9)),"#",getgrade(Broadsheet!AQ251,data!$H$4:$I$9))</f>
        <v/>
      </c>
      <c r="BQ140" s="188" t="str">
        <f>IF(ISERROR(getgrade(Broadsheet!AR251,data!$H$4:$I$9)),"#",getgrade(Broadsheet!AR251,data!$H$4:$I$9))</f>
        <v/>
      </c>
      <c r="BR140" s="188" t="str">
        <f>IF(ISERROR(getgrade(Broadsheet!AS251,data!$H$4:$I$9)),"#",getgrade(Broadsheet!AS251,data!$H$4:$I$9))</f>
        <v/>
      </c>
      <c r="BS140" s="188" t="str">
        <f>IF(ISERROR(getgrade(Broadsheet!AT251,data!$H$4:$I$9)),"#",getgrade(Broadsheet!AT251,data!$H$4:$I$9))</f>
        <v/>
      </c>
      <c r="BT140" s="188" t="str">
        <f>IF(ISERROR(getgrade(Broadsheet!AU251,data!$H$4:$I$9)),"#",getgrade(Broadsheet!AU251,data!$H$4:$I$9))</f>
        <v/>
      </c>
      <c r="BU140" s="188" t="str">
        <f>IF(ISERROR(getgrade(Broadsheet!AV251,data!$H$4:$I$9)),"#",getgrade(Broadsheet!AV251,data!$H$4:$I$9))</f>
        <v/>
      </c>
      <c r="BV140" s="188" t="str">
        <f>IF(ISERROR(getgrade(Broadsheet!AW251,data!$H$4:$I$9)),"#",getgrade(Broadsheet!AW251,data!$H$4:$I$9))</f>
        <v/>
      </c>
      <c r="BW140" s="188" t="str">
        <f>IF(ISERROR(getgrade(Broadsheet!AX251,data!$H$4:$I$9)),"#",getgrade(Broadsheet!AX251,data!$H$4:$I$9))</f>
        <v/>
      </c>
      <c r="BX140" s="188" t="str">
        <f>IF(ISERROR(getgrade(Broadsheet!AY251,data!$H$4:$I$9)),"#",getgrade(Broadsheet!AY251,data!$H$4:$I$9))</f>
        <v/>
      </c>
      <c r="BY140" s="188" t="str">
        <f>IF(ISERROR(getgrade(Broadsheet!AZ251,data!$H$4:$I$9)),"#",getgrade(Broadsheet!AZ251,data!$H$4:$I$9))</f>
        <v/>
      </c>
      <c r="BZ140" s="188" t="str">
        <f>IF(ISERROR(getgrade(Broadsheet!BA251,data!$H$4:$I$9)),"#",getgrade(Broadsheet!BA251,data!$H$4:$I$9))</f>
        <v/>
      </c>
      <c r="CA140" s="188" t="str">
        <f>IF(ISERROR(getgrade(Broadsheet!BB251,data!$H$4:$I$9)),"#",getgrade(Broadsheet!BB251,data!$H$4:$I$9))</f>
        <v/>
      </c>
      <c r="CB140" s="188" t="str">
        <f>IF(ISERROR(getgrade(Broadsheet!BC251,data!$H$4:$I$9)),"#",getgrade(Broadsheet!BC251,data!$H$4:$I$9))</f>
        <v/>
      </c>
      <c r="CC140" s="188" t="str">
        <f>IF(ISERROR(getgrade(Broadsheet!BD251,data!$H$4:$I$9)),"#",getgrade(Broadsheet!BD251,data!$H$4:$I$9))</f>
        <v/>
      </c>
      <c r="CD140" s="188" t="str">
        <f>IF(ISERROR(getgrade(Broadsheet!BE251,data!$H$4:$I$9)),"#",getgrade(Broadsheet!BE251,data!$H$4:$I$9))</f>
        <v/>
      </c>
      <c r="CE140" s="188" t="str">
        <f>IF(ISERROR(getgrade(Broadsheet!BF251,data!$H$4:$I$9)),"#",getgrade(Broadsheet!BF251,data!$H$4:$I$9))</f>
        <v/>
      </c>
      <c r="CF140" s="188" t="str">
        <f>IF(ISERROR(getgrade(Broadsheet!BG251,data!$H$4:$I$9)),"#",getgrade(Broadsheet!BG251,data!$H$4:$I$9))</f>
        <v/>
      </c>
      <c r="CG140" s="188" t="str">
        <f>IF(ISERROR(getgrade(Broadsheet!BH251,data!$H$4:$I$9)),"#",getgrade(Broadsheet!BH251,data!$H$4:$I$9))</f>
        <v/>
      </c>
      <c r="CH140" s="188" t="str">
        <f>IF(ISERROR(getgrade(Broadsheet!BI251,data!$H$4:$I$9)),"#",getgrade(Broadsheet!BI251,data!$H$4:$I$9))</f>
        <v/>
      </c>
      <c r="CI140" s="188" t="str">
        <f>IF(ISERROR(getgrade(Broadsheet!BJ251,data!$H$4:$I$9)),"#",getgrade(Broadsheet!BJ251,data!$H$4:$I$9))</f>
        <v/>
      </c>
      <c r="CJ140" s="188"/>
      <c r="CK140" s="188"/>
      <c r="CL140" s="188"/>
      <c r="CM140" s="188"/>
      <c r="CN140" s="188"/>
      <c r="CO140" s="188"/>
      <c r="CP140" s="188"/>
      <c r="CQ140" s="188"/>
      <c r="CR140" s="188"/>
      <c r="CS140" s="188"/>
      <c r="CT140" s="188"/>
      <c r="CU140" s="188"/>
      <c r="CV140" s="188"/>
      <c r="CW140" s="188"/>
      <c r="CX140" s="188"/>
      <c r="CY140" s="188"/>
      <c r="CZ140" s="188"/>
      <c r="DA140" s="188"/>
      <c r="DB140" s="188"/>
      <c r="DC140" s="188"/>
      <c r="DD140" s="188"/>
      <c r="DE140" s="188"/>
      <c r="DF140" s="188"/>
      <c r="DG140" s="188"/>
      <c r="DH140" s="188"/>
      <c r="DI140" s="188"/>
      <c r="DJ140" s="188"/>
      <c r="DK140" s="188"/>
      <c r="DL140" s="188"/>
      <c r="DM140" s="188"/>
      <c r="DN140" s="188"/>
      <c r="DO140" s="188"/>
      <c r="DP140" s="188"/>
      <c r="DQ140" s="188"/>
      <c r="DR140" s="188"/>
      <c r="DS140" s="188"/>
      <c r="DT140" s="188"/>
      <c r="DU140" s="188"/>
      <c r="DV140" s="188"/>
      <c r="DW140" s="188"/>
      <c r="DX140" s="188"/>
      <c r="DY140" s="188"/>
      <c r="DZ140" s="188"/>
      <c r="EA140" s="188"/>
      <c r="EB140" s="188"/>
      <c r="EC140" s="188"/>
      <c r="ED140" s="188"/>
      <c r="EE140" s="188"/>
      <c r="EF140" s="188"/>
      <c r="EG140" s="188"/>
      <c r="EH140" s="188"/>
      <c r="EI140" s="188"/>
      <c r="EJ140" s="188"/>
      <c r="EK140" s="188"/>
      <c r="EL140" s="188"/>
      <c r="EM140" s="188"/>
      <c r="EN140" s="188"/>
      <c r="EO140" s="188"/>
      <c r="EP140" s="188"/>
      <c r="EQ140" s="188"/>
      <c r="ER140" s="188"/>
      <c r="ES140" s="188"/>
      <c r="ET140" s="188"/>
      <c r="EU140" s="188"/>
      <c r="EV140" s="188"/>
      <c r="EW140" s="188"/>
      <c r="EX140" s="188"/>
      <c r="EY140" s="188"/>
      <c r="EZ140" s="188"/>
    </row>
    <row r="141" spans="33:156" x14ac:dyDescent="0.2">
      <c r="AG141" s="188" t="str">
        <f>IF(ISERROR(getgrade(Broadsheet!H252,data!$H$4:$I$9)),"#",getgrade(Broadsheet!H252,data!$H$4:$I$9))</f>
        <v/>
      </c>
      <c r="AH141" s="188" t="str">
        <f>IF(ISERROR(getgrade(Broadsheet!I252,data!$H$4:$I$9)),"#",getgrade(Broadsheet!I252,data!$H$4:$I$9))</f>
        <v/>
      </c>
      <c r="AI141" s="188" t="str">
        <f>IF(ISERROR(getgrade(Broadsheet!J252,data!$H$4:$I$9)),"#",getgrade(Broadsheet!J252,data!$H$4:$I$9))</f>
        <v/>
      </c>
      <c r="AJ141" s="188" t="str">
        <f>IF(ISERROR(getgrade(Broadsheet!K252,data!$H$4:$I$9)),"#",getgrade(Broadsheet!K252,data!$H$4:$I$9))</f>
        <v/>
      </c>
      <c r="AK141" s="188" t="str">
        <f>IF(ISERROR(getgrade(Broadsheet!L252,data!$H$4:$I$9)),"#",getgrade(Broadsheet!L252,data!$H$4:$I$9))</f>
        <v/>
      </c>
      <c r="AL141" s="188" t="str">
        <f>IF(ISERROR(getgrade(Broadsheet!M252,data!$H$4:$I$9)),"#",getgrade(Broadsheet!M252,data!$H$4:$I$9))</f>
        <v/>
      </c>
      <c r="AM141" s="188" t="str">
        <f>IF(ISERROR(getgrade(Broadsheet!N252,data!$H$4:$I$9)),"#",getgrade(Broadsheet!N252,data!$H$4:$I$9))</f>
        <v/>
      </c>
      <c r="AN141" s="188" t="str">
        <f>IF(ISERROR(getgrade(Broadsheet!O252,data!$H$4:$I$9)),"#",getgrade(Broadsheet!O252,data!$H$4:$I$9))</f>
        <v/>
      </c>
      <c r="AO141" s="188" t="str">
        <f>IF(ISERROR(getgrade(Broadsheet!P252,data!$H$4:$I$9)),"#",getgrade(Broadsheet!P252,data!$H$4:$I$9))</f>
        <v/>
      </c>
      <c r="AP141" s="188" t="str">
        <f>IF(ISERROR(getgrade(Broadsheet!Q252,data!$H$4:$I$9)),"#",getgrade(Broadsheet!Q252,data!$H$4:$I$9))</f>
        <v/>
      </c>
      <c r="AQ141" s="188" t="str">
        <f>IF(ISERROR(getgrade(Broadsheet!R252,data!$H$4:$I$9)),"#",getgrade(Broadsheet!R252,data!$H$4:$I$9))</f>
        <v/>
      </c>
      <c r="AR141" s="188" t="str">
        <f>IF(ISERROR(getgrade(Broadsheet!S252,data!$H$4:$I$9)),"#",getgrade(Broadsheet!S252,data!$H$4:$I$9))</f>
        <v/>
      </c>
      <c r="AS141" s="188" t="str">
        <f>IF(ISERROR(getgrade(Broadsheet!T252,data!$H$4:$I$9)),"#",getgrade(Broadsheet!T252,data!$H$4:$I$9))</f>
        <v/>
      </c>
      <c r="AT141" s="188" t="str">
        <f>IF(ISERROR(getgrade(Broadsheet!U252,data!$H$4:$I$9)),"#",getgrade(Broadsheet!U252,data!$H$4:$I$9))</f>
        <v/>
      </c>
      <c r="AU141" s="188" t="str">
        <f>IF(ISERROR(getgrade(Broadsheet!V252,data!$H$4:$I$9)),"#",getgrade(Broadsheet!V252,data!$H$4:$I$9))</f>
        <v/>
      </c>
      <c r="AV141" s="188" t="str">
        <f>IF(ISERROR(getgrade(Broadsheet!W252,data!$H$4:$I$9)),"#",getgrade(Broadsheet!W252,data!$H$4:$I$9))</f>
        <v/>
      </c>
      <c r="AW141" s="188" t="str">
        <f>IF(ISERROR(getgrade(Broadsheet!X252,data!$H$4:$I$9)),"#",getgrade(Broadsheet!X252,data!$H$4:$I$9))</f>
        <v/>
      </c>
      <c r="AX141" s="188" t="str">
        <f>IF(ISERROR(getgrade(Broadsheet!Y252,data!$H$4:$I$9)),"#",getgrade(Broadsheet!Y252,data!$H$4:$I$9))</f>
        <v/>
      </c>
      <c r="AY141" s="188" t="str">
        <f>IF(ISERROR(getgrade(Broadsheet!Z252,data!$H$4:$I$9)),"#",getgrade(Broadsheet!Z252,data!$H$4:$I$9))</f>
        <v/>
      </c>
      <c r="AZ141" s="188" t="str">
        <f>IF(ISERROR(getgrade(Broadsheet!AA252,data!$H$4:$I$9)),"#",getgrade(Broadsheet!AA252,data!$H$4:$I$9))</f>
        <v/>
      </c>
      <c r="BA141" s="188" t="str">
        <f>IF(ISERROR(getgrade(Broadsheet!AB252,data!$H$4:$I$9)),"#",getgrade(Broadsheet!AB252,data!$H$4:$I$9))</f>
        <v/>
      </c>
      <c r="BB141" s="188" t="str">
        <f>IF(ISERROR(getgrade(Broadsheet!AC252,data!$H$4:$I$9)),"#",getgrade(Broadsheet!AC252,data!$H$4:$I$9))</f>
        <v/>
      </c>
      <c r="BC141" s="188" t="str">
        <f>IF(ISERROR(getgrade(Broadsheet!AD252,data!$H$4:$I$9)),"#",getgrade(Broadsheet!AD252,data!$H$4:$I$9))</f>
        <v/>
      </c>
      <c r="BD141" s="188" t="str">
        <f>IF(ISERROR(getgrade(Broadsheet!AE252,data!$H$4:$I$9)),"#",getgrade(Broadsheet!AE252,data!$H$4:$I$9))</f>
        <v/>
      </c>
      <c r="BE141" s="188" t="str">
        <f>IF(ISERROR(getgrade(Broadsheet!AF252,data!$H$4:$I$9)),"#",getgrade(Broadsheet!AF252,data!$H$4:$I$9))</f>
        <v/>
      </c>
      <c r="BF141" s="188" t="str">
        <f>IF(ISERROR(getgrade(Broadsheet!AG252,data!$H$4:$I$9)),"#",getgrade(Broadsheet!AG252,data!$H$4:$I$9))</f>
        <v/>
      </c>
      <c r="BG141" s="188" t="str">
        <f>IF(ISERROR(getgrade(Broadsheet!AH252,data!$H$4:$I$9)),"#",getgrade(Broadsheet!AH252,data!$H$4:$I$9))</f>
        <v/>
      </c>
      <c r="BH141" s="188" t="str">
        <f>IF(ISERROR(getgrade(Broadsheet!AI252,data!$H$4:$I$9)),"#",getgrade(Broadsheet!AI252,data!$H$4:$I$9))</f>
        <v/>
      </c>
      <c r="BI141" s="188" t="str">
        <f>IF(ISERROR(getgrade(Broadsheet!AJ252,data!$H$4:$I$9)),"#",getgrade(Broadsheet!AJ252,data!$H$4:$I$9))</f>
        <v/>
      </c>
      <c r="BJ141" s="188" t="str">
        <f>IF(ISERROR(getgrade(Broadsheet!AK252,data!$H$4:$I$9)),"#",getgrade(Broadsheet!AK252,data!$H$4:$I$9))</f>
        <v/>
      </c>
      <c r="BK141" s="188" t="str">
        <f>IF(ISERROR(getgrade(Broadsheet!AL252,data!$H$4:$I$9)),"#",getgrade(Broadsheet!AL252,data!$H$4:$I$9))</f>
        <v/>
      </c>
      <c r="BL141" s="188" t="str">
        <f>IF(ISERROR(getgrade(Broadsheet!AM252,data!$H$4:$I$9)),"#",getgrade(Broadsheet!AM252,data!$H$4:$I$9))</f>
        <v/>
      </c>
      <c r="BM141" s="188" t="str">
        <f>IF(ISERROR(getgrade(Broadsheet!AN252,data!$H$4:$I$9)),"#",getgrade(Broadsheet!AN252,data!$H$4:$I$9))</f>
        <v/>
      </c>
      <c r="BN141" s="188" t="str">
        <f>IF(ISERROR(getgrade(Broadsheet!AO252,data!$H$4:$I$9)),"#",getgrade(Broadsheet!AO252,data!$H$4:$I$9))</f>
        <v/>
      </c>
      <c r="BO141" s="188" t="str">
        <f>IF(ISERROR(getgrade(Broadsheet!AP252,data!$H$4:$I$9)),"#",getgrade(Broadsheet!AP252,data!$H$4:$I$9))</f>
        <v/>
      </c>
      <c r="BP141" s="188" t="str">
        <f>IF(ISERROR(getgrade(Broadsheet!AQ252,data!$H$4:$I$9)),"#",getgrade(Broadsheet!AQ252,data!$H$4:$I$9))</f>
        <v/>
      </c>
      <c r="BQ141" s="188" t="str">
        <f>IF(ISERROR(getgrade(Broadsheet!AR252,data!$H$4:$I$9)),"#",getgrade(Broadsheet!AR252,data!$H$4:$I$9))</f>
        <v/>
      </c>
      <c r="BR141" s="188" t="str">
        <f>IF(ISERROR(getgrade(Broadsheet!AS252,data!$H$4:$I$9)),"#",getgrade(Broadsheet!AS252,data!$H$4:$I$9))</f>
        <v/>
      </c>
      <c r="BS141" s="188" t="str">
        <f>IF(ISERROR(getgrade(Broadsheet!AT252,data!$H$4:$I$9)),"#",getgrade(Broadsheet!AT252,data!$H$4:$I$9))</f>
        <v/>
      </c>
      <c r="BT141" s="188" t="str">
        <f>IF(ISERROR(getgrade(Broadsheet!AU252,data!$H$4:$I$9)),"#",getgrade(Broadsheet!AU252,data!$H$4:$I$9))</f>
        <v/>
      </c>
      <c r="BU141" s="188" t="str">
        <f>IF(ISERROR(getgrade(Broadsheet!AV252,data!$H$4:$I$9)),"#",getgrade(Broadsheet!AV252,data!$H$4:$I$9))</f>
        <v/>
      </c>
      <c r="BV141" s="188" t="str">
        <f>IF(ISERROR(getgrade(Broadsheet!AW252,data!$H$4:$I$9)),"#",getgrade(Broadsheet!AW252,data!$H$4:$I$9))</f>
        <v/>
      </c>
      <c r="BW141" s="188" t="str">
        <f>IF(ISERROR(getgrade(Broadsheet!AX252,data!$H$4:$I$9)),"#",getgrade(Broadsheet!AX252,data!$H$4:$I$9))</f>
        <v/>
      </c>
      <c r="BX141" s="188" t="str">
        <f>IF(ISERROR(getgrade(Broadsheet!AY252,data!$H$4:$I$9)),"#",getgrade(Broadsheet!AY252,data!$H$4:$I$9))</f>
        <v/>
      </c>
      <c r="BY141" s="188" t="str">
        <f>IF(ISERROR(getgrade(Broadsheet!AZ252,data!$H$4:$I$9)),"#",getgrade(Broadsheet!AZ252,data!$H$4:$I$9))</f>
        <v/>
      </c>
      <c r="BZ141" s="188" t="str">
        <f>IF(ISERROR(getgrade(Broadsheet!BA252,data!$H$4:$I$9)),"#",getgrade(Broadsheet!BA252,data!$H$4:$I$9))</f>
        <v/>
      </c>
      <c r="CA141" s="188" t="str">
        <f>IF(ISERROR(getgrade(Broadsheet!BB252,data!$H$4:$I$9)),"#",getgrade(Broadsheet!BB252,data!$H$4:$I$9))</f>
        <v/>
      </c>
      <c r="CB141" s="188" t="str">
        <f>IF(ISERROR(getgrade(Broadsheet!BC252,data!$H$4:$I$9)),"#",getgrade(Broadsheet!BC252,data!$H$4:$I$9))</f>
        <v/>
      </c>
      <c r="CC141" s="188" t="str">
        <f>IF(ISERROR(getgrade(Broadsheet!BD252,data!$H$4:$I$9)),"#",getgrade(Broadsheet!BD252,data!$H$4:$I$9))</f>
        <v/>
      </c>
      <c r="CD141" s="188" t="str">
        <f>IF(ISERROR(getgrade(Broadsheet!BE252,data!$H$4:$I$9)),"#",getgrade(Broadsheet!BE252,data!$H$4:$I$9))</f>
        <v/>
      </c>
      <c r="CE141" s="188" t="str">
        <f>IF(ISERROR(getgrade(Broadsheet!BF252,data!$H$4:$I$9)),"#",getgrade(Broadsheet!BF252,data!$H$4:$I$9))</f>
        <v/>
      </c>
      <c r="CF141" s="188" t="str">
        <f>IF(ISERROR(getgrade(Broadsheet!BG252,data!$H$4:$I$9)),"#",getgrade(Broadsheet!BG252,data!$H$4:$I$9))</f>
        <v/>
      </c>
      <c r="CG141" s="188" t="str">
        <f>IF(ISERROR(getgrade(Broadsheet!BH252,data!$H$4:$I$9)),"#",getgrade(Broadsheet!BH252,data!$H$4:$I$9))</f>
        <v/>
      </c>
      <c r="CH141" s="188" t="str">
        <f>IF(ISERROR(getgrade(Broadsheet!BI252,data!$H$4:$I$9)),"#",getgrade(Broadsheet!BI252,data!$H$4:$I$9))</f>
        <v/>
      </c>
      <c r="CI141" s="188" t="str">
        <f>IF(ISERROR(getgrade(Broadsheet!BJ252,data!$H$4:$I$9)),"#",getgrade(Broadsheet!BJ252,data!$H$4:$I$9))</f>
        <v/>
      </c>
      <c r="CJ141" s="188"/>
      <c r="CK141" s="188"/>
      <c r="CL141" s="188"/>
      <c r="CM141" s="188"/>
      <c r="CN141" s="188"/>
      <c r="CO141" s="188"/>
      <c r="CP141" s="188"/>
      <c r="CQ141" s="188"/>
      <c r="CR141" s="188"/>
      <c r="CS141" s="188"/>
      <c r="CT141" s="188"/>
      <c r="CU141" s="188"/>
      <c r="CV141" s="188"/>
      <c r="CW141" s="188"/>
      <c r="CX141" s="188"/>
      <c r="CY141" s="188"/>
      <c r="CZ141" s="188"/>
      <c r="DA141" s="188"/>
      <c r="DB141" s="188"/>
      <c r="DC141" s="188"/>
      <c r="DD141" s="188"/>
      <c r="DE141" s="188"/>
      <c r="DF141" s="188"/>
      <c r="DG141" s="188"/>
      <c r="DH141" s="188"/>
      <c r="DI141" s="188"/>
      <c r="DJ141" s="188"/>
      <c r="DK141" s="188"/>
      <c r="DL141" s="188"/>
      <c r="DM141" s="188"/>
      <c r="DN141" s="188"/>
      <c r="DO141" s="188"/>
      <c r="DP141" s="188"/>
      <c r="DQ141" s="188"/>
      <c r="DR141" s="188"/>
      <c r="DS141" s="188"/>
      <c r="DT141" s="188"/>
      <c r="DU141" s="188"/>
      <c r="DV141" s="188"/>
      <c r="DW141" s="188"/>
      <c r="DX141" s="188"/>
      <c r="DY141" s="188"/>
      <c r="DZ141" s="188"/>
      <c r="EA141" s="188"/>
      <c r="EB141" s="188"/>
      <c r="EC141" s="188"/>
      <c r="ED141" s="188"/>
      <c r="EE141" s="188"/>
      <c r="EF141" s="188"/>
      <c r="EG141" s="188"/>
      <c r="EH141" s="188"/>
      <c r="EI141" s="188"/>
      <c r="EJ141" s="188"/>
      <c r="EK141" s="188"/>
      <c r="EL141" s="188"/>
      <c r="EM141" s="188"/>
      <c r="EN141" s="188"/>
      <c r="EO141" s="188"/>
      <c r="EP141" s="188"/>
      <c r="EQ141" s="188"/>
      <c r="ER141" s="188"/>
      <c r="ES141" s="188"/>
      <c r="ET141" s="188"/>
      <c r="EU141" s="188"/>
      <c r="EV141" s="188"/>
      <c r="EW141" s="188"/>
      <c r="EX141" s="188"/>
      <c r="EY141" s="188"/>
      <c r="EZ141" s="188"/>
    </row>
    <row r="142" spans="33:156" x14ac:dyDescent="0.2">
      <c r="AG142" s="188" t="str">
        <f>IF(ISERROR(getgrade(Broadsheet!H253,data!$H$4:$I$9)),"#",getgrade(Broadsheet!H253,data!$H$4:$I$9))</f>
        <v/>
      </c>
      <c r="AH142" s="188" t="str">
        <f>IF(ISERROR(getgrade(Broadsheet!I253,data!$H$4:$I$9)),"#",getgrade(Broadsheet!I253,data!$H$4:$I$9))</f>
        <v/>
      </c>
      <c r="AI142" s="188" t="str">
        <f>IF(ISERROR(getgrade(Broadsheet!J253,data!$H$4:$I$9)),"#",getgrade(Broadsheet!J253,data!$H$4:$I$9))</f>
        <v/>
      </c>
      <c r="AJ142" s="188" t="str">
        <f>IF(ISERROR(getgrade(Broadsheet!K253,data!$H$4:$I$9)),"#",getgrade(Broadsheet!K253,data!$H$4:$I$9))</f>
        <v/>
      </c>
      <c r="AK142" s="188" t="str">
        <f>IF(ISERROR(getgrade(Broadsheet!L253,data!$H$4:$I$9)),"#",getgrade(Broadsheet!L253,data!$H$4:$I$9))</f>
        <v/>
      </c>
      <c r="AL142" s="188" t="str">
        <f>IF(ISERROR(getgrade(Broadsheet!M253,data!$H$4:$I$9)),"#",getgrade(Broadsheet!M253,data!$H$4:$I$9))</f>
        <v/>
      </c>
      <c r="AM142" s="188" t="str">
        <f>IF(ISERROR(getgrade(Broadsheet!N253,data!$H$4:$I$9)),"#",getgrade(Broadsheet!N253,data!$H$4:$I$9))</f>
        <v/>
      </c>
      <c r="AN142" s="188" t="str">
        <f>IF(ISERROR(getgrade(Broadsheet!O253,data!$H$4:$I$9)),"#",getgrade(Broadsheet!O253,data!$H$4:$I$9))</f>
        <v/>
      </c>
      <c r="AO142" s="188" t="str">
        <f>IF(ISERROR(getgrade(Broadsheet!P253,data!$H$4:$I$9)),"#",getgrade(Broadsheet!P253,data!$H$4:$I$9))</f>
        <v/>
      </c>
      <c r="AP142" s="188" t="str">
        <f>IF(ISERROR(getgrade(Broadsheet!Q253,data!$H$4:$I$9)),"#",getgrade(Broadsheet!Q253,data!$H$4:$I$9))</f>
        <v/>
      </c>
      <c r="AQ142" s="188" t="str">
        <f>IF(ISERROR(getgrade(Broadsheet!R253,data!$H$4:$I$9)),"#",getgrade(Broadsheet!R253,data!$H$4:$I$9))</f>
        <v/>
      </c>
      <c r="AR142" s="188" t="str">
        <f>IF(ISERROR(getgrade(Broadsheet!S253,data!$H$4:$I$9)),"#",getgrade(Broadsheet!S253,data!$H$4:$I$9))</f>
        <v/>
      </c>
      <c r="AS142" s="188" t="str">
        <f>IF(ISERROR(getgrade(Broadsheet!T253,data!$H$4:$I$9)),"#",getgrade(Broadsheet!T253,data!$H$4:$I$9))</f>
        <v/>
      </c>
      <c r="AT142" s="188" t="str">
        <f>IF(ISERROR(getgrade(Broadsheet!U253,data!$H$4:$I$9)),"#",getgrade(Broadsheet!U253,data!$H$4:$I$9))</f>
        <v/>
      </c>
      <c r="AU142" s="188" t="str">
        <f>IF(ISERROR(getgrade(Broadsheet!V253,data!$H$4:$I$9)),"#",getgrade(Broadsheet!V253,data!$H$4:$I$9))</f>
        <v/>
      </c>
      <c r="AV142" s="188" t="str">
        <f>IF(ISERROR(getgrade(Broadsheet!W253,data!$H$4:$I$9)),"#",getgrade(Broadsheet!W253,data!$H$4:$I$9))</f>
        <v/>
      </c>
      <c r="AW142" s="188" t="str">
        <f>IF(ISERROR(getgrade(Broadsheet!X253,data!$H$4:$I$9)),"#",getgrade(Broadsheet!X253,data!$H$4:$I$9))</f>
        <v/>
      </c>
      <c r="AX142" s="188" t="str">
        <f>IF(ISERROR(getgrade(Broadsheet!Y253,data!$H$4:$I$9)),"#",getgrade(Broadsheet!Y253,data!$H$4:$I$9))</f>
        <v/>
      </c>
      <c r="AY142" s="188" t="str">
        <f>IF(ISERROR(getgrade(Broadsheet!Z253,data!$H$4:$I$9)),"#",getgrade(Broadsheet!Z253,data!$H$4:$I$9))</f>
        <v/>
      </c>
      <c r="AZ142" s="188" t="str">
        <f>IF(ISERROR(getgrade(Broadsheet!AA253,data!$H$4:$I$9)),"#",getgrade(Broadsheet!AA253,data!$H$4:$I$9))</f>
        <v/>
      </c>
      <c r="BA142" s="188" t="str">
        <f>IF(ISERROR(getgrade(Broadsheet!AB253,data!$H$4:$I$9)),"#",getgrade(Broadsheet!AB253,data!$H$4:$I$9))</f>
        <v/>
      </c>
      <c r="BB142" s="188" t="str">
        <f>IF(ISERROR(getgrade(Broadsheet!AC253,data!$H$4:$I$9)),"#",getgrade(Broadsheet!AC253,data!$H$4:$I$9))</f>
        <v/>
      </c>
      <c r="BC142" s="188" t="str">
        <f>IF(ISERROR(getgrade(Broadsheet!AD253,data!$H$4:$I$9)),"#",getgrade(Broadsheet!AD253,data!$H$4:$I$9))</f>
        <v/>
      </c>
      <c r="BD142" s="188" t="str">
        <f>IF(ISERROR(getgrade(Broadsheet!AE253,data!$H$4:$I$9)),"#",getgrade(Broadsheet!AE253,data!$H$4:$I$9))</f>
        <v/>
      </c>
      <c r="BE142" s="188" t="str">
        <f>IF(ISERROR(getgrade(Broadsheet!AF253,data!$H$4:$I$9)),"#",getgrade(Broadsheet!AF253,data!$H$4:$I$9))</f>
        <v/>
      </c>
      <c r="BF142" s="188" t="str">
        <f>IF(ISERROR(getgrade(Broadsheet!AG253,data!$H$4:$I$9)),"#",getgrade(Broadsheet!AG253,data!$H$4:$I$9))</f>
        <v/>
      </c>
      <c r="BG142" s="188" t="str">
        <f>IF(ISERROR(getgrade(Broadsheet!AH253,data!$H$4:$I$9)),"#",getgrade(Broadsheet!AH253,data!$H$4:$I$9))</f>
        <v/>
      </c>
      <c r="BH142" s="188" t="str">
        <f>IF(ISERROR(getgrade(Broadsheet!AI253,data!$H$4:$I$9)),"#",getgrade(Broadsheet!AI253,data!$H$4:$I$9))</f>
        <v/>
      </c>
      <c r="BI142" s="188" t="str">
        <f>IF(ISERROR(getgrade(Broadsheet!AJ253,data!$H$4:$I$9)),"#",getgrade(Broadsheet!AJ253,data!$H$4:$I$9))</f>
        <v/>
      </c>
      <c r="BJ142" s="188" t="str">
        <f>IF(ISERROR(getgrade(Broadsheet!AK253,data!$H$4:$I$9)),"#",getgrade(Broadsheet!AK253,data!$H$4:$I$9))</f>
        <v/>
      </c>
      <c r="BK142" s="188" t="str">
        <f>IF(ISERROR(getgrade(Broadsheet!AL253,data!$H$4:$I$9)),"#",getgrade(Broadsheet!AL253,data!$H$4:$I$9))</f>
        <v/>
      </c>
      <c r="BL142" s="188" t="str">
        <f>IF(ISERROR(getgrade(Broadsheet!AM253,data!$H$4:$I$9)),"#",getgrade(Broadsheet!AM253,data!$H$4:$I$9))</f>
        <v/>
      </c>
      <c r="BM142" s="188" t="str">
        <f>IF(ISERROR(getgrade(Broadsheet!AN253,data!$H$4:$I$9)),"#",getgrade(Broadsheet!AN253,data!$H$4:$I$9))</f>
        <v/>
      </c>
      <c r="BN142" s="188" t="str">
        <f>IF(ISERROR(getgrade(Broadsheet!AO253,data!$H$4:$I$9)),"#",getgrade(Broadsheet!AO253,data!$H$4:$I$9))</f>
        <v/>
      </c>
      <c r="BO142" s="188" t="str">
        <f>IF(ISERROR(getgrade(Broadsheet!AP253,data!$H$4:$I$9)),"#",getgrade(Broadsheet!AP253,data!$H$4:$I$9))</f>
        <v/>
      </c>
      <c r="BP142" s="188" t="str">
        <f>IF(ISERROR(getgrade(Broadsheet!AQ253,data!$H$4:$I$9)),"#",getgrade(Broadsheet!AQ253,data!$H$4:$I$9))</f>
        <v/>
      </c>
      <c r="BQ142" s="188" t="str">
        <f>IF(ISERROR(getgrade(Broadsheet!AR253,data!$H$4:$I$9)),"#",getgrade(Broadsheet!AR253,data!$H$4:$I$9))</f>
        <v/>
      </c>
      <c r="BR142" s="188" t="str">
        <f>IF(ISERROR(getgrade(Broadsheet!AS253,data!$H$4:$I$9)),"#",getgrade(Broadsheet!AS253,data!$H$4:$I$9))</f>
        <v/>
      </c>
      <c r="BS142" s="188" t="str">
        <f>IF(ISERROR(getgrade(Broadsheet!AT253,data!$H$4:$I$9)),"#",getgrade(Broadsheet!AT253,data!$H$4:$I$9))</f>
        <v/>
      </c>
      <c r="BT142" s="188" t="str">
        <f>IF(ISERROR(getgrade(Broadsheet!AU253,data!$H$4:$I$9)),"#",getgrade(Broadsheet!AU253,data!$H$4:$I$9))</f>
        <v/>
      </c>
      <c r="BU142" s="188" t="str">
        <f>IF(ISERROR(getgrade(Broadsheet!AV253,data!$H$4:$I$9)),"#",getgrade(Broadsheet!AV253,data!$H$4:$I$9))</f>
        <v/>
      </c>
      <c r="BV142" s="188" t="str">
        <f>IF(ISERROR(getgrade(Broadsheet!AW253,data!$H$4:$I$9)),"#",getgrade(Broadsheet!AW253,data!$H$4:$I$9))</f>
        <v/>
      </c>
      <c r="BW142" s="188" t="str">
        <f>IF(ISERROR(getgrade(Broadsheet!AX253,data!$H$4:$I$9)),"#",getgrade(Broadsheet!AX253,data!$H$4:$I$9))</f>
        <v/>
      </c>
      <c r="BX142" s="188" t="str">
        <f>IF(ISERROR(getgrade(Broadsheet!AY253,data!$H$4:$I$9)),"#",getgrade(Broadsheet!AY253,data!$H$4:$I$9))</f>
        <v/>
      </c>
      <c r="BY142" s="188" t="str">
        <f>IF(ISERROR(getgrade(Broadsheet!AZ253,data!$H$4:$I$9)),"#",getgrade(Broadsheet!AZ253,data!$H$4:$I$9))</f>
        <v/>
      </c>
      <c r="BZ142" s="188" t="str">
        <f>IF(ISERROR(getgrade(Broadsheet!BA253,data!$H$4:$I$9)),"#",getgrade(Broadsheet!BA253,data!$H$4:$I$9))</f>
        <v/>
      </c>
      <c r="CA142" s="188" t="str">
        <f>IF(ISERROR(getgrade(Broadsheet!BB253,data!$H$4:$I$9)),"#",getgrade(Broadsheet!BB253,data!$H$4:$I$9))</f>
        <v/>
      </c>
      <c r="CB142" s="188" t="str">
        <f>IF(ISERROR(getgrade(Broadsheet!BC253,data!$H$4:$I$9)),"#",getgrade(Broadsheet!BC253,data!$H$4:$I$9))</f>
        <v/>
      </c>
      <c r="CC142" s="188" t="str">
        <f>IF(ISERROR(getgrade(Broadsheet!BD253,data!$H$4:$I$9)),"#",getgrade(Broadsheet!BD253,data!$H$4:$I$9))</f>
        <v/>
      </c>
      <c r="CD142" s="188" t="str">
        <f>IF(ISERROR(getgrade(Broadsheet!BE253,data!$H$4:$I$9)),"#",getgrade(Broadsheet!BE253,data!$H$4:$I$9))</f>
        <v/>
      </c>
      <c r="CE142" s="188" t="str">
        <f>IF(ISERROR(getgrade(Broadsheet!BF253,data!$H$4:$I$9)),"#",getgrade(Broadsheet!BF253,data!$H$4:$I$9))</f>
        <v/>
      </c>
      <c r="CF142" s="188" t="str">
        <f>IF(ISERROR(getgrade(Broadsheet!BG253,data!$H$4:$I$9)),"#",getgrade(Broadsheet!BG253,data!$H$4:$I$9))</f>
        <v/>
      </c>
      <c r="CG142" s="188" t="str">
        <f>IF(ISERROR(getgrade(Broadsheet!BH253,data!$H$4:$I$9)),"#",getgrade(Broadsheet!BH253,data!$H$4:$I$9))</f>
        <v/>
      </c>
      <c r="CH142" s="188" t="str">
        <f>IF(ISERROR(getgrade(Broadsheet!BI253,data!$H$4:$I$9)),"#",getgrade(Broadsheet!BI253,data!$H$4:$I$9))</f>
        <v/>
      </c>
      <c r="CI142" s="188" t="str">
        <f>IF(ISERROR(getgrade(Broadsheet!BJ253,data!$H$4:$I$9)),"#",getgrade(Broadsheet!BJ253,data!$H$4:$I$9))</f>
        <v/>
      </c>
      <c r="CJ142" s="188"/>
      <c r="CK142" s="188"/>
      <c r="CL142" s="188"/>
      <c r="CM142" s="188"/>
      <c r="CN142" s="188"/>
      <c r="CO142" s="188"/>
      <c r="CP142" s="188"/>
      <c r="CQ142" s="188"/>
      <c r="CR142" s="188"/>
      <c r="CS142" s="188"/>
      <c r="CT142" s="188"/>
      <c r="CU142" s="188"/>
      <c r="CV142" s="188"/>
      <c r="CW142" s="188"/>
      <c r="CX142" s="188"/>
      <c r="CY142" s="188"/>
      <c r="CZ142" s="188"/>
      <c r="DA142" s="188"/>
      <c r="DB142" s="188"/>
      <c r="DC142" s="188"/>
      <c r="DD142" s="188"/>
      <c r="DE142" s="188"/>
      <c r="DF142" s="188"/>
      <c r="DG142" s="188"/>
      <c r="DH142" s="188"/>
      <c r="DI142" s="188"/>
      <c r="DJ142" s="188"/>
      <c r="DK142" s="188"/>
      <c r="DL142" s="188"/>
      <c r="DM142" s="188"/>
      <c r="DN142" s="188"/>
      <c r="DO142" s="188"/>
      <c r="DP142" s="188"/>
      <c r="DQ142" s="188"/>
      <c r="DR142" s="188"/>
      <c r="DS142" s="188"/>
      <c r="DT142" s="188"/>
      <c r="DU142" s="188"/>
      <c r="DV142" s="188"/>
      <c r="DW142" s="188"/>
      <c r="DX142" s="188"/>
      <c r="DY142" s="188"/>
      <c r="DZ142" s="188"/>
      <c r="EA142" s="188"/>
      <c r="EB142" s="188"/>
      <c r="EC142" s="188"/>
      <c r="ED142" s="188"/>
      <c r="EE142" s="188"/>
      <c r="EF142" s="188"/>
      <c r="EG142" s="188"/>
      <c r="EH142" s="188"/>
      <c r="EI142" s="188"/>
      <c r="EJ142" s="188"/>
      <c r="EK142" s="188"/>
      <c r="EL142" s="188"/>
      <c r="EM142" s="188"/>
      <c r="EN142" s="188"/>
      <c r="EO142" s="188"/>
      <c r="EP142" s="188"/>
      <c r="EQ142" s="188"/>
      <c r="ER142" s="188"/>
      <c r="ES142" s="188"/>
      <c r="ET142" s="188"/>
      <c r="EU142" s="188"/>
      <c r="EV142" s="188"/>
      <c r="EW142" s="188"/>
      <c r="EX142" s="188"/>
      <c r="EY142" s="188"/>
      <c r="EZ142" s="188"/>
    </row>
    <row r="143" spans="33:156" x14ac:dyDescent="0.2">
      <c r="AG143" s="188" t="str">
        <f>IF(ISERROR(getgrade(Broadsheet!H254,data!$H$4:$I$9)),"#",getgrade(Broadsheet!H254,data!$H$4:$I$9))</f>
        <v/>
      </c>
      <c r="AH143" s="188" t="str">
        <f>IF(ISERROR(getgrade(Broadsheet!I254,data!$H$4:$I$9)),"#",getgrade(Broadsheet!I254,data!$H$4:$I$9))</f>
        <v/>
      </c>
      <c r="AI143" s="188" t="str">
        <f>IF(ISERROR(getgrade(Broadsheet!J254,data!$H$4:$I$9)),"#",getgrade(Broadsheet!J254,data!$H$4:$I$9))</f>
        <v/>
      </c>
      <c r="AJ143" s="188" t="str">
        <f>IF(ISERROR(getgrade(Broadsheet!K254,data!$H$4:$I$9)),"#",getgrade(Broadsheet!K254,data!$H$4:$I$9))</f>
        <v/>
      </c>
      <c r="AK143" s="188" t="str">
        <f>IF(ISERROR(getgrade(Broadsheet!L254,data!$H$4:$I$9)),"#",getgrade(Broadsheet!L254,data!$H$4:$I$9))</f>
        <v/>
      </c>
      <c r="AL143" s="188" t="str">
        <f>IF(ISERROR(getgrade(Broadsheet!M254,data!$H$4:$I$9)),"#",getgrade(Broadsheet!M254,data!$H$4:$I$9))</f>
        <v/>
      </c>
      <c r="AM143" s="188" t="str">
        <f>IF(ISERROR(getgrade(Broadsheet!N254,data!$H$4:$I$9)),"#",getgrade(Broadsheet!N254,data!$H$4:$I$9))</f>
        <v/>
      </c>
      <c r="AN143" s="188" t="str">
        <f>IF(ISERROR(getgrade(Broadsheet!O254,data!$H$4:$I$9)),"#",getgrade(Broadsheet!O254,data!$H$4:$I$9))</f>
        <v/>
      </c>
      <c r="AO143" s="188" t="str">
        <f>IF(ISERROR(getgrade(Broadsheet!P254,data!$H$4:$I$9)),"#",getgrade(Broadsheet!P254,data!$H$4:$I$9))</f>
        <v/>
      </c>
      <c r="AP143" s="188" t="str">
        <f>IF(ISERROR(getgrade(Broadsheet!Q254,data!$H$4:$I$9)),"#",getgrade(Broadsheet!Q254,data!$H$4:$I$9))</f>
        <v/>
      </c>
      <c r="AQ143" s="188" t="str">
        <f>IF(ISERROR(getgrade(Broadsheet!R254,data!$H$4:$I$9)),"#",getgrade(Broadsheet!R254,data!$H$4:$I$9))</f>
        <v/>
      </c>
      <c r="AR143" s="188" t="str">
        <f>IF(ISERROR(getgrade(Broadsheet!S254,data!$H$4:$I$9)),"#",getgrade(Broadsheet!S254,data!$H$4:$I$9))</f>
        <v/>
      </c>
      <c r="AS143" s="188" t="str">
        <f>IF(ISERROR(getgrade(Broadsheet!T254,data!$H$4:$I$9)),"#",getgrade(Broadsheet!T254,data!$H$4:$I$9))</f>
        <v/>
      </c>
      <c r="AT143" s="188" t="str">
        <f>IF(ISERROR(getgrade(Broadsheet!U254,data!$H$4:$I$9)),"#",getgrade(Broadsheet!U254,data!$H$4:$I$9))</f>
        <v/>
      </c>
      <c r="AU143" s="188" t="str">
        <f>IF(ISERROR(getgrade(Broadsheet!V254,data!$H$4:$I$9)),"#",getgrade(Broadsheet!V254,data!$H$4:$I$9))</f>
        <v/>
      </c>
      <c r="AV143" s="188" t="str">
        <f>IF(ISERROR(getgrade(Broadsheet!W254,data!$H$4:$I$9)),"#",getgrade(Broadsheet!W254,data!$H$4:$I$9))</f>
        <v/>
      </c>
      <c r="AW143" s="188" t="str">
        <f>IF(ISERROR(getgrade(Broadsheet!X254,data!$H$4:$I$9)),"#",getgrade(Broadsheet!X254,data!$H$4:$I$9))</f>
        <v/>
      </c>
      <c r="AX143" s="188" t="str">
        <f>IF(ISERROR(getgrade(Broadsheet!Y254,data!$H$4:$I$9)),"#",getgrade(Broadsheet!Y254,data!$H$4:$I$9))</f>
        <v/>
      </c>
      <c r="AY143" s="188" t="str">
        <f>IF(ISERROR(getgrade(Broadsheet!Z254,data!$H$4:$I$9)),"#",getgrade(Broadsheet!Z254,data!$H$4:$I$9))</f>
        <v/>
      </c>
      <c r="AZ143" s="188" t="str">
        <f>IF(ISERROR(getgrade(Broadsheet!AA254,data!$H$4:$I$9)),"#",getgrade(Broadsheet!AA254,data!$H$4:$I$9))</f>
        <v/>
      </c>
      <c r="BA143" s="188" t="str">
        <f>IF(ISERROR(getgrade(Broadsheet!AB254,data!$H$4:$I$9)),"#",getgrade(Broadsheet!AB254,data!$H$4:$I$9))</f>
        <v/>
      </c>
      <c r="BB143" s="188" t="str">
        <f>IF(ISERROR(getgrade(Broadsheet!AC254,data!$H$4:$I$9)),"#",getgrade(Broadsheet!AC254,data!$H$4:$I$9))</f>
        <v/>
      </c>
      <c r="BC143" s="188" t="str">
        <f>IF(ISERROR(getgrade(Broadsheet!AD254,data!$H$4:$I$9)),"#",getgrade(Broadsheet!AD254,data!$H$4:$I$9))</f>
        <v/>
      </c>
      <c r="BD143" s="188" t="str">
        <f>IF(ISERROR(getgrade(Broadsheet!AE254,data!$H$4:$I$9)),"#",getgrade(Broadsheet!AE254,data!$H$4:$I$9))</f>
        <v/>
      </c>
      <c r="BE143" s="188" t="str">
        <f>IF(ISERROR(getgrade(Broadsheet!AF254,data!$H$4:$I$9)),"#",getgrade(Broadsheet!AF254,data!$H$4:$I$9))</f>
        <v/>
      </c>
      <c r="BF143" s="188" t="str">
        <f>IF(ISERROR(getgrade(Broadsheet!AG254,data!$H$4:$I$9)),"#",getgrade(Broadsheet!AG254,data!$H$4:$I$9))</f>
        <v/>
      </c>
      <c r="BG143" s="188" t="str">
        <f>IF(ISERROR(getgrade(Broadsheet!AH254,data!$H$4:$I$9)),"#",getgrade(Broadsheet!AH254,data!$H$4:$I$9))</f>
        <v/>
      </c>
      <c r="BH143" s="188" t="str">
        <f>IF(ISERROR(getgrade(Broadsheet!AI254,data!$H$4:$I$9)),"#",getgrade(Broadsheet!AI254,data!$H$4:$I$9))</f>
        <v/>
      </c>
      <c r="BI143" s="188" t="str">
        <f>IF(ISERROR(getgrade(Broadsheet!AJ254,data!$H$4:$I$9)),"#",getgrade(Broadsheet!AJ254,data!$H$4:$I$9))</f>
        <v/>
      </c>
      <c r="BJ143" s="188" t="str">
        <f>IF(ISERROR(getgrade(Broadsheet!AK254,data!$H$4:$I$9)),"#",getgrade(Broadsheet!AK254,data!$H$4:$I$9))</f>
        <v/>
      </c>
      <c r="BK143" s="188" t="str">
        <f>IF(ISERROR(getgrade(Broadsheet!AL254,data!$H$4:$I$9)),"#",getgrade(Broadsheet!AL254,data!$H$4:$I$9))</f>
        <v/>
      </c>
      <c r="BL143" s="188" t="str">
        <f>IF(ISERROR(getgrade(Broadsheet!AM254,data!$H$4:$I$9)),"#",getgrade(Broadsheet!AM254,data!$H$4:$I$9))</f>
        <v/>
      </c>
      <c r="BM143" s="188" t="str">
        <f>IF(ISERROR(getgrade(Broadsheet!AN254,data!$H$4:$I$9)),"#",getgrade(Broadsheet!AN254,data!$H$4:$I$9))</f>
        <v/>
      </c>
      <c r="BN143" s="188" t="str">
        <f>IF(ISERROR(getgrade(Broadsheet!AO254,data!$H$4:$I$9)),"#",getgrade(Broadsheet!AO254,data!$H$4:$I$9))</f>
        <v/>
      </c>
      <c r="BO143" s="188" t="str">
        <f>IF(ISERROR(getgrade(Broadsheet!AP254,data!$H$4:$I$9)),"#",getgrade(Broadsheet!AP254,data!$H$4:$I$9))</f>
        <v/>
      </c>
      <c r="BP143" s="188" t="str">
        <f>IF(ISERROR(getgrade(Broadsheet!AQ254,data!$H$4:$I$9)),"#",getgrade(Broadsheet!AQ254,data!$H$4:$I$9))</f>
        <v/>
      </c>
      <c r="BQ143" s="188" t="str">
        <f>IF(ISERROR(getgrade(Broadsheet!AR254,data!$H$4:$I$9)),"#",getgrade(Broadsheet!AR254,data!$H$4:$I$9))</f>
        <v/>
      </c>
      <c r="BR143" s="188" t="str">
        <f>IF(ISERROR(getgrade(Broadsheet!AS254,data!$H$4:$I$9)),"#",getgrade(Broadsheet!AS254,data!$H$4:$I$9))</f>
        <v/>
      </c>
      <c r="BS143" s="188" t="str">
        <f>IF(ISERROR(getgrade(Broadsheet!AT254,data!$H$4:$I$9)),"#",getgrade(Broadsheet!AT254,data!$H$4:$I$9))</f>
        <v/>
      </c>
      <c r="BT143" s="188" t="str">
        <f>IF(ISERROR(getgrade(Broadsheet!AU254,data!$H$4:$I$9)),"#",getgrade(Broadsheet!AU254,data!$H$4:$I$9))</f>
        <v/>
      </c>
      <c r="BU143" s="188" t="str">
        <f>IF(ISERROR(getgrade(Broadsheet!AV254,data!$H$4:$I$9)),"#",getgrade(Broadsheet!AV254,data!$H$4:$I$9))</f>
        <v/>
      </c>
      <c r="BV143" s="188" t="str">
        <f>IF(ISERROR(getgrade(Broadsheet!AW254,data!$H$4:$I$9)),"#",getgrade(Broadsheet!AW254,data!$H$4:$I$9))</f>
        <v/>
      </c>
      <c r="BW143" s="188" t="str">
        <f>IF(ISERROR(getgrade(Broadsheet!AX254,data!$H$4:$I$9)),"#",getgrade(Broadsheet!AX254,data!$H$4:$I$9))</f>
        <v/>
      </c>
      <c r="BX143" s="188" t="str">
        <f>IF(ISERROR(getgrade(Broadsheet!AY254,data!$H$4:$I$9)),"#",getgrade(Broadsheet!AY254,data!$H$4:$I$9))</f>
        <v/>
      </c>
      <c r="BY143" s="188" t="str">
        <f>IF(ISERROR(getgrade(Broadsheet!AZ254,data!$H$4:$I$9)),"#",getgrade(Broadsheet!AZ254,data!$H$4:$I$9))</f>
        <v/>
      </c>
      <c r="BZ143" s="188" t="str">
        <f>IF(ISERROR(getgrade(Broadsheet!BA254,data!$H$4:$I$9)),"#",getgrade(Broadsheet!BA254,data!$H$4:$I$9))</f>
        <v/>
      </c>
      <c r="CA143" s="188" t="str">
        <f>IF(ISERROR(getgrade(Broadsheet!BB254,data!$H$4:$I$9)),"#",getgrade(Broadsheet!BB254,data!$H$4:$I$9))</f>
        <v/>
      </c>
      <c r="CB143" s="188" t="str">
        <f>IF(ISERROR(getgrade(Broadsheet!BC254,data!$H$4:$I$9)),"#",getgrade(Broadsheet!BC254,data!$H$4:$I$9))</f>
        <v/>
      </c>
      <c r="CC143" s="188" t="str">
        <f>IF(ISERROR(getgrade(Broadsheet!BD254,data!$H$4:$I$9)),"#",getgrade(Broadsheet!BD254,data!$H$4:$I$9))</f>
        <v/>
      </c>
      <c r="CD143" s="188" t="str">
        <f>IF(ISERROR(getgrade(Broadsheet!BE254,data!$H$4:$I$9)),"#",getgrade(Broadsheet!BE254,data!$H$4:$I$9))</f>
        <v/>
      </c>
      <c r="CE143" s="188" t="str">
        <f>IF(ISERROR(getgrade(Broadsheet!BF254,data!$H$4:$I$9)),"#",getgrade(Broadsheet!BF254,data!$H$4:$I$9))</f>
        <v/>
      </c>
      <c r="CF143" s="188" t="str">
        <f>IF(ISERROR(getgrade(Broadsheet!BG254,data!$H$4:$I$9)),"#",getgrade(Broadsheet!BG254,data!$H$4:$I$9))</f>
        <v/>
      </c>
      <c r="CG143" s="188" t="str">
        <f>IF(ISERROR(getgrade(Broadsheet!BH254,data!$H$4:$I$9)),"#",getgrade(Broadsheet!BH254,data!$H$4:$I$9))</f>
        <v/>
      </c>
      <c r="CH143" s="188" t="str">
        <f>IF(ISERROR(getgrade(Broadsheet!BI254,data!$H$4:$I$9)),"#",getgrade(Broadsheet!BI254,data!$H$4:$I$9))</f>
        <v/>
      </c>
      <c r="CI143" s="188" t="str">
        <f>IF(ISERROR(getgrade(Broadsheet!BJ254,data!$H$4:$I$9)),"#",getgrade(Broadsheet!BJ254,data!$H$4:$I$9))</f>
        <v/>
      </c>
      <c r="CJ143" s="188"/>
      <c r="CK143" s="188"/>
      <c r="CL143" s="188"/>
      <c r="CM143" s="188"/>
      <c r="CN143" s="188"/>
      <c r="CO143" s="188"/>
      <c r="CP143" s="188"/>
      <c r="CQ143" s="188"/>
      <c r="CR143" s="188"/>
      <c r="CS143" s="188"/>
      <c r="CT143" s="188"/>
      <c r="CU143" s="188"/>
      <c r="CV143" s="188"/>
      <c r="CW143" s="188"/>
      <c r="CX143" s="188"/>
      <c r="CY143" s="188"/>
      <c r="CZ143" s="188"/>
      <c r="DA143" s="188"/>
      <c r="DB143" s="188"/>
      <c r="DC143" s="188"/>
      <c r="DD143" s="188"/>
      <c r="DE143" s="188"/>
      <c r="DF143" s="188"/>
      <c r="DG143" s="188"/>
      <c r="DH143" s="188"/>
      <c r="DI143" s="188"/>
      <c r="DJ143" s="188"/>
      <c r="DK143" s="188"/>
      <c r="DL143" s="188"/>
      <c r="DM143" s="188"/>
      <c r="DN143" s="188"/>
      <c r="DO143" s="188"/>
      <c r="DP143" s="188"/>
      <c r="DQ143" s="188"/>
      <c r="DR143" s="188"/>
      <c r="DS143" s="188"/>
      <c r="DT143" s="188"/>
      <c r="DU143" s="188"/>
      <c r="DV143" s="188"/>
      <c r="DW143" s="188"/>
      <c r="DX143" s="188"/>
      <c r="DY143" s="188"/>
      <c r="DZ143" s="188"/>
      <c r="EA143" s="188"/>
      <c r="EB143" s="188"/>
      <c r="EC143" s="188"/>
      <c r="ED143" s="188"/>
      <c r="EE143" s="188"/>
      <c r="EF143" s="188"/>
      <c r="EG143" s="188"/>
      <c r="EH143" s="188"/>
      <c r="EI143" s="188"/>
      <c r="EJ143" s="188"/>
      <c r="EK143" s="188"/>
      <c r="EL143" s="188"/>
      <c r="EM143" s="188"/>
      <c r="EN143" s="188"/>
      <c r="EO143" s="188"/>
      <c r="EP143" s="188"/>
      <c r="EQ143" s="188"/>
      <c r="ER143" s="188"/>
      <c r="ES143" s="188"/>
      <c r="ET143" s="188"/>
      <c r="EU143" s="188"/>
      <c r="EV143" s="188"/>
      <c r="EW143" s="188"/>
      <c r="EX143" s="188"/>
      <c r="EY143" s="188"/>
      <c r="EZ143" s="188"/>
    </row>
    <row r="144" spans="33:156" x14ac:dyDescent="0.2">
      <c r="AG144" s="188" t="str">
        <f>IF(ISERROR(getgrade(Broadsheet!H255,data!$H$4:$I$9)),"#",getgrade(Broadsheet!H255,data!$H$4:$I$9))</f>
        <v/>
      </c>
      <c r="AH144" s="188" t="str">
        <f>IF(ISERROR(getgrade(Broadsheet!I255,data!$H$4:$I$9)),"#",getgrade(Broadsheet!I255,data!$H$4:$I$9))</f>
        <v/>
      </c>
      <c r="AI144" s="188" t="str">
        <f>IF(ISERROR(getgrade(Broadsheet!J255,data!$H$4:$I$9)),"#",getgrade(Broadsheet!J255,data!$H$4:$I$9))</f>
        <v/>
      </c>
      <c r="AJ144" s="188" t="str">
        <f>IF(ISERROR(getgrade(Broadsheet!K255,data!$H$4:$I$9)),"#",getgrade(Broadsheet!K255,data!$H$4:$I$9))</f>
        <v/>
      </c>
      <c r="AK144" s="188" t="str">
        <f>IF(ISERROR(getgrade(Broadsheet!L255,data!$H$4:$I$9)),"#",getgrade(Broadsheet!L255,data!$H$4:$I$9))</f>
        <v/>
      </c>
      <c r="AL144" s="188" t="str">
        <f>IF(ISERROR(getgrade(Broadsheet!M255,data!$H$4:$I$9)),"#",getgrade(Broadsheet!M255,data!$H$4:$I$9))</f>
        <v/>
      </c>
      <c r="AM144" s="188" t="str">
        <f>IF(ISERROR(getgrade(Broadsheet!N255,data!$H$4:$I$9)),"#",getgrade(Broadsheet!N255,data!$H$4:$I$9))</f>
        <v/>
      </c>
      <c r="AN144" s="188" t="str">
        <f>IF(ISERROR(getgrade(Broadsheet!O255,data!$H$4:$I$9)),"#",getgrade(Broadsheet!O255,data!$H$4:$I$9))</f>
        <v/>
      </c>
      <c r="AO144" s="188" t="str">
        <f>IF(ISERROR(getgrade(Broadsheet!P255,data!$H$4:$I$9)),"#",getgrade(Broadsheet!P255,data!$H$4:$I$9))</f>
        <v/>
      </c>
      <c r="AP144" s="188" t="str">
        <f>IF(ISERROR(getgrade(Broadsheet!Q255,data!$H$4:$I$9)),"#",getgrade(Broadsheet!Q255,data!$H$4:$I$9))</f>
        <v/>
      </c>
      <c r="AQ144" s="188" t="str">
        <f>IF(ISERROR(getgrade(Broadsheet!R255,data!$H$4:$I$9)),"#",getgrade(Broadsheet!R255,data!$H$4:$I$9))</f>
        <v/>
      </c>
      <c r="AR144" s="188" t="str">
        <f>IF(ISERROR(getgrade(Broadsheet!S255,data!$H$4:$I$9)),"#",getgrade(Broadsheet!S255,data!$H$4:$I$9))</f>
        <v/>
      </c>
      <c r="AS144" s="188" t="str">
        <f>IF(ISERROR(getgrade(Broadsheet!T255,data!$H$4:$I$9)),"#",getgrade(Broadsheet!T255,data!$H$4:$I$9))</f>
        <v/>
      </c>
      <c r="AT144" s="188" t="str">
        <f>IF(ISERROR(getgrade(Broadsheet!U255,data!$H$4:$I$9)),"#",getgrade(Broadsheet!U255,data!$H$4:$I$9))</f>
        <v/>
      </c>
      <c r="AU144" s="188" t="str">
        <f>IF(ISERROR(getgrade(Broadsheet!V255,data!$H$4:$I$9)),"#",getgrade(Broadsheet!V255,data!$H$4:$I$9))</f>
        <v/>
      </c>
      <c r="AV144" s="188" t="str">
        <f>IF(ISERROR(getgrade(Broadsheet!W255,data!$H$4:$I$9)),"#",getgrade(Broadsheet!W255,data!$H$4:$I$9))</f>
        <v/>
      </c>
      <c r="AW144" s="188" t="str">
        <f>IF(ISERROR(getgrade(Broadsheet!X255,data!$H$4:$I$9)),"#",getgrade(Broadsheet!X255,data!$H$4:$I$9))</f>
        <v/>
      </c>
      <c r="AX144" s="188" t="str">
        <f>IF(ISERROR(getgrade(Broadsheet!Y255,data!$H$4:$I$9)),"#",getgrade(Broadsheet!Y255,data!$H$4:$I$9))</f>
        <v/>
      </c>
      <c r="AY144" s="188" t="str">
        <f>IF(ISERROR(getgrade(Broadsheet!Z255,data!$H$4:$I$9)),"#",getgrade(Broadsheet!Z255,data!$H$4:$I$9))</f>
        <v/>
      </c>
      <c r="AZ144" s="188" t="str">
        <f>IF(ISERROR(getgrade(Broadsheet!AA255,data!$H$4:$I$9)),"#",getgrade(Broadsheet!AA255,data!$H$4:$I$9))</f>
        <v/>
      </c>
      <c r="BA144" s="188" t="str">
        <f>IF(ISERROR(getgrade(Broadsheet!AB255,data!$H$4:$I$9)),"#",getgrade(Broadsheet!AB255,data!$H$4:$I$9))</f>
        <v/>
      </c>
      <c r="BB144" s="188" t="str">
        <f>IF(ISERROR(getgrade(Broadsheet!AC255,data!$H$4:$I$9)),"#",getgrade(Broadsheet!AC255,data!$H$4:$I$9))</f>
        <v/>
      </c>
      <c r="BC144" s="188" t="str">
        <f>IF(ISERROR(getgrade(Broadsheet!AD255,data!$H$4:$I$9)),"#",getgrade(Broadsheet!AD255,data!$H$4:$I$9))</f>
        <v/>
      </c>
      <c r="BD144" s="188" t="str">
        <f>IF(ISERROR(getgrade(Broadsheet!AE255,data!$H$4:$I$9)),"#",getgrade(Broadsheet!AE255,data!$H$4:$I$9))</f>
        <v/>
      </c>
      <c r="BE144" s="188" t="str">
        <f>IF(ISERROR(getgrade(Broadsheet!AF255,data!$H$4:$I$9)),"#",getgrade(Broadsheet!AF255,data!$H$4:$I$9))</f>
        <v/>
      </c>
      <c r="BF144" s="188" t="str">
        <f>IF(ISERROR(getgrade(Broadsheet!AG255,data!$H$4:$I$9)),"#",getgrade(Broadsheet!AG255,data!$H$4:$I$9))</f>
        <v/>
      </c>
      <c r="BG144" s="188" t="str">
        <f>IF(ISERROR(getgrade(Broadsheet!AH255,data!$H$4:$I$9)),"#",getgrade(Broadsheet!AH255,data!$H$4:$I$9))</f>
        <v/>
      </c>
      <c r="BH144" s="188" t="str">
        <f>IF(ISERROR(getgrade(Broadsheet!AI255,data!$H$4:$I$9)),"#",getgrade(Broadsheet!AI255,data!$H$4:$I$9))</f>
        <v/>
      </c>
      <c r="BI144" s="188" t="str">
        <f>IF(ISERROR(getgrade(Broadsheet!AJ255,data!$H$4:$I$9)),"#",getgrade(Broadsheet!AJ255,data!$H$4:$I$9))</f>
        <v/>
      </c>
      <c r="BJ144" s="188" t="str">
        <f>IF(ISERROR(getgrade(Broadsheet!AK255,data!$H$4:$I$9)),"#",getgrade(Broadsheet!AK255,data!$H$4:$I$9))</f>
        <v/>
      </c>
      <c r="BK144" s="188" t="str">
        <f>IF(ISERROR(getgrade(Broadsheet!AL255,data!$H$4:$I$9)),"#",getgrade(Broadsheet!AL255,data!$H$4:$I$9))</f>
        <v/>
      </c>
      <c r="BL144" s="188" t="str">
        <f>IF(ISERROR(getgrade(Broadsheet!AM255,data!$H$4:$I$9)),"#",getgrade(Broadsheet!AM255,data!$H$4:$I$9))</f>
        <v/>
      </c>
      <c r="BM144" s="188" t="str">
        <f>IF(ISERROR(getgrade(Broadsheet!AN255,data!$H$4:$I$9)),"#",getgrade(Broadsheet!AN255,data!$H$4:$I$9))</f>
        <v/>
      </c>
      <c r="BN144" s="188" t="str">
        <f>IF(ISERROR(getgrade(Broadsheet!AO255,data!$H$4:$I$9)),"#",getgrade(Broadsheet!AO255,data!$H$4:$I$9))</f>
        <v/>
      </c>
      <c r="BO144" s="188" t="str">
        <f>IF(ISERROR(getgrade(Broadsheet!AP255,data!$H$4:$I$9)),"#",getgrade(Broadsheet!AP255,data!$H$4:$I$9))</f>
        <v/>
      </c>
      <c r="BP144" s="188" t="str">
        <f>IF(ISERROR(getgrade(Broadsheet!AQ255,data!$H$4:$I$9)),"#",getgrade(Broadsheet!AQ255,data!$H$4:$I$9))</f>
        <v/>
      </c>
      <c r="BQ144" s="188" t="str">
        <f>IF(ISERROR(getgrade(Broadsheet!AR255,data!$H$4:$I$9)),"#",getgrade(Broadsheet!AR255,data!$H$4:$I$9))</f>
        <v/>
      </c>
      <c r="BR144" s="188" t="str">
        <f>IF(ISERROR(getgrade(Broadsheet!AS255,data!$H$4:$I$9)),"#",getgrade(Broadsheet!AS255,data!$H$4:$I$9))</f>
        <v/>
      </c>
      <c r="BS144" s="188" t="str">
        <f>IF(ISERROR(getgrade(Broadsheet!AT255,data!$H$4:$I$9)),"#",getgrade(Broadsheet!AT255,data!$H$4:$I$9))</f>
        <v/>
      </c>
      <c r="BT144" s="188" t="str">
        <f>IF(ISERROR(getgrade(Broadsheet!AU255,data!$H$4:$I$9)),"#",getgrade(Broadsheet!AU255,data!$H$4:$I$9))</f>
        <v/>
      </c>
      <c r="BU144" s="188" t="str">
        <f>IF(ISERROR(getgrade(Broadsheet!AV255,data!$H$4:$I$9)),"#",getgrade(Broadsheet!AV255,data!$H$4:$I$9))</f>
        <v/>
      </c>
      <c r="BV144" s="188" t="str">
        <f>IF(ISERROR(getgrade(Broadsheet!AW255,data!$H$4:$I$9)),"#",getgrade(Broadsheet!AW255,data!$H$4:$I$9))</f>
        <v/>
      </c>
      <c r="BW144" s="188" t="str">
        <f>IF(ISERROR(getgrade(Broadsheet!AX255,data!$H$4:$I$9)),"#",getgrade(Broadsheet!AX255,data!$H$4:$I$9))</f>
        <v/>
      </c>
      <c r="BX144" s="188" t="str">
        <f>IF(ISERROR(getgrade(Broadsheet!AY255,data!$H$4:$I$9)),"#",getgrade(Broadsheet!AY255,data!$H$4:$I$9))</f>
        <v/>
      </c>
      <c r="BY144" s="188" t="str">
        <f>IF(ISERROR(getgrade(Broadsheet!AZ255,data!$H$4:$I$9)),"#",getgrade(Broadsheet!AZ255,data!$H$4:$I$9))</f>
        <v/>
      </c>
      <c r="BZ144" s="188" t="str">
        <f>IF(ISERROR(getgrade(Broadsheet!BA255,data!$H$4:$I$9)),"#",getgrade(Broadsheet!BA255,data!$H$4:$I$9))</f>
        <v/>
      </c>
      <c r="CA144" s="188" t="str">
        <f>IF(ISERROR(getgrade(Broadsheet!BB255,data!$H$4:$I$9)),"#",getgrade(Broadsheet!BB255,data!$H$4:$I$9))</f>
        <v/>
      </c>
      <c r="CB144" s="188" t="str">
        <f>IF(ISERROR(getgrade(Broadsheet!BC255,data!$H$4:$I$9)),"#",getgrade(Broadsheet!BC255,data!$H$4:$I$9))</f>
        <v/>
      </c>
      <c r="CC144" s="188" t="str">
        <f>IF(ISERROR(getgrade(Broadsheet!BD255,data!$H$4:$I$9)),"#",getgrade(Broadsheet!BD255,data!$H$4:$I$9))</f>
        <v/>
      </c>
      <c r="CD144" s="188" t="str">
        <f>IF(ISERROR(getgrade(Broadsheet!BE255,data!$H$4:$I$9)),"#",getgrade(Broadsheet!BE255,data!$H$4:$I$9))</f>
        <v/>
      </c>
      <c r="CE144" s="188" t="str">
        <f>IF(ISERROR(getgrade(Broadsheet!BF255,data!$H$4:$I$9)),"#",getgrade(Broadsheet!BF255,data!$H$4:$I$9))</f>
        <v/>
      </c>
      <c r="CF144" s="188" t="str">
        <f>IF(ISERROR(getgrade(Broadsheet!BG255,data!$H$4:$I$9)),"#",getgrade(Broadsheet!BG255,data!$H$4:$I$9))</f>
        <v/>
      </c>
      <c r="CG144" s="188" t="str">
        <f>IF(ISERROR(getgrade(Broadsheet!BH255,data!$H$4:$I$9)),"#",getgrade(Broadsheet!BH255,data!$H$4:$I$9))</f>
        <v/>
      </c>
      <c r="CH144" s="188" t="str">
        <f>IF(ISERROR(getgrade(Broadsheet!BI255,data!$H$4:$I$9)),"#",getgrade(Broadsheet!BI255,data!$H$4:$I$9))</f>
        <v/>
      </c>
      <c r="CI144" s="188" t="str">
        <f>IF(ISERROR(getgrade(Broadsheet!BJ255,data!$H$4:$I$9)),"#",getgrade(Broadsheet!BJ255,data!$H$4:$I$9))</f>
        <v/>
      </c>
      <c r="CJ144" s="188"/>
      <c r="CK144" s="188"/>
      <c r="CL144" s="188"/>
      <c r="CM144" s="188"/>
      <c r="CN144" s="188"/>
      <c r="CO144" s="188"/>
      <c r="CP144" s="188"/>
      <c r="CQ144" s="188"/>
      <c r="CR144" s="188"/>
      <c r="CS144" s="188"/>
      <c r="CT144" s="188"/>
      <c r="CU144" s="188"/>
      <c r="CV144" s="188"/>
      <c r="CW144" s="188"/>
      <c r="CX144" s="188"/>
      <c r="CY144" s="188"/>
      <c r="CZ144" s="188"/>
      <c r="DA144" s="188"/>
      <c r="DB144" s="188"/>
      <c r="DC144" s="188"/>
      <c r="DD144" s="188"/>
      <c r="DE144" s="188"/>
      <c r="DF144" s="188"/>
      <c r="DG144" s="188"/>
      <c r="DH144" s="188"/>
      <c r="DI144" s="188"/>
      <c r="DJ144" s="188"/>
      <c r="DK144" s="188"/>
      <c r="DL144" s="188"/>
      <c r="DM144" s="188"/>
      <c r="DN144" s="188"/>
      <c r="DO144" s="188"/>
      <c r="DP144" s="188"/>
      <c r="DQ144" s="188"/>
      <c r="DR144" s="188"/>
      <c r="DS144" s="188"/>
      <c r="DT144" s="188"/>
      <c r="DU144" s="188"/>
      <c r="DV144" s="188"/>
      <c r="DW144" s="188"/>
      <c r="DX144" s="188"/>
      <c r="DY144" s="188"/>
      <c r="DZ144" s="188"/>
      <c r="EA144" s="188"/>
      <c r="EB144" s="188"/>
      <c r="EC144" s="188"/>
      <c r="ED144" s="188"/>
      <c r="EE144" s="188"/>
      <c r="EF144" s="188"/>
      <c r="EG144" s="188"/>
      <c r="EH144" s="188"/>
      <c r="EI144" s="188"/>
      <c r="EJ144" s="188"/>
      <c r="EK144" s="188"/>
      <c r="EL144" s="188"/>
      <c r="EM144" s="188"/>
      <c r="EN144" s="188"/>
      <c r="EO144" s="188"/>
      <c r="EP144" s="188"/>
      <c r="EQ144" s="188"/>
      <c r="ER144" s="188"/>
      <c r="ES144" s="188"/>
      <c r="ET144" s="188"/>
      <c r="EU144" s="188"/>
      <c r="EV144" s="188"/>
      <c r="EW144" s="188"/>
      <c r="EX144" s="188"/>
      <c r="EY144" s="188"/>
      <c r="EZ144" s="188"/>
    </row>
    <row r="145" spans="33:156" x14ac:dyDescent="0.2">
      <c r="AG145" s="188" t="str">
        <f>IF(ISERROR(getgrade(Broadsheet!H256,data!$H$4:$I$9)),"#",getgrade(Broadsheet!H256,data!$H$4:$I$9))</f>
        <v/>
      </c>
      <c r="AH145" s="188" t="str">
        <f>IF(ISERROR(getgrade(Broadsheet!I256,data!$H$4:$I$9)),"#",getgrade(Broadsheet!I256,data!$H$4:$I$9))</f>
        <v/>
      </c>
      <c r="AI145" s="188" t="str">
        <f>IF(ISERROR(getgrade(Broadsheet!J256,data!$H$4:$I$9)),"#",getgrade(Broadsheet!J256,data!$H$4:$I$9))</f>
        <v/>
      </c>
      <c r="AJ145" s="188" t="str">
        <f>IF(ISERROR(getgrade(Broadsheet!K256,data!$H$4:$I$9)),"#",getgrade(Broadsheet!K256,data!$H$4:$I$9))</f>
        <v/>
      </c>
      <c r="AK145" s="188" t="str">
        <f>IF(ISERROR(getgrade(Broadsheet!L256,data!$H$4:$I$9)),"#",getgrade(Broadsheet!L256,data!$H$4:$I$9))</f>
        <v/>
      </c>
      <c r="AL145" s="188" t="str">
        <f>IF(ISERROR(getgrade(Broadsheet!M256,data!$H$4:$I$9)),"#",getgrade(Broadsheet!M256,data!$H$4:$I$9))</f>
        <v/>
      </c>
      <c r="AM145" s="188" t="str">
        <f>IF(ISERROR(getgrade(Broadsheet!N256,data!$H$4:$I$9)),"#",getgrade(Broadsheet!N256,data!$H$4:$I$9))</f>
        <v/>
      </c>
      <c r="AN145" s="188" t="str">
        <f>IF(ISERROR(getgrade(Broadsheet!O256,data!$H$4:$I$9)),"#",getgrade(Broadsheet!O256,data!$H$4:$I$9))</f>
        <v/>
      </c>
      <c r="AO145" s="188" t="str">
        <f>IF(ISERROR(getgrade(Broadsheet!P256,data!$H$4:$I$9)),"#",getgrade(Broadsheet!P256,data!$H$4:$I$9))</f>
        <v/>
      </c>
      <c r="AP145" s="188" t="str">
        <f>IF(ISERROR(getgrade(Broadsheet!Q256,data!$H$4:$I$9)),"#",getgrade(Broadsheet!Q256,data!$H$4:$I$9))</f>
        <v/>
      </c>
      <c r="AQ145" s="188" t="str">
        <f>IF(ISERROR(getgrade(Broadsheet!R256,data!$H$4:$I$9)),"#",getgrade(Broadsheet!R256,data!$H$4:$I$9))</f>
        <v/>
      </c>
      <c r="AR145" s="188" t="str">
        <f>IF(ISERROR(getgrade(Broadsheet!S256,data!$H$4:$I$9)),"#",getgrade(Broadsheet!S256,data!$H$4:$I$9))</f>
        <v/>
      </c>
      <c r="AS145" s="188" t="str">
        <f>IF(ISERROR(getgrade(Broadsheet!T256,data!$H$4:$I$9)),"#",getgrade(Broadsheet!T256,data!$H$4:$I$9))</f>
        <v/>
      </c>
      <c r="AT145" s="188" t="str">
        <f>IF(ISERROR(getgrade(Broadsheet!U256,data!$H$4:$I$9)),"#",getgrade(Broadsheet!U256,data!$H$4:$I$9))</f>
        <v/>
      </c>
      <c r="AU145" s="188" t="str">
        <f>IF(ISERROR(getgrade(Broadsheet!V256,data!$H$4:$I$9)),"#",getgrade(Broadsheet!V256,data!$H$4:$I$9))</f>
        <v/>
      </c>
      <c r="AV145" s="188" t="str">
        <f>IF(ISERROR(getgrade(Broadsheet!W256,data!$H$4:$I$9)),"#",getgrade(Broadsheet!W256,data!$H$4:$I$9))</f>
        <v/>
      </c>
      <c r="AW145" s="188" t="str">
        <f>IF(ISERROR(getgrade(Broadsheet!X256,data!$H$4:$I$9)),"#",getgrade(Broadsheet!X256,data!$H$4:$I$9))</f>
        <v/>
      </c>
      <c r="AX145" s="188" t="str">
        <f>IF(ISERROR(getgrade(Broadsheet!Y256,data!$H$4:$I$9)),"#",getgrade(Broadsheet!Y256,data!$H$4:$I$9))</f>
        <v/>
      </c>
      <c r="AY145" s="188" t="str">
        <f>IF(ISERROR(getgrade(Broadsheet!Z256,data!$H$4:$I$9)),"#",getgrade(Broadsheet!Z256,data!$H$4:$I$9))</f>
        <v/>
      </c>
      <c r="AZ145" s="188" t="str">
        <f>IF(ISERROR(getgrade(Broadsheet!AA256,data!$H$4:$I$9)),"#",getgrade(Broadsheet!AA256,data!$H$4:$I$9))</f>
        <v/>
      </c>
      <c r="BA145" s="188" t="str">
        <f>IF(ISERROR(getgrade(Broadsheet!AB256,data!$H$4:$I$9)),"#",getgrade(Broadsheet!AB256,data!$H$4:$I$9))</f>
        <v/>
      </c>
      <c r="BB145" s="188" t="str">
        <f>IF(ISERROR(getgrade(Broadsheet!AC256,data!$H$4:$I$9)),"#",getgrade(Broadsheet!AC256,data!$H$4:$I$9))</f>
        <v/>
      </c>
      <c r="BC145" s="188" t="str">
        <f>IF(ISERROR(getgrade(Broadsheet!AD256,data!$H$4:$I$9)),"#",getgrade(Broadsheet!AD256,data!$H$4:$I$9))</f>
        <v/>
      </c>
      <c r="BD145" s="188" t="str">
        <f>IF(ISERROR(getgrade(Broadsheet!AE256,data!$H$4:$I$9)),"#",getgrade(Broadsheet!AE256,data!$H$4:$I$9))</f>
        <v/>
      </c>
      <c r="BE145" s="188" t="str">
        <f>IF(ISERROR(getgrade(Broadsheet!AF256,data!$H$4:$I$9)),"#",getgrade(Broadsheet!AF256,data!$H$4:$I$9))</f>
        <v/>
      </c>
      <c r="BF145" s="188" t="str">
        <f>IF(ISERROR(getgrade(Broadsheet!AG256,data!$H$4:$I$9)),"#",getgrade(Broadsheet!AG256,data!$H$4:$I$9))</f>
        <v/>
      </c>
      <c r="BG145" s="188" t="str">
        <f>IF(ISERROR(getgrade(Broadsheet!AH256,data!$H$4:$I$9)),"#",getgrade(Broadsheet!AH256,data!$H$4:$I$9))</f>
        <v/>
      </c>
      <c r="BH145" s="188" t="str">
        <f>IF(ISERROR(getgrade(Broadsheet!AI256,data!$H$4:$I$9)),"#",getgrade(Broadsheet!AI256,data!$H$4:$I$9))</f>
        <v/>
      </c>
      <c r="BI145" s="188" t="str">
        <f>IF(ISERROR(getgrade(Broadsheet!AJ256,data!$H$4:$I$9)),"#",getgrade(Broadsheet!AJ256,data!$H$4:$I$9))</f>
        <v/>
      </c>
      <c r="BJ145" s="188" t="str">
        <f>IF(ISERROR(getgrade(Broadsheet!AK256,data!$H$4:$I$9)),"#",getgrade(Broadsheet!AK256,data!$H$4:$I$9))</f>
        <v/>
      </c>
      <c r="BK145" s="188" t="str">
        <f>IF(ISERROR(getgrade(Broadsheet!AL256,data!$H$4:$I$9)),"#",getgrade(Broadsheet!AL256,data!$H$4:$I$9))</f>
        <v/>
      </c>
      <c r="BL145" s="188" t="str">
        <f>IF(ISERROR(getgrade(Broadsheet!AM256,data!$H$4:$I$9)),"#",getgrade(Broadsheet!AM256,data!$H$4:$I$9))</f>
        <v/>
      </c>
      <c r="BM145" s="188" t="str">
        <f>IF(ISERROR(getgrade(Broadsheet!AN256,data!$H$4:$I$9)),"#",getgrade(Broadsheet!AN256,data!$H$4:$I$9))</f>
        <v/>
      </c>
      <c r="BN145" s="188" t="str">
        <f>IF(ISERROR(getgrade(Broadsheet!AO256,data!$H$4:$I$9)),"#",getgrade(Broadsheet!AO256,data!$H$4:$I$9))</f>
        <v/>
      </c>
      <c r="BO145" s="188" t="str">
        <f>IF(ISERROR(getgrade(Broadsheet!AP256,data!$H$4:$I$9)),"#",getgrade(Broadsheet!AP256,data!$H$4:$I$9))</f>
        <v/>
      </c>
      <c r="BP145" s="188" t="str">
        <f>IF(ISERROR(getgrade(Broadsheet!AQ256,data!$H$4:$I$9)),"#",getgrade(Broadsheet!AQ256,data!$H$4:$I$9))</f>
        <v/>
      </c>
      <c r="BQ145" s="188" t="str">
        <f>IF(ISERROR(getgrade(Broadsheet!AR256,data!$H$4:$I$9)),"#",getgrade(Broadsheet!AR256,data!$H$4:$I$9))</f>
        <v/>
      </c>
      <c r="BR145" s="188" t="str">
        <f>IF(ISERROR(getgrade(Broadsheet!AS256,data!$H$4:$I$9)),"#",getgrade(Broadsheet!AS256,data!$H$4:$I$9))</f>
        <v/>
      </c>
      <c r="BS145" s="188" t="str">
        <f>IF(ISERROR(getgrade(Broadsheet!AT256,data!$H$4:$I$9)),"#",getgrade(Broadsheet!AT256,data!$H$4:$I$9))</f>
        <v/>
      </c>
      <c r="BT145" s="188" t="str">
        <f>IF(ISERROR(getgrade(Broadsheet!AU256,data!$H$4:$I$9)),"#",getgrade(Broadsheet!AU256,data!$H$4:$I$9))</f>
        <v/>
      </c>
      <c r="BU145" s="188" t="str">
        <f>IF(ISERROR(getgrade(Broadsheet!AV256,data!$H$4:$I$9)),"#",getgrade(Broadsheet!AV256,data!$H$4:$I$9))</f>
        <v/>
      </c>
      <c r="BV145" s="188" t="str">
        <f>IF(ISERROR(getgrade(Broadsheet!AW256,data!$H$4:$I$9)),"#",getgrade(Broadsheet!AW256,data!$H$4:$I$9))</f>
        <v/>
      </c>
      <c r="BW145" s="188" t="str">
        <f>IF(ISERROR(getgrade(Broadsheet!AX256,data!$H$4:$I$9)),"#",getgrade(Broadsheet!AX256,data!$H$4:$I$9))</f>
        <v/>
      </c>
      <c r="BX145" s="188" t="str">
        <f>IF(ISERROR(getgrade(Broadsheet!AY256,data!$H$4:$I$9)),"#",getgrade(Broadsheet!AY256,data!$H$4:$I$9))</f>
        <v/>
      </c>
      <c r="BY145" s="188" t="str">
        <f>IF(ISERROR(getgrade(Broadsheet!AZ256,data!$H$4:$I$9)),"#",getgrade(Broadsheet!AZ256,data!$H$4:$I$9))</f>
        <v/>
      </c>
      <c r="BZ145" s="188" t="str">
        <f>IF(ISERROR(getgrade(Broadsheet!BA256,data!$H$4:$I$9)),"#",getgrade(Broadsheet!BA256,data!$H$4:$I$9))</f>
        <v/>
      </c>
      <c r="CA145" s="188" t="str">
        <f>IF(ISERROR(getgrade(Broadsheet!BB256,data!$H$4:$I$9)),"#",getgrade(Broadsheet!BB256,data!$H$4:$I$9))</f>
        <v/>
      </c>
      <c r="CB145" s="188" t="str">
        <f>IF(ISERROR(getgrade(Broadsheet!BC256,data!$H$4:$I$9)),"#",getgrade(Broadsheet!BC256,data!$H$4:$I$9))</f>
        <v/>
      </c>
      <c r="CC145" s="188" t="str">
        <f>IF(ISERROR(getgrade(Broadsheet!BD256,data!$H$4:$I$9)),"#",getgrade(Broadsheet!BD256,data!$H$4:$I$9))</f>
        <v/>
      </c>
      <c r="CD145" s="188" t="str">
        <f>IF(ISERROR(getgrade(Broadsheet!BE256,data!$H$4:$I$9)),"#",getgrade(Broadsheet!BE256,data!$H$4:$I$9))</f>
        <v/>
      </c>
      <c r="CE145" s="188" t="str">
        <f>IF(ISERROR(getgrade(Broadsheet!BF256,data!$H$4:$I$9)),"#",getgrade(Broadsheet!BF256,data!$H$4:$I$9))</f>
        <v/>
      </c>
      <c r="CF145" s="188" t="str">
        <f>IF(ISERROR(getgrade(Broadsheet!BG256,data!$H$4:$I$9)),"#",getgrade(Broadsheet!BG256,data!$H$4:$I$9))</f>
        <v/>
      </c>
      <c r="CG145" s="188" t="str">
        <f>IF(ISERROR(getgrade(Broadsheet!BH256,data!$H$4:$I$9)),"#",getgrade(Broadsheet!BH256,data!$H$4:$I$9))</f>
        <v/>
      </c>
      <c r="CH145" s="188" t="str">
        <f>IF(ISERROR(getgrade(Broadsheet!BI256,data!$H$4:$I$9)),"#",getgrade(Broadsheet!BI256,data!$H$4:$I$9))</f>
        <v/>
      </c>
      <c r="CI145" s="188" t="str">
        <f>IF(ISERROR(getgrade(Broadsheet!BJ256,data!$H$4:$I$9)),"#",getgrade(Broadsheet!BJ256,data!$H$4:$I$9))</f>
        <v/>
      </c>
      <c r="CJ145" s="188"/>
      <c r="CK145" s="188"/>
      <c r="CL145" s="188"/>
      <c r="CM145" s="188"/>
      <c r="CN145" s="188"/>
      <c r="CO145" s="188"/>
      <c r="CP145" s="188"/>
      <c r="CQ145" s="188"/>
      <c r="CR145" s="188"/>
      <c r="CS145" s="188"/>
      <c r="CT145" s="188"/>
      <c r="CU145" s="188"/>
      <c r="CV145" s="188"/>
      <c r="CW145" s="188"/>
      <c r="CX145" s="188"/>
      <c r="CY145" s="188"/>
      <c r="CZ145" s="188"/>
      <c r="DA145" s="188"/>
      <c r="DB145" s="188"/>
      <c r="DC145" s="188"/>
      <c r="DD145" s="188"/>
      <c r="DE145" s="188"/>
      <c r="DF145" s="188"/>
      <c r="DG145" s="188"/>
      <c r="DH145" s="188"/>
      <c r="DI145" s="188"/>
      <c r="DJ145" s="188"/>
      <c r="DK145" s="188"/>
      <c r="DL145" s="188"/>
      <c r="DM145" s="188"/>
      <c r="DN145" s="188"/>
      <c r="DO145" s="188"/>
      <c r="DP145" s="188"/>
      <c r="DQ145" s="188"/>
      <c r="DR145" s="188"/>
      <c r="DS145" s="188"/>
      <c r="DT145" s="188"/>
      <c r="DU145" s="188"/>
      <c r="DV145" s="188"/>
      <c r="DW145" s="188"/>
      <c r="DX145" s="188"/>
      <c r="DY145" s="188"/>
      <c r="DZ145" s="188"/>
      <c r="EA145" s="188"/>
      <c r="EB145" s="188"/>
      <c r="EC145" s="188"/>
      <c r="ED145" s="188"/>
      <c r="EE145" s="188"/>
      <c r="EF145" s="188"/>
      <c r="EG145" s="188"/>
      <c r="EH145" s="188"/>
      <c r="EI145" s="188"/>
      <c r="EJ145" s="188"/>
      <c r="EK145" s="188"/>
      <c r="EL145" s="188"/>
      <c r="EM145" s="188"/>
      <c r="EN145" s="188"/>
      <c r="EO145" s="188"/>
      <c r="EP145" s="188"/>
      <c r="EQ145" s="188"/>
      <c r="ER145" s="188"/>
      <c r="ES145" s="188"/>
      <c r="ET145" s="188"/>
      <c r="EU145" s="188"/>
      <c r="EV145" s="188"/>
      <c r="EW145" s="188"/>
      <c r="EX145" s="188"/>
      <c r="EY145" s="188"/>
      <c r="EZ145" s="188"/>
    </row>
    <row r="146" spans="33:156" x14ac:dyDescent="0.2">
      <c r="AG146" s="188" t="str">
        <f>IF(ISERROR(getgrade(Broadsheet!H257,data!$H$4:$I$9)),"#",getgrade(Broadsheet!H257,data!$H$4:$I$9))</f>
        <v/>
      </c>
      <c r="AH146" s="188" t="str">
        <f>IF(ISERROR(getgrade(Broadsheet!I257,data!$H$4:$I$9)),"#",getgrade(Broadsheet!I257,data!$H$4:$I$9))</f>
        <v/>
      </c>
      <c r="AI146" s="188" t="str">
        <f>IF(ISERROR(getgrade(Broadsheet!J257,data!$H$4:$I$9)),"#",getgrade(Broadsheet!J257,data!$H$4:$I$9))</f>
        <v/>
      </c>
      <c r="AJ146" s="188" t="str">
        <f>IF(ISERROR(getgrade(Broadsheet!K257,data!$H$4:$I$9)),"#",getgrade(Broadsheet!K257,data!$H$4:$I$9))</f>
        <v/>
      </c>
      <c r="AK146" s="188" t="str">
        <f>IF(ISERROR(getgrade(Broadsheet!L257,data!$H$4:$I$9)),"#",getgrade(Broadsheet!L257,data!$H$4:$I$9))</f>
        <v/>
      </c>
      <c r="AL146" s="188" t="str">
        <f>IF(ISERROR(getgrade(Broadsheet!M257,data!$H$4:$I$9)),"#",getgrade(Broadsheet!M257,data!$H$4:$I$9))</f>
        <v/>
      </c>
      <c r="AM146" s="188" t="str">
        <f>IF(ISERROR(getgrade(Broadsheet!N257,data!$H$4:$I$9)),"#",getgrade(Broadsheet!N257,data!$H$4:$I$9))</f>
        <v/>
      </c>
      <c r="AN146" s="188" t="str">
        <f>IF(ISERROR(getgrade(Broadsheet!O257,data!$H$4:$I$9)),"#",getgrade(Broadsheet!O257,data!$H$4:$I$9))</f>
        <v/>
      </c>
      <c r="AO146" s="188" t="str">
        <f>IF(ISERROR(getgrade(Broadsheet!P257,data!$H$4:$I$9)),"#",getgrade(Broadsheet!P257,data!$H$4:$I$9))</f>
        <v/>
      </c>
      <c r="AP146" s="188" t="str">
        <f>IF(ISERROR(getgrade(Broadsheet!Q257,data!$H$4:$I$9)),"#",getgrade(Broadsheet!Q257,data!$H$4:$I$9))</f>
        <v/>
      </c>
      <c r="AQ146" s="188" t="str">
        <f>IF(ISERROR(getgrade(Broadsheet!R257,data!$H$4:$I$9)),"#",getgrade(Broadsheet!R257,data!$H$4:$I$9))</f>
        <v/>
      </c>
      <c r="AR146" s="188" t="str">
        <f>IF(ISERROR(getgrade(Broadsheet!S257,data!$H$4:$I$9)),"#",getgrade(Broadsheet!S257,data!$H$4:$I$9))</f>
        <v/>
      </c>
      <c r="AS146" s="188" t="str">
        <f>IF(ISERROR(getgrade(Broadsheet!T257,data!$H$4:$I$9)),"#",getgrade(Broadsheet!T257,data!$H$4:$I$9))</f>
        <v/>
      </c>
      <c r="AT146" s="188" t="str">
        <f>IF(ISERROR(getgrade(Broadsheet!U257,data!$H$4:$I$9)),"#",getgrade(Broadsheet!U257,data!$H$4:$I$9))</f>
        <v/>
      </c>
      <c r="AU146" s="188" t="str">
        <f>IF(ISERROR(getgrade(Broadsheet!V257,data!$H$4:$I$9)),"#",getgrade(Broadsheet!V257,data!$H$4:$I$9))</f>
        <v/>
      </c>
      <c r="AV146" s="188" t="str">
        <f>IF(ISERROR(getgrade(Broadsheet!W257,data!$H$4:$I$9)),"#",getgrade(Broadsheet!W257,data!$H$4:$I$9))</f>
        <v/>
      </c>
      <c r="AW146" s="188" t="str">
        <f>IF(ISERROR(getgrade(Broadsheet!X257,data!$H$4:$I$9)),"#",getgrade(Broadsheet!X257,data!$H$4:$I$9))</f>
        <v/>
      </c>
      <c r="AX146" s="188" t="str">
        <f>IF(ISERROR(getgrade(Broadsheet!Y257,data!$H$4:$I$9)),"#",getgrade(Broadsheet!Y257,data!$H$4:$I$9))</f>
        <v/>
      </c>
      <c r="AY146" s="188" t="str">
        <f>IF(ISERROR(getgrade(Broadsheet!Z257,data!$H$4:$I$9)),"#",getgrade(Broadsheet!Z257,data!$H$4:$I$9))</f>
        <v/>
      </c>
      <c r="AZ146" s="188" t="str">
        <f>IF(ISERROR(getgrade(Broadsheet!AA257,data!$H$4:$I$9)),"#",getgrade(Broadsheet!AA257,data!$H$4:$I$9))</f>
        <v/>
      </c>
      <c r="BA146" s="188" t="str">
        <f>IF(ISERROR(getgrade(Broadsheet!AB257,data!$H$4:$I$9)),"#",getgrade(Broadsheet!AB257,data!$H$4:$I$9))</f>
        <v/>
      </c>
      <c r="BB146" s="188" t="str">
        <f>IF(ISERROR(getgrade(Broadsheet!AC257,data!$H$4:$I$9)),"#",getgrade(Broadsheet!AC257,data!$H$4:$I$9))</f>
        <v/>
      </c>
      <c r="BC146" s="188" t="str">
        <f>IF(ISERROR(getgrade(Broadsheet!AD257,data!$H$4:$I$9)),"#",getgrade(Broadsheet!AD257,data!$H$4:$I$9))</f>
        <v/>
      </c>
      <c r="BD146" s="188" t="str">
        <f>IF(ISERROR(getgrade(Broadsheet!AE257,data!$H$4:$I$9)),"#",getgrade(Broadsheet!AE257,data!$H$4:$I$9))</f>
        <v/>
      </c>
      <c r="BE146" s="188" t="str">
        <f>IF(ISERROR(getgrade(Broadsheet!AF257,data!$H$4:$I$9)),"#",getgrade(Broadsheet!AF257,data!$H$4:$I$9))</f>
        <v/>
      </c>
      <c r="BF146" s="188" t="str">
        <f>IF(ISERROR(getgrade(Broadsheet!AG257,data!$H$4:$I$9)),"#",getgrade(Broadsheet!AG257,data!$H$4:$I$9))</f>
        <v/>
      </c>
      <c r="BG146" s="188" t="str">
        <f>IF(ISERROR(getgrade(Broadsheet!AH257,data!$H$4:$I$9)),"#",getgrade(Broadsheet!AH257,data!$H$4:$I$9))</f>
        <v/>
      </c>
      <c r="BH146" s="188" t="str">
        <f>IF(ISERROR(getgrade(Broadsheet!AI257,data!$H$4:$I$9)),"#",getgrade(Broadsheet!AI257,data!$H$4:$I$9))</f>
        <v/>
      </c>
      <c r="BI146" s="188" t="str">
        <f>IF(ISERROR(getgrade(Broadsheet!AJ257,data!$H$4:$I$9)),"#",getgrade(Broadsheet!AJ257,data!$H$4:$I$9))</f>
        <v/>
      </c>
      <c r="BJ146" s="188" t="str">
        <f>IF(ISERROR(getgrade(Broadsheet!AK257,data!$H$4:$I$9)),"#",getgrade(Broadsheet!AK257,data!$H$4:$I$9))</f>
        <v/>
      </c>
      <c r="BK146" s="188" t="str">
        <f>IF(ISERROR(getgrade(Broadsheet!AL257,data!$H$4:$I$9)),"#",getgrade(Broadsheet!AL257,data!$H$4:$I$9))</f>
        <v/>
      </c>
      <c r="BL146" s="188" t="str">
        <f>IF(ISERROR(getgrade(Broadsheet!AM257,data!$H$4:$I$9)),"#",getgrade(Broadsheet!AM257,data!$H$4:$I$9))</f>
        <v/>
      </c>
      <c r="BM146" s="188" t="str">
        <f>IF(ISERROR(getgrade(Broadsheet!AN257,data!$H$4:$I$9)),"#",getgrade(Broadsheet!AN257,data!$H$4:$I$9))</f>
        <v/>
      </c>
      <c r="BN146" s="188" t="str">
        <f>IF(ISERROR(getgrade(Broadsheet!AO257,data!$H$4:$I$9)),"#",getgrade(Broadsheet!AO257,data!$H$4:$I$9))</f>
        <v/>
      </c>
      <c r="BO146" s="188" t="str">
        <f>IF(ISERROR(getgrade(Broadsheet!AP257,data!$H$4:$I$9)),"#",getgrade(Broadsheet!AP257,data!$H$4:$I$9))</f>
        <v/>
      </c>
      <c r="BP146" s="188" t="str">
        <f>IF(ISERROR(getgrade(Broadsheet!AQ257,data!$H$4:$I$9)),"#",getgrade(Broadsheet!AQ257,data!$H$4:$I$9))</f>
        <v/>
      </c>
      <c r="BQ146" s="188" t="str">
        <f>IF(ISERROR(getgrade(Broadsheet!AR257,data!$H$4:$I$9)),"#",getgrade(Broadsheet!AR257,data!$H$4:$I$9))</f>
        <v/>
      </c>
      <c r="BR146" s="188" t="str">
        <f>IF(ISERROR(getgrade(Broadsheet!AS257,data!$H$4:$I$9)),"#",getgrade(Broadsheet!AS257,data!$H$4:$I$9))</f>
        <v/>
      </c>
      <c r="BS146" s="188" t="str">
        <f>IF(ISERROR(getgrade(Broadsheet!AT257,data!$H$4:$I$9)),"#",getgrade(Broadsheet!AT257,data!$H$4:$I$9))</f>
        <v/>
      </c>
      <c r="BT146" s="188" t="str">
        <f>IF(ISERROR(getgrade(Broadsheet!AU257,data!$H$4:$I$9)),"#",getgrade(Broadsheet!AU257,data!$H$4:$I$9))</f>
        <v/>
      </c>
      <c r="BU146" s="188" t="str">
        <f>IF(ISERROR(getgrade(Broadsheet!AV257,data!$H$4:$I$9)),"#",getgrade(Broadsheet!AV257,data!$H$4:$I$9))</f>
        <v/>
      </c>
      <c r="BV146" s="188" t="str">
        <f>IF(ISERROR(getgrade(Broadsheet!AW257,data!$H$4:$I$9)),"#",getgrade(Broadsheet!AW257,data!$H$4:$I$9))</f>
        <v/>
      </c>
      <c r="BW146" s="188" t="str">
        <f>IF(ISERROR(getgrade(Broadsheet!AX257,data!$H$4:$I$9)),"#",getgrade(Broadsheet!AX257,data!$H$4:$I$9))</f>
        <v/>
      </c>
      <c r="BX146" s="188" t="str">
        <f>IF(ISERROR(getgrade(Broadsheet!AY257,data!$H$4:$I$9)),"#",getgrade(Broadsheet!AY257,data!$H$4:$I$9))</f>
        <v/>
      </c>
      <c r="BY146" s="188" t="str">
        <f>IF(ISERROR(getgrade(Broadsheet!AZ257,data!$H$4:$I$9)),"#",getgrade(Broadsheet!AZ257,data!$H$4:$I$9))</f>
        <v/>
      </c>
      <c r="BZ146" s="188" t="str">
        <f>IF(ISERROR(getgrade(Broadsheet!BA257,data!$H$4:$I$9)),"#",getgrade(Broadsheet!BA257,data!$H$4:$I$9))</f>
        <v/>
      </c>
      <c r="CA146" s="188" t="str">
        <f>IF(ISERROR(getgrade(Broadsheet!BB257,data!$H$4:$I$9)),"#",getgrade(Broadsheet!BB257,data!$H$4:$I$9))</f>
        <v/>
      </c>
      <c r="CB146" s="188" t="str">
        <f>IF(ISERROR(getgrade(Broadsheet!BC257,data!$H$4:$I$9)),"#",getgrade(Broadsheet!BC257,data!$H$4:$I$9))</f>
        <v/>
      </c>
      <c r="CC146" s="188" t="str">
        <f>IF(ISERROR(getgrade(Broadsheet!BD257,data!$H$4:$I$9)),"#",getgrade(Broadsheet!BD257,data!$H$4:$I$9))</f>
        <v/>
      </c>
      <c r="CD146" s="188" t="str">
        <f>IF(ISERROR(getgrade(Broadsheet!BE257,data!$H$4:$I$9)),"#",getgrade(Broadsheet!BE257,data!$H$4:$I$9))</f>
        <v/>
      </c>
      <c r="CE146" s="188" t="str">
        <f>IF(ISERROR(getgrade(Broadsheet!BF257,data!$H$4:$I$9)),"#",getgrade(Broadsheet!BF257,data!$H$4:$I$9))</f>
        <v/>
      </c>
      <c r="CF146" s="188" t="str">
        <f>IF(ISERROR(getgrade(Broadsheet!BG257,data!$H$4:$I$9)),"#",getgrade(Broadsheet!BG257,data!$H$4:$I$9))</f>
        <v/>
      </c>
      <c r="CG146" s="188" t="str">
        <f>IF(ISERROR(getgrade(Broadsheet!BH257,data!$H$4:$I$9)),"#",getgrade(Broadsheet!BH257,data!$H$4:$I$9))</f>
        <v/>
      </c>
      <c r="CH146" s="188" t="str">
        <f>IF(ISERROR(getgrade(Broadsheet!BI257,data!$H$4:$I$9)),"#",getgrade(Broadsheet!BI257,data!$H$4:$I$9))</f>
        <v/>
      </c>
      <c r="CI146" s="188" t="str">
        <f>IF(ISERROR(getgrade(Broadsheet!BJ257,data!$H$4:$I$9)),"#",getgrade(Broadsheet!BJ257,data!$H$4:$I$9))</f>
        <v/>
      </c>
      <c r="CJ146" s="188"/>
      <c r="CK146" s="188"/>
      <c r="CL146" s="188"/>
      <c r="CM146" s="188"/>
      <c r="CN146" s="188"/>
      <c r="CO146" s="188"/>
      <c r="CP146" s="188"/>
      <c r="CQ146" s="188"/>
      <c r="CR146" s="188"/>
      <c r="CS146" s="188"/>
      <c r="CT146" s="188"/>
      <c r="CU146" s="188"/>
      <c r="CV146" s="188"/>
      <c r="CW146" s="188"/>
      <c r="CX146" s="188"/>
      <c r="CY146" s="188"/>
      <c r="CZ146" s="188"/>
      <c r="DA146" s="188"/>
      <c r="DB146" s="188"/>
      <c r="DC146" s="188"/>
      <c r="DD146" s="188"/>
      <c r="DE146" s="188"/>
      <c r="DF146" s="188"/>
      <c r="DG146" s="188"/>
      <c r="DH146" s="188"/>
      <c r="DI146" s="188"/>
      <c r="DJ146" s="188"/>
      <c r="DK146" s="188"/>
      <c r="DL146" s="188"/>
      <c r="DM146" s="188"/>
      <c r="DN146" s="188"/>
      <c r="DO146" s="188"/>
      <c r="DP146" s="188"/>
      <c r="DQ146" s="188"/>
      <c r="DR146" s="188"/>
      <c r="DS146" s="188"/>
      <c r="DT146" s="188"/>
      <c r="DU146" s="188"/>
      <c r="DV146" s="188"/>
      <c r="DW146" s="188"/>
      <c r="DX146" s="188"/>
      <c r="DY146" s="188"/>
      <c r="DZ146" s="188"/>
      <c r="EA146" s="188"/>
      <c r="EB146" s="188"/>
      <c r="EC146" s="188"/>
      <c r="ED146" s="188"/>
      <c r="EE146" s="188"/>
      <c r="EF146" s="188"/>
      <c r="EG146" s="188"/>
      <c r="EH146" s="188"/>
      <c r="EI146" s="188"/>
      <c r="EJ146" s="188"/>
      <c r="EK146" s="188"/>
      <c r="EL146" s="188"/>
      <c r="EM146" s="188"/>
      <c r="EN146" s="188"/>
      <c r="EO146" s="188"/>
      <c r="EP146" s="188"/>
      <c r="EQ146" s="188"/>
      <c r="ER146" s="188"/>
      <c r="ES146" s="188"/>
      <c r="ET146" s="188"/>
      <c r="EU146" s="188"/>
      <c r="EV146" s="188"/>
      <c r="EW146" s="188"/>
      <c r="EX146" s="188"/>
      <c r="EY146" s="188"/>
      <c r="EZ146" s="188"/>
    </row>
    <row r="147" spans="33:156" x14ac:dyDescent="0.2">
      <c r="AG147" s="188" t="str">
        <f>IF(ISERROR(getgrade(Broadsheet!H258,data!$H$4:$I$9)),"#",getgrade(Broadsheet!H258,data!$H$4:$I$9))</f>
        <v/>
      </c>
      <c r="AH147" s="188" t="str">
        <f>IF(ISERROR(getgrade(Broadsheet!I258,data!$H$4:$I$9)),"#",getgrade(Broadsheet!I258,data!$H$4:$I$9))</f>
        <v/>
      </c>
      <c r="AI147" s="188" t="str">
        <f>IF(ISERROR(getgrade(Broadsheet!J258,data!$H$4:$I$9)),"#",getgrade(Broadsheet!J258,data!$H$4:$I$9))</f>
        <v/>
      </c>
      <c r="AJ147" s="188" t="str">
        <f>IF(ISERROR(getgrade(Broadsheet!K258,data!$H$4:$I$9)),"#",getgrade(Broadsheet!K258,data!$H$4:$I$9))</f>
        <v/>
      </c>
      <c r="AK147" s="188" t="str">
        <f>IF(ISERROR(getgrade(Broadsheet!L258,data!$H$4:$I$9)),"#",getgrade(Broadsheet!L258,data!$H$4:$I$9))</f>
        <v/>
      </c>
      <c r="AL147" s="188" t="str">
        <f>IF(ISERROR(getgrade(Broadsheet!M258,data!$H$4:$I$9)),"#",getgrade(Broadsheet!M258,data!$H$4:$I$9))</f>
        <v/>
      </c>
      <c r="AM147" s="188" t="str">
        <f>IF(ISERROR(getgrade(Broadsheet!N258,data!$H$4:$I$9)),"#",getgrade(Broadsheet!N258,data!$H$4:$I$9))</f>
        <v/>
      </c>
      <c r="AN147" s="188" t="str">
        <f>IF(ISERROR(getgrade(Broadsheet!O258,data!$H$4:$I$9)),"#",getgrade(Broadsheet!O258,data!$H$4:$I$9))</f>
        <v/>
      </c>
      <c r="AO147" s="188" t="str">
        <f>IF(ISERROR(getgrade(Broadsheet!P258,data!$H$4:$I$9)),"#",getgrade(Broadsheet!P258,data!$H$4:$I$9))</f>
        <v/>
      </c>
      <c r="AP147" s="188" t="str">
        <f>IF(ISERROR(getgrade(Broadsheet!Q258,data!$H$4:$I$9)),"#",getgrade(Broadsheet!Q258,data!$H$4:$I$9))</f>
        <v/>
      </c>
      <c r="AQ147" s="188" t="str">
        <f>IF(ISERROR(getgrade(Broadsheet!R258,data!$H$4:$I$9)),"#",getgrade(Broadsheet!R258,data!$H$4:$I$9))</f>
        <v/>
      </c>
      <c r="AR147" s="188" t="str">
        <f>IF(ISERROR(getgrade(Broadsheet!S258,data!$H$4:$I$9)),"#",getgrade(Broadsheet!S258,data!$H$4:$I$9))</f>
        <v/>
      </c>
      <c r="AS147" s="188" t="str">
        <f>IF(ISERROR(getgrade(Broadsheet!T258,data!$H$4:$I$9)),"#",getgrade(Broadsheet!T258,data!$H$4:$I$9))</f>
        <v/>
      </c>
      <c r="AT147" s="188" t="str">
        <f>IF(ISERROR(getgrade(Broadsheet!U258,data!$H$4:$I$9)),"#",getgrade(Broadsheet!U258,data!$H$4:$I$9))</f>
        <v/>
      </c>
      <c r="AU147" s="188" t="str">
        <f>IF(ISERROR(getgrade(Broadsheet!V258,data!$H$4:$I$9)),"#",getgrade(Broadsheet!V258,data!$H$4:$I$9))</f>
        <v/>
      </c>
      <c r="AV147" s="188" t="str">
        <f>IF(ISERROR(getgrade(Broadsheet!W258,data!$H$4:$I$9)),"#",getgrade(Broadsheet!W258,data!$H$4:$I$9))</f>
        <v/>
      </c>
      <c r="AW147" s="188" t="str">
        <f>IF(ISERROR(getgrade(Broadsheet!X258,data!$H$4:$I$9)),"#",getgrade(Broadsheet!X258,data!$H$4:$I$9))</f>
        <v/>
      </c>
      <c r="AX147" s="188" t="str">
        <f>IF(ISERROR(getgrade(Broadsheet!Y258,data!$H$4:$I$9)),"#",getgrade(Broadsheet!Y258,data!$H$4:$I$9))</f>
        <v/>
      </c>
      <c r="AY147" s="188" t="str">
        <f>IF(ISERROR(getgrade(Broadsheet!Z258,data!$H$4:$I$9)),"#",getgrade(Broadsheet!Z258,data!$H$4:$I$9))</f>
        <v/>
      </c>
      <c r="AZ147" s="188" t="str">
        <f>IF(ISERROR(getgrade(Broadsheet!AA258,data!$H$4:$I$9)),"#",getgrade(Broadsheet!AA258,data!$H$4:$I$9))</f>
        <v/>
      </c>
      <c r="BA147" s="188" t="str">
        <f>IF(ISERROR(getgrade(Broadsheet!AB258,data!$H$4:$I$9)),"#",getgrade(Broadsheet!AB258,data!$H$4:$I$9))</f>
        <v/>
      </c>
      <c r="BB147" s="188" t="str">
        <f>IF(ISERROR(getgrade(Broadsheet!AC258,data!$H$4:$I$9)),"#",getgrade(Broadsheet!AC258,data!$H$4:$I$9))</f>
        <v/>
      </c>
      <c r="BC147" s="188" t="str">
        <f>IF(ISERROR(getgrade(Broadsheet!AD258,data!$H$4:$I$9)),"#",getgrade(Broadsheet!AD258,data!$H$4:$I$9))</f>
        <v/>
      </c>
      <c r="BD147" s="188" t="str">
        <f>IF(ISERROR(getgrade(Broadsheet!AE258,data!$H$4:$I$9)),"#",getgrade(Broadsheet!AE258,data!$H$4:$I$9))</f>
        <v/>
      </c>
      <c r="BE147" s="188" t="str">
        <f>IF(ISERROR(getgrade(Broadsheet!AF258,data!$H$4:$I$9)),"#",getgrade(Broadsheet!AF258,data!$H$4:$I$9))</f>
        <v/>
      </c>
      <c r="BF147" s="188" t="str">
        <f>IF(ISERROR(getgrade(Broadsheet!AG258,data!$H$4:$I$9)),"#",getgrade(Broadsheet!AG258,data!$H$4:$I$9))</f>
        <v/>
      </c>
      <c r="BG147" s="188" t="str">
        <f>IF(ISERROR(getgrade(Broadsheet!AH258,data!$H$4:$I$9)),"#",getgrade(Broadsheet!AH258,data!$H$4:$I$9))</f>
        <v/>
      </c>
      <c r="BH147" s="188" t="str">
        <f>IF(ISERROR(getgrade(Broadsheet!AI258,data!$H$4:$I$9)),"#",getgrade(Broadsheet!AI258,data!$H$4:$I$9))</f>
        <v/>
      </c>
      <c r="BI147" s="188" t="str">
        <f>IF(ISERROR(getgrade(Broadsheet!AJ258,data!$H$4:$I$9)),"#",getgrade(Broadsheet!AJ258,data!$H$4:$I$9))</f>
        <v/>
      </c>
      <c r="BJ147" s="188" t="str">
        <f>IF(ISERROR(getgrade(Broadsheet!AK258,data!$H$4:$I$9)),"#",getgrade(Broadsheet!AK258,data!$H$4:$I$9))</f>
        <v/>
      </c>
      <c r="BK147" s="188" t="str">
        <f>IF(ISERROR(getgrade(Broadsheet!AL258,data!$H$4:$I$9)),"#",getgrade(Broadsheet!AL258,data!$H$4:$I$9))</f>
        <v/>
      </c>
      <c r="BL147" s="188" t="str">
        <f>IF(ISERROR(getgrade(Broadsheet!AM258,data!$H$4:$I$9)),"#",getgrade(Broadsheet!AM258,data!$H$4:$I$9))</f>
        <v/>
      </c>
      <c r="BM147" s="188" t="str">
        <f>IF(ISERROR(getgrade(Broadsheet!AN258,data!$H$4:$I$9)),"#",getgrade(Broadsheet!AN258,data!$H$4:$I$9))</f>
        <v/>
      </c>
      <c r="BN147" s="188" t="str">
        <f>IF(ISERROR(getgrade(Broadsheet!AO258,data!$H$4:$I$9)),"#",getgrade(Broadsheet!AO258,data!$H$4:$I$9))</f>
        <v/>
      </c>
      <c r="BO147" s="188" t="str">
        <f>IF(ISERROR(getgrade(Broadsheet!AP258,data!$H$4:$I$9)),"#",getgrade(Broadsheet!AP258,data!$H$4:$I$9))</f>
        <v/>
      </c>
      <c r="BP147" s="188" t="str">
        <f>IF(ISERROR(getgrade(Broadsheet!AQ258,data!$H$4:$I$9)),"#",getgrade(Broadsheet!AQ258,data!$H$4:$I$9))</f>
        <v/>
      </c>
      <c r="BQ147" s="188" t="str">
        <f>IF(ISERROR(getgrade(Broadsheet!AR258,data!$H$4:$I$9)),"#",getgrade(Broadsheet!AR258,data!$H$4:$I$9))</f>
        <v/>
      </c>
      <c r="BR147" s="188" t="str">
        <f>IF(ISERROR(getgrade(Broadsheet!AS258,data!$H$4:$I$9)),"#",getgrade(Broadsheet!AS258,data!$H$4:$I$9))</f>
        <v/>
      </c>
      <c r="BS147" s="188" t="str">
        <f>IF(ISERROR(getgrade(Broadsheet!AT258,data!$H$4:$I$9)),"#",getgrade(Broadsheet!AT258,data!$H$4:$I$9))</f>
        <v/>
      </c>
      <c r="BT147" s="188" t="str">
        <f>IF(ISERROR(getgrade(Broadsheet!AU258,data!$H$4:$I$9)),"#",getgrade(Broadsheet!AU258,data!$H$4:$I$9))</f>
        <v/>
      </c>
      <c r="BU147" s="188" t="str">
        <f>IF(ISERROR(getgrade(Broadsheet!AV258,data!$H$4:$I$9)),"#",getgrade(Broadsheet!AV258,data!$H$4:$I$9))</f>
        <v/>
      </c>
      <c r="BV147" s="188" t="str">
        <f>IF(ISERROR(getgrade(Broadsheet!AW258,data!$H$4:$I$9)),"#",getgrade(Broadsheet!AW258,data!$H$4:$I$9))</f>
        <v/>
      </c>
      <c r="BW147" s="188" t="str">
        <f>IF(ISERROR(getgrade(Broadsheet!AX258,data!$H$4:$I$9)),"#",getgrade(Broadsheet!AX258,data!$H$4:$I$9))</f>
        <v/>
      </c>
      <c r="BX147" s="188" t="str">
        <f>IF(ISERROR(getgrade(Broadsheet!AY258,data!$H$4:$I$9)),"#",getgrade(Broadsheet!AY258,data!$H$4:$I$9))</f>
        <v/>
      </c>
      <c r="BY147" s="188" t="str">
        <f>IF(ISERROR(getgrade(Broadsheet!AZ258,data!$H$4:$I$9)),"#",getgrade(Broadsheet!AZ258,data!$H$4:$I$9))</f>
        <v/>
      </c>
      <c r="BZ147" s="188" t="str">
        <f>IF(ISERROR(getgrade(Broadsheet!BA258,data!$H$4:$I$9)),"#",getgrade(Broadsheet!BA258,data!$H$4:$I$9))</f>
        <v/>
      </c>
      <c r="CA147" s="188" t="str">
        <f>IF(ISERROR(getgrade(Broadsheet!BB258,data!$H$4:$I$9)),"#",getgrade(Broadsheet!BB258,data!$H$4:$I$9))</f>
        <v/>
      </c>
      <c r="CB147" s="188" t="str">
        <f>IF(ISERROR(getgrade(Broadsheet!BC258,data!$H$4:$I$9)),"#",getgrade(Broadsheet!BC258,data!$H$4:$I$9))</f>
        <v/>
      </c>
      <c r="CC147" s="188" t="str">
        <f>IF(ISERROR(getgrade(Broadsheet!BD258,data!$H$4:$I$9)),"#",getgrade(Broadsheet!BD258,data!$H$4:$I$9))</f>
        <v/>
      </c>
      <c r="CD147" s="188" t="str">
        <f>IF(ISERROR(getgrade(Broadsheet!BE258,data!$H$4:$I$9)),"#",getgrade(Broadsheet!BE258,data!$H$4:$I$9))</f>
        <v/>
      </c>
      <c r="CE147" s="188" t="str">
        <f>IF(ISERROR(getgrade(Broadsheet!BF258,data!$H$4:$I$9)),"#",getgrade(Broadsheet!BF258,data!$H$4:$I$9))</f>
        <v/>
      </c>
      <c r="CF147" s="188" t="str">
        <f>IF(ISERROR(getgrade(Broadsheet!BG258,data!$H$4:$I$9)),"#",getgrade(Broadsheet!BG258,data!$H$4:$I$9))</f>
        <v/>
      </c>
      <c r="CG147" s="188" t="str">
        <f>IF(ISERROR(getgrade(Broadsheet!BH258,data!$H$4:$I$9)),"#",getgrade(Broadsheet!BH258,data!$H$4:$I$9))</f>
        <v/>
      </c>
      <c r="CH147" s="188" t="str">
        <f>IF(ISERROR(getgrade(Broadsheet!BI258,data!$H$4:$I$9)),"#",getgrade(Broadsheet!BI258,data!$H$4:$I$9))</f>
        <v/>
      </c>
      <c r="CI147" s="188" t="str">
        <f>IF(ISERROR(getgrade(Broadsheet!BJ258,data!$H$4:$I$9)),"#",getgrade(Broadsheet!BJ258,data!$H$4:$I$9))</f>
        <v/>
      </c>
      <c r="CJ147" s="188"/>
      <c r="CK147" s="188"/>
      <c r="CL147" s="188"/>
      <c r="CM147" s="188"/>
      <c r="CN147" s="188"/>
      <c r="CO147" s="188"/>
      <c r="CP147" s="188"/>
      <c r="CQ147" s="188"/>
      <c r="CR147" s="188"/>
      <c r="CS147" s="188"/>
      <c r="CT147" s="188"/>
      <c r="CU147" s="188"/>
      <c r="CV147" s="188"/>
      <c r="CW147" s="188"/>
      <c r="CX147" s="188"/>
      <c r="CY147" s="188"/>
      <c r="CZ147" s="188"/>
      <c r="DA147" s="188"/>
      <c r="DB147" s="188"/>
      <c r="DC147" s="188"/>
      <c r="DD147" s="188"/>
      <c r="DE147" s="188"/>
      <c r="DF147" s="188"/>
      <c r="DG147" s="188"/>
      <c r="DH147" s="188"/>
      <c r="DI147" s="188"/>
      <c r="DJ147" s="188"/>
      <c r="DK147" s="188"/>
      <c r="DL147" s="188"/>
      <c r="DM147" s="188"/>
      <c r="DN147" s="188"/>
      <c r="DO147" s="188"/>
      <c r="DP147" s="188"/>
      <c r="DQ147" s="188"/>
      <c r="DR147" s="188"/>
      <c r="DS147" s="188"/>
      <c r="DT147" s="188"/>
      <c r="DU147" s="188"/>
      <c r="DV147" s="188"/>
      <c r="DW147" s="188"/>
      <c r="DX147" s="188"/>
      <c r="DY147" s="188"/>
      <c r="DZ147" s="188"/>
      <c r="EA147" s="188"/>
      <c r="EB147" s="188"/>
      <c r="EC147" s="188"/>
      <c r="ED147" s="188"/>
      <c r="EE147" s="188"/>
      <c r="EF147" s="188"/>
      <c r="EG147" s="188"/>
      <c r="EH147" s="188"/>
      <c r="EI147" s="188"/>
      <c r="EJ147" s="188"/>
      <c r="EK147" s="188"/>
      <c r="EL147" s="188"/>
      <c r="EM147" s="188"/>
      <c r="EN147" s="188"/>
      <c r="EO147" s="188"/>
      <c r="EP147" s="188"/>
      <c r="EQ147" s="188"/>
      <c r="ER147" s="188"/>
      <c r="ES147" s="188"/>
      <c r="ET147" s="188"/>
      <c r="EU147" s="188"/>
      <c r="EV147" s="188"/>
      <c r="EW147" s="188"/>
      <c r="EX147" s="188"/>
      <c r="EY147" s="188"/>
      <c r="EZ147" s="188"/>
    </row>
    <row r="148" spans="33:156" x14ac:dyDescent="0.2">
      <c r="AG148" s="188" t="str">
        <f>IF(ISERROR(getgrade(Broadsheet!H259,data!$H$4:$I$9)),"#",getgrade(Broadsheet!H259,data!$H$4:$I$9))</f>
        <v/>
      </c>
      <c r="AH148" s="188" t="str">
        <f>IF(ISERROR(getgrade(Broadsheet!I259,data!$H$4:$I$9)),"#",getgrade(Broadsheet!I259,data!$H$4:$I$9))</f>
        <v/>
      </c>
      <c r="AI148" s="188" t="str">
        <f>IF(ISERROR(getgrade(Broadsheet!J259,data!$H$4:$I$9)),"#",getgrade(Broadsheet!J259,data!$H$4:$I$9))</f>
        <v/>
      </c>
      <c r="AJ148" s="188" t="str">
        <f>IF(ISERROR(getgrade(Broadsheet!K259,data!$H$4:$I$9)),"#",getgrade(Broadsheet!K259,data!$H$4:$I$9))</f>
        <v/>
      </c>
      <c r="AK148" s="188" t="str">
        <f>IF(ISERROR(getgrade(Broadsheet!L259,data!$H$4:$I$9)),"#",getgrade(Broadsheet!L259,data!$H$4:$I$9))</f>
        <v/>
      </c>
      <c r="AL148" s="188" t="str">
        <f>IF(ISERROR(getgrade(Broadsheet!M259,data!$H$4:$I$9)),"#",getgrade(Broadsheet!M259,data!$H$4:$I$9))</f>
        <v/>
      </c>
      <c r="AM148" s="188" t="str">
        <f>IF(ISERROR(getgrade(Broadsheet!N259,data!$H$4:$I$9)),"#",getgrade(Broadsheet!N259,data!$H$4:$I$9))</f>
        <v/>
      </c>
      <c r="AN148" s="188" t="str">
        <f>IF(ISERROR(getgrade(Broadsheet!O259,data!$H$4:$I$9)),"#",getgrade(Broadsheet!O259,data!$H$4:$I$9))</f>
        <v/>
      </c>
      <c r="AO148" s="188" t="str">
        <f>IF(ISERROR(getgrade(Broadsheet!P259,data!$H$4:$I$9)),"#",getgrade(Broadsheet!P259,data!$H$4:$I$9))</f>
        <v/>
      </c>
      <c r="AP148" s="188" t="str">
        <f>IF(ISERROR(getgrade(Broadsheet!Q259,data!$H$4:$I$9)),"#",getgrade(Broadsheet!Q259,data!$H$4:$I$9))</f>
        <v/>
      </c>
      <c r="AQ148" s="188" t="str">
        <f>IF(ISERROR(getgrade(Broadsheet!R259,data!$H$4:$I$9)),"#",getgrade(Broadsheet!R259,data!$H$4:$I$9))</f>
        <v/>
      </c>
      <c r="AR148" s="188" t="str">
        <f>IF(ISERROR(getgrade(Broadsheet!S259,data!$H$4:$I$9)),"#",getgrade(Broadsheet!S259,data!$H$4:$I$9))</f>
        <v/>
      </c>
      <c r="AS148" s="188" t="str">
        <f>IF(ISERROR(getgrade(Broadsheet!T259,data!$H$4:$I$9)),"#",getgrade(Broadsheet!T259,data!$H$4:$I$9))</f>
        <v/>
      </c>
      <c r="AT148" s="188" t="str">
        <f>IF(ISERROR(getgrade(Broadsheet!U259,data!$H$4:$I$9)),"#",getgrade(Broadsheet!U259,data!$H$4:$I$9))</f>
        <v/>
      </c>
      <c r="AU148" s="188" t="str">
        <f>IF(ISERROR(getgrade(Broadsheet!V259,data!$H$4:$I$9)),"#",getgrade(Broadsheet!V259,data!$H$4:$I$9))</f>
        <v/>
      </c>
      <c r="AV148" s="188" t="str">
        <f>IF(ISERROR(getgrade(Broadsheet!W259,data!$H$4:$I$9)),"#",getgrade(Broadsheet!W259,data!$H$4:$I$9))</f>
        <v/>
      </c>
      <c r="AW148" s="188" t="str">
        <f>IF(ISERROR(getgrade(Broadsheet!X259,data!$H$4:$I$9)),"#",getgrade(Broadsheet!X259,data!$H$4:$I$9))</f>
        <v/>
      </c>
      <c r="AX148" s="188" t="str">
        <f>IF(ISERROR(getgrade(Broadsheet!Y259,data!$H$4:$I$9)),"#",getgrade(Broadsheet!Y259,data!$H$4:$I$9))</f>
        <v/>
      </c>
      <c r="AY148" s="188" t="str">
        <f>IF(ISERROR(getgrade(Broadsheet!Z259,data!$H$4:$I$9)),"#",getgrade(Broadsheet!Z259,data!$H$4:$I$9))</f>
        <v/>
      </c>
      <c r="AZ148" s="188" t="str">
        <f>IF(ISERROR(getgrade(Broadsheet!AA259,data!$H$4:$I$9)),"#",getgrade(Broadsheet!AA259,data!$H$4:$I$9))</f>
        <v/>
      </c>
      <c r="BA148" s="188" t="str">
        <f>IF(ISERROR(getgrade(Broadsheet!AB259,data!$H$4:$I$9)),"#",getgrade(Broadsheet!AB259,data!$H$4:$I$9))</f>
        <v/>
      </c>
      <c r="BB148" s="188" t="str">
        <f>IF(ISERROR(getgrade(Broadsheet!AC259,data!$H$4:$I$9)),"#",getgrade(Broadsheet!AC259,data!$H$4:$I$9))</f>
        <v/>
      </c>
      <c r="BC148" s="188" t="str">
        <f>IF(ISERROR(getgrade(Broadsheet!AD259,data!$H$4:$I$9)),"#",getgrade(Broadsheet!AD259,data!$H$4:$I$9))</f>
        <v/>
      </c>
      <c r="BD148" s="188" t="str">
        <f>IF(ISERROR(getgrade(Broadsheet!AE259,data!$H$4:$I$9)),"#",getgrade(Broadsheet!AE259,data!$H$4:$I$9))</f>
        <v/>
      </c>
      <c r="BE148" s="188" t="str">
        <f>IF(ISERROR(getgrade(Broadsheet!AF259,data!$H$4:$I$9)),"#",getgrade(Broadsheet!AF259,data!$H$4:$I$9))</f>
        <v/>
      </c>
      <c r="BF148" s="188" t="str">
        <f>IF(ISERROR(getgrade(Broadsheet!AG259,data!$H$4:$I$9)),"#",getgrade(Broadsheet!AG259,data!$H$4:$I$9))</f>
        <v/>
      </c>
      <c r="BG148" s="188" t="str">
        <f>IF(ISERROR(getgrade(Broadsheet!AH259,data!$H$4:$I$9)),"#",getgrade(Broadsheet!AH259,data!$H$4:$I$9))</f>
        <v/>
      </c>
      <c r="BH148" s="188" t="str">
        <f>IF(ISERROR(getgrade(Broadsheet!AI259,data!$H$4:$I$9)),"#",getgrade(Broadsheet!AI259,data!$H$4:$I$9))</f>
        <v/>
      </c>
      <c r="BI148" s="188" t="str">
        <f>IF(ISERROR(getgrade(Broadsheet!AJ259,data!$H$4:$I$9)),"#",getgrade(Broadsheet!AJ259,data!$H$4:$I$9))</f>
        <v/>
      </c>
      <c r="BJ148" s="188" t="str">
        <f>IF(ISERROR(getgrade(Broadsheet!AK259,data!$H$4:$I$9)),"#",getgrade(Broadsheet!AK259,data!$H$4:$I$9))</f>
        <v/>
      </c>
      <c r="BK148" s="188" t="str">
        <f>IF(ISERROR(getgrade(Broadsheet!AL259,data!$H$4:$I$9)),"#",getgrade(Broadsheet!AL259,data!$H$4:$I$9))</f>
        <v/>
      </c>
      <c r="BL148" s="188" t="str">
        <f>IF(ISERROR(getgrade(Broadsheet!AM259,data!$H$4:$I$9)),"#",getgrade(Broadsheet!AM259,data!$H$4:$I$9))</f>
        <v/>
      </c>
      <c r="BM148" s="188" t="str">
        <f>IF(ISERROR(getgrade(Broadsheet!AN259,data!$H$4:$I$9)),"#",getgrade(Broadsheet!AN259,data!$H$4:$I$9))</f>
        <v/>
      </c>
      <c r="BN148" s="188" t="str">
        <f>IF(ISERROR(getgrade(Broadsheet!AO259,data!$H$4:$I$9)),"#",getgrade(Broadsheet!AO259,data!$H$4:$I$9))</f>
        <v/>
      </c>
      <c r="BO148" s="188" t="str">
        <f>IF(ISERROR(getgrade(Broadsheet!AP259,data!$H$4:$I$9)),"#",getgrade(Broadsheet!AP259,data!$H$4:$I$9))</f>
        <v/>
      </c>
      <c r="BP148" s="188" t="str">
        <f>IF(ISERROR(getgrade(Broadsheet!AQ259,data!$H$4:$I$9)),"#",getgrade(Broadsheet!AQ259,data!$H$4:$I$9))</f>
        <v/>
      </c>
      <c r="BQ148" s="188" t="str">
        <f>IF(ISERROR(getgrade(Broadsheet!AR259,data!$H$4:$I$9)),"#",getgrade(Broadsheet!AR259,data!$H$4:$I$9))</f>
        <v/>
      </c>
      <c r="BR148" s="188" t="str">
        <f>IF(ISERROR(getgrade(Broadsheet!AS259,data!$H$4:$I$9)),"#",getgrade(Broadsheet!AS259,data!$H$4:$I$9))</f>
        <v/>
      </c>
      <c r="BS148" s="188" t="str">
        <f>IF(ISERROR(getgrade(Broadsheet!AT259,data!$H$4:$I$9)),"#",getgrade(Broadsheet!AT259,data!$H$4:$I$9))</f>
        <v/>
      </c>
      <c r="BT148" s="188" t="str">
        <f>IF(ISERROR(getgrade(Broadsheet!AU259,data!$H$4:$I$9)),"#",getgrade(Broadsheet!AU259,data!$H$4:$I$9))</f>
        <v/>
      </c>
      <c r="BU148" s="188" t="str">
        <f>IF(ISERROR(getgrade(Broadsheet!AV259,data!$H$4:$I$9)),"#",getgrade(Broadsheet!AV259,data!$H$4:$I$9))</f>
        <v/>
      </c>
      <c r="BV148" s="188" t="str">
        <f>IF(ISERROR(getgrade(Broadsheet!AW259,data!$H$4:$I$9)),"#",getgrade(Broadsheet!AW259,data!$H$4:$I$9))</f>
        <v/>
      </c>
      <c r="BW148" s="188" t="str">
        <f>IF(ISERROR(getgrade(Broadsheet!AX259,data!$H$4:$I$9)),"#",getgrade(Broadsheet!AX259,data!$H$4:$I$9))</f>
        <v/>
      </c>
      <c r="BX148" s="188" t="str">
        <f>IF(ISERROR(getgrade(Broadsheet!AY259,data!$H$4:$I$9)),"#",getgrade(Broadsheet!AY259,data!$H$4:$I$9))</f>
        <v/>
      </c>
      <c r="BY148" s="188" t="str">
        <f>IF(ISERROR(getgrade(Broadsheet!AZ259,data!$H$4:$I$9)),"#",getgrade(Broadsheet!AZ259,data!$H$4:$I$9))</f>
        <v/>
      </c>
      <c r="BZ148" s="188" t="str">
        <f>IF(ISERROR(getgrade(Broadsheet!BA259,data!$H$4:$I$9)),"#",getgrade(Broadsheet!BA259,data!$H$4:$I$9))</f>
        <v/>
      </c>
      <c r="CA148" s="188" t="str">
        <f>IF(ISERROR(getgrade(Broadsheet!BB259,data!$H$4:$I$9)),"#",getgrade(Broadsheet!BB259,data!$H$4:$I$9))</f>
        <v/>
      </c>
      <c r="CB148" s="188" t="str">
        <f>IF(ISERROR(getgrade(Broadsheet!BC259,data!$H$4:$I$9)),"#",getgrade(Broadsheet!BC259,data!$H$4:$I$9))</f>
        <v/>
      </c>
      <c r="CC148" s="188" t="str">
        <f>IF(ISERROR(getgrade(Broadsheet!BD259,data!$H$4:$I$9)),"#",getgrade(Broadsheet!BD259,data!$H$4:$I$9))</f>
        <v/>
      </c>
      <c r="CD148" s="188" t="str">
        <f>IF(ISERROR(getgrade(Broadsheet!BE259,data!$H$4:$I$9)),"#",getgrade(Broadsheet!BE259,data!$H$4:$I$9))</f>
        <v/>
      </c>
      <c r="CE148" s="188" t="str">
        <f>IF(ISERROR(getgrade(Broadsheet!BF259,data!$H$4:$I$9)),"#",getgrade(Broadsheet!BF259,data!$H$4:$I$9))</f>
        <v/>
      </c>
      <c r="CF148" s="188" t="str">
        <f>IF(ISERROR(getgrade(Broadsheet!BG259,data!$H$4:$I$9)),"#",getgrade(Broadsheet!BG259,data!$H$4:$I$9))</f>
        <v/>
      </c>
      <c r="CG148" s="188" t="str">
        <f>IF(ISERROR(getgrade(Broadsheet!BH259,data!$H$4:$I$9)),"#",getgrade(Broadsheet!BH259,data!$H$4:$I$9))</f>
        <v/>
      </c>
      <c r="CH148" s="188" t="str">
        <f>IF(ISERROR(getgrade(Broadsheet!BI259,data!$H$4:$I$9)),"#",getgrade(Broadsheet!BI259,data!$H$4:$I$9))</f>
        <v/>
      </c>
      <c r="CI148" s="188" t="str">
        <f>IF(ISERROR(getgrade(Broadsheet!BJ259,data!$H$4:$I$9)),"#",getgrade(Broadsheet!BJ259,data!$H$4:$I$9))</f>
        <v/>
      </c>
      <c r="CJ148" s="188"/>
      <c r="CK148" s="188"/>
      <c r="CL148" s="188"/>
      <c r="CM148" s="188"/>
      <c r="CN148" s="188"/>
      <c r="CO148" s="188"/>
      <c r="CP148" s="188"/>
      <c r="CQ148" s="188"/>
      <c r="CR148" s="188"/>
      <c r="CS148" s="188"/>
      <c r="CT148" s="188"/>
      <c r="CU148" s="188"/>
      <c r="CV148" s="188"/>
      <c r="CW148" s="188"/>
      <c r="CX148" s="188"/>
      <c r="CY148" s="188"/>
      <c r="CZ148" s="188"/>
      <c r="DA148" s="188"/>
      <c r="DB148" s="188"/>
      <c r="DC148" s="188"/>
      <c r="DD148" s="188"/>
      <c r="DE148" s="188"/>
      <c r="DF148" s="188"/>
      <c r="DG148" s="188"/>
      <c r="DH148" s="188"/>
      <c r="DI148" s="188"/>
      <c r="DJ148" s="188"/>
      <c r="DK148" s="188"/>
      <c r="DL148" s="188"/>
      <c r="DM148" s="188"/>
      <c r="DN148" s="188"/>
      <c r="DO148" s="188"/>
      <c r="DP148" s="188"/>
      <c r="DQ148" s="188"/>
      <c r="DR148" s="188"/>
      <c r="DS148" s="188"/>
      <c r="DT148" s="188"/>
      <c r="DU148" s="188"/>
      <c r="DV148" s="188"/>
      <c r="DW148" s="188"/>
      <c r="DX148" s="188"/>
      <c r="DY148" s="188"/>
      <c r="DZ148" s="188"/>
      <c r="EA148" s="188"/>
      <c r="EB148" s="188"/>
      <c r="EC148" s="188"/>
      <c r="ED148" s="188"/>
      <c r="EE148" s="188"/>
      <c r="EF148" s="188"/>
      <c r="EG148" s="188"/>
      <c r="EH148" s="188"/>
      <c r="EI148" s="188"/>
      <c r="EJ148" s="188"/>
      <c r="EK148" s="188"/>
      <c r="EL148" s="188"/>
      <c r="EM148" s="188"/>
      <c r="EN148" s="188"/>
      <c r="EO148" s="188"/>
      <c r="EP148" s="188"/>
      <c r="EQ148" s="188"/>
      <c r="ER148" s="188"/>
      <c r="ES148" s="188"/>
      <c r="ET148" s="188"/>
      <c r="EU148" s="188"/>
      <c r="EV148" s="188"/>
      <c r="EW148" s="188"/>
      <c r="EX148" s="188"/>
      <c r="EY148" s="188"/>
      <c r="EZ148" s="188"/>
    </row>
    <row r="149" spans="33:156" x14ac:dyDescent="0.2">
      <c r="AG149" s="188" t="str">
        <f>IF(ISERROR(getgrade(Broadsheet!H260,data!$H$4:$I$9)),"#",getgrade(Broadsheet!H260,data!$H$4:$I$9))</f>
        <v/>
      </c>
      <c r="AH149" s="188" t="str">
        <f>IF(ISERROR(getgrade(Broadsheet!I260,data!$H$4:$I$9)),"#",getgrade(Broadsheet!I260,data!$H$4:$I$9))</f>
        <v/>
      </c>
      <c r="AI149" s="188" t="str">
        <f>IF(ISERROR(getgrade(Broadsheet!J260,data!$H$4:$I$9)),"#",getgrade(Broadsheet!J260,data!$H$4:$I$9))</f>
        <v/>
      </c>
      <c r="AJ149" s="188" t="str">
        <f>IF(ISERROR(getgrade(Broadsheet!K260,data!$H$4:$I$9)),"#",getgrade(Broadsheet!K260,data!$H$4:$I$9))</f>
        <v/>
      </c>
      <c r="AK149" s="188" t="str">
        <f>IF(ISERROR(getgrade(Broadsheet!L260,data!$H$4:$I$9)),"#",getgrade(Broadsheet!L260,data!$H$4:$I$9))</f>
        <v/>
      </c>
      <c r="AL149" s="188" t="str">
        <f>IF(ISERROR(getgrade(Broadsheet!M260,data!$H$4:$I$9)),"#",getgrade(Broadsheet!M260,data!$H$4:$I$9))</f>
        <v/>
      </c>
      <c r="AM149" s="188" t="str">
        <f>IF(ISERROR(getgrade(Broadsheet!N260,data!$H$4:$I$9)),"#",getgrade(Broadsheet!N260,data!$H$4:$I$9))</f>
        <v/>
      </c>
      <c r="AN149" s="188" t="str">
        <f>IF(ISERROR(getgrade(Broadsheet!O260,data!$H$4:$I$9)),"#",getgrade(Broadsheet!O260,data!$H$4:$I$9))</f>
        <v/>
      </c>
      <c r="AO149" s="188" t="str">
        <f>IF(ISERROR(getgrade(Broadsheet!P260,data!$H$4:$I$9)),"#",getgrade(Broadsheet!P260,data!$H$4:$I$9))</f>
        <v/>
      </c>
      <c r="AP149" s="188" t="str">
        <f>IF(ISERROR(getgrade(Broadsheet!Q260,data!$H$4:$I$9)),"#",getgrade(Broadsheet!Q260,data!$H$4:$I$9))</f>
        <v/>
      </c>
      <c r="AQ149" s="188" t="str">
        <f>IF(ISERROR(getgrade(Broadsheet!R260,data!$H$4:$I$9)),"#",getgrade(Broadsheet!R260,data!$H$4:$I$9))</f>
        <v/>
      </c>
      <c r="AR149" s="188" t="str">
        <f>IF(ISERROR(getgrade(Broadsheet!S260,data!$H$4:$I$9)),"#",getgrade(Broadsheet!S260,data!$H$4:$I$9))</f>
        <v/>
      </c>
      <c r="AS149" s="188" t="str">
        <f>IF(ISERROR(getgrade(Broadsheet!T260,data!$H$4:$I$9)),"#",getgrade(Broadsheet!T260,data!$H$4:$I$9))</f>
        <v/>
      </c>
      <c r="AT149" s="188" t="str">
        <f>IF(ISERROR(getgrade(Broadsheet!U260,data!$H$4:$I$9)),"#",getgrade(Broadsheet!U260,data!$H$4:$I$9))</f>
        <v/>
      </c>
      <c r="AU149" s="188" t="str">
        <f>IF(ISERROR(getgrade(Broadsheet!V260,data!$H$4:$I$9)),"#",getgrade(Broadsheet!V260,data!$H$4:$I$9))</f>
        <v/>
      </c>
      <c r="AV149" s="188" t="str">
        <f>IF(ISERROR(getgrade(Broadsheet!W260,data!$H$4:$I$9)),"#",getgrade(Broadsheet!W260,data!$H$4:$I$9))</f>
        <v/>
      </c>
      <c r="AW149" s="188" t="str">
        <f>IF(ISERROR(getgrade(Broadsheet!X260,data!$H$4:$I$9)),"#",getgrade(Broadsheet!X260,data!$H$4:$I$9))</f>
        <v/>
      </c>
      <c r="AX149" s="188" t="str">
        <f>IF(ISERROR(getgrade(Broadsheet!Y260,data!$H$4:$I$9)),"#",getgrade(Broadsheet!Y260,data!$H$4:$I$9))</f>
        <v/>
      </c>
      <c r="AY149" s="188" t="str">
        <f>IF(ISERROR(getgrade(Broadsheet!Z260,data!$H$4:$I$9)),"#",getgrade(Broadsheet!Z260,data!$H$4:$I$9))</f>
        <v/>
      </c>
      <c r="AZ149" s="188" t="str">
        <f>IF(ISERROR(getgrade(Broadsheet!AA260,data!$H$4:$I$9)),"#",getgrade(Broadsheet!AA260,data!$H$4:$I$9))</f>
        <v/>
      </c>
      <c r="BA149" s="188" t="str">
        <f>IF(ISERROR(getgrade(Broadsheet!AB260,data!$H$4:$I$9)),"#",getgrade(Broadsheet!AB260,data!$H$4:$I$9))</f>
        <v/>
      </c>
      <c r="BB149" s="188" t="str">
        <f>IF(ISERROR(getgrade(Broadsheet!AC260,data!$H$4:$I$9)),"#",getgrade(Broadsheet!AC260,data!$H$4:$I$9))</f>
        <v/>
      </c>
      <c r="BC149" s="188" t="str">
        <f>IF(ISERROR(getgrade(Broadsheet!AD260,data!$H$4:$I$9)),"#",getgrade(Broadsheet!AD260,data!$H$4:$I$9))</f>
        <v/>
      </c>
      <c r="BD149" s="188" t="str">
        <f>IF(ISERROR(getgrade(Broadsheet!AE260,data!$H$4:$I$9)),"#",getgrade(Broadsheet!AE260,data!$H$4:$I$9))</f>
        <v/>
      </c>
      <c r="BE149" s="188" t="str">
        <f>IF(ISERROR(getgrade(Broadsheet!AF260,data!$H$4:$I$9)),"#",getgrade(Broadsheet!AF260,data!$H$4:$I$9))</f>
        <v/>
      </c>
      <c r="BF149" s="188" t="str">
        <f>IF(ISERROR(getgrade(Broadsheet!AG260,data!$H$4:$I$9)),"#",getgrade(Broadsheet!AG260,data!$H$4:$I$9))</f>
        <v/>
      </c>
      <c r="BG149" s="188" t="str">
        <f>IF(ISERROR(getgrade(Broadsheet!AH260,data!$H$4:$I$9)),"#",getgrade(Broadsheet!AH260,data!$H$4:$I$9))</f>
        <v/>
      </c>
      <c r="BH149" s="188" t="str">
        <f>IF(ISERROR(getgrade(Broadsheet!AI260,data!$H$4:$I$9)),"#",getgrade(Broadsheet!AI260,data!$H$4:$I$9))</f>
        <v/>
      </c>
      <c r="BI149" s="188" t="str">
        <f>IF(ISERROR(getgrade(Broadsheet!AJ260,data!$H$4:$I$9)),"#",getgrade(Broadsheet!AJ260,data!$H$4:$I$9))</f>
        <v/>
      </c>
      <c r="BJ149" s="188" t="str">
        <f>IF(ISERROR(getgrade(Broadsheet!AK260,data!$H$4:$I$9)),"#",getgrade(Broadsheet!AK260,data!$H$4:$I$9))</f>
        <v/>
      </c>
      <c r="BK149" s="188" t="str">
        <f>IF(ISERROR(getgrade(Broadsheet!AL260,data!$H$4:$I$9)),"#",getgrade(Broadsheet!AL260,data!$H$4:$I$9))</f>
        <v/>
      </c>
      <c r="BL149" s="188" t="str">
        <f>IF(ISERROR(getgrade(Broadsheet!AM260,data!$H$4:$I$9)),"#",getgrade(Broadsheet!AM260,data!$H$4:$I$9))</f>
        <v/>
      </c>
      <c r="BM149" s="188" t="str">
        <f>IF(ISERROR(getgrade(Broadsheet!AN260,data!$H$4:$I$9)),"#",getgrade(Broadsheet!AN260,data!$H$4:$I$9))</f>
        <v/>
      </c>
      <c r="BN149" s="188" t="str">
        <f>IF(ISERROR(getgrade(Broadsheet!AO260,data!$H$4:$I$9)),"#",getgrade(Broadsheet!AO260,data!$H$4:$I$9))</f>
        <v/>
      </c>
      <c r="BO149" s="188" t="str">
        <f>IF(ISERROR(getgrade(Broadsheet!AP260,data!$H$4:$I$9)),"#",getgrade(Broadsheet!AP260,data!$H$4:$I$9))</f>
        <v/>
      </c>
      <c r="BP149" s="188" t="str">
        <f>IF(ISERROR(getgrade(Broadsheet!AQ260,data!$H$4:$I$9)),"#",getgrade(Broadsheet!AQ260,data!$H$4:$I$9))</f>
        <v/>
      </c>
      <c r="BQ149" s="188" t="str">
        <f>IF(ISERROR(getgrade(Broadsheet!AR260,data!$H$4:$I$9)),"#",getgrade(Broadsheet!AR260,data!$H$4:$I$9))</f>
        <v/>
      </c>
      <c r="BR149" s="188" t="str">
        <f>IF(ISERROR(getgrade(Broadsheet!AS260,data!$H$4:$I$9)),"#",getgrade(Broadsheet!AS260,data!$H$4:$I$9))</f>
        <v/>
      </c>
      <c r="BS149" s="188" t="str">
        <f>IF(ISERROR(getgrade(Broadsheet!AT260,data!$H$4:$I$9)),"#",getgrade(Broadsheet!AT260,data!$H$4:$I$9))</f>
        <v/>
      </c>
      <c r="BT149" s="188" t="str">
        <f>IF(ISERROR(getgrade(Broadsheet!AU260,data!$H$4:$I$9)),"#",getgrade(Broadsheet!AU260,data!$H$4:$I$9))</f>
        <v/>
      </c>
      <c r="BU149" s="188" t="str">
        <f>IF(ISERROR(getgrade(Broadsheet!AV260,data!$H$4:$I$9)),"#",getgrade(Broadsheet!AV260,data!$H$4:$I$9))</f>
        <v/>
      </c>
      <c r="BV149" s="188" t="str">
        <f>IF(ISERROR(getgrade(Broadsheet!AW260,data!$H$4:$I$9)),"#",getgrade(Broadsheet!AW260,data!$H$4:$I$9))</f>
        <v/>
      </c>
      <c r="BW149" s="188" t="str">
        <f>IF(ISERROR(getgrade(Broadsheet!AX260,data!$H$4:$I$9)),"#",getgrade(Broadsheet!AX260,data!$H$4:$I$9))</f>
        <v/>
      </c>
      <c r="BX149" s="188" t="str">
        <f>IF(ISERROR(getgrade(Broadsheet!AY260,data!$H$4:$I$9)),"#",getgrade(Broadsheet!AY260,data!$H$4:$I$9))</f>
        <v/>
      </c>
      <c r="BY149" s="188" t="str">
        <f>IF(ISERROR(getgrade(Broadsheet!AZ260,data!$H$4:$I$9)),"#",getgrade(Broadsheet!AZ260,data!$H$4:$I$9))</f>
        <v/>
      </c>
      <c r="BZ149" s="188" t="str">
        <f>IF(ISERROR(getgrade(Broadsheet!BA260,data!$H$4:$I$9)),"#",getgrade(Broadsheet!BA260,data!$H$4:$I$9))</f>
        <v/>
      </c>
      <c r="CA149" s="188" t="str">
        <f>IF(ISERROR(getgrade(Broadsheet!BB260,data!$H$4:$I$9)),"#",getgrade(Broadsheet!BB260,data!$H$4:$I$9))</f>
        <v/>
      </c>
      <c r="CB149" s="188" t="str">
        <f>IF(ISERROR(getgrade(Broadsheet!BC260,data!$H$4:$I$9)),"#",getgrade(Broadsheet!BC260,data!$H$4:$I$9))</f>
        <v/>
      </c>
      <c r="CC149" s="188" t="str">
        <f>IF(ISERROR(getgrade(Broadsheet!BD260,data!$H$4:$I$9)),"#",getgrade(Broadsheet!BD260,data!$H$4:$I$9))</f>
        <v/>
      </c>
      <c r="CD149" s="188" t="str">
        <f>IF(ISERROR(getgrade(Broadsheet!BE260,data!$H$4:$I$9)),"#",getgrade(Broadsheet!BE260,data!$H$4:$I$9))</f>
        <v/>
      </c>
      <c r="CE149" s="188" t="str">
        <f>IF(ISERROR(getgrade(Broadsheet!BF260,data!$H$4:$I$9)),"#",getgrade(Broadsheet!BF260,data!$H$4:$I$9))</f>
        <v/>
      </c>
      <c r="CF149" s="188" t="str">
        <f>IF(ISERROR(getgrade(Broadsheet!BG260,data!$H$4:$I$9)),"#",getgrade(Broadsheet!BG260,data!$H$4:$I$9))</f>
        <v/>
      </c>
      <c r="CG149" s="188" t="str">
        <f>IF(ISERROR(getgrade(Broadsheet!BH260,data!$H$4:$I$9)),"#",getgrade(Broadsheet!BH260,data!$H$4:$I$9))</f>
        <v/>
      </c>
      <c r="CH149" s="188" t="str">
        <f>IF(ISERROR(getgrade(Broadsheet!BI260,data!$H$4:$I$9)),"#",getgrade(Broadsheet!BI260,data!$H$4:$I$9))</f>
        <v/>
      </c>
      <c r="CI149" s="188" t="str">
        <f>IF(ISERROR(getgrade(Broadsheet!BJ260,data!$H$4:$I$9)),"#",getgrade(Broadsheet!BJ260,data!$H$4:$I$9))</f>
        <v/>
      </c>
      <c r="CJ149" s="188"/>
      <c r="CK149" s="188"/>
      <c r="CL149" s="188"/>
      <c r="CM149" s="188"/>
      <c r="CN149" s="188"/>
      <c r="CO149" s="188"/>
      <c r="CP149" s="188"/>
      <c r="CQ149" s="188"/>
      <c r="CR149" s="188"/>
      <c r="CS149" s="188"/>
      <c r="CT149" s="188"/>
      <c r="CU149" s="188"/>
      <c r="CV149" s="188"/>
      <c r="CW149" s="188"/>
      <c r="CX149" s="188"/>
      <c r="CY149" s="188"/>
      <c r="CZ149" s="188"/>
      <c r="DA149" s="188"/>
      <c r="DB149" s="188"/>
      <c r="DC149" s="188"/>
      <c r="DD149" s="188"/>
      <c r="DE149" s="188"/>
      <c r="DF149" s="188"/>
      <c r="DG149" s="188"/>
      <c r="DH149" s="188"/>
      <c r="DI149" s="188"/>
      <c r="DJ149" s="188"/>
      <c r="DK149" s="188"/>
      <c r="DL149" s="188"/>
      <c r="DM149" s="188"/>
      <c r="DN149" s="188"/>
      <c r="DO149" s="188"/>
      <c r="DP149" s="188"/>
      <c r="DQ149" s="188"/>
      <c r="DR149" s="188"/>
      <c r="DS149" s="188"/>
      <c r="DT149" s="188"/>
      <c r="DU149" s="188"/>
      <c r="DV149" s="188"/>
      <c r="DW149" s="188"/>
      <c r="DX149" s="188"/>
      <c r="DY149" s="188"/>
      <c r="DZ149" s="188"/>
      <c r="EA149" s="188"/>
      <c r="EB149" s="188"/>
      <c r="EC149" s="188"/>
      <c r="ED149" s="188"/>
      <c r="EE149" s="188"/>
      <c r="EF149" s="188"/>
      <c r="EG149" s="188"/>
      <c r="EH149" s="188"/>
      <c r="EI149" s="188"/>
      <c r="EJ149" s="188"/>
      <c r="EK149" s="188"/>
      <c r="EL149" s="188"/>
      <c r="EM149" s="188"/>
      <c r="EN149" s="188"/>
      <c r="EO149" s="188"/>
      <c r="EP149" s="188"/>
      <c r="EQ149" s="188"/>
      <c r="ER149" s="188"/>
      <c r="ES149" s="188"/>
      <c r="ET149" s="188"/>
      <c r="EU149" s="188"/>
      <c r="EV149" s="188"/>
      <c r="EW149" s="188"/>
      <c r="EX149" s="188"/>
      <c r="EY149" s="188"/>
      <c r="EZ149" s="188"/>
    </row>
    <row r="150" spans="33:156" x14ac:dyDescent="0.2">
      <c r="AG150" s="188" t="str">
        <f>IF(ISERROR(getgrade(Broadsheet!H261,data!$H$4:$I$9)),"#",getgrade(Broadsheet!H261,data!$H$4:$I$9))</f>
        <v/>
      </c>
      <c r="AH150" s="188" t="str">
        <f>IF(ISERROR(getgrade(Broadsheet!I261,data!$H$4:$I$9)),"#",getgrade(Broadsheet!I261,data!$H$4:$I$9))</f>
        <v/>
      </c>
      <c r="AI150" s="188" t="str">
        <f>IF(ISERROR(getgrade(Broadsheet!J261,data!$H$4:$I$9)),"#",getgrade(Broadsheet!J261,data!$H$4:$I$9))</f>
        <v/>
      </c>
      <c r="AJ150" s="188" t="str">
        <f>IF(ISERROR(getgrade(Broadsheet!K261,data!$H$4:$I$9)),"#",getgrade(Broadsheet!K261,data!$H$4:$I$9))</f>
        <v/>
      </c>
      <c r="AK150" s="188" t="str">
        <f>IF(ISERROR(getgrade(Broadsheet!L261,data!$H$4:$I$9)),"#",getgrade(Broadsheet!L261,data!$H$4:$I$9))</f>
        <v/>
      </c>
      <c r="AL150" s="188" t="str">
        <f>IF(ISERROR(getgrade(Broadsheet!M261,data!$H$4:$I$9)),"#",getgrade(Broadsheet!M261,data!$H$4:$I$9))</f>
        <v/>
      </c>
      <c r="AM150" s="188" t="str">
        <f>IF(ISERROR(getgrade(Broadsheet!N261,data!$H$4:$I$9)),"#",getgrade(Broadsheet!N261,data!$H$4:$I$9))</f>
        <v/>
      </c>
      <c r="AN150" s="188" t="str">
        <f>IF(ISERROR(getgrade(Broadsheet!O261,data!$H$4:$I$9)),"#",getgrade(Broadsheet!O261,data!$H$4:$I$9))</f>
        <v/>
      </c>
      <c r="AO150" s="188" t="str">
        <f>IF(ISERROR(getgrade(Broadsheet!P261,data!$H$4:$I$9)),"#",getgrade(Broadsheet!P261,data!$H$4:$I$9))</f>
        <v/>
      </c>
      <c r="AP150" s="188" t="str">
        <f>IF(ISERROR(getgrade(Broadsheet!Q261,data!$H$4:$I$9)),"#",getgrade(Broadsheet!Q261,data!$H$4:$I$9))</f>
        <v/>
      </c>
      <c r="AQ150" s="188" t="str">
        <f>IF(ISERROR(getgrade(Broadsheet!R261,data!$H$4:$I$9)),"#",getgrade(Broadsheet!R261,data!$H$4:$I$9))</f>
        <v/>
      </c>
      <c r="AR150" s="188" t="str">
        <f>IF(ISERROR(getgrade(Broadsheet!S261,data!$H$4:$I$9)),"#",getgrade(Broadsheet!S261,data!$H$4:$I$9))</f>
        <v/>
      </c>
      <c r="AS150" s="188" t="str">
        <f>IF(ISERROR(getgrade(Broadsheet!T261,data!$H$4:$I$9)),"#",getgrade(Broadsheet!T261,data!$H$4:$I$9))</f>
        <v/>
      </c>
      <c r="AT150" s="188" t="str">
        <f>IF(ISERROR(getgrade(Broadsheet!U261,data!$H$4:$I$9)),"#",getgrade(Broadsheet!U261,data!$H$4:$I$9))</f>
        <v/>
      </c>
      <c r="AU150" s="188" t="str">
        <f>IF(ISERROR(getgrade(Broadsheet!V261,data!$H$4:$I$9)),"#",getgrade(Broadsheet!V261,data!$H$4:$I$9))</f>
        <v/>
      </c>
      <c r="AV150" s="188" t="str">
        <f>IF(ISERROR(getgrade(Broadsheet!W261,data!$H$4:$I$9)),"#",getgrade(Broadsheet!W261,data!$H$4:$I$9))</f>
        <v/>
      </c>
      <c r="AW150" s="188" t="str">
        <f>IF(ISERROR(getgrade(Broadsheet!X261,data!$H$4:$I$9)),"#",getgrade(Broadsheet!X261,data!$H$4:$I$9))</f>
        <v/>
      </c>
      <c r="AX150" s="188" t="str">
        <f>IF(ISERROR(getgrade(Broadsheet!Y261,data!$H$4:$I$9)),"#",getgrade(Broadsheet!Y261,data!$H$4:$I$9))</f>
        <v/>
      </c>
      <c r="AY150" s="188" t="str">
        <f>IF(ISERROR(getgrade(Broadsheet!Z261,data!$H$4:$I$9)),"#",getgrade(Broadsheet!Z261,data!$H$4:$I$9))</f>
        <v/>
      </c>
      <c r="AZ150" s="188" t="str">
        <f>IF(ISERROR(getgrade(Broadsheet!AA261,data!$H$4:$I$9)),"#",getgrade(Broadsheet!AA261,data!$H$4:$I$9))</f>
        <v/>
      </c>
      <c r="BA150" s="188" t="str">
        <f>IF(ISERROR(getgrade(Broadsheet!AB261,data!$H$4:$I$9)),"#",getgrade(Broadsheet!AB261,data!$H$4:$I$9))</f>
        <v/>
      </c>
      <c r="BB150" s="188" t="str">
        <f>IF(ISERROR(getgrade(Broadsheet!AC261,data!$H$4:$I$9)),"#",getgrade(Broadsheet!AC261,data!$H$4:$I$9))</f>
        <v/>
      </c>
      <c r="BC150" s="188" t="str">
        <f>IF(ISERROR(getgrade(Broadsheet!AD261,data!$H$4:$I$9)),"#",getgrade(Broadsheet!AD261,data!$H$4:$I$9))</f>
        <v/>
      </c>
      <c r="BD150" s="188" t="str">
        <f>IF(ISERROR(getgrade(Broadsheet!AE261,data!$H$4:$I$9)),"#",getgrade(Broadsheet!AE261,data!$H$4:$I$9))</f>
        <v/>
      </c>
      <c r="BE150" s="188" t="str">
        <f>IF(ISERROR(getgrade(Broadsheet!AF261,data!$H$4:$I$9)),"#",getgrade(Broadsheet!AF261,data!$H$4:$I$9))</f>
        <v/>
      </c>
      <c r="BF150" s="188" t="str">
        <f>IF(ISERROR(getgrade(Broadsheet!AG261,data!$H$4:$I$9)),"#",getgrade(Broadsheet!AG261,data!$H$4:$I$9))</f>
        <v/>
      </c>
      <c r="BG150" s="188" t="str">
        <f>IF(ISERROR(getgrade(Broadsheet!AH261,data!$H$4:$I$9)),"#",getgrade(Broadsheet!AH261,data!$H$4:$I$9))</f>
        <v/>
      </c>
      <c r="BH150" s="188" t="str">
        <f>IF(ISERROR(getgrade(Broadsheet!AI261,data!$H$4:$I$9)),"#",getgrade(Broadsheet!AI261,data!$H$4:$I$9))</f>
        <v/>
      </c>
      <c r="BI150" s="188" t="str">
        <f>IF(ISERROR(getgrade(Broadsheet!AJ261,data!$H$4:$I$9)),"#",getgrade(Broadsheet!AJ261,data!$H$4:$I$9))</f>
        <v/>
      </c>
      <c r="BJ150" s="188" t="str">
        <f>IF(ISERROR(getgrade(Broadsheet!AK261,data!$H$4:$I$9)),"#",getgrade(Broadsheet!AK261,data!$H$4:$I$9))</f>
        <v/>
      </c>
      <c r="BK150" s="188" t="str">
        <f>IF(ISERROR(getgrade(Broadsheet!AL261,data!$H$4:$I$9)),"#",getgrade(Broadsheet!AL261,data!$H$4:$I$9))</f>
        <v/>
      </c>
      <c r="BL150" s="188" t="str">
        <f>IF(ISERROR(getgrade(Broadsheet!AM261,data!$H$4:$I$9)),"#",getgrade(Broadsheet!AM261,data!$H$4:$I$9))</f>
        <v/>
      </c>
      <c r="BM150" s="188" t="str">
        <f>IF(ISERROR(getgrade(Broadsheet!AN261,data!$H$4:$I$9)),"#",getgrade(Broadsheet!AN261,data!$H$4:$I$9))</f>
        <v/>
      </c>
      <c r="BN150" s="188" t="str">
        <f>IF(ISERROR(getgrade(Broadsheet!AO261,data!$H$4:$I$9)),"#",getgrade(Broadsheet!AO261,data!$H$4:$I$9))</f>
        <v/>
      </c>
      <c r="BO150" s="188" t="str">
        <f>IF(ISERROR(getgrade(Broadsheet!AP261,data!$H$4:$I$9)),"#",getgrade(Broadsheet!AP261,data!$H$4:$I$9))</f>
        <v/>
      </c>
      <c r="BP150" s="188" t="str">
        <f>IF(ISERROR(getgrade(Broadsheet!AQ261,data!$H$4:$I$9)),"#",getgrade(Broadsheet!AQ261,data!$H$4:$I$9))</f>
        <v/>
      </c>
      <c r="BQ150" s="188" t="str">
        <f>IF(ISERROR(getgrade(Broadsheet!AR261,data!$H$4:$I$9)),"#",getgrade(Broadsheet!AR261,data!$H$4:$I$9))</f>
        <v/>
      </c>
      <c r="BR150" s="188" t="str">
        <f>IF(ISERROR(getgrade(Broadsheet!AS261,data!$H$4:$I$9)),"#",getgrade(Broadsheet!AS261,data!$H$4:$I$9))</f>
        <v/>
      </c>
      <c r="BS150" s="188" t="str">
        <f>IF(ISERROR(getgrade(Broadsheet!AT261,data!$H$4:$I$9)),"#",getgrade(Broadsheet!AT261,data!$H$4:$I$9))</f>
        <v/>
      </c>
      <c r="BT150" s="188" t="str">
        <f>IF(ISERROR(getgrade(Broadsheet!AU261,data!$H$4:$I$9)),"#",getgrade(Broadsheet!AU261,data!$H$4:$I$9))</f>
        <v/>
      </c>
      <c r="BU150" s="188" t="str">
        <f>IF(ISERROR(getgrade(Broadsheet!AV261,data!$H$4:$I$9)),"#",getgrade(Broadsheet!AV261,data!$H$4:$I$9))</f>
        <v/>
      </c>
      <c r="BV150" s="188" t="str">
        <f>IF(ISERROR(getgrade(Broadsheet!AW261,data!$H$4:$I$9)),"#",getgrade(Broadsheet!AW261,data!$H$4:$I$9))</f>
        <v/>
      </c>
      <c r="BW150" s="188" t="str">
        <f>IF(ISERROR(getgrade(Broadsheet!AX261,data!$H$4:$I$9)),"#",getgrade(Broadsheet!AX261,data!$H$4:$I$9))</f>
        <v/>
      </c>
      <c r="BX150" s="188" t="str">
        <f>IF(ISERROR(getgrade(Broadsheet!AY261,data!$H$4:$I$9)),"#",getgrade(Broadsheet!AY261,data!$H$4:$I$9))</f>
        <v/>
      </c>
      <c r="BY150" s="188" t="str">
        <f>IF(ISERROR(getgrade(Broadsheet!AZ261,data!$H$4:$I$9)),"#",getgrade(Broadsheet!AZ261,data!$H$4:$I$9))</f>
        <v/>
      </c>
      <c r="BZ150" s="188" t="str">
        <f>IF(ISERROR(getgrade(Broadsheet!BA261,data!$H$4:$I$9)),"#",getgrade(Broadsheet!BA261,data!$H$4:$I$9))</f>
        <v/>
      </c>
      <c r="CA150" s="188" t="str">
        <f>IF(ISERROR(getgrade(Broadsheet!BB261,data!$H$4:$I$9)),"#",getgrade(Broadsheet!BB261,data!$H$4:$I$9))</f>
        <v/>
      </c>
      <c r="CB150" s="188" t="str">
        <f>IF(ISERROR(getgrade(Broadsheet!BC261,data!$H$4:$I$9)),"#",getgrade(Broadsheet!BC261,data!$H$4:$I$9))</f>
        <v/>
      </c>
      <c r="CC150" s="188" t="str">
        <f>IF(ISERROR(getgrade(Broadsheet!BD261,data!$H$4:$I$9)),"#",getgrade(Broadsheet!BD261,data!$H$4:$I$9))</f>
        <v/>
      </c>
      <c r="CD150" s="188" t="str">
        <f>IF(ISERROR(getgrade(Broadsheet!BE261,data!$H$4:$I$9)),"#",getgrade(Broadsheet!BE261,data!$H$4:$I$9))</f>
        <v/>
      </c>
      <c r="CE150" s="188" t="str">
        <f>IF(ISERROR(getgrade(Broadsheet!BF261,data!$H$4:$I$9)),"#",getgrade(Broadsheet!BF261,data!$H$4:$I$9))</f>
        <v/>
      </c>
      <c r="CF150" s="188" t="str">
        <f>IF(ISERROR(getgrade(Broadsheet!BG261,data!$H$4:$I$9)),"#",getgrade(Broadsheet!BG261,data!$H$4:$I$9))</f>
        <v/>
      </c>
      <c r="CG150" s="188" t="str">
        <f>IF(ISERROR(getgrade(Broadsheet!BH261,data!$H$4:$I$9)),"#",getgrade(Broadsheet!BH261,data!$H$4:$I$9))</f>
        <v/>
      </c>
      <c r="CH150" s="188" t="str">
        <f>IF(ISERROR(getgrade(Broadsheet!BI261,data!$H$4:$I$9)),"#",getgrade(Broadsheet!BI261,data!$H$4:$I$9))</f>
        <v/>
      </c>
      <c r="CI150" s="188" t="str">
        <f>IF(ISERROR(getgrade(Broadsheet!BJ261,data!$H$4:$I$9)),"#",getgrade(Broadsheet!BJ261,data!$H$4:$I$9))</f>
        <v/>
      </c>
      <c r="CJ150" s="188"/>
      <c r="CK150" s="188"/>
      <c r="CL150" s="188"/>
      <c r="CM150" s="188"/>
      <c r="CN150" s="188"/>
      <c r="CO150" s="188"/>
      <c r="CP150" s="188"/>
      <c r="CQ150" s="188"/>
      <c r="CR150" s="188"/>
      <c r="CS150" s="188"/>
      <c r="CT150" s="188"/>
      <c r="CU150" s="188"/>
      <c r="CV150" s="188"/>
      <c r="CW150" s="188"/>
      <c r="CX150" s="188"/>
      <c r="CY150" s="188"/>
      <c r="CZ150" s="188"/>
      <c r="DA150" s="188"/>
      <c r="DB150" s="188"/>
      <c r="DC150" s="188"/>
      <c r="DD150" s="188"/>
      <c r="DE150" s="188"/>
      <c r="DF150" s="188"/>
      <c r="DG150" s="188"/>
      <c r="DH150" s="188"/>
      <c r="DI150" s="188"/>
      <c r="DJ150" s="188"/>
      <c r="DK150" s="188"/>
      <c r="DL150" s="188"/>
      <c r="DM150" s="188"/>
      <c r="DN150" s="188"/>
      <c r="DO150" s="188"/>
      <c r="DP150" s="188"/>
      <c r="DQ150" s="188"/>
      <c r="DR150" s="188"/>
      <c r="DS150" s="188"/>
      <c r="DT150" s="188"/>
      <c r="DU150" s="188"/>
      <c r="DV150" s="188"/>
      <c r="DW150" s="188"/>
      <c r="DX150" s="188"/>
      <c r="DY150" s="188"/>
      <c r="DZ150" s="188"/>
      <c r="EA150" s="188"/>
      <c r="EB150" s="188"/>
      <c r="EC150" s="188"/>
      <c r="ED150" s="188"/>
      <c r="EE150" s="188"/>
      <c r="EF150" s="188"/>
      <c r="EG150" s="188"/>
      <c r="EH150" s="188"/>
      <c r="EI150" s="188"/>
      <c r="EJ150" s="188"/>
      <c r="EK150" s="188"/>
      <c r="EL150" s="188"/>
      <c r="EM150" s="188"/>
      <c r="EN150" s="188"/>
      <c r="EO150" s="188"/>
      <c r="EP150" s="188"/>
      <c r="EQ150" s="188"/>
      <c r="ER150" s="188"/>
      <c r="ES150" s="188"/>
      <c r="ET150" s="188"/>
      <c r="EU150" s="188"/>
      <c r="EV150" s="188"/>
      <c r="EW150" s="188"/>
      <c r="EX150" s="188"/>
      <c r="EY150" s="188"/>
      <c r="EZ150" s="188"/>
    </row>
    <row r="151" spans="33:156" x14ac:dyDescent="0.2">
      <c r="AG151" s="188" t="str">
        <f>IF(ISERROR(getgrade(Broadsheet!H262,data!$H$4:$I$9)),"#",getgrade(Broadsheet!H262,data!$H$4:$I$9))</f>
        <v/>
      </c>
      <c r="AH151" s="188" t="str">
        <f>IF(ISERROR(getgrade(Broadsheet!I262,data!$H$4:$I$9)),"#",getgrade(Broadsheet!I262,data!$H$4:$I$9))</f>
        <v/>
      </c>
      <c r="AI151" s="188" t="str">
        <f>IF(ISERROR(getgrade(Broadsheet!J262,data!$H$4:$I$9)),"#",getgrade(Broadsheet!J262,data!$H$4:$I$9))</f>
        <v/>
      </c>
      <c r="AJ151" s="188" t="str">
        <f>IF(ISERROR(getgrade(Broadsheet!K262,data!$H$4:$I$9)),"#",getgrade(Broadsheet!K262,data!$H$4:$I$9))</f>
        <v/>
      </c>
      <c r="AK151" s="188" t="str">
        <f>IF(ISERROR(getgrade(Broadsheet!L262,data!$H$4:$I$9)),"#",getgrade(Broadsheet!L262,data!$H$4:$I$9))</f>
        <v/>
      </c>
      <c r="AL151" s="188" t="str">
        <f>IF(ISERROR(getgrade(Broadsheet!M262,data!$H$4:$I$9)),"#",getgrade(Broadsheet!M262,data!$H$4:$I$9))</f>
        <v/>
      </c>
      <c r="AM151" s="188" t="str">
        <f>IF(ISERROR(getgrade(Broadsheet!N262,data!$H$4:$I$9)),"#",getgrade(Broadsheet!N262,data!$H$4:$I$9))</f>
        <v/>
      </c>
      <c r="AN151" s="188" t="str">
        <f>IF(ISERROR(getgrade(Broadsheet!O262,data!$H$4:$I$9)),"#",getgrade(Broadsheet!O262,data!$H$4:$I$9))</f>
        <v/>
      </c>
      <c r="AO151" s="188" t="str">
        <f>IF(ISERROR(getgrade(Broadsheet!P262,data!$H$4:$I$9)),"#",getgrade(Broadsheet!P262,data!$H$4:$I$9))</f>
        <v/>
      </c>
      <c r="AP151" s="188" t="str">
        <f>IF(ISERROR(getgrade(Broadsheet!Q262,data!$H$4:$I$9)),"#",getgrade(Broadsheet!Q262,data!$H$4:$I$9))</f>
        <v/>
      </c>
      <c r="AQ151" s="188" t="str">
        <f>IF(ISERROR(getgrade(Broadsheet!R262,data!$H$4:$I$9)),"#",getgrade(Broadsheet!R262,data!$H$4:$I$9))</f>
        <v/>
      </c>
      <c r="AR151" s="188" t="str">
        <f>IF(ISERROR(getgrade(Broadsheet!S262,data!$H$4:$I$9)),"#",getgrade(Broadsheet!S262,data!$H$4:$I$9))</f>
        <v/>
      </c>
      <c r="AS151" s="188" t="str">
        <f>IF(ISERROR(getgrade(Broadsheet!T262,data!$H$4:$I$9)),"#",getgrade(Broadsheet!T262,data!$H$4:$I$9))</f>
        <v/>
      </c>
      <c r="AT151" s="188" t="str">
        <f>IF(ISERROR(getgrade(Broadsheet!U262,data!$H$4:$I$9)),"#",getgrade(Broadsheet!U262,data!$H$4:$I$9))</f>
        <v/>
      </c>
      <c r="AU151" s="188" t="str">
        <f>IF(ISERROR(getgrade(Broadsheet!V262,data!$H$4:$I$9)),"#",getgrade(Broadsheet!V262,data!$H$4:$I$9))</f>
        <v/>
      </c>
      <c r="AV151" s="188" t="str">
        <f>IF(ISERROR(getgrade(Broadsheet!W262,data!$H$4:$I$9)),"#",getgrade(Broadsheet!W262,data!$H$4:$I$9))</f>
        <v/>
      </c>
      <c r="AW151" s="188" t="str">
        <f>IF(ISERROR(getgrade(Broadsheet!X262,data!$H$4:$I$9)),"#",getgrade(Broadsheet!X262,data!$H$4:$I$9))</f>
        <v/>
      </c>
      <c r="AX151" s="188" t="str">
        <f>IF(ISERROR(getgrade(Broadsheet!Y262,data!$H$4:$I$9)),"#",getgrade(Broadsheet!Y262,data!$H$4:$I$9))</f>
        <v/>
      </c>
      <c r="AY151" s="188" t="str">
        <f>IF(ISERROR(getgrade(Broadsheet!Z262,data!$H$4:$I$9)),"#",getgrade(Broadsheet!Z262,data!$H$4:$I$9))</f>
        <v/>
      </c>
      <c r="AZ151" s="188" t="str">
        <f>IF(ISERROR(getgrade(Broadsheet!AA262,data!$H$4:$I$9)),"#",getgrade(Broadsheet!AA262,data!$H$4:$I$9))</f>
        <v/>
      </c>
      <c r="BA151" s="188" t="str">
        <f>IF(ISERROR(getgrade(Broadsheet!AB262,data!$H$4:$I$9)),"#",getgrade(Broadsheet!AB262,data!$H$4:$I$9))</f>
        <v/>
      </c>
      <c r="BB151" s="188" t="str">
        <f>IF(ISERROR(getgrade(Broadsheet!AC262,data!$H$4:$I$9)),"#",getgrade(Broadsheet!AC262,data!$H$4:$I$9))</f>
        <v/>
      </c>
      <c r="BC151" s="188" t="str">
        <f>IF(ISERROR(getgrade(Broadsheet!AD262,data!$H$4:$I$9)),"#",getgrade(Broadsheet!AD262,data!$H$4:$I$9))</f>
        <v/>
      </c>
      <c r="BD151" s="188" t="str">
        <f>IF(ISERROR(getgrade(Broadsheet!AE262,data!$H$4:$I$9)),"#",getgrade(Broadsheet!AE262,data!$H$4:$I$9))</f>
        <v/>
      </c>
      <c r="BE151" s="188" t="str">
        <f>IF(ISERROR(getgrade(Broadsheet!AF262,data!$H$4:$I$9)),"#",getgrade(Broadsheet!AF262,data!$H$4:$I$9))</f>
        <v/>
      </c>
      <c r="BF151" s="188" t="str">
        <f>IF(ISERROR(getgrade(Broadsheet!AG262,data!$H$4:$I$9)),"#",getgrade(Broadsheet!AG262,data!$H$4:$I$9))</f>
        <v/>
      </c>
      <c r="BG151" s="188" t="str">
        <f>IF(ISERROR(getgrade(Broadsheet!AH262,data!$H$4:$I$9)),"#",getgrade(Broadsheet!AH262,data!$H$4:$I$9))</f>
        <v/>
      </c>
      <c r="BH151" s="188" t="str">
        <f>IF(ISERROR(getgrade(Broadsheet!AI262,data!$H$4:$I$9)),"#",getgrade(Broadsheet!AI262,data!$H$4:$I$9))</f>
        <v/>
      </c>
      <c r="BI151" s="188" t="str">
        <f>IF(ISERROR(getgrade(Broadsheet!AJ262,data!$H$4:$I$9)),"#",getgrade(Broadsheet!AJ262,data!$H$4:$I$9))</f>
        <v/>
      </c>
      <c r="BJ151" s="188" t="str">
        <f>IF(ISERROR(getgrade(Broadsheet!AK262,data!$H$4:$I$9)),"#",getgrade(Broadsheet!AK262,data!$H$4:$I$9))</f>
        <v/>
      </c>
      <c r="BK151" s="188" t="str">
        <f>IF(ISERROR(getgrade(Broadsheet!AL262,data!$H$4:$I$9)),"#",getgrade(Broadsheet!AL262,data!$H$4:$I$9))</f>
        <v/>
      </c>
      <c r="BL151" s="188" t="str">
        <f>IF(ISERROR(getgrade(Broadsheet!AM262,data!$H$4:$I$9)),"#",getgrade(Broadsheet!AM262,data!$H$4:$I$9))</f>
        <v/>
      </c>
      <c r="BM151" s="188" t="str">
        <f>IF(ISERROR(getgrade(Broadsheet!AN262,data!$H$4:$I$9)),"#",getgrade(Broadsheet!AN262,data!$H$4:$I$9))</f>
        <v/>
      </c>
      <c r="BN151" s="188" t="str">
        <f>IF(ISERROR(getgrade(Broadsheet!AO262,data!$H$4:$I$9)),"#",getgrade(Broadsheet!AO262,data!$H$4:$I$9))</f>
        <v/>
      </c>
      <c r="BO151" s="188" t="str">
        <f>IF(ISERROR(getgrade(Broadsheet!AP262,data!$H$4:$I$9)),"#",getgrade(Broadsheet!AP262,data!$H$4:$I$9))</f>
        <v/>
      </c>
      <c r="BP151" s="188" t="str">
        <f>IF(ISERROR(getgrade(Broadsheet!AQ262,data!$H$4:$I$9)),"#",getgrade(Broadsheet!AQ262,data!$H$4:$I$9))</f>
        <v/>
      </c>
      <c r="BQ151" s="188" t="str">
        <f>IF(ISERROR(getgrade(Broadsheet!AR262,data!$H$4:$I$9)),"#",getgrade(Broadsheet!AR262,data!$H$4:$I$9))</f>
        <v/>
      </c>
      <c r="BR151" s="188" t="str">
        <f>IF(ISERROR(getgrade(Broadsheet!AS262,data!$H$4:$I$9)),"#",getgrade(Broadsheet!AS262,data!$H$4:$I$9))</f>
        <v/>
      </c>
      <c r="BS151" s="188" t="str">
        <f>IF(ISERROR(getgrade(Broadsheet!AT262,data!$H$4:$I$9)),"#",getgrade(Broadsheet!AT262,data!$H$4:$I$9))</f>
        <v/>
      </c>
      <c r="BT151" s="188" t="str">
        <f>IF(ISERROR(getgrade(Broadsheet!AU262,data!$H$4:$I$9)),"#",getgrade(Broadsheet!AU262,data!$H$4:$I$9))</f>
        <v/>
      </c>
      <c r="BU151" s="188" t="str">
        <f>IF(ISERROR(getgrade(Broadsheet!AV262,data!$H$4:$I$9)),"#",getgrade(Broadsheet!AV262,data!$H$4:$I$9))</f>
        <v/>
      </c>
      <c r="BV151" s="188" t="str">
        <f>IF(ISERROR(getgrade(Broadsheet!AW262,data!$H$4:$I$9)),"#",getgrade(Broadsheet!AW262,data!$H$4:$I$9))</f>
        <v/>
      </c>
      <c r="BW151" s="188" t="str">
        <f>IF(ISERROR(getgrade(Broadsheet!AX262,data!$H$4:$I$9)),"#",getgrade(Broadsheet!AX262,data!$H$4:$I$9))</f>
        <v/>
      </c>
      <c r="BX151" s="188" t="str">
        <f>IF(ISERROR(getgrade(Broadsheet!AY262,data!$H$4:$I$9)),"#",getgrade(Broadsheet!AY262,data!$H$4:$I$9))</f>
        <v/>
      </c>
      <c r="BY151" s="188" t="str">
        <f>IF(ISERROR(getgrade(Broadsheet!AZ262,data!$H$4:$I$9)),"#",getgrade(Broadsheet!AZ262,data!$H$4:$I$9))</f>
        <v/>
      </c>
      <c r="BZ151" s="188" t="str">
        <f>IF(ISERROR(getgrade(Broadsheet!BA262,data!$H$4:$I$9)),"#",getgrade(Broadsheet!BA262,data!$H$4:$I$9))</f>
        <v/>
      </c>
      <c r="CA151" s="188" t="str">
        <f>IF(ISERROR(getgrade(Broadsheet!BB262,data!$H$4:$I$9)),"#",getgrade(Broadsheet!BB262,data!$H$4:$I$9))</f>
        <v/>
      </c>
      <c r="CB151" s="188" t="str">
        <f>IF(ISERROR(getgrade(Broadsheet!BC262,data!$H$4:$I$9)),"#",getgrade(Broadsheet!BC262,data!$H$4:$I$9))</f>
        <v/>
      </c>
      <c r="CC151" s="188" t="str">
        <f>IF(ISERROR(getgrade(Broadsheet!BD262,data!$H$4:$I$9)),"#",getgrade(Broadsheet!BD262,data!$H$4:$I$9))</f>
        <v/>
      </c>
      <c r="CD151" s="188" t="str">
        <f>IF(ISERROR(getgrade(Broadsheet!BE262,data!$H$4:$I$9)),"#",getgrade(Broadsheet!BE262,data!$H$4:$I$9))</f>
        <v/>
      </c>
      <c r="CE151" s="188" t="str">
        <f>IF(ISERROR(getgrade(Broadsheet!BF262,data!$H$4:$I$9)),"#",getgrade(Broadsheet!BF262,data!$H$4:$I$9))</f>
        <v/>
      </c>
      <c r="CF151" s="188" t="str">
        <f>IF(ISERROR(getgrade(Broadsheet!BG262,data!$H$4:$I$9)),"#",getgrade(Broadsheet!BG262,data!$H$4:$I$9))</f>
        <v/>
      </c>
      <c r="CG151" s="188" t="str">
        <f>IF(ISERROR(getgrade(Broadsheet!BH262,data!$H$4:$I$9)),"#",getgrade(Broadsheet!BH262,data!$H$4:$I$9))</f>
        <v/>
      </c>
      <c r="CH151" s="188" t="str">
        <f>IF(ISERROR(getgrade(Broadsheet!BI262,data!$H$4:$I$9)),"#",getgrade(Broadsheet!BI262,data!$H$4:$I$9))</f>
        <v/>
      </c>
      <c r="CI151" s="188" t="str">
        <f>IF(ISERROR(getgrade(Broadsheet!BJ262,data!$H$4:$I$9)),"#",getgrade(Broadsheet!BJ262,data!$H$4:$I$9))</f>
        <v/>
      </c>
      <c r="CJ151" s="188"/>
      <c r="CK151" s="188"/>
      <c r="CL151" s="188"/>
      <c r="CM151" s="188"/>
      <c r="CN151" s="188"/>
      <c r="CO151" s="188"/>
      <c r="CP151" s="188"/>
      <c r="CQ151" s="188"/>
      <c r="CR151" s="188"/>
      <c r="CS151" s="188"/>
      <c r="CT151" s="188"/>
      <c r="CU151" s="188"/>
      <c r="CV151" s="188"/>
      <c r="CW151" s="188"/>
      <c r="CX151" s="188"/>
      <c r="CY151" s="188"/>
      <c r="CZ151" s="188"/>
      <c r="DA151" s="188"/>
      <c r="DB151" s="188"/>
      <c r="DC151" s="188"/>
      <c r="DD151" s="188"/>
      <c r="DE151" s="188"/>
      <c r="DF151" s="188"/>
      <c r="DG151" s="188"/>
      <c r="DH151" s="188"/>
      <c r="DI151" s="188"/>
      <c r="DJ151" s="188"/>
      <c r="DK151" s="188"/>
      <c r="DL151" s="188"/>
      <c r="DM151" s="188"/>
      <c r="DN151" s="188"/>
      <c r="DO151" s="188"/>
      <c r="DP151" s="188"/>
      <c r="DQ151" s="188"/>
      <c r="DR151" s="188"/>
      <c r="DS151" s="188"/>
      <c r="DT151" s="188"/>
      <c r="DU151" s="188"/>
      <c r="DV151" s="188"/>
      <c r="DW151" s="188"/>
      <c r="DX151" s="188"/>
      <c r="DY151" s="188"/>
      <c r="DZ151" s="188"/>
      <c r="EA151" s="188"/>
      <c r="EB151" s="188"/>
      <c r="EC151" s="188"/>
      <c r="ED151" s="188"/>
      <c r="EE151" s="188"/>
      <c r="EF151" s="188"/>
      <c r="EG151" s="188"/>
      <c r="EH151" s="188"/>
      <c r="EI151" s="188"/>
      <c r="EJ151" s="188"/>
      <c r="EK151" s="188"/>
      <c r="EL151" s="188"/>
      <c r="EM151" s="188"/>
      <c r="EN151" s="188"/>
      <c r="EO151" s="188"/>
      <c r="EP151" s="188"/>
      <c r="EQ151" s="188"/>
      <c r="ER151" s="188"/>
      <c r="ES151" s="188"/>
      <c r="ET151" s="188"/>
      <c r="EU151" s="188"/>
      <c r="EV151" s="188"/>
      <c r="EW151" s="188"/>
      <c r="EX151" s="188"/>
      <c r="EY151" s="188"/>
      <c r="EZ151" s="188"/>
    </row>
    <row r="152" spans="33:156" x14ac:dyDescent="0.2">
      <c r="AG152" s="188" t="str">
        <f>IF(ISERROR(getgrade(Broadsheet!H263,data!$H$4:$I$9)),"#",getgrade(Broadsheet!H263,data!$H$4:$I$9))</f>
        <v/>
      </c>
      <c r="AH152" s="188" t="str">
        <f>IF(ISERROR(getgrade(Broadsheet!I263,data!$H$4:$I$9)),"#",getgrade(Broadsheet!I263,data!$H$4:$I$9))</f>
        <v/>
      </c>
      <c r="AI152" s="188" t="str">
        <f>IF(ISERROR(getgrade(Broadsheet!J263,data!$H$4:$I$9)),"#",getgrade(Broadsheet!J263,data!$H$4:$I$9))</f>
        <v/>
      </c>
      <c r="AJ152" s="188" t="str">
        <f>IF(ISERROR(getgrade(Broadsheet!K263,data!$H$4:$I$9)),"#",getgrade(Broadsheet!K263,data!$H$4:$I$9))</f>
        <v/>
      </c>
      <c r="AK152" s="188" t="str">
        <f>IF(ISERROR(getgrade(Broadsheet!L263,data!$H$4:$I$9)),"#",getgrade(Broadsheet!L263,data!$H$4:$I$9))</f>
        <v/>
      </c>
      <c r="AL152" s="188" t="str">
        <f>IF(ISERROR(getgrade(Broadsheet!M263,data!$H$4:$I$9)),"#",getgrade(Broadsheet!M263,data!$H$4:$I$9))</f>
        <v/>
      </c>
      <c r="AM152" s="188" t="str">
        <f>IF(ISERROR(getgrade(Broadsheet!N263,data!$H$4:$I$9)),"#",getgrade(Broadsheet!N263,data!$H$4:$I$9))</f>
        <v/>
      </c>
      <c r="AN152" s="188" t="str">
        <f>IF(ISERROR(getgrade(Broadsheet!O263,data!$H$4:$I$9)),"#",getgrade(Broadsheet!O263,data!$H$4:$I$9))</f>
        <v/>
      </c>
      <c r="AO152" s="188" t="str">
        <f>IF(ISERROR(getgrade(Broadsheet!P263,data!$H$4:$I$9)),"#",getgrade(Broadsheet!P263,data!$H$4:$I$9))</f>
        <v/>
      </c>
      <c r="AP152" s="188" t="str">
        <f>IF(ISERROR(getgrade(Broadsheet!Q263,data!$H$4:$I$9)),"#",getgrade(Broadsheet!Q263,data!$H$4:$I$9))</f>
        <v/>
      </c>
      <c r="AQ152" s="188" t="str">
        <f>IF(ISERROR(getgrade(Broadsheet!R263,data!$H$4:$I$9)),"#",getgrade(Broadsheet!R263,data!$H$4:$I$9))</f>
        <v/>
      </c>
      <c r="AR152" s="188" t="str">
        <f>IF(ISERROR(getgrade(Broadsheet!S263,data!$H$4:$I$9)),"#",getgrade(Broadsheet!S263,data!$H$4:$I$9))</f>
        <v/>
      </c>
      <c r="AS152" s="188" t="str">
        <f>IF(ISERROR(getgrade(Broadsheet!T263,data!$H$4:$I$9)),"#",getgrade(Broadsheet!T263,data!$H$4:$I$9))</f>
        <v/>
      </c>
      <c r="AT152" s="188" t="str">
        <f>IF(ISERROR(getgrade(Broadsheet!U263,data!$H$4:$I$9)),"#",getgrade(Broadsheet!U263,data!$H$4:$I$9))</f>
        <v/>
      </c>
      <c r="AU152" s="188" t="str">
        <f>IF(ISERROR(getgrade(Broadsheet!V263,data!$H$4:$I$9)),"#",getgrade(Broadsheet!V263,data!$H$4:$I$9))</f>
        <v/>
      </c>
      <c r="AV152" s="188" t="str">
        <f>IF(ISERROR(getgrade(Broadsheet!W263,data!$H$4:$I$9)),"#",getgrade(Broadsheet!W263,data!$H$4:$I$9))</f>
        <v/>
      </c>
      <c r="AW152" s="188" t="str">
        <f>IF(ISERROR(getgrade(Broadsheet!X263,data!$H$4:$I$9)),"#",getgrade(Broadsheet!X263,data!$H$4:$I$9))</f>
        <v/>
      </c>
      <c r="AX152" s="188" t="str">
        <f>IF(ISERROR(getgrade(Broadsheet!Y263,data!$H$4:$I$9)),"#",getgrade(Broadsheet!Y263,data!$H$4:$I$9))</f>
        <v/>
      </c>
      <c r="AY152" s="188" t="str">
        <f>IF(ISERROR(getgrade(Broadsheet!Z263,data!$H$4:$I$9)),"#",getgrade(Broadsheet!Z263,data!$H$4:$I$9))</f>
        <v/>
      </c>
      <c r="AZ152" s="188" t="str">
        <f>IF(ISERROR(getgrade(Broadsheet!AA263,data!$H$4:$I$9)),"#",getgrade(Broadsheet!AA263,data!$H$4:$I$9))</f>
        <v/>
      </c>
      <c r="BA152" s="188" t="str">
        <f>IF(ISERROR(getgrade(Broadsheet!AB263,data!$H$4:$I$9)),"#",getgrade(Broadsheet!AB263,data!$H$4:$I$9))</f>
        <v/>
      </c>
      <c r="BB152" s="188" t="str">
        <f>IF(ISERROR(getgrade(Broadsheet!AC263,data!$H$4:$I$9)),"#",getgrade(Broadsheet!AC263,data!$H$4:$I$9))</f>
        <v/>
      </c>
      <c r="BC152" s="188" t="str">
        <f>IF(ISERROR(getgrade(Broadsheet!AD263,data!$H$4:$I$9)),"#",getgrade(Broadsheet!AD263,data!$H$4:$I$9))</f>
        <v/>
      </c>
      <c r="BD152" s="188" t="str">
        <f>IF(ISERROR(getgrade(Broadsheet!AE263,data!$H$4:$I$9)),"#",getgrade(Broadsheet!AE263,data!$H$4:$I$9))</f>
        <v/>
      </c>
      <c r="BE152" s="188" t="str">
        <f>IF(ISERROR(getgrade(Broadsheet!AF263,data!$H$4:$I$9)),"#",getgrade(Broadsheet!AF263,data!$H$4:$I$9))</f>
        <v/>
      </c>
      <c r="BF152" s="188" t="str">
        <f>IF(ISERROR(getgrade(Broadsheet!AG263,data!$H$4:$I$9)),"#",getgrade(Broadsheet!AG263,data!$H$4:$I$9))</f>
        <v/>
      </c>
      <c r="BG152" s="188" t="str">
        <f>IF(ISERROR(getgrade(Broadsheet!AH263,data!$H$4:$I$9)),"#",getgrade(Broadsheet!AH263,data!$H$4:$I$9))</f>
        <v/>
      </c>
      <c r="BH152" s="188" t="str">
        <f>IF(ISERROR(getgrade(Broadsheet!AI263,data!$H$4:$I$9)),"#",getgrade(Broadsheet!AI263,data!$H$4:$I$9))</f>
        <v/>
      </c>
      <c r="BI152" s="188" t="str">
        <f>IF(ISERROR(getgrade(Broadsheet!AJ263,data!$H$4:$I$9)),"#",getgrade(Broadsheet!AJ263,data!$H$4:$I$9))</f>
        <v/>
      </c>
      <c r="BJ152" s="188" t="str">
        <f>IF(ISERROR(getgrade(Broadsheet!AK263,data!$H$4:$I$9)),"#",getgrade(Broadsheet!AK263,data!$H$4:$I$9))</f>
        <v/>
      </c>
      <c r="BK152" s="188" t="str">
        <f>IF(ISERROR(getgrade(Broadsheet!AL263,data!$H$4:$I$9)),"#",getgrade(Broadsheet!AL263,data!$H$4:$I$9))</f>
        <v/>
      </c>
      <c r="BL152" s="188" t="str">
        <f>IF(ISERROR(getgrade(Broadsheet!AM263,data!$H$4:$I$9)),"#",getgrade(Broadsheet!AM263,data!$H$4:$I$9))</f>
        <v/>
      </c>
      <c r="BM152" s="188" t="str">
        <f>IF(ISERROR(getgrade(Broadsheet!AN263,data!$H$4:$I$9)),"#",getgrade(Broadsheet!AN263,data!$H$4:$I$9))</f>
        <v/>
      </c>
      <c r="BN152" s="188" t="str">
        <f>IF(ISERROR(getgrade(Broadsheet!AO263,data!$H$4:$I$9)),"#",getgrade(Broadsheet!AO263,data!$H$4:$I$9))</f>
        <v/>
      </c>
      <c r="BO152" s="188" t="str">
        <f>IF(ISERROR(getgrade(Broadsheet!AP263,data!$H$4:$I$9)),"#",getgrade(Broadsheet!AP263,data!$H$4:$I$9))</f>
        <v/>
      </c>
      <c r="BP152" s="188" t="str">
        <f>IF(ISERROR(getgrade(Broadsheet!AQ263,data!$H$4:$I$9)),"#",getgrade(Broadsheet!AQ263,data!$H$4:$I$9))</f>
        <v/>
      </c>
      <c r="BQ152" s="188" t="str">
        <f>IF(ISERROR(getgrade(Broadsheet!AR263,data!$H$4:$I$9)),"#",getgrade(Broadsheet!AR263,data!$H$4:$I$9))</f>
        <v/>
      </c>
      <c r="BR152" s="188" t="str">
        <f>IF(ISERROR(getgrade(Broadsheet!AS263,data!$H$4:$I$9)),"#",getgrade(Broadsheet!AS263,data!$H$4:$I$9))</f>
        <v/>
      </c>
      <c r="BS152" s="188" t="str">
        <f>IF(ISERROR(getgrade(Broadsheet!AT263,data!$H$4:$I$9)),"#",getgrade(Broadsheet!AT263,data!$H$4:$I$9))</f>
        <v/>
      </c>
      <c r="BT152" s="188" t="str">
        <f>IF(ISERROR(getgrade(Broadsheet!AU263,data!$H$4:$I$9)),"#",getgrade(Broadsheet!AU263,data!$H$4:$I$9))</f>
        <v/>
      </c>
      <c r="BU152" s="188" t="str">
        <f>IF(ISERROR(getgrade(Broadsheet!AV263,data!$H$4:$I$9)),"#",getgrade(Broadsheet!AV263,data!$H$4:$I$9))</f>
        <v/>
      </c>
      <c r="BV152" s="188" t="str">
        <f>IF(ISERROR(getgrade(Broadsheet!AW263,data!$H$4:$I$9)),"#",getgrade(Broadsheet!AW263,data!$H$4:$I$9))</f>
        <v/>
      </c>
      <c r="BW152" s="188" t="str">
        <f>IF(ISERROR(getgrade(Broadsheet!AX263,data!$H$4:$I$9)),"#",getgrade(Broadsheet!AX263,data!$H$4:$I$9))</f>
        <v/>
      </c>
      <c r="BX152" s="188" t="str">
        <f>IF(ISERROR(getgrade(Broadsheet!AY263,data!$H$4:$I$9)),"#",getgrade(Broadsheet!AY263,data!$H$4:$I$9))</f>
        <v/>
      </c>
      <c r="BY152" s="188" t="str">
        <f>IF(ISERROR(getgrade(Broadsheet!AZ263,data!$H$4:$I$9)),"#",getgrade(Broadsheet!AZ263,data!$H$4:$I$9))</f>
        <v/>
      </c>
      <c r="BZ152" s="188" t="str">
        <f>IF(ISERROR(getgrade(Broadsheet!BA263,data!$H$4:$I$9)),"#",getgrade(Broadsheet!BA263,data!$H$4:$I$9))</f>
        <v/>
      </c>
      <c r="CA152" s="188" t="str">
        <f>IF(ISERROR(getgrade(Broadsheet!BB263,data!$H$4:$I$9)),"#",getgrade(Broadsheet!BB263,data!$H$4:$I$9))</f>
        <v/>
      </c>
      <c r="CB152" s="188" t="str">
        <f>IF(ISERROR(getgrade(Broadsheet!BC263,data!$H$4:$I$9)),"#",getgrade(Broadsheet!BC263,data!$H$4:$I$9))</f>
        <v/>
      </c>
      <c r="CC152" s="188" t="str">
        <f>IF(ISERROR(getgrade(Broadsheet!BD263,data!$H$4:$I$9)),"#",getgrade(Broadsheet!BD263,data!$H$4:$I$9))</f>
        <v/>
      </c>
      <c r="CD152" s="188" t="str">
        <f>IF(ISERROR(getgrade(Broadsheet!BE263,data!$H$4:$I$9)),"#",getgrade(Broadsheet!BE263,data!$H$4:$I$9))</f>
        <v/>
      </c>
      <c r="CE152" s="188" t="str">
        <f>IF(ISERROR(getgrade(Broadsheet!BF263,data!$H$4:$I$9)),"#",getgrade(Broadsheet!BF263,data!$H$4:$I$9))</f>
        <v/>
      </c>
      <c r="CF152" s="188" t="str">
        <f>IF(ISERROR(getgrade(Broadsheet!BG263,data!$H$4:$I$9)),"#",getgrade(Broadsheet!BG263,data!$H$4:$I$9))</f>
        <v/>
      </c>
      <c r="CG152" s="188" t="str">
        <f>IF(ISERROR(getgrade(Broadsheet!BH263,data!$H$4:$I$9)),"#",getgrade(Broadsheet!BH263,data!$H$4:$I$9))</f>
        <v/>
      </c>
      <c r="CH152" s="188" t="str">
        <f>IF(ISERROR(getgrade(Broadsheet!BI263,data!$H$4:$I$9)),"#",getgrade(Broadsheet!BI263,data!$H$4:$I$9))</f>
        <v/>
      </c>
      <c r="CI152" s="188" t="str">
        <f>IF(ISERROR(getgrade(Broadsheet!BJ263,data!$H$4:$I$9)),"#",getgrade(Broadsheet!BJ263,data!$H$4:$I$9))</f>
        <v/>
      </c>
      <c r="CJ152" s="188"/>
      <c r="CK152" s="188"/>
      <c r="CL152" s="188"/>
      <c r="CM152" s="188"/>
      <c r="CN152" s="188"/>
      <c r="CO152" s="188"/>
      <c r="CP152" s="188"/>
      <c r="CQ152" s="188"/>
      <c r="CR152" s="188"/>
      <c r="CS152" s="188"/>
      <c r="CT152" s="188"/>
      <c r="CU152" s="188"/>
      <c r="CV152" s="188"/>
      <c r="CW152" s="188"/>
      <c r="CX152" s="188"/>
      <c r="CY152" s="188"/>
      <c r="CZ152" s="188"/>
      <c r="DA152" s="188"/>
      <c r="DB152" s="188"/>
      <c r="DC152" s="188"/>
      <c r="DD152" s="188"/>
      <c r="DE152" s="188"/>
      <c r="DF152" s="188"/>
      <c r="DG152" s="188"/>
      <c r="DH152" s="188"/>
      <c r="DI152" s="188"/>
      <c r="DJ152" s="188"/>
      <c r="DK152" s="188"/>
      <c r="DL152" s="188"/>
      <c r="DM152" s="188"/>
      <c r="DN152" s="188"/>
      <c r="DO152" s="188"/>
      <c r="DP152" s="188"/>
      <c r="DQ152" s="188"/>
      <c r="DR152" s="188"/>
      <c r="DS152" s="188"/>
      <c r="DT152" s="188"/>
      <c r="DU152" s="188"/>
      <c r="DV152" s="188"/>
      <c r="DW152" s="188"/>
      <c r="DX152" s="188"/>
      <c r="DY152" s="188"/>
      <c r="DZ152" s="188"/>
      <c r="EA152" s="188"/>
      <c r="EB152" s="188"/>
      <c r="EC152" s="188"/>
      <c r="ED152" s="188"/>
      <c r="EE152" s="188"/>
      <c r="EF152" s="188"/>
      <c r="EG152" s="188"/>
      <c r="EH152" s="188"/>
      <c r="EI152" s="188"/>
      <c r="EJ152" s="188"/>
      <c r="EK152" s="188"/>
      <c r="EL152" s="188"/>
      <c r="EM152" s="188"/>
      <c r="EN152" s="188"/>
      <c r="EO152" s="188"/>
      <c r="EP152" s="188"/>
      <c r="EQ152" s="188"/>
      <c r="ER152" s="188"/>
      <c r="ES152" s="188"/>
      <c r="ET152" s="188"/>
      <c r="EU152" s="188"/>
      <c r="EV152" s="188"/>
      <c r="EW152" s="188"/>
      <c r="EX152" s="188"/>
      <c r="EY152" s="188"/>
      <c r="EZ152" s="188"/>
    </row>
    <row r="153" spans="33:156" x14ac:dyDescent="0.2">
      <c r="AG153" s="188" t="str">
        <f>IF(ISERROR(getgrade(Broadsheet!H264,data!$H$4:$I$9)),"#",getgrade(Broadsheet!H264,data!$H$4:$I$9))</f>
        <v/>
      </c>
      <c r="AH153" s="188" t="str">
        <f>IF(ISERROR(getgrade(Broadsheet!I264,data!$H$4:$I$9)),"#",getgrade(Broadsheet!I264,data!$H$4:$I$9))</f>
        <v/>
      </c>
      <c r="AI153" s="188" t="str">
        <f>IF(ISERROR(getgrade(Broadsheet!J264,data!$H$4:$I$9)),"#",getgrade(Broadsheet!J264,data!$H$4:$I$9))</f>
        <v/>
      </c>
      <c r="AJ153" s="188" t="str">
        <f>IF(ISERROR(getgrade(Broadsheet!K264,data!$H$4:$I$9)),"#",getgrade(Broadsheet!K264,data!$H$4:$I$9))</f>
        <v/>
      </c>
      <c r="AK153" s="188" t="str">
        <f>IF(ISERROR(getgrade(Broadsheet!L264,data!$H$4:$I$9)),"#",getgrade(Broadsheet!L264,data!$H$4:$I$9))</f>
        <v/>
      </c>
      <c r="AL153" s="188" t="str">
        <f>IF(ISERROR(getgrade(Broadsheet!M264,data!$H$4:$I$9)),"#",getgrade(Broadsheet!M264,data!$H$4:$I$9))</f>
        <v/>
      </c>
      <c r="AM153" s="188" t="str">
        <f>IF(ISERROR(getgrade(Broadsheet!N264,data!$H$4:$I$9)),"#",getgrade(Broadsheet!N264,data!$H$4:$I$9))</f>
        <v/>
      </c>
      <c r="AN153" s="188" t="str">
        <f>IF(ISERROR(getgrade(Broadsheet!O264,data!$H$4:$I$9)),"#",getgrade(Broadsheet!O264,data!$H$4:$I$9))</f>
        <v/>
      </c>
      <c r="AO153" s="188" t="str">
        <f>IF(ISERROR(getgrade(Broadsheet!P264,data!$H$4:$I$9)),"#",getgrade(Broadsheet!P264,data!$H$4:$I$9))</f>
        <v/>
      </c>
      <c r="AP153" s="188" t="str">
        <f>IF(ISERROR(getgrade(Broadsheet!Q264,data!$H$4:$I$9)),"#",getgrade(Broadsheet!Q264,data!$H$4:$I$9))</f>
        <v/>
      </c>
      <c r="AQ153" s="188" t="str">
        <f>IF(ISERROR(getgrade(Broadsheet!R264,data!$H$4:$I$9)),"#",getgrade(Broadsheet!R264,data!$H$4:$I$9))</f>
        <v/>
      </c>
      <c r="AR153" s="188" t="str">
        <f>IF(ISERROR(getgrade(Broadsheet!S264,data!$H$4:$I$9)),"#",getgrade(Broadsheet!S264,data!$H$4:$I$9))</f>
        <v/>
      </c>
      <c r="AS153" s="188" t="str">
        <f>IF(ISERROR(getgrade(Broadsheet!T264,data!$H$4:$I$9)),"#",getgrade(Broadsheet!T264,data!$H$4:$I$9))</f>
        <v/>
      </c>
      <c r="AT153" s="188" t="str">
        <f>IF(ISERROR(getgrade(Broadsheet!U264,data!$H$4:$I$9)),"#",getgrade(Broadsheet!U264,data!$H$4:$I$9))</f>
        <v/>
      </c>
      <c r="AU153" s="188" t="str">
        <f>IF(ISERROR(getgrade(Broadsheet!V264,data!$H$4:$I$9)),"#",getgrade(Broadsheet!V264,data!$H$4:$I$9))</f>
        <v/>
      </c>
      <c r="AV153" s="188" t="str">
        <f>IF(ISERROR(getgrade(Broadsheet!W264,data!$H$4:$I$9)),"#",getgrade(Broadsheet!W264,data!$H$4:$I$9))</f>
        <v/>
      </c>
      <c r="AW153" s="188" t="str">
        <f>IF(ISERROR(getgrade(Broadsheet!X264,data!$H$4:$I$9)),"#",getgrade(Broadsheet!X264,data!$H$4:$I$9))</f>
        <v/>
      </c>
      <c r="AX153" s="188" t="str">
        <f>IF(ISERROR(getgrade(Broadsheet!Y264,data!$H$4:$I$9)),"#",getgrade(Broadsheet!Y264,data!$H$4:$I$9))</f>
        <v/>
      </c>
      <c r="AY153" s="188" t="str">
        <f>IF(ISERROR(getgrade(Broadsheet!Z264,data!$H$4:$I$9)),"#",getgrade(Broadsheet!Z264,data!$H$4:$I$9))</f>
        <v/>
      </c>
      <c r="AZ153" s="188" t="str">
        <f>IF(ISERROR(getgrade(Broadsheet!AA264,data!$H$4:$I$9)),"#",getgrade(Broadsheet!AA264,data!$H$4:$I$9))</f>
        <v/>
      </c>
      <c r="BA153" s="188" t="str">
        <f>IF(ISERROR(getgrade(Broadsheet!AB264,data!$H$4:$I$9)),"#",getgrade(Broadsheet!AB264,data!$H$4:$I$9))</f>
        <v/>
      </c>
      <c r="BB153" s="188" t="str">
        <f>IF(ISERROR(getgrade(Broadsheet!AC264,data!$H$4:$I$9)),"#",getgrade(Broadsheet!AC264,data!$H$4:$I$9))</f>
        <v/>
      </c>
      <c r="BC153" s="188" t="str">
        <f>IF(ISERROR(getgrade(Broadsheet!AD264,data!$H$4:$I$9)),"#",getgrade(Broadsheet!AD264,data!$H$4:$I$9))</f>
        <v/>
      </c>
      <c r="BD153" s="188" t="str">
        <f>IF(ISERROR(getgrade(Broadsheet!AE264,data!$H$4:$I$9)),"#",getgrade(Broadsheet!AE264,data!$H$4:$I$9))</f>
        <v/>
      </c>
      <c r="BE153" s="188" t="str">
        <f>IF(ISERROR(getgrade(Broadsheet!AF264,data!$H$4:$I$9)),"#",getgrade(Broadsheet!AF264,data!$H$4:$I$9))</f>
        <v/>
      </c>
      <c r="BF153" s="188" t="str">
        <f>IF(ISERROR(getgrade(Broadsheet!AG264,data!$H$4:$I$9)),"#",getgrade(Broadsheet!AG264,data!$H$4:$I$9))</f>
        <v/>
      </c>
      <c r="BG153" s="188" t="str">
        <f>IF(ISERROR(getgrade(Broadsheet!AH264,data!$H$4:$I$9)),"#",getgrade(Broadsheet!AH264,data!$H$4:$I$9))</f>
        <v/>
      </c>
      <c r="BH153" s="188" t="str">
        <f>IF(ISERROR(getgrade(Broadsheet!AI264,data!$H$4:$I$9)),"#",getgrade(Broadsheet!AI264,data!$H$4:$I$9))</f>
        <v/>
      </c>
      <c r="BI153" s="188" t="str">
        <f>IF(ISERROR(getgrade(Broadsheet!AJ264,data!$H$4:$I$9)),"#",getgrade(Broadsheet!AJ264,data!$H$4:$I$9))</f>
        <v/>
      </c>
      <c r="BJ153" s="188" t="str">
        <f>IF(ISERROR(getgrade(Broadsheet!AK264,data!$H$4:$I$9)),"#",getgrade(Broadsheet!AK264,data!$H$4:$I$9))</f>
        <v/>
      </c>
      <c r="BK153" s="188" t="str">
        <f>IF(ISERROR(getgrade(Broadsheet!AL264,data!$H$4:$I$9)),"#",getgrade(Broadsheet!AL264,data!$H$4:$I$9))</f>
        <v/>
      </c>
      <c r="BL153" s="188" t="str">
        <f>IF(ISERROR(getgrade(Broadsheet!AM264,data!$H$4:$I$9)),"#",getgrade(Broadsheet!AM264,data!$H$4:$I$9))</f>
        <v/>
      </c>
      <c r="BM153" s="188" t="str">
        <f>IF(ISERROR(getgrade(Broadsheet!AN264,data!$H$4:$I$9)),"#",getgrade(Broadsheet!AN264,data!$H$4:$I$9))</f>
        <v/>
      </c>
      <c r="BN153" s="188" t="str">
        <f>IF(ISERROR(getgrade(Broadsheet!AO264,data!$H$4:$I$9)),"#",getgrade(Broadsheet!AO264,data!$H$4:$I$9))</f>
        <v/>
      </c>
      <c r="BO153" s="188" t="str">
        <f>IF(ISERROR(getgrade(Broadsheet!AP264,data!$H$4:$I$9)),"#",getgrade(Broadsheet!AP264,data!$H$4:$I$9))</f>
        <v/>
      </c>
      <c r="BP153" s="188" t="str">
        <f>IF(ISERROR(getgrade(Broadsheet!AQ264,data!$H$4:$I$9)),"#",getgrade(Broadsheet!AQ264,data!$H$4:$I$9))</f>
        <v/>
      </c>
      <c r="BQ153" s="188" t="str">
        <f>IF(ISERROR(getgrade(Broadsheet!AR264,data!$H$4:$I$9)),"#",getgrade(Broadsheet!AR264,data!$H$4:$I$9))</f>
        <v/>
      </c>
      <c r="BR153" s="188" t="str">
        <f>IF(ISERROR(getgrade(Broadsheet!AS264,data!$H$4:$I$9)),"#",getgrade(Broadsheet!AS264,data!$H$4:$I$9))</f>
        <v/>
      </c>
      <c r="BS153" s="188" t="str">
        <f>IF(ISERROR(getgrade(Broadsheet!AT264,data!$H$4:$I$9)),"#",getgrade(Broadsheet!AT264,data!$H$4:$I$9))</f>
        <v/>
      </c>
      <c r="BT153" s="188" t="str">
        <f>IF(ISERROR(getgrade(Broadsheet!AU264,data!$H$4:$I$9)),"#",getgrade(Broadsheet!AU264,data!$H$4:$I$9))</f>
        <v/>
      </c>
      <c r="BU153" s="188" t="str">
        <f>IF(ISERROR(getgrade(Broadsheet!AV264,data!$H$4:$I$9)),"#",getgrade(Broadsheet!AV264,data!$H$4:$I$9))</f>
        <v/>
      </c>
      <c r="BV153" s="188" t="str">
        <f>IF(ISERROR(getgrade(Broadsheet!AW264,data!$H$4:$I$9)),"#",getgrade(Broadsheet!AW264,data!$H$4:$I$9))</f>
        <v/>
      </c>
      <c r="BW153" s="188" t="str">
        <f>IF(ISERROR(getgrade(Broadsheet!AX264,data!$H$4:$I$9)),"#",getgrade(Broadsheet!AX264,data!$H$4:$I$9))</f>
        <v/>
      </c>
      <c r="BX153" s="188" t="str">
        <f>IF(ISERROR(getgrade(Broadsheet!AY264,data!$H$4:$I$9)),"#",getgrade(Broadsheet!AY264,data!$H$4:$I$9))</f>
        <v/>
      </c>
      <c r="BY153" s="188" t="str">
        <f>IF(ISERROR(getgrade(Broadsheet!AZ264,data!$H$4:$I$9)),"#",getgrade(Broadsheet!AZ264,data!$H$4:$I$9))</f>
        <v/>
      </c>
      <c r="BZ153" s="188" t="str">
        <f>IF(ISERROR(getgrade(Broadsheet!BA264,data!$H$4:$I$9)),"#",getgrade(Broadsheet!BA264,data!$H$4:$I$9))</f>
        <v/>
      </c>
      <c r="CA153" s="188" t="str">
        <f>IF(ISERROR(getgrade(Broadsheet!BB264,data!$H$4:$I$9)),"#",getgrade(Broadsheet!BB264,data!$H$4:$I$9))</f>
        <v/>
      </c>
      <c r="CB153" s="188" t="str">
        <f>IF(ISERROR(getgrade(Broadsheet!BC264,data!$H$4:$I$9)),"#",getgrade(Broadsheet!BC264,data!$H$4:$I$9))</f>
        <v/>
      </c>
      <c r="CC153" s="188" t="str">
        <f>IF(ISERROR(getgrade(Broadsheet!BD264,data!$H$4:$I$9)),"#",getgrade(Broadsheet!BD264,data!$H$4:$I$9))</f>
        <v/>
      </c>
      <c r="CD153" s="188" t="str">
        <f>IF(ISERROR(getgrade(Broadsheet!BE264,data!$H$4:$I$9)),"#",getgrade(Broadsheet!BE264,data!$H$4:$I$9))</f>
        <v/>
      </c>
      <c r="CE153" s="188" t="str">
        <f>IF(ISERROR(getgrade(Broadsheet!BF264,data!$H$4:$I$9)),"#",getgrade(Broadsheet!BF264,data!$H$4:$I$9))</f>
        <v/>
      </c>
      <c r="CF153" s="188" t="str">
        <f>IF(ISERROR(getgrade(Broadsheet!BG264,data!$H$4:$I$9)),"#",getgrade(Broadsheet!BG264,data!$H$4:$I$9))</f>
        <v/>
      </c>
      <c r="CG153" s="188" t="str">
        <f>IF(ISERROR(getgrade(Broadsheet!BH264,data!$H$4:$I$9)),"#",getgrade(Broadsheet!BH264,data!$H$4:$I$9))</f>
        <v/>
      </c>
      <c r="CH153" s="188" t="str">
        <f>IF(ISERROR(getgrade(Broadsheet!BI264,data!$H$4:$I$9)),"#",getgrade(Broadsheet!BI264,data!$H$4:$I$9))</f>
        <v/>
      </c>
      <c r="CI153" s="188" t="str">
        <f>IF(ISERROR(getgrade(Broadsheet!BJ264,data!$H$4:$I$9)),"#",getgrade(Broadsheet!BJ264,data!$H$4:$I$9))</f>
        <v/>
      </c>
      <c r="CJ153" s="188"/>
      <c r="CK153" s="188"/>
      <c r="CL153" s="188"/>
      <c r="CM153" s="188"/>
      <c r="CN153" s="188"/>
      <c r="CO153" s="188"/>
      <c r="CP153" s="188"/>
      <c r="CQ153" s="188"/>
      <c r="CR153" s="188"/>
      <c r="CS153" s="188"/>
      <c r="CT153" s="188"/>
      <c r="CU153" s="188"/>
      <c r="CV153" s="188"/>
      <c r="CW153" s="188"/>
      <c r="CX153" s="188"/>
      <c r="CY153" s="188"/>
      <c r="CZ153" s="188"/>
      <c r="DA153" s="188"/>
      <c r="DB153" s="188"/>
      <c r="DC153" s="188"/>
      <c r="DD153" s="188"/>
      <c r="DE153" s="188"/>
      <c r="DF153" s="188"/>
      <c r="DG153" s="188"/>
      <c r="DH153" s="188"/>
      <c r="DI153" s="188"/>
      <c r="DJ153" s="188"/>
      <c r="DK153" s="188"/>
      <c r="DL153" s="188"/>
      <c r="DM153" s="188"/>
      <c r="DN153" s="188"/>
      <c r="DO153" s="188"/>
      <c r="DP153" s="188"/>
      <c r="DQ153" s="188"/>
      <c r="DR153" s="188"/>
      <c r="DS153" s="188"/>
      <c r="DT153" s="188"/>
      <c r="DU153" s="188"/>
      <c r="DV153" s="188"/>
      <c r="DW153" s="188"/>
      <c r="DX153" s="188"/>
      <c r="DY153" s="188"/>
      <c r="DZ153" s="188"/>
      <c r="EA153" s="188"/>
      <c r="EB153" s="188"/>
      <c r="EC153" s="188"/>
      <c r="ED153" s="188"/>
      <c r="EE153" s="188"/>
      <c r="EF153" s="188"/>
      <c r="EG153" s="188"/>
      <c r="EH153" s="188"/>
      <c r="EI153" s="188"/>
      <c r="EJ153" s="188"/>
      <c r="EK153" s="188"/>
      <c r="EL153" s="188"/>
      <c r="EM153" s="188"/>
      <c r="EN153" s="188"/>
      <c r="EO153" s="188"/>
      <c r="EP153" s="188"/>
      <c r="EQ153" s="188"/>
      <c r="ER153" s="188"/>
      <c r="ES153" s="188"/>
      <c r="ET153" s="188"/>
      <c r="EU153" s="188"/>
      <c r="EV153" s="188"/>
      <c r="EW153" s="188"/>
      <c r="EX153" s="188"/>
      <c r="EY153" s="188"/>
      <c r="EZ153" s="188"/>
    </row>
    <row r="154" spans="33:156" x14ac:dyDescent="0.2">
      <c r="AG154" s="188" t="str">
        <f>IF(ISERROR(getgrade(Broadsheet!H265,data!$H$4:$I$9)),"#",getgrade(Broadsheet!H265,data!$H$4:$I$9))</f>
        <v/>
      </c>
      <c r="AH154" s="188" t="str">
        <f>IF(ISERROR(getgrade(Broadsheet!I265,data!$H$4:$I$9)),"#",getgrade(Broadsheet!I265,data!$H$4:$I$9))</f>
        <v/>
      </c>
      <c r="AI154" s="188" t="str">
        <f>IF(ISERROR(getgrade(Broadsheet!J265,data!$H$4:$I$9)),"#",getgrade(Broadsheet!J265,data!$H$4:$I$9))</f>
        <v/>
      </c>
      <c r="AJ154" s="188" t="str">
        <f>IF(ISERROR(getgrade(Broadsheet!K265,data!$H$4:$I$9)),"#",getgrade(Broadsheet!K265,data!$H$4:$I$9))</f>
        <v/>
      </c>
      <c r="AK154" s="188" t="str">
        <f>IF(ISERROR(getgrade(Broadsheet!L265,data!$H$4:$I$9)),"#",getgrade(Broadsheet!L265,data!$H$4:$I$9))</f>
        <v/>
      </c>
      <c r="AL154" s="188" t="str">
        <f>IF(ISERROR(getgrade(Broadsheet!M265,data!$H$4:$I$9)),"#",getgrade(Broadsheet!M265,data!$H$4:$I$9))</f>
        <v/>
      </c>
      <c r="AM154" s="188" t="str">
        <f>IF(ISERROR(getgrade(Broadsheet!N265,data!$H$4:$I$9)),"#",getgrade(Broadsheet!N265,data!$H$4:$I$9))</f>
        <v/>
      </c>
      <c r="AN154" s="188" t="str">
        <f>IF(ISERROR(getgrade(Broadsheet!O265,data!$H$4:$I$9)),"#",getgrade(Broadsheet!O265,data!$H$4:$I$9))</f>
        <v/>
      </c>
      <c r="AO154" s="188" t="str">
        <f>IF(ISERROR(getgrade(Broadsheet!P265,data!$H$4:$I$9)),"#",getgrade(Broadsheet!P265,data!$H$4:$I$9))</f>
        <v/>
      </c>
      <c r="AP154" s="188" t="str">
        <f>IF(ISERROR(getgrade(Broadsheet!Q265,data!$H$4:$I$9)),"#",getgrade(Broadsheet!Q265,data!$H$4:$I$9))</f>
        <v/>
      </c>
      <c r="AQ154" s="188" t="str">
        <f>IF(ISERROR(getgrade(Broadsheet!R265,data!$H$4:$I$9)),"#",getgrade(Broadsheet!R265,data!$H$4:$I$9))</f>
        <v/>
      </c>
      <c r="AR154" s="188" t="str">
        <f>IF(ISERROR(getgrade(Broadsheet!S265,data!$H$4:$I$9)),"#",getgrade(Broadsheet!S265,data!$H$4:$I$9))</f>
        <v/>
      </c>
      <c r="AS154" s="188" t="str">
        <f>IF(ISERROR(getgrade(Broadsheet!T265,data!$H$4:$I$9)),"#",getgrade(Broadsheet!T265,data!$H$4:$I$9))</f>
        <v/>
      </c>
      <c r="AT154" s="188" t="str">
        <f>IF(ISERROR(getgrade(Broadsheet!U265,data!$H$4:$I$9)),"#",getgrade(Broadsheet!U265,data!$H$4:$I$9))</f>
        <v/>
      </c>
      <c r="AU154" s="188" t="str">
        <f>IF(ISERROR(getgrade(Broadsheet!V265,data!$H$4:$I$9)),"#",getgrade(Broadsheet!V265,data!$H$4:$I$9))</f>
        <v/>
      </c>
      <c r="AV154" s="188" t="str">
        <f>IF(ISERROR(getgrade(Broadsheet!W265,data!$H$4:$I$9)),"#",getgrade(Broadsheet!W265,data!$H$4:$I$9))</f>
        <v/>
      </c>
      <c r="AW154" s="188" t="str">
        <f>IF(ISERROR(getgrade(Broadsheet!X265,data!$H$4:$I$9)),"#",getgrade(Broadsheet!X265,data!$H$4:$I$9))</f>
        <v/>
      </c>
      <c r="AX154" s="188" t="str">
        <f>IF(ISERROR(getgrade(Broadsheet!Y265,data!$H$4:$I$9)),"#",getgrade(Broadsheet!Y265,data!$H$4:$I$9))</f>
        <v/>
      </c>
      <c r="AY154" s="188" t="str">
        <f>IF(ISERROR(getgrade(Broadsheet!Z265,data!$H$4:$I$9)),"#",getgrade(Broadsheet!Z265,data!$H$4:$I$9))</f>
        <v/>
      </c>
      <c r="AZ154" s="188" t="str">
        <f>IF(ISERROR(getgrade(Broadsheet!AA265,data!$H$4:$I$9)),"#",getgrade(Broadsheet!AA265,data!$H$4:$I$9))</f>
        <v/>
      </c>
      <c r="BA154" s="188" t="str">
        <f>IF(ISERROR(getgrade(Broadsheet!AB265,data!$H$4:$I$9)),"#",getgrade(Broadsheet!AB265,data!$H$4:$I$9))</f>
        <v/>
      </c>
      <c r="BB154" s="188" t="str">
        <f>IF(ISERROR(getgrade(Broadsheet!AC265,data!$H$4:$I$9)),"#",getgrade(Broadsheet!AC265,data!$H$4:$I$9))</f>
        <v/>
      </c>
      <c r="BC154" s="188" t="str">
        <f>IF(ISERROR(getgrade(Broadsheet!AD265,data!$H$4:$I$9)),"#",getgrade(Broadsheet!AD265,data!$H$4:$I$9))</f>
        <v/>
      </c>
      <c r="BD154" s="188" t="str">
        <f>IF(ISERROR(getgrade(Broadsheet!AE265,data!$H$4:$I$9)),"#",getgrade(Broadsheet!AE265,data!$H$4:$I$9))</f>
        <v/>
      </c>
      <c r="BE154" s="188" t="str">
        <f>IF(ISERROR(getgrade(Broadsheet!AF265,data!$H$4:$I$9)),"#",getgrade(Broadsheet!AF265,data!$H$4:$I$9))</f>
        <v/>
      </c>
      <c r="BF154" s="188" t="str">
        <f>IF(ISERROR(getgrade(Broadsheet!AG265,data!$H$4:$I$9)),"#",getgrade(Broadsheet!AG265,data!$H$4:$I$9))</f>
        <v/>
      </c>
      <c r="BG154" s="188" t="str">
        <f>IF(ISERROR(getgrade(Broadsheet!AH265,data!$H$4:$I$9)),"#",getgrade(Broadsheet!AH265,data!$H$4:$I$9))</f>
        <v/>
      </c>
      <c r="BH154" s="188" t="str">
        <f>IF(ISERROR(getgrade(Broadsheet!AI265,data!$H$4:$I$9)),"#",getgrade(Broadsheet!AI265,data!$H$4:$I$9))</f>
        <v/>
      </c>
      <c r="BI154" s="188" t="str">
        <f>IF(ISERROR(getgrade(Broadsheet!AJ265,data!$H$4:$I$9)),"#",getgrade(Broadsheet!AJ265,data!$H$4:$I$9))</f>
        <v/>
      </c>
      <c r="BJ154" s="188" t="str">
        <f>IF(ISERROR(getgrade(Broadsheet!AK265,data!$H$4:$I$9)),"#",getgrade(Broadsheet!AK265,data!$H$4:$I$9))</f>
        <v/>
      </c>
      <c r="BK154" s="188" t="str">
        <f>IF(ISERROR(getgrade(Broadsheet!AL265,data!$H$4:$I$9)),"#",getgrade(Broadsheet!AL265,data!$H$4:$I$9))</f>
        <v/>
      </c>
      <c r="BL154" s="188" t="str">
        <f>IF(ISERROR(getgrade(Broadsheet!AM265,data!$H$4:$I$9)),"#",getgrade(Broadsheet!AM265,data!$H$4:$I$9))</f>
        <v/>
      </c>
      <c r="BM154" s="188" t="str">
        <f>IF(ISERROR(getgrade(Broadsheet!AN265,data!$H$4:$I$9)),"#",getgrade(Broadsheet!AN265,data!$H$4:$I$9))</f>
        <v/>
      </c>
      <c r="BN154" s="188" t="str">
        <f>IF(ISERROR(getgrade(Broadsheet!AO265,data!$H$4:$I$9)),"#",getgrade(Broadsheet!AO265,data!$H$4:$I$9))</f>
        <v/>
      </c>
      <c r="BO154" s="188" t="str">
        <f>IF(ISERROR(getgrade(Broadsheet!AP265,data!$H$4:$I$9)),"#",getgrade(Broadsheet!AP265,data!$H$4:$I$9))</f>
        <v/>
      </c>
      <c r="BP154" s="188" t="str">
        <f>IF(ISERROR(getgrade(Broadsheet!AQ265,data!$H$4:$I$9)),"#",getgrade(Broadsheet!AQ265,data!$H$4:$I$9))</f>
        <v/>
      </c>
      <c r="BQ154" s="188" t="str">
        <f>IF(ISERROR(getgrade(Broadsheet!AR265,data!$H$4:$I$9)),"#",getgrade(Broadsheet!AR265,data!$H$4:$I$9))</f>
        <v/>
      </c>
      <c r="BR154" s="188" t="str">
        <f>IF(ISERROR(getgrade(Broadsheet!AS265,data!$H$4:$I$9)),"#",getgrade(Broadsheet!AS265,data!$H$4:$I$9))</f>
        <v/>
      </c>
      <c r="BS154" s="188" t="str">
        <f>IF(ISERROR(getgrade(Broadsheet!AT265,data!$H$4:$I$9)),"#",getgrade(Broadsheet!AT265,data!$H$4:$I$9))</f>
        <v/>
      </c>
      <c r="BT154" s="188" t="str">
        <f>IF(ISERROR(getgrade(Broadsheet!AU265,data!$H$4:$I$9)),"#",getgrade(Broadsheet!AU265,data!$H$4:$I$9))</f>
        <v/>
      </c>
      <c r="BU154" s="188" t="str">
        <f>IF(ISERROR(getgrade(Broadsheet!AV265,data!$H$4:$I$9)),"#",getgrade(Broadsheet!AV265,data!$H$4:$I$9))</f>
        <v/>
      </c>
      <c r="BV154" s="188" t="str">
        <f>IF(ISERROR(getgrade(Broadsheet!AW265,data!$H$4:$I$9)),"#",getgrade(Broadsheet!AW265,data!$H$4:$I$9))</f>
        <v/>
      </c>
      <c r="BW154" s="188" t="str">
        <f>IF(ISERROR(getgrade(Broadsheet!AX265,data!$H$4:$I$9)),"#",getgrade(Broadsheet!AX265,data!$H$4:$I$9))</f>
        <v/>
      </c>
      <c r="BX154" s="188" t="str">
        <f>IF(ISERROR(getgrade(Broadsheet!AY265,data!$H$4:$I$9)),"#",getgrade(Broadsheet!AY265,data!$H$4:$I$9))</f>
        <v/>
      </c>
      <c r="BY154" s="188" t="str">
        <f>IF(ISERROR(getgrade(Broadsheet!AZ265,data!$H$4:$I$9)),"#",getgrade(Broadsheet!AZ265,data!$H$4:$I$9))</f>
        <v/>
      </c>
      <c r="BZ154" s="188" t="str">
        <f>IF(ISERROR(getgrade(Broadsheet!BA265,data!$H$4:$I$9)),"#",getgrade(Broadsheet!BA265,data!$H$4:$I$9))</f>
        <v/>
      </c>
      <c r="CA154" s="188" t="str">
        <f>IF(ISERROR(getgrade(Broadsheet!BB265,data!$H$4:$I$9)),"#",getgrade(Broadsheet!BB265,data!$H$4:$I$9))</f>
        <v/>
      </c>
      <c r="CB154" s="188" t="str">
        <f>IF(ISERROR(getgrade(Broadsheet!BC265,data!$H$4:$I$9)),"#",getgrade(Broadsheet!BC265,data!$H$4:$I$9))</f>
        <v/>
      </c>
      <c r="CC154" s="188" t="str">
        <f>IF(ISERROR(getgrade(Broadsheet!BD265,data!$H$4:$I$9)),"#",getgrade(Broadsheet!BD265,data!$H$4:$I$9))</f>
        <v/>
      </c>
      <c r="CD154" s="188" t="str">
        <f>IF(ISERROR(getgrade(Broadsheet!BE265,data!$H$4:$I$9)),"#",getgrade(Broadsheet!BE265,data!$H$4:$I$9))</f>
        <v/>
      </c>
      <c r="CE154" s="188" t="str">
        <f>IF(ISERROR(getgrade(Broadsheet!BF265,data!$H$4:$I$9)),"#",getgrade(Broadsheet!BF265,data!$H$4:$I$9))</f>
        <v/>
      </c>
      <c r="CF154" s="188" t="str">
        <f>IF(ISERROR(getgrade(Broadsheet!BG265,data!$H$4:$I$9)),"#",getgrade(Broadsheet!BG265,data!$H$4:$I$9))</f>
        <v/>
      </c>
      <c r="CG154" s="188" t="str">
        <f>IF(ISERROR(getgrade(Broadsheet!BH265,data!$H$4:$I$9)),"#",getgrade(Broadsheet!BH265,data!$H$4:$I$9))</f>
        <v/>
      </c>
      <c r="CH154" s="188" t="str">
        <f>IF(ISERROR(getgrade(Broadsheet!BI265,data!$H$4:$I$9)),"#",getgrade(Broadsheet!BI265,data!$H$4:$I$9))</f>
        <v/>
      </c>
      <c r="CI154" s="188" t="str">
        <f>IF(ISERROR(getgrade(Broadsheet!BJ265,data!$H$4:$I$9)),"#",getgrade(Broadsheet!BJ265,data!$H$4:$I$9))</f>
        <v/>
      </c>
      <c r="CJ154" s="188"/>
      <c r="CK154" s="188"/>
      <c r="CL154" s="188"/>
      <c r="CM154" s="188"/>
      <c r="CN154" s="188"/>
      <c r="CO154" s="188"/>
      <c r="CP154" s="188"/>
      <c r="CQ154" s="188"/>
      <c r="CR154" s="188"/>
      <c r="CS154" s="188"/>
      <c r="CT154" s="188"/>
      <c r="CU154" s="188"/>
      <c r="CV154" s="188"/>
      <c r="CW154" s="188"/>
      <c r="CX154" s="188"/>
      <c r="CY154" s="188"/>
      <c r="CZ154" s="188"/>
      <c r="DA154" s="188"/>
      <c r="DB154" s="188"/>
      <c r="DC154" s="188"/>
      <c r="DD154" s="188"/>
      <c r="DE154" s="188"/>
      <c r="DF154" s="188"/>
      <c r="DG154" s="188"/>
      <c r="DH154" s="188"/>
      <c r="DI154" s="188"/>
      <c r="DJ154" s="188"/>
      <c r="DK154" s="188"/>
      <c r="DL154" s="188"/>
      <c r="DM154" s="188"/>
      <c r="DN154" s="188"/>
      <c r="DO154" s="188"/>
      <c r="DP154" s="188"/>
      <c r="DQ154" s="188"/>
      <c r="DR154" s="188"/>
      <c r="DS154" s="188"/>
      <c r="DT154" s="188"/>
      <c r="DU154" s="188"/>
      <c r="DV154" s="188"/>
      <c r="DW154" s="188"/>
      <c r="DX154" s="188"/>
      <c r="DY154" s="188"/>
      <c r="DZ154" s="188"/>
      <c r="EA154" s="188"/>
      <c r="EB154" s="188"/>
      <c r="EC154" s="188"/>
      <c r="ED154" s="188"/>
      <c r="EE154" s="188"/>
      <c r="EF154" s="188"/>
      <c r="EG154" s="188"/>
      <c r="EH154" s="188"/>
      <c r="EI154" s="188"/>
      <c r="EJ154" s="188"/>
      <c r="EK154" s="188"/>
      <c r="EL154" s="188"/>
      <c r="EM154" s="188"/>
      <c r="EN154" s="188"/>
      <c r="EO154" s="188"/>
      <c r="EP154" s="188"/>
      <c r="EQ154" s="188"/>
      <c r="ER154" s="188"/>
      <c r="ES154" s="188"/>
      <c r="ET154" s="188"/>
      <c r="EU154" s="188"/>
      <c r="EV154" s="188"/>
      <c r="EW154" s="188"/>
      <c r="EX154" s="188"/>
      <c r="EY154" s="188"/>
      <c r="EZ154" s="188"/>
    </row>
    <row r="155" spans="33:156" x14ac:dyDescent="0.2">
      <c r="AG155" s="188" t="str">
        <f>IF(ISERROR(getgrade(Broadsheet!H266,data!$H$4:$I$9)),"#",getgrade(Broadsheet!H266,data!$H$4:$I$9))</f>
        <v/>
      </c>
      <c r="AH155" s="188" t="str">
        <f>IF(ISERROR(getgrade(Broadsheet!I266,data!$H$4:$I$9)),"#",getgrade(Broadsheet!I266,data!$H$4:$I$9))</f>
        <v/>
      </c>
      <c r="AI155" s="188" t="str">
        <f>IF(ISERROR(getgrade(Broadsheet!J266,data!$H$4:$I$9)),"#",getgrade(Broadsheet!J266,data!$H$4:$I$9))</f>
        <v/>
      </c>
      <c r="AJ155" s="188" t="str">
        <f>IF(ISERROR(getgrade(Broadsheet!K266,data!$H$4:$I$9)),"#",getgrade(Broadsheet!K266,data!$H$4:$I$9))</f>
        <v/>
      </c>
      <c r="AK155" s="188" t="str">
        <f>IF(ISERROR(getgrade(Broadsheet!L266,data!$H$4:$I$9)),"#",getgrade(Broadsheet!L266,data!$H$4:$I$9))</f>
        <v/>
      </c>
      <c r="AL155" s="188" t="str">
        <f>IF(ISERROR(getgrade(Broadsheet!M266,data!$H$4:$I$9)),"#",getgrade(Broadsheet!M266,data!$H$4:$I$9))</f>
        <v/>
      </c>
      <c r="AM155" s="188" t="str">
        <f>IF(ISERROR(getgrade(Broadsheet!N266,data!$H$4:$I$9)),"#",getgrade(Broadsheet!N266,data!$H$4:$I$9))</f>
        <v/>
      </c>
      <c r="AN155" s="188" t="str">
        <f>IF(ISERROR(getgrade(Broadsheet!O266,data!$H$4:$I$9)),"#",getgrade(Broadsheet!O266,data!$H$4:$I$9))</f>
        <v/>
      </c>
      <c r="AO155" s="188" t="str">
        <f>IF(ISERROR(getgrade(Broadsheet!P266,data!$H$4:$I$9)),"#",getgrade(Broadsheet!P266,data!$H$4:$I$9))</f>
        <v/>
      </c>
      <c r="AP155" s="188" t="str">
        <f>IF(ISERROR(getgrade(Broadsheet!Q266,data!$H$4:$I$9)),"#",getgrade(Broadsheet!Q266,data!$H$4:$I$9))</f>
        <v/>
      </c>
      <c r="AQ155" s="188" t="str">
        <f>IF(ISERROR(getgrade(Broadsheet!R266,data!$H$4:$I$9)),"#",getgrade(Broadsheet!R266,data!$H$4:$I$9))</f>
        <v/>
      </c>
      <c r="AR155" s="188" t="str">
        <f>IF(ISERROR(getgrade(Broadsheet!S266,data!$H$4:$I$9)),"#",getgrade(Broadsheet!S266,data!$H$4:$I$9))</f>
        <v/>
      </c>
      <c r="AS155" s="188" t="str">
        <f>IF(ISERROR(getgrade(Broadsheet!T266,data!$H$4:$I$9)),"#",getgrade(Broadsheet!T266,data!$H$4:$I$9))</f>
        <v/>
      </c>
      <c r="AT155" s="188" t="str">
        <f>IF(ISERROR(getgrade(Broadsheet!U266,data!$H$4:$I$9)),"#",getgrade(Broadsheet!U266,data!$H$4:$I$9))</f>
        <v/>
      </c>
      <c r="AU155" s="188" t="str">
        <f>IF(ISERROR(getgrade(Broadsheet!V266,data!$H$4:$I$9)),"#",getgrade(Broadsheet!V266,data!$H$4:$I$9))</f>
        <v/>
      </c>
      <c r="AV155" s="188" t="str">
        <f>IF(ISERROR(getgrade(Broadsheet!W266,data!$H$4:$I$9)),"#",getgrade(Broadsheet!W266,data!$H$4:$I$9))</f>
        <v/>
      </c>
      <c r="AW155" s="188" t="str">
        <f>IF(ISERROR(getgrade(Broadsheet!X266,data!$H$4:$I$9)),"#",getgrade(Broadsheet!X266,data!$H$4:$I$9))</f>
        <v/>
      </c>
      <c r="AX155" s="188" t="str">
        <f>IF(ISERROR(getgrade(Broadsheet!Y266,data!$H$4:$I$9)),"#",getgrade(Broadsheet!Y266,data!$H$4:$I$9))</f>
        <v/>
      </c>
      <c r="AY155" s="188" t="str">
        <f>IF(ISERROR(getgrade(Broadsheet!Z266,data!$H$4:$I$9)),"#",getgrade(Broadsheet!Z266,data!$H$4:$I$9))</f>
        <v/>
      </c>
      <c r="AZ155" s="188" t="str">
        <f>IF(ISERROR(getgrade(Broadsheet!AA266,data!$H$4:$I$9)),"#",getgrade(Broadsheet!AA266,data!$H$4:$I$9))</f>
        <v/>
      </c>
      <c r="BA155" s="188" t="str">
        <f>IF(ISERROR(getgrade(Broadsheet!AB266,data!$H$4:$I$9)),"#",getgrade(Broadsheet!AB266,data!$H$4:$I$9))</f>
        <v/>
      </c>
      <c r="BB155" s="188" t="str">
        <f>IF(ISERROR(getgrade(Broadsheet!AC266,data!$H$4:$I$9)),"#",getgrade(Broadsheet!AC266,data!$H$4:$I$9))</f>
        <v/>
      </c>
      <c r="BC155" s="188" t="str">
        <f>IF(ISERROR(getgrade(Broadsheet!AD266,data!$H$4:$I$9)),"#",getgrade(Broadsheet!AD266,data!$H$4:$I$9))</f>
        <v/>
      </c>
      <c r="BD155" s="188" t="str">
        <f>IF(ISERROR(getgrade(Broadsheet!AE266,data!$H$4:$I$9)),"#",getgrade(Broadsheet!AE266,data!$H$4:$I$9))</f>
        <v/>
      </c>
      <c r="BE155" s="188" t="str">
        <f>IF(ISERROR(getgrade(Broadsheet!AF266,data!$H$4:$I$9)),"#",getgrade(Broadsheet!AF266,data!$H$4:$I$9))</f>
        <v/>
      </c>
      <c r="BF155" s="188" t="str">
        <f>IF(ISERROR(getgrade(Broadsheet!AG266,data!$H$4:$I$9)),"#",getgrade(Broadsheet!AG266,data!$H$4:$I$9))</f>
        <v/>
      </c>
      <c r="BG155" s="188" t="str">
        <f>IF(ISERROR(getgrade(Broadsheet!AH266,data!$H$4:$I$9)),"#",getgrade(Broadsheet!AH266,data!$H$4:$I$9))</f>
        <v/>
      </c>
      <c r="BH155" s="188" t="str">
        <f>IF(ISERROR(getgrade(Broadsheet!AI266,data!$H$4:$I$9)),"#",getgrade(Broadsheet!AI266,data!$H$4:$I$9))</f>
        <v/>
      </c>
      <c r="BI155" s="188" t="str">
        <f>IF(ISERROR(getgrade(Broadsheet!AJ266,data!$H$4:$I$9)),"#",getgrade(Broadsheet!AJ266,data!$H$4:$I$9))</f>
        <v/>
      </c>
      <c r="BJ155" s="188" t="str">
        <f>IF(ISERROR(getgrade(Broadsheet!AK266,data!$H$4:$I$9)),"#",getgrade(Broadsheet!AK266,data!$H$4:$I$9))</f>
        <v/>
      </c>
      <c r="BK155" s="188" t="str">
        <f>IF(ISERROR(getgrade(Broadsheet!AL266,data!$H$4:$I$9)),"#",getgrade(Broadsheet!AL266,data!$H$4:$I$9))</f>
        <v/>
      </c>
      <c r="BL155" s="188" t="str">
        <f>IF(ISERROR(getgrade(Broadsheet!AM266,data!$H$4:$I$9)),"#",getgrade(Broadsheet!AM266,data!$H$4:$I$9))</f>
        <v/>
      </c>
      <c r="BM155" s="188" t="str">
        <f>IF(ISERROR(getgrade(Broadsheet!AN266,data!$H$4:$I$9)),"#",getgrade(Broadsheet!AN266,data!$H$4:$I$9))</f>
        <v/>
      </c>
      <c r="BN155" s="188" t="str">
        <f>IF(ISERROR(getgrade(Broadsheet!AO266,data!$H$4:$I$9)),"#",getgrade(Broadsheet!AO266,data!$H$4:$I$9))</f>
        <v/>
      </c>
      <c r="BO155" s="188" t="str">
        <f>IF(ISERROR(getgrade(Broadsheet!AP266,data!$H$4:$I$9)),"#",getgrade(Broadsheet!AP266,data!$H$4:$I$9))</f>
        <v/>
      </c>
      <c r="BP155" s="188" t="str">
        <f>IF(ISERROR(getgrade(Broadsheet!AQ266,data!$H$4:$I$9)),"#",getgrade(Broadsheet!AQ266,data!$H$4:$I$9))</f>
        <v/>
      </c>
      <c r="BQ155" s="188" t="str">
        <f>IF(ISERROR(getgrade(Broadsheet!AR266,data!$H$4:$I$9)),"#",getgrade(Broadsheet!AR266,data!$H$4:$I$9))</f>
        <v/>
      </c>
      <c r="BR155" s="188" t="str">
        <f>IF(ISERROR(getgrade(Broadsheet!AS266,data!$H$4:$I$9)),"#",getgrade(Broadsheet!AS266,data!$H$4:$I$9))</f>
        <v/>
      </c>
      <c r="BS155" s="188" t="str">
        <f>IF(ISERROR(getgrade(Broadsheet!AT266,data!$H$4:$I$9)),"#",getgrade(Broadsheet!AT266,data!$H$4:$I$9))</f>
        <v/>
      </c>
      <c r="BT155" s="188" t="str">
        <f>IF(ISERROR(getgrade(Broadsheet!AU266,data!$H$4:$I$9)),"#",getgrade(Broadsheet!AU266,data!$H$4:$I$9))</f>
        <v/>
      </c>
      <c r="BU155" s="188" t="str">
        <f>IF(ISERROR(getgrade(Broadsheet!AV266,data!$H$4:$I$9)),"#",getgrade(Broadsheet!AV266,data!$H$4:$I$9))</f>
        <v/>
      </c>
      <c r="BV155" s="188" t="str">
        <f>IF(ISERROR(getgrade(Broadsheet!AW266,data!$H$4:$I$9)),"#",getgrade(Broadsheet!AW266,data!$H$4:$I$9))</f>
        <v/>
      </c>
      <c r="BW155" s="188" t="str">
        <f>IF(ISERROR(getgrade(Broadsheet!AX266,data!$H$4:$I$9)),"#",getgrade(Broadsheet!AX266,data!$H$4:$I$9))</f>
        <v/>
      </c>
      <c r="BX155" s="188" t="str">
        <f>IF(ISERROR(getgrade(Broadsheet!AY266,data!$H$4:$I$9)),"#",getgrade(Broadsheet!AY266,data!$H$4:$I$9))</f>
        <v/>
      </c>
      <c r="BY155" s="188" t="str">
        <f>IF(ISERROR(getgrade(Broadsheet!AZ266,data!$H$4:$I$9)),"#",getgrade(Broadsheet!AZ266,data!$H$4:$I$9))</f>
        <v/>
      </c>
      <c r="BZ155" s="188" t="str">
        <f>IF(ISERROR(getgrade(Broadsheet!BA266,data!$H$4:$I$9)),"#",getgrade(Broadsheet!BA266,data!$H$4:$I$9))</f>
        <v/>
      </c>
      <c r="CA155" s="188" t="str">
        <f>IF(ISERROR(getgrade(Broadsheet!BB266,data!$H$4:$I$9)),"#",getgrade(Broadsheet!BB266,data!$H$4:$I$9))</f>
        <v/>
      </c>
      <c r="CB155" s="188" t="str">
        <f>IF(ISERROR(getgrade(Broadsheet!BC266,data!$H$4:$I$9)),"#",getgrade(Broadsheet!BC266,data!$H$4:$I$9))</f>
        <v/>
      </c>
      <c r="CC155" s="188" t="str">
        <f>IF(ISERROR(getgrade(Broadsheet!BD266,data!$H$4:$I$9)),"#",getgrade(Broadsheet!BD266,data!$H$4:$I$9))</f>
        <v/>
      </c>
      <c r="CD155" s="188" t="str">
        <f>IF(ISERROR(getgrade(Broadsheet!BE266,data!$H$4:$I$9)),"#",getgrade(Broadsheet!BE266,data!$H$4:$I$9))</f>
        <v/>
      </c>
      <c r="CE155" s="188" t="str">
        <f>IF(ISERROR(getgrade(Broadsheet!BF266,data!$H$4:$I$9)),"#",getgrade(Broadsheet!BF266,data!$H$4:$I$9))</f>
        <v/>
      </c>
      <c r="CF155" s="188" t="str">
        <f>IF(ISERROR(getgrade(Broadsheet!BG266,data!$H$4:$I$9)),"#",getgrade(Broadsheet!BG266,data!$H$4:$I$9))</f>
        <v/>
      </c>
      <c r="CG155" s="188" t="str">
        <f>IF(ISERROR(getgrade(Broadsheet!BH266,data!$H$4:$I$9)),"#",getgrade(Broadsheet!BH266,data!$H$4:$I$9))</f>
        <v/>
      </c>
      <c r="CH155" s="188" t="str">
        <f>IF(ISERROR(getgrade(Broadsheet!BI266,data!$H$4:$I$9)),"#",getgrade(Broadsheet!BI266,data!$H$4:$I$9))</f>
        <v/>
      </c>
      <c r="CI155" s="188" t="str">
        <f>IF(ISERROR(getgrade(Broadsheet!BJ266,data!$H$4:$I$9)),"#",getgrade(Broadsheet!BJ266,data!$H$4:$I$9))</f>
        <v/>
      </c>
      <c r="CJ155" s="188"/>
      <c r="CK155" s="188"/>
      <c r="CL155" s="188"/>
      <c r="CM155" s="188"/>
      <c r="CN155" s="188"/>
      <c r="CO155" s="188"/>
      <c r="CP155" s="188"/>
      <c r="CQ155" s="188"/>
      <c r="CR155" s="188"/>
      <c r="CS155" s="188"/>
      <c r="CT155" s="188"/>
      <c r="CU155" s="188"/>
      <c r="CV155" s="188"/>
      <c r="CW155" s="188"/>
      <c r="CX155" s="188"/>
      <c r="CY155" s="188"/>
      <c r="CZ155" s="188"/>
      <c r="DA155" s="188"/>
      <c r="DB155" s="188"/>
      <c r="DC155" s="188"/>
      <c r="DD155" s="188"/>
      <c r="DE155" s="188"/>
      <c r="DF155" s="188"/>
      <c r="DG155" s="188"/>
      <c r="DH155" s="188"/>
      <c r="DI155" s="188"/>
      <c r="DJ155" s="188"/>
      <c r="DK155" s="188"/>
      <c r="DL155" s="188"/>
      <c r="DM155" s="188"/>
      <c r="DN155" s="188"/>
      <c r="DO155" s="188"/>
      <c r="DP155" s="188"/>
      <c r="DQ155" s="188"/>
      <c r="DR155" s="188"/>
      <c r="DS155" s="188"/>
      <c r="DT155" s="188"/>
      <c r="DU155" s="188"/>
      <c r="DV155" s="188"/>
      <c r="DW155" s="188"/>
      <c r="DX155" s="188"/>
      <c r="DY155" s="188"/>
      <c r="DZ155" s="188"/>
      <c r="EA155" s="188"/>
      <c r="EB155" s="188"/>
      <c r="EC155" s="188"/>
      <c r="ED155" s="188"/>
      <c r="EE155" s="188"/>
      <c r="EF155" s="188"/>
      <c r="EG155" s="188"/>
      <c r="EH155" s="188"/>
      <c r="EI155" s="188"/>
      <c r="EJ155" s="188"/>
      <c r="EK155" s="188"/>
      <c r="EL155" s="188"/>
      <c r="EM155" s="188"/>
      <c r="EN155" s="188"/>
      <c r="EO155" s="188"/>
      <c r="EP155" s="188"/>
      <c r="EQ155" s="188"/>
      <c r="ER155" s="188"/>
      <c r="ES155" s="188"/>
      <c r="ET155" s="188"/>
      <c r="EU155" s="188"/>
      <c r="EV155" s="188"/>
      <c r="EW155" s="188"/>
      <c r="EX155" s="188"/>
      <c r="EY155" s="188"/>
      <c r="EZ155" s="188"/>
    </row>
    <row r="156" spans="33:156" x14ac:dyDescent="0.2">
      <c r="AG156" s="188" t="str">
        <f>IF(ISERROR(getgrade(Broadsheet!H267,data!$H$4:$I$9)),"#",getgrade(Broadsheet!H267,data!$H$4:$I$9))</f>
        <v/>
      </c>
      <c r="AH156" s="188" t="str">
        <f>IF(ISERROR(getgrade(Broadsheet!I267,data!$H$4:$I$9)),"#",getgrade(Broadsheet!I267,data!$H$4:$I$9))</f>
        <v/>
      </c>
      <c r="AI156" s="188" t="str">
        <f>IF(ISERROR(getgrade(Broadsheet!J267,data!$H$4:$I$9)),"#",getgrade(Broadsheet!J267,data!$H$4:$I$9))</f>
        <v/>
      </c>
      <c r="AJ156" s="188" t="str">
        <f>IF(ISERROR(getgrade(Broadsheet!K267,data!$H$4:$I$9)),"#",getgrade(Broadsheet!K267,data!$H$4:$I$9))</f>
        <v/>
      </c>
      <c r="AK156" s="188" t="str">
        <f>IF(ISERROR(getgrade(Broadsheet!L267,data!$H$4:$I$9)),"#",getgrade(Broadsheet!L267,data!$H$4:$I$9))</f>
        <v/>
      </c>
      <c r="AL156" s="188" t="str">
        <f>IF(ISERROR(getgrade(Broadsheet!M267,data!$H$4:$I$9)),"#",getgrade(Broadsheet!M267,data!$H$4:$I$9))</f>
        <v/>
      </c>
      <c r="AM156" s="188" t="str">
        <f>IF(ISERROR(getgrade(Broadsheet!N267,data!$H$4:$I$9)),"#",getgrade(Broadsheet!N267,data!$H$4:$I$9))</f>
        <v/>
      </c>
      <c r="AN156" s="188" t="str">
        <f>IF(ISERROR(getgrade(Broadsheet!O267,data!$H$4:$I$9)),"#",getgrade(Broadsheet!O267,data!$H$4:$I$9))</f>
        <v/>
      </c>
      <c r="AO156" s="188" t="str">
        <f>IF(ISERROR(getgrade(Broadsheet!P267,data!$H$4:$I$9)),"#",getgrade(Broadsheet!P267,data!$H$4:$I$9))</f>
        <v/>
      </c>
      <c r="AP156" s="188" t="str">
        <f>IF(ISERROR(getgrade(Broadsheet!Q267,data!$H$4:$I$9)),"#",getgrade(Broadsheet!Q267,data!$H$4:$I$9))</f>
        <v/>
      </c>
      <c r="AQ156" s="188" t="str">
        <f>IF(ISERROR(getgrade(Broadsheet!R267,data!$H$4:$I$9)),"#",getgrade(Broadsheet!R267,data!$H$4:$I$9))</f>
        <v/>
      </c>
      <c r="AR156" s="188" t="str">
        <f>IF(ISERROR(getgrade(Broadsheet!S267,data!$H$4:$I$9)),"#",getgrade(Broadsheet!S267,data!$H$4:$I$9))</f>
        <v/>
      </c>
      <c r="AS156" s="188" t="str">
        <f>IF(ISERROR(getgrade(Broadsheet!T267,data!$H$4:$I$9)),"#",getgrade(Broadsheet!T267,data!$H$4:$I$9))</f>
        <v/>
      </c>
      <c r="AT156" s="188" t="str">
        <f>IF(ISERROR(getgrade(Broadsheet!U267,data!$H$4:$I$9)),"#",getgrade(Broadsheet!U267,data!$H$4:$I$9))</f>
        <v/>
      </c>
      <c r="AU156" s="188" t="str">
        <f>IF(ISERROR(getgrade(Broadsheet!V267,data!$H$4:$I$9)),"#",getgrade(Broadsheet!V267,data!$H$4:$I$9))</f>
        <v/>
      </c>
      <c r="AV156" s="188" t="str">
        <f>IF(ISERROR(getgrade(Broadsheet!W267,data!$H$4:$I$9)),"#",getgrade(Broadsheet!W267,data!$H$4:$I$9))</f>
        <v/>
      </c>
      <c r="AW156" s="188" t="str">
        <f>IF(ISERROR(getgrade(Broadsheet!X267,data!$H$4:$I$9)),"#",getgrade(Broadsheet!X267,data!$H$4:$I$9))</f>
        <v/>
      </c>
      <c r="AX156" s="188" t="str">
        <f>IF(ISERROR(getgrade(Broadsheet!Y267,data!$H$4:$I$9)),"#",getgrade(Broadsheet!Y267,data!$H$4:$I$9))</f>
        <v/>
      </c>
      <c r="AY156" s="188" t="str">
        <f>IF(ISERROR(getgrade(Broadsheet!Z267,data!$H$4:$I$9)),"#",getgrade(Broadsheet!Z267,data!$H$4:$I$9))</f>
        <v/>
      </c>
      <c r="AZ156" s="188" t="str">
        <f>IF(ISERROR(getgrade(Broadsheet!AA267,data!$H$4:$I$9)),"#",getgrade(Broadsheet!AA267,data!$H$4:$I$9))</f>
        <v/>
      </c>
      <c r="BA156" s="188" t="str">
        <f>IF(ISERROR(getgrade(Broadsheet!AB267,data!$H$4:$I$9)),"#",getgrade(Broadsheet!AB267,data!$H$4:$I$9))</f>
        <v/>
      </c>
      <c r="BB156" s="188" t="str">
        <f>IF(ISERROR(getgrade(Broadsheet!AC267,data!$H$4:$I$9)),"#",getgrade(Broadsheet!AC267,data!$H$4:$I$9))</f>
        <v/>
      </c>
      <c r="BC156" s="188" t="str">
        <f>IF(ISERROR(getgrade(Broadsheet!AD267,data!$H$4:$I$9)),"#",getgrade(Broadsheet!AD267,data!$H$4:$I$9))</f>
        <v/>
      </c>
      <c r="BD156" s="188" t="str">
        <f>IF(ISERROR(getgrade(Broadsheet!AE267,data!$H$4:$I$9)),"#",getgrade(Broadsheet!AE267,data!$H$4:$I$9))</f>
        <v/>
      </c>
      <c r="BE156" s="188" t="str">
        <f>IF(ISERROR(getgrade(Broadsheet!AF267,data!$H$4:$I$9)),"#",getgrade(Broadsheet!AF267,data!$H$4:$I$9))</f>
        <v/>
      </c>
      <c r="BF156" s="188" t="str">
        <f>IF(ISERROR(getgrade(Broadsheet!AG267,data!$H$4:$I$9)),"#",getgrade(Broadsheet!AG267,data!$H$4:$I$9))</f>
        <v/>
      </c>
      <c r="BG156" s="188" t="str">
        <f>IF(ISERROR(getgrade(Broadsheet!AH267,data!$H$4:$I$9)),"#",getgrade(Broadsheet!AH267,data!$H$4:$I$9))</f>
        <v/>
      </c>
      <c r="BH156" s="188" t="str">
        <f>IF(ISERROR(getgrade(Broadsheet!AI267,data!$H$4:$I$9)),"#",getgrade(Broadsheet!AI267,data!$H$4:$I$9))</f>
        <v/>
      </c>
      <c r="BI156" s="188" t="str">
        <f>IF(ISERROR(getgrade(Broadsheet!AJ267,data!$H$4:$I$9)),"#",getgrade(Broadsheet!AJ267,data!$H$4:$I$9))</f>
        <v/>
      </c>
      <c r="BJ156" s="188" t="str">
        <f>IF(ISERROR(getgrade(Broadsheet!AK267,data!$H$4:$I$9)),"#",getgrade(Broadsheet!AK267,data!$H$4:$I$9))</f>
        <v/>
      </c>
      <c r="BK156" s="188" t="str">
        <f>IF(ISERROR(getgrade(Broadsheet!AL267,data!$H$4:$I$9)),"#",getgrade(Broadsheet!AL267,data!$H$4:$I$9))</f>
        <v/>
      </c>
      <c r="BL156" s="188" t="str">
        <f>IF(ISERROR(getgrade(Broadsheet!AM267,data!$H$4:$I$9)),"#",getgrade(Broadsheet!AM267,data!$H$4:$I$9))</f>
        <v/>
      </c>
      <c r="BM156" s="188" t="str">
        <f>IF(ISERROR(getgrade(Broadsheet!AN267,data!$H$4:$I$9)),"#",getgrade(Broadsheet!AN267,data!$H$4:$I$9))</f>
        <v/>
      </c>
      <c r="BN156" s="188" t="str">
        <f>IF(ISERROR(getgrade(Broadsheet!AO267,data!$H$4:$I$9)),"#",getgrade(Broadsheet!AO267,data!$H$4:$I$9))</f>
        <v/>
      </c>
      <c r="BO156" s="188" t="str">
        <f>IF(ISERROR(getgrade(Broadsheet!AP267,data!$H$4:$I$9)),"#",getgrade(Broadsheet!AP267,data!$H$4:$I$9))</f>
        <v/>
      </c>
      <c r="BP156" s="188" t="str">
        <f>IF(ISERROR(getgrade(Broadsheet!AQ267,data!$H$4:$I$9)),"#",getgrade(Broadsheet!AQ267,data!$H$4:$I$9))</f>
        <v/>
      </c>
      <c r="BQ156" s="188" t="str">
        <f>IF(ISERROR(getgrade(Broadsheet!AR267,data!$H$4:$I$9)),"#",getgrade(Broadsheet!AR267,data!$H$4:$I$9))</f>
        <v/>
      </c>
      <c r="BR156" s="188" t="str">
        <f>IF(ISERROR(getgrade(Broadsheet!AS267,data!$H$4:$I$9)),"#",getgrade(Broadsheet!AS267,data!$H$4:$I$9))</f>
        <v/>
      </c>
      <c r="BS156" s="188" t="str">
        <f>IF(ISERROR(getgrade(Broadsheet!AT267,data!$H$4:$I$9)),"#",getgrade(Broadsheet!AT267,data!$H$4:$I$9))</f>
        <v/>
      </c>
      <c r="BT156" s="188" t="str">
        <f>IF(ISERROR(getgrade(Broadsheet!AU267,data!$H$4:$I$9)),"#",getgrade(Broadsheet!AU267,data!$H$4:$I$9))</f>
        <v/>
      </c>
      <c r="BU156" s="188" t="str">
        <f>IF(ISERROR(getgrade(Broadsheet!AV267,data!$H$4:$I$9)),"#",getgrade(Broadsheet!AV267,data!$H$4:$I$9))</f>
        <v/>
      </c>
      <c r="BV156" s="188" t="str">
        <f>IF(ISERROR(getgrade(Broadsheet!AW267,data!$H$4:$I$9)),"#",getgrade(Broadsheet!AW267,data!$H$4:$I$9))</f>
        <v/>
      </c>
      <c r="BW156" s="188" t="str">
        <f>IF(ISERROR(getgrade(Broadsheet!AX267,data!$H$4:$I$9)),"#",getgrade(Broadsheet!AX267,data!$H$4:$I$9))</f>
        <v/>
      </c>
      <c r="BX156" s="188" t="str">
        <f>IF(ISERROR(getgrade(Broadsheet!AY267,data!$H$4:$I$9)),"#",getgrade(Broadsheet!AY267,data!$H$4:$I$9))</f>
        <v/>
      </c>
      <c r="BY156" s="188" t="str">
        <f>IF(ISERROR(getgrade(Broadsheet!AZ267,data!$H$4:$I$9)),"#",getgrade(Broadsheet!AZ267,data!$H$4:$I$9))</f>
        <v/>
      </c>
      <c r="BZ156" s="188" t="str">
        <f>IF(ISERROR(getgrade(Broadsheet!BA267,data!$H$4:$I$9)),"#",getgrade(Broadsheet!BA267,data!$H$4:$I$9))</f>
        <v/>
      </c>
      <c r="CA156" s="188" t="str">
        <f>IF(ISERROR(getgrade(Broadsheet!BB267,data!$H$4:$I$9)),"#",getgrade(Broadsheet!BB267,data!$H$4:$I$9))</f>
        <v/>
      </c>
      <c r="CB156" s="188" t="str">
        <f>IF(ISERROR(getgrade(Broadsheet!BC267,data!$H$4:$I$9)),"#",getgrade(Broadsheet!BC267,data!$H$4:$I$9))</f>
        <v/>
      </c>
      <c r="CC156" s="188" t="str">
        <f>IF(ISERROR(getgrade(Broadsheet!BD267,data!$H$4:$I$9)),"#",getgrade(Broadsheet!BD267,data!$H$4:$I$9))</f>
        <v/>
      </c>
      <c r="CD156" s="188" t="str">
        <f>IF(ISERROR(getgrade(Broadsheet!BE267,data!$H$4:$I$9)),"#",getgrade(Broadsheet!BE267,data!$H$4:$I$9))</f>
        <v/>
      </c>
      <c r="CE156" s="188" t="str">
        <f>IF(ISERROR(getgrade(Broadsheet!BF267,data!$H$4:$I$9)),"#",getgrade(Broadsheet!BF267,data!$H$4:$I$9))</f>
        <v/>
      </c>
      <c r="CF156" s="188" t="str">
        <f>IF(ISERROR(getgrade(Broadsheet!BG267,data!$H$4:$I$9)),"#",getgrade(Broadsheet!BG267,data!$H$4:$I$9))</f>
        <v/>
      </c>
      <c r="CG156" s="188" t="str">
        <f>IF(ISERROR(getgrade(Broadsheet!BH267,data!$H$4:$I$9)),"#",getgrade(Broadsheet!BH267,data!$H$4:$I$9))</f>
        <v/>
      </c>
      <c r="CH156" s="188" t="str">
        <f>IF(ISERROR(getgrade(Broadsheet!BI267,data!$H$4:$I$9)),"#",getgrade(Broadsheet!BI267,data!$H$4:$I$9))</f>
        <v/>
      </c>
      <c r="CI156" s="188" t="str">
        <f>IF(ISERROR(getgrade(Broadsheet!BJ267,data!$H$4:$I$9)),"#",getgrade(Broadsheet!BJ267,data!$H$4:$I$9))</f>
        <v/>
      </c>
      <c r="CJ156" s="188"/>
      <c r="CK156" s="188"/>
      <c r="CL156" s="188"/>
      <c r="CM156" s="188"/>
      <c r="CN156" s="188"/>
      <c r="CO156" s="188"/>
      <c r="CP156" s="188"/>
      <c r="CQ156" s="188"/>
      <c r="CR156" s="188"/>
      <c r="CS156" s="188"/>
      <c r="CT156" s="188"/>
      <c r="CU156" s="188"/>
      <c r="CV156" s="188"/>
      <c r="CW156" s="188"/>
      <c r="CX156" s="188"/>
      <c r="CY156" s="188"/>
      <c r="CZ156" s="188"/>
      <c r="DA156" s="188"/>
      <c r="DB156" s="188"/>
      <c r="DC156" s="188"/>
      <c r="DD156" s="188"/>
      <c r="DE156" s="188"/>
      <c r="DF156" s="188"/>
      <c r="DG156" s="188"/>
      <c r="DH156" s="188"/>
      <c r="DI156" s="188"/>
      <c r="DJ156" s="188"/>
      <c r="DK156" s="188"/>
      <c r="DL156" s="188"/>
      <c r="DM156" s="188"/>
      <c r="DN156" s="188"/>
      <c r="DO156" s="188"/>
      <c r="DP156" s="188"/>
      <c r="DQ156" s="188"/>
      <c r="DR156" s="188"/>
      <c r="DS156" s="188"/>
      <c r="DT156" s="188"/>
      <c r="DU156" s="188"/>
      <c r="DV156" s="188"/>
      <c r="DW156" s="188"/>
      <c r="DX156" s="188"/>
      <c r="DY156" s="188"/>
      <c r="DZ156" s="188"/>
      <c r="EA156" s="188"/>
      <c r="EB156" s="188"/>
      <c r="EC156" s="188"/>
      <c r="ED156" s="188"/>
      <c r="EE156" s="188"/>
      <c r="EF156" s="188"/>
      <c r="EG156" s="188"/>
      <c r="EH156" s="188"/>
      <c r="EI156" s="188"/>
      <c r="EJ156" s="188"/>
      <c r="EK156" s="188"/>
      <c r="EL156" s="188"/>
      <c r="EM156" s="188"/>
      <c r="EN156" s="188"/>
      <c r="EO156" s="188"/>
      <c r="EP156" s="188"/>
      <c r="EQ156" s="188"/>
      <c r="ER156" s="188"/>
      <c r="ES156" s="188"/>
      <c r="ET156" s="188"/>
      <c r="EU156" s="188"/>
      <c r="EV156" s="188"/>
      <c r="EW156" s="188"/>
      <c r="EX156" s="188"/>
      <c r="EY156" s="188"/>
      <c r="EZ156" s="188"/>
    </row>
  </sheetData>
  <mergeCells count="7">
    <mergeCell ref="Y7:AE7"/>
    <mergeCell ref="Q7:V7"/>
    <mergeCell ref="A7:A9"/>
    <mergeCell ref="B7:B9"/>
    <mergeCell ref="C7:C9"/>
    <mergeCell ref="K7:P7"/>
    <mergeCell ref="D7:H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0" tint="-0.34998626667073579"/>
  </sheetPr>
  <dimension ref="A1:AF57"/>
  <sheetViews>
    <sheetView workbookViewId="0">
      <selection activeCell="J11" sqref="J11"/>
    </sheetView>
  </sheetViews>
  <sheetFormatPr defaultRowHeight="12.75" x14ac:dyDescent="0.2"/>
  <cols>
    <col min="3" max="3" width="10.85546875" customWidth="1"/>
    <col min="4" max="4" width="12.85546875" customWidth="1"/>
    <col min="7" max="7" width="6.85546875" customWidth="1"/>
    <col min="8" max="8" width="4" bestFit="1" customWidth="1"/>
    <col min="9" max="9" width="4.5703125" bestFit="1" customWidth="1"/>
    <col min="10" max="11" width="7.7109375" bestFit="1" customWidth="1"/>
    <col min="15" max="15" width="3.7109375" customWidth="1"/>
    <col min="21" max="21" width="4" customWidth="1"/>
    <col min="27" max="27" width="6.5703125" customWidth="1"/>
    <col min="28" max="28" width="6.5703125" style="115" customWidth="1"/>
  </cols>
  <sheetData>
    <row r="1" spans="1:32" x14ac:dyDescent="0.2">
      <c r="A1" t="s">
        <v>68</v>
      </c>
      <c r="P1" s="291" t="s">
        <v>163</v>
      </c>
      <c r="Q1" s="291"/>
      <c r="R1" s="291"/>
      <c r="S1" s="291"/>
      <c r="T1" s="291"/>
    </row>
    <row r="2" spans="1:32" ht="13.5" thickBot="1" x14ac:dyDescent="0.25">
      <c r="P2" s="292" t="s">
        <v>189</v>
      </c>
      <c r="Q2" s="292"/>
      <c r="R2" s="292"/>
      <c r="S2" s="292"/>
      <c r="T2" s="292"/>
      <c r="V2" s="292" t="s">
        <v>189</v>
      </c>
      <c r="W2" s="292"/>
      <c r="X2" s="292"/>
      <c r="Y2" s="292"/>
      <c r="Z2" s="292"/>
      <c r="AB2" s="115" t="s">
        <v>189</v>
      </c>
      <c r="AE2" t="s">
        <v>192</v>
      </c>
    </row>
    <row r="3" spans="1:32" ht="26.25" thickBot="1" x14ac:dyDescent="0.25">
      <c r="A3" s="160" t="s">
        <v>26</v>
      </c>
      <c r="B3" s="160" t="s">
        <v>84</v>
      </c>
      <c r="C3" s="160" t="s">
        <v>58</v>
      </c>
      <c r="D3" s="160" t="s">
        <v>69</v>
      </c>
      <c r="E3" s="160" t="s">
        <v>70</v>
      </c>
      <c r="G3" s="185" t="s">
        <v>71</v>
      </c>
      <c r="H3" s="185" t="s">
        <v>78</v>
      </c>
      <c r="I3" s="185" t="s">
        <v>79</v>
      </c>
      <c r="J3" s="182" t="s">
        <v>215</v>
      </c>
      <c r="K3" s="185" t="s">
        <v>69</v>
      </c>
      <c r="L3" s="185" t="s">
        <v>70</v>
      </c>
      <c r="P3" s="164" t="s">
        <v>34</v>
      </c>
      <c r="Q3" s="165" t="s">
        <v>35</v>
      </c>
      <c r="R3" s="165" t="s">
        <v>36</v>
      </c>
      <c r="S3" s="165" t="s">
        <v>37</v>
      </c>
      <c r="T3" s="150" t="s">
        <v>38</v>
      </c>
      <c r="V3" s="164" t="s">
        <v>34</v>
      </c>
      <c r="W3" s="165" t="s">
        <v>35</v>
      </c>
      <c r="X3" s="165" t="s">
        <v>36</v>
      </c>
      <c r="Y3" s="165" t="s">
        <v>37</v>
      </c>
      <c r="Z3" s="150" t="s">
        <v>38</v>
      </c>
      <c r="AC3" s="173" t="s">
        <v>191</v>
      </c>
    </row>
    <row r="4" spans="1:32" x14ac:dyDescent="0.2">
      <c r="A4" s="110" t="s">
        <v>34</v>
      </c>
      <c r="B4" s="110">
        <v>0.05</v>
      </c>
      <c r="C4" s="110">
        <v>0</v>
      </c>
      <c r="D4" s="110">
        <v>2014</v>
      </c>
      <c r="E4" s="110">
        <v>2015</v>
      </c>
      <c r="G4" s="110" t="s">
        <v>72</v>
      </c>
      <c r="H4" s="110">
        <v>70</v>
      </c>
      <c r="I4" s="110">
        <v>100</v>
      </c>
      <c r="J4" s="198">
        <v>5</v>
      </c>
      <c r="K4" s="110">
        <v>2014</v>
      </c>
      <c r="L4" s="110">
        <v>2015</v>
      </c>
      <c r="O4">
        <v>1</v>
      </c>
      <c r="P4" s="166" t="s">
        <v>145</v>
      </c>
      <c r="Q4" s="114" t="s">
        <v>153</v>
      </c>
      <c r="R4" s="114" t="s">
        <v>160</v>
      </c>
      <c r="S4" s="114" t="s">
        <v>171</v>
      </c>
      <c r="T4" s="172" t="s">
        <v>10</v>
      </c>
      <c r="V4" s="166" t="s">
        <v>193</v>
      </c>
      <c r="W4" s="114" t="s">
        <v>202</v>
      </c>
      <c r="X4" s="114" t="s">
        <v>164</v>
      </c>
      <c r="Y4" s="112" t="s">
        <v>190</v>
      </c>
      <c r="Z4" s="116" t="s">
        <v>48</v>
      </c>
      <c r="AB4" s="110">
        <v>1</v>
      </c>
      <c r="AC4" s="110" t="s">
        <v>145</v>
      </c>
      <c r="AE4" s="110">
        <v>1</v>
      </c>
      <c r="AF4" s="167" t="s">
        <v>193</v>
      </c>
    </row>
    <row r="5" spans="1:32" x14ac:dyDescent="0.2">
      <c r="A5" s="110" t="s">
        <v>35</v>
      </c>
      <c r="B5" s="110">
        <v>0.1</v>
      </c>
      <c r="C5" s="110">
        <v>0.1</v>
      </c>
      <c r="D5" s="110">
        <v>2014</v>
      </c>
      <c r="E5" s="110">
        <v>2015</v>
      </c>
      <c r="G5" s="110" t="s">
        <v>73</v>
      </c>
      <c r="H5" s="110">
        <v>60</v>
      </c>
      <c r="I5" s="110">
        <v>69</v>
      </c>
      <c r="J5" s="198">
        <v>4</v>
      </c>
      <c r="K5" s="110">
        <v>2014</v>
      </c>
      <c r="L5" s="110">
        <v>2015</v>
      </c>
      <c r="O5">
        <v>2</v>
      </c>
      <c r="P5" s="167" t="s">
        <v>146</v>
      </c>
      <c r="Q5" s="110" t="s">
        <v>154</v>
      </c>
      <c r="R5" s="110" t="s">
        <v>161</v>
      </c>
      <c r="S5" s="110" t="s">
        <v>172</v>
      </c>
      <c r="T5" s="168" t="s">
        <v>16</v>
      </c>
      <c r="V5" s="167" t="s">
        <v>194</v>
      </c>
      <c r="W5" s="110" t="s">
        <v>180</v>
      </c>
      <c r="X5" s="110" t="s">
        <v>181</v>
      </c>
      <c r="Y5" s="110"/>
      <c r="Z5" s="168" t="s">
        <v>44</v>
      </c>
      <c r="AB5" s="110">
        <v>2</v>
      </c>
      <c r="AC5" s="110" t="s">
        <v>146</v>
      </c>
      <c r="AE5" s="110">
        <v>2</v>
      </c>
      <c r="AF5" s="167" t="s">
        <v>194</v>
      </c>
    </row>
    <row r="6" spans="1:32" x14ac:dyDescent="0.2">
      <c r="A6" s="110" t="s">
        <v>36</v>
      </c>
      <c r="B6" s="110">
        <v>0.15</v>
      </c>
      <c r="C6" s="110">
        <v>0.2</v>
      </c>
      <c r="D6" s="110">
        <v>2014</v>
      </c>
      <c r="E6" s="110">
        <v>2015</v>
      </c>
      <c r="G6" s="110" t="s">
        <v>74</v>
      </c>
      <c r="H6" s="110">
        <v>50</v>
      </c>
      <c r="I6" s="110">
        <v>59</v>
      </c>
      <c r="J6" s="198">
        <v>3</v>
      </c>
      <c r="K6" s="110">
        <v>2014</v>
      </c>
      <c r="L6" s="110">
        <v>2015</v>
      </c>
      <c r="O6">
        <v>3</v>
      </c>
      <c r="P6" s="167" t="s">
        <v>147</v>
      </c>
      <c r="Q6" s="110" t="s">
        <v>155</v>
      </c>
      <c r="R6" s="110" t="s">
        <v>162</v>
      </c>
      <c r="S6" s="110" t="s">
        <v>173</v>
      </c>
      <c r="T6" s="168" t="s">
        <v>14</v>
      </c>
      <c r="V6" s="167" t="s">
        <v>195</v>
      </c>
      <c r="W6" s="110" t="s">
        <v>203</v>
      </c>
      <c r="X6" s="110" t="s">
        <v>182</v>
      </c>
      <c r="Y6" s="110"/>
      <c r="Z6" s="168" t="s">
        <v>45</v>
      </c>
      <c r="AB6" s="110">
        <v>3</v>
      </c>
      <c r="AC6" s="110" t="s">
        <v>147</v>
      </c>
      <c r="AE6" s="110">
        <v>3</v>
      </c>
      <c r="AF6" s="167" t="s">
        <v>195</v>
      </c>
    </row>
    <row r="7" spans="1:32" x14ac:dyDescent="0.2">
      <c r="A7" s="110" t="s">
        <v>37</v>
      </c>
      <c r="B7" s="110">
        <v>0.2</v>
      </c>
      <c r="C7" s="110">
        <v>0.3</v>
      </c>
      <c r="D7" s="110">
        <v>2014</v>
      </c>
      <c r="E7" s="110">
        <v>2015</v>
      </c>
      <c r="G7" s="110" t="s">
        <v>75</v>
      </c>
      <c r="H7" s="110">
        <v>45</v>
      </c>
      <c r="I7" s="110">
        <v>49</v>
      </c>
      <c r="J7" s="198">
        <v>2</v>
      </c>
      <c r="K7" s="110">
        <v>2014</v>
      </c>
      <c r="L7" s="110">
        <v>2015</v>
      </c>
      <c r="O7">
        <v>4</v>
      </c>
      <c r="P7" s="167" t="s">
        <v>148</v>
      </c>
      <c r="Q7" s="110" t="s">
        <v>156</v>
      </c>
      <c r="R7" s="110" t="s">
        <v>164</v>
      </c>
      <c r="S7" s="110" t="s">
        <v>174</v>
      </c>
      <c r="T7" s="168" t="s">
        <v>13</v>
      </c>
      <c r="V7" s="167" t="s">
        <v>196</v>
      </c>
      <c r="W7" s="110" t="s">
        <v>204</v>
      </c>
      <c r="X7" s="110" t="s">
        <v>183</v>
      </c>
      <c r="Y7" s="110"/>
      <c r="Z7" s="168" t="s">
        <v>40</v>
      </c>
      <c r="AB7" s="110">
        <v>4</v>
      </c>
      <c r="AC7" s="110" t="s">
        <v>148</v>
      </c>
      <c r="AE7" s="110">
        <v>4</v>
      </c>
      <c r="AF7" s="167" t="s">
        <v>196</v>
      </c>
    </row>
    <row r="8" spans="1:32" x14ac:dyDescent="0.2">
      <c r="A8" s="110" t="s">
        <v>38</v>
      </c>
      <c r="B8" s="110">
        <v>0.5</v>
      </c>
      <c r="C8" s="110">
        <v>0.4</v>
      </c>
      <c r="D8" s="110">
        <v>2014</v>
      </c>
      <c r="E8" s="110">
        <v>2015</v>
      </c>
      <c r="G8" s="110" t="s">
        <v>76</v>
      </c>
      <c r="H8" s="110">
        <v>40</v>
      </c>
      <c r="I8" s="110">
        <v>44</v>
      </c>
      <c r="J8" s="198">
        <v>1</v>
      </c>
      <c r="K8" s="110">
        <v>2014</v>
      </c>
      <c r="L8" s="110">
        <v>2015</v>
      </c>
      <c r="O8">
        <v>5</v>
      </c>
      <c r="P8" s="167" t="s">
        <v>149</v>
      </c>
      <c r="Q8" s="110" t="s">
        <v>157</v>
      </c>
      <c r="R8" s="110" t="s">
        <v>165</v>
      </c>
      <c r="S8" s="110" t="s">
        <v>175</v>
      </c>
      <c r="T8" s="168" t="s">
        <v>11</v>
      </c>
      <c r="V8" s="167" t="s">
        <v>197</v>
      </c>
      <c r="W8" s="110" t="s">
        <v>205</v>
      </c>
      <c r="X8" s="110" t="s">
        <v>184</v>
      </c>
      <c r="Y8" s="110"/>
      <c r="Z8" s="168" t="s">
        <v>42</v>
      </c>
      <c r="AB8" s="110">
        <v>5</v>
      </c>
      <c r="AC8" s="110" t="s">
        <v>149</v>
      </c>
      <c r="AE8" s="110">
        <v>5</v>
      </c>
      <c r="AF8" s="167" t="s">
        <v>197</v>
      </c>
    </row>
    <row r="9" spans="1:32" x14ac:dyDescent="0.2">
      <c r="A9" s="111" t="s">
        <v>210</v>
      </c>
      <c r="B9" s="110">
        <v>0.1</v>
      </c>
      <c r="C9" s="110"/>
      <c r="D9" s="110">
        <v>2016</v>
      </c>
      <c r="E9" s="110">
        <v>2019</v>
      </c>
      <c r="G9" s="110" t="s">
        <v>77</v>
      </c>
      <c r="H9" s="110">
        <v>0</v>
      </c>
      <c r="I9" s="110">
        <v>39</v>
      </c>
      <c r="J9" s="198">
        <v>0</v>
      </c>
      <c r="K9" s="110">
        <v>2014</v>
      </c>
      <c r="L9" s="110">
        <v>2015</v>
      </c>
      <c r="O9">
        <v>6</v>
      </c>
      <c r="P9" s="167" t="s">
        <v>150</v>
      </c>
      <c r="Q9" s="110" t="s">
        <v>158</v>
      </c>
      <c r="R9" s="110" t="s">
        <v>166</v>
      </c>
      <c r="S9" s="110" t="s">
        <v>176</v>
      </c>
      <c r="T9" s="168" t="s">
        <v>15</v>
      </c>
      <c r="V9" s="167" t="s">
        <v>198</v>
      </c>
      <c r="W9" s="110" t="s">
        <v>206</v>
      </c>
      <c r="X9" s="110" t="s">
        <v>185</v>
      </c>
      <c r="Y9" s="110"/>
      <c r="Z9" s="168" t="s">
        <v>49</v>
      </c>
      <c r="AB9" s="110">
        <v>6</v>
      </c>
      <c r="AC9" s="110" t="s">
        <v>150</v>
      </c>
      <c r="AE9" s="110">
        <v>6</v>
      </c>
      <c r="AF9" s="167" t="s">
        <v>198</v>
      </c>
    </row>
    <row r="10" spans="1:32" x14ac:dyDescent="0.2">
      <c r="O10">
        <v>7</v>
      </c>
      <c r="P10" s="167" t="s">
        <v>151</v>
      </c>
      <c r="Q10" s="110" t="s">
        <v>159</v>
      </c>
      <c r="R10" s="110" t="s">
        <v>167</v>
      </c>
      <c r="S10" s="110" t="s">
        <v>177</v>
      </c>
      <c r="T10" s="168" t="s">
        <v>179</v>
      </c>
      <c r="V10" s="167" t="s">
        <v>199</v>
      </c>
      <c r="W10" s="110" t="s">
        <v>156</v>
      </c>
      <c r="X10" s="110" t="s">
        <v>186</v>
      </c>
      <c r="Y10" s="110"/>
      <c r="Z10" s="168" t="s">
        <v>46</v>
      </c>
      <c r="AB10" s="110">
        <v>7</v>
      </c>
      <c r="AC10" s="110" t="s">
        <v>151</v>
      </c>
      <c r="AE10" s="110">
        <v>7</v>
      </c>
      <c r="AF10" s="167" t="s">
        <v>199</v>
      </c>
    </row>
    <row r="11" spans="1:32" x14ac:dyDescent="0.2">
      <c r="O11">
        <v>8</v>
      </c>
      <c r="P11" s="167" t="s">
        <v>152</v>
      </c>
      <c r="Q11" s="110"/>
      <c r="R11" s="110" t="s">
        <v>168</v>
      </c>
      <c r="S11" s="110" t="s">
        <v>178</v>
      </c>
      <c r="T11" s="168" t="s">
        <v>12</v>
      </c>
      <c r="V11" s="167" t="s">
        <v>200</v>
      </c>
      <c r="W11" s="110" t="s">
        <v>207</v>
      </c>
      <c r="X11" s="110" t="s">
        <v>187</v>
      </c>
      <c r="Y11" s="110"/>
      <c r="Z11" s="168" t="s">
        <v>47</v>
      </c>
      <c r="AB11" s="110">
        <v>8</v>
      </c>
      <c r="AC11" s="110" t="s">
        <v>152</v>
      </c>
      <c r="AE11" s="110">
        <v>8</v>
      </c>
      <c r="AF11" s="167" t="s">
        <v>200</v>
      </c>
    </row>
    <row r="12" spans="1:32" ht="13.5" thickBot="1" x14ac:dyDescent="0.25">
      <c r="O12">
        <v>9</v>
      </c>
      <c r="P12" s="167"/>
      <c r="Q12" s="110"/>
      <c r="R12" s="110" t="s">
        <v>169</v>
      </c>
      <c r="S12" s="110"/>
      <c r="T12" s="168"/>
      <c r="V12" s="167" t="s">
        <v>201</v>
      </c>
      <c r="W12" s="110"/>
      <c r="X12" s="111" t="s">
        <v>208</v>
      </c>
      <c r="Y12" s="110"/>
      <c r="Z12" s="168" t="s">
        <v>43</v>
      </c>
      <c r="AB12" s="110">
        <v>9</v>
      </c>
      <c r="AC12" s="110"/>
      <c r="AE12" s="110">
        <v>9</v>
      </c>
      <c r="AF12" s="169" t="s">
        <v>201</v>
      </c>
    </row>
    <row r="13" spans="1:32" x14ac:dyDescent="0.2">
      <c r="G13" t="s">
        <v>80</v>
      </c>
      <c r="O13">
        <v>10</v>
      </c>
      <c r="P13" s="167"/>
      <c r="Q13" s="110"/>
      <c r="R13" s="110" t="s">
        <v>170</v>
      </c>
      <c r="S13" s="110"/>
      <c r="T13" s="168"/>
      <c r="V13" s="167"/>
      <c r="W13" s="110"/>
      <c r="X13" s="111" t="s">
        <v>209</v>
      </c>
      <c r="Y13" s="110"/>
      <c r="Z13" s="168" t="s">
        <v>41</v>
      </c>
      <c r="AB13" s="110">
        <v>10</v>
      </c>
      <c r="AC13" s="110"/>
      <c r="AE13" s="110">
        <v>10</v>
      </c>
      <c r="AF13" s="110"/>
    </row>
    <row r="14" spans="1:32" x14ac:dyDescent="0.2">
      <c r="O14">
        <v>11</v>
      </c>
      <c r="P14" s="167"/>
      <c r="Q14" s="110"/>
      <c r="R14" s="110"/>
      <c r="S14" s="110"/>
      <c r="T14" s="168"/>
      <c r="V14" s="167"/>
      <c r="W14" s="110"/>
      <c r="X14" s="110"/>
      <c r="Y14" s="110"/>
      <c r="Z14" s="168" t="s">
        <v>188</v>
      </c>
      <c r="AB14" s="110">
        <v>11</v>
      </c>
      <c r="AC14" s="110" t="s">
        <v>153</v>
      </c>
      <c r="AE14" s="110">
        <v>11</v>
      </c>
      <c r="AF14" s="114" t="s">
        <v>202</v>
      </c>
    </row>
    <row r="15" spans="1:32" x14ac:dyDescent="0.2">
      <c r="O15" s="115">
        <v>12</v>
      </c>
      <c r="P15" s="167"/>
      <c r="Q15" s="110"/>
      <c r="R15" s="110"/>
      <c r="S15" s="110"/>
      <c r="T15" s="168"/>
      <c r="V15" s="167"/>
      <c r="W15" s="110"/>
      <c r="X15" s="110"/>
      <c r="Y15" s="110"/>
      <c r="Z15" s="168" t="s">
        <v>15</v>
      </c>
      <c r="AB15" s="110">
        <v>12</v>
      </c>
      <c r="AC15" s="110" t="s">
        <v>154</v>
      </c>
      <c r="AE15" s="110">
        <v>12</v>
      </c>
      <c r="AF15" s="110" t="s">
        <v>180</v>
      </c>
    </row>
    <row r="16" spans="1:32" x14ac:dyDescent="0.2">
      <c r="O16" s="115">
        <v>13</v>
      </c>
      <c r="P16" s="167"/>
      <c r="Q16" s="110"/>
      <c r="R16" s="110"/>
      <c r="S16" s="110"/>
      <c r="T16" s="168"/>
      <c r="V16" s="167"/>
      <c r="W16" s="110"/>
      <c r="X16" s="110"/>
      <c r="Y16" s="110"/>
      <c r="Z16" s="168" t="s">
        <v>179</v>
      </c>
      <c r="AB16" s="110">
        <v>13</v>
      </c>
      <c r="AC16" s="110" t="s">
        <v>155</v>
      </c>
      <c r="AE16" s="110">
        <v>13</v>
      </c>
      <c r="AF16" s="110" t="s">
        <v>203</v>
      </c>
    </row>
    <row r="17" spans="7:32" ht="13.5" thickBot="1" x14ac:dyDescent="0.25">
      <c r="O17" s="115">
        <v>14</v>
      </c>
      <c r="P17" s="169"/>
      <c r="Q17" s="170"/>
      <c r="R17" s="170"/>
      <c r="S17" s="170"/>
      <c r="T17" s="171"/>
      <c r="V17" s="169"/>
      <c r="W17" s="170"/>
      <c r="X17" s="170"/>
      <c r="Y17" s="170"/>
      <c r="Z17" s="171" t="s">
        <v>12</v>
      </c>
      <c r="AB17" s="110">
        <v>14</v>
      </c>
      <c r="AC17" s="110" t="s">
        <v>156</v>
      </c>
      <c r="AE17" s="110">
        <v>14</v>
      </c>
      <c r="AF17" s="110" t="s">
        <v>204</v>
      </c>
    </row>
    <row r="18" spans="7:32" x14ac:dyDescent="0.2">
      <c r="G18" t="s">
        <v>76</v>
      </c>
      <c r="H18">
        <v>30</v>
      </c>
      <c r="I18">
        <v>40</v>
      </c>
      <c r="J18">
        <v>2014</v>
      </c>
      <c r="K18">
        <v>2014</v>
      </c>
      <c r="L18" t="s">
        <v>81</v>
      </c>
      <c r="R18" s="115"/>
      <c r="W18" s="115"/>
      <c r="AB18" s="110">
        <v>15</v>
      </c>
      <c r="AC18" s="110" t="s">
        <v>157</v>
      </c>
      <c r="AE18" s="110">
        <v>15</v>
      </c>
      <c r="AF18" s="110" t="s">
        <v>205</v>
      </c>
    </row>
    <row r="19" spans="7:32" x14ac:dyDescent="0.2">
      <c r="R19" s="115"/>
      <c r="AB19" s="110">
        <v>16</v>
      </c>
      <c r="AC19" s="110" t="s">
        <v>158</v>
      </c>
      <c r="AE19" s="110">
        <v>16</v>
      </c>
      <c r="AF19" s="110" t="s">
        <v>206</v>
      </c>
    </row>
    <row r="20" spans="7:32" x14ac:dyDescent="0.2">
      <c r="R20" s="115"/>
      <c r="AB20" s="110">
        <v>17</v>
      </c>
      <c r="AC20" s="110" t="s">
        <v>159</v>
      </c>
      <c r="AE20" s="110">
        <v>17</v>
      </c>
      <c r="AF20" s="110" t="s">
        <v>156</v>
      </c>
    </row>
    <row r="21" spans="7:32" x14ac:dyDescent="0.2">
      <c r="R21" s="115"/>
      <c r="AB21" s="110">
        <v>18</v>
      </c>
      <c r="AC21" s="110"/>
      <c r="AE21" s="110">
        <v>18</v>
      </c>
      <c r="AF21" s="110" t="s">
        <v>207</v>
      </c>
    </row>
    <row r="22" spans="7:32" x14ac:dyDescent="0.2">
      <c r="R22" s="115"/>
      <c r="AB22" s="110">
        <v>19</v>
      </c>
      <c r="AC22" s="110"/>
      <c r="AE22" s="110">
        <v>19</v>
      </c>
      <c r="AF22" s="110"/>
    </row>
    <row r="23" spans="7:32" x14ac:dyDescent="0.2">
      <c r="R23" s="115"/>
      <c r="AB23" s="110">
        <v>20</v>
      </c>
      <c r="AC23" s="110"/>
      <c r="AE23" s="110">
        <v>20</v>
      </c>
      <c r="AF23" s="110"/>
    </row>
    <row r="24" spans="7:32" x14ac:dyDescent="0.2">
      <c r="R24" s="115"/>
      <c r="AB24" s="110">
        <v>21</v>
      </c>
      <c r="AC24" s="110" t="s">
        <v>160</v>
      </c>
      <c r="AE24" s="110">
        <v>21</v>
      </c>
      <c r="AF24" s="114" t="s">
        <v>164</v>
      </c>
    </row>
    <row r="25" spans="7:32" x14ac:dyDescent="0.2">
      <c r="R25" s="115"/>
      <c r="AB25" s="110">
        <v>22</v>
      </c>
      <c r="AC25" s="110" t="s">
        <v>161</v>
      </c>
      <c r="AE25" s="110">
        <v>22</v>
      </c>
      <c r="AF25" s="110" t="s">
        <v>181</v>
      </c>
    </row>
    <row r="26" spans="7:32" x14ac:dyDescent="0.2">
      <c r="R26" s="115"/>
      <c r="AB26" s="110">
        <v>23</v>
      </c>
      <c r="AC26" s="110" t="s">
        <v>162</v>
      </c>
      <c r="AE26" s="110">
        <v>23</v>
      </c>
      <c r="AF26" s="110" t="s">
        <v>182</v>
      </c>
    </row>
    <row r="27" spans="7:32" x14ac:dyDescent="0.2">
      <c r="R27" s="115"/>
      <c r="AB27" s="110">
        <v>24</v>
      </c>
      <c r="AC27" s="110" t="s">
        <v>164</v>
      </c>
      <c r="AE27" s="110">
        <v>24</v>
      </c>
      <c r="AF27" s="110" t="s">
        <v>183</v>
      </c>
    </row>
    <row r="28" spans="7:32" x14ac:dyDescent="0.2">
      <c r="R28" s="115"/>
      <c r="AB28" s="110">
        <v>25</v>
      </c>
      <c r="AC28" s="110" t="s">
        <v>165</v>
      </c>
      <c r="AE28" s="110">
        <v>25</v>
      </c>
      <c r="AF28" s="110" t="s">
        <v>184</v>
      </c>
    </row>
    <row r="29" spans="7:32" x14ac:dyDescent="0.2">
      <c r="R29" s="115"/>
      <c r="AB29" s="110">
        <v>26</v>
      </c>
      <c r="AC29" s="110" t="s">
        <v>166</v>
      </c>
      <c r="AE29" s="110">
        <v>26</v>
      </c>
      <c r="AF29" s="110" t="s">
        <v>185</v>
      </c>
    </row>
    <row r="30" spans="7:32" x14ac:dyDescent="0.2">
      <c r="R30" s="115"/>
      <c r="AB30" s="110">
        <v>27</v>
      </c>
      <c r="AC30" s="110" t="s">
        <v>167</v>
      </c>
      <c r="AE30" s="110">
        <v>27</v>
      </c>
      <c r="AF30" s="110" t="s">
        <v>186</v>
      </c>
    </row>
    <row r="31" spans="7:32" x14ac:dyDescent="0.2">
      <c r="R31" s="115"/>
      <c r="AB31" s="110">
        <v>28</v>
      </c>
      <c r="AC31" s="110" t="s">
        <v>168</v>
      </c>
      <c r="AE31" s="110">
        <v>28</v>
      </c>
      <c r="AF31" s="110" t="s">
        <v>187</v>
      </c>
    </row>
    <row r="32" spans="7:32" x14ac:dyDescent="0.2">
      <c r="R32" s="115"/>
      <c r="AB32" s="110">
        <v>29</v>
      </c>
      <c r="AC32" s="110" t="s">
        <v>169</v>
      </c>
      <c r="AE32" s="110">
        <v>29</v>
      </c>
      <c r="AF32" s="111" t="s">
        <v>208</v>
      </c>
    </row>
    <row r="33" spans="18:32" x14ac:dyDescent="0.2">
      <c r="R33" s="115"/>
      <c r="AB33" s="110">
        <v>30</v>
      </c>
      <c r="AC33" s="110" t="s">
        <v>170</v>
      </c>
      <c r="AE33" s="110">
        <v>30</v>
      </c>
      <c r="AF33" s="111" t="s">
        <v>209</v>
      </c>
    </row>
    <row r="34" spans="18:32" x14ac:dyDescent="0.2">
      <c r="R34" s="115"/>
      <c r="AB34" s="110">
        <v>31</v>
      </c>
      <c r="AC34" s="110"/>
      <c r="AE34" s="110">
        <v>31</v>
      </c>
      <c r="AF34" s="110"/>
    </row>
    <row r="35" spans="18:32" x14ac:dyDescent="0.2">
      <c r="R35" s="115"/>
      <c r="AB35" s="110">
        <v>32</v>
      </c>
      <c r="AC35" s="110" t="s">
        <v>171</v>
      </c>
      <c r="AE35" s="110">
        <v>32</v>
      </c>
      <c r="AF35" s="110"/>
    </row>
    <row r="36" spans="18:32" x14ac:dyDescent="0.2">
      <c r="R36" s="115"/>
      <c r="AB36" s="110">
        <v>33</v>
      </c>
      <c r="AC36" s="110" t="s">
        <v>172</v>
      </c>
      <c r="AE36" s="110">
        <v>33</v>
      </c>
      <c r="AF36" s="110"/>
    </row>
    <row r="37" spans="18:32" x14ac:dyDescent="0.2">
      <c r="R37" s="115"/>
      <c r="AB37" s="110">
        <v>34</v>
      </c>
      <c r="AC37" s="110" t="s">
        <v>173</v>
      </c>
      <c r="AE37" s="110">
        <v>34</v>
      </c>
      <c r="AF37" s="110"/>
    </row>
    <row r="38" spans="18:32" x14ac:dyDescent="0.2">
      <c r="R38" s="115"/>
      <c r="AB38" s="110">
        <v>35</v>
      </c>
      <c r="AC38" s="110" t="s">
        <v>174</v>
      </c>
      <c r="AE38" s="110">
        <v>35</v>
      </c>
      <c r="AF38" s="110"/>
    </row>
    <row r="39" spans="18:32" x14ac:dyDescent="0.2">
      <c r="R39" s="115"/>
      <c r="AB39" s="110">
        <v>36</v>
      </c>
      <c r="AC39" s="110" t="s">
        <v>175</v>
      </c>
      <c r="AE39" s="110">
        <v>36</v>
      </c>
      <c r="AF39" s="110"/>
    </row>
    <row r="40" spans="18:32" x14ac:dyDescent="0.2">
      <c r="R40" s="115"/>
      <c r="AB40" s="110">
        <v>37</v>
      </c>
      <c r="AC40" s="110" t="s">
        <v>176</v>
      </c>
      <c r="AE40" s="110">
        <v>37</v>
      </c>
      <c r="AF40" s="110"/>
    </row>
    <row r="41" spans="18:32" x14ac:dyDescent="0.2">
      <c r="AB41" s="110">
        <v>38</v>
      </c>
      <c r="AC41" s="110" t="s">
        <v>177</v>
      </c>
      <c r="AE41" s="110">
        <v>38</v>
      </c>
      <c r="AF41" s="110"/>
    </row>
    <row r="42" spans="18:32" x14ac:dyDescent="0.2">
      <c r="AB42" s="110">
        <v>39</v>
      </c>
      <c r="AC42" s="110" t="s">
        <v>178</v>
      </c>
      <c r="AE42" s="110">
        <v>39</v>
      </c>
      <c r="AF42" s="110"/>
    </row>
    <row r="43" spans="18:32" x14ac:dyDescent="0.2">
      <c r="AB43" s="110">
        <v>40</v>
      </c>
      <c r="AC43" s="110"/>
      <c r="AE43" s="110">
        <v>40</v>
      </c>
      <c r="AF43" s="110"/>
    </row>
    <row r="44" spans="18:32" x14ac:dyDescent="0.2">
      <c r="AB44" s="110">
        <v>41</v>
      </c>
      <c r="AC44" s="110"/>
      <c r="AE44" s="110">
        <v>41</v>
      </c>
      <c r="AF44" s="116" t="s">
        <v>48</v>
      </c>
    </row>
    <row r="45" spans="18:32" x14ac:dyDescent="0.2">
      <c r="AB45" s="110">
        <v>42</v>
      </c>
      <c r="AC45" s="111" t="s">
        <v>10</v>
      </c>
      <c r="AE45" s="110">
        <v>42</v>
      </c>
      <c r="AF45" s="168" t="s">
        <v>44</v>
      </c>
    </row>
    <row r="46" spans="18:32" x14ac:dyDescent="0.2">
      <c r="AB46" s="110">
        <v>43</v>
      </c>
      <c r="AC46" s="110" t="s">
        <v>16</v>
      </c>
      <c r="AE46" s="110">
        <v>43</v>
      </c>
      <c r="AF46" s="168" t="s">
        <v>45</v>
      </c>
    </row>
    <row r="47" spans="18:32" x14ac:dyDescent="0.2">
      <c r="AB47" s="110">
        <v>44</v>
      </c>
      <c r="AC47" s="110" t="s">
        <v>14</v>
      </c>
      <c r="AE47" s="110">
        <v>44</v>
      </c>
      <c r="AF47" s="168" t="s">
        <v>40</v>
      </c>
    </row>
    <row r="48" spans="18:32" x14ac:dyDescent="0.2">
      <c r="AB48" s="110">
        <v>45</v>
      </c>
      <c r="AC48" s="110" t="s">
        <v>13</v>
      </c>
      <c r="AE48" s="110">
        <v>45</v>
      </c>
      <c r="AF48" s="168" t="s">
        <v>42</v>
      </c>
    </row>
    <row r="49" spans="28:32" x14ac:dyDescent="0.2">
      <c r="AB49" s="110">
        <v>46</v>
      </c>
      <c r="AC49" s="110" t="s">
        <v>11</v>
      </c>
      <c r="AE49" s="110">
        <v>46</v>
      </c>
      <c r="AF49" s="168" t="s">
        <v>49</v>
      </c>
    </row>
    <row r="50" spans="28:32" x14ac:dyDescent="0.2">
      <c r="AB50" s="110">
        <v>47</v>
      </c>
      <c r="AC50" s="110" t="s">
        <v>15</v>
      </c>
      <c r="AE50" s="110">
        <v>47</v>
      </c>
      <c r="AF50" s="168" t="s">
        <v>46</v>
      </c>
    </row>
    <row r="51" spans="28:32" x14ac:dyDescent="0.2">
      <c r="AB51" s="110">
        <v>48</v>
      </c>
      <c r="AC51" s="110" t="s">
        <v>179</v>
      </c>
      <c r="AE51" s="110">
        <v>48</v>
      </c>
      <c r="AF51" s="168" t="s">
        <v>47</v>
      </c>
    </row>
    <row r="52" spans="28:32" x14ac:dyDescent="0.2">
      <c r="AB52" s="110">
        <v>49</v>
      </c>
      <c r="AC52" s="110" t="s">
        <v>12</v>
      </c>
      <c r="AE52" s="110">
        <v>49</v>
      </c>
      <c r="AF52" s="168" t="s">
        <v>43</v>
      </c>
    </row>
    <row r="53" spans="28:32" x14ac:dyDescent="0.2">
      <c r="AB53" s="110">
        <v>50</v>
      </c>
      <c r="AC53" s="110"/>
      <c r="AE53" s="110">
        <v>50</v>
      </c>
      <c r="AF53" s="168" t="s">
        <v>41</v>
      </c>
    </row>
    <row r="54" spans="28:32" x14ac:dyDescent="0.2">
      <c r="AF54" s="168" t="s">
        <v>188</v>
      </c>
    </row>
    <row r="55" spans="28:32" x14ac:dyDescent="0.2">
      <c r="AF55" s="168" t="s">
        <v>15</v>
      </c>
    </row>
    <row r="56" spans="28:32" x14ac:dyDescent="0.2">
      <c r="AF56" s="168" t="s">
        <v>179</v>
      </c>
    </row>
    <row r="57" spans="28:32" ht="13.5" thickBot="1" x14ac:dyDescent="0.25">
      <c r="AF57" s="171" t="s">
        <v>12</v>
      </c>
    </row>
  </sheetData>
  <mergeCells count="3">
    <mergeCell ref="P1:T1"/>
    <mergeCell ref="P2:T2"/>
    <mergeCell ref="V2:Z2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B4" sqref="B4"/>
    </sheetView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Broadsheet</vt:lpstr>
      <vt:lpstr>Registration</vt:lpstr>
      <vt:lpstr>Grades</vt:lpstr>
      <vt:lpstr>GPA</vt:lpstr>
      <vt:lpstr>data</vt:lpstr>
      <vt:lpstr>AuditLog</vt:lpstr>
      <vt:lpstr>Broadsheet!Print_Area</vt:lpstr>
      <vt:lpstr>Registration!Print_Area</vt:lpstr>
    </vt:vector>
  </TitlesOfParts>
  <Company>GPZ Overseas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2020-04-11T03:31:24Z</cp:lastPrinted>
  <dcterms:created xsi:type="dcterms:W3CDTF">2009-07-06T13:48:19Z</dcterms:created>
  <dcterms:modified xsi:type="dcterms:W3CDTF">2021-09-13T06:25:33Z</dcterms:modified>
</cp:coreProperties>
</file>