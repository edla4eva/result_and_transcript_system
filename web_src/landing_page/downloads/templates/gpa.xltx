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xampp7.4\htdocs\result_and_transcript_system\desktop_src\result_and_transcript_system\result_and_transcript_system\bin\Debug\templates\"/>
    </mc:Choice>
  </mc:AlternateContent>
  <bookViews>
    <workbookView xWindow="90" yWindow="60" windowWidth="15285" windowHeight="4710"/>
  </bookViews>
  <sheets>
    <sheet name="GPA" sheetId="1" r:id="rId1"/>
    <sheet name="Sheet2" sheetId="2" r:id="rId2"/>
    <sheet name="Sheet3" sheetId="3" r:id="rId3"/>
  </sheets>
  <definedNames>
    <definedName name="name">GPA!$D$7</definedName>
    <definedName name="sum">GPA!#REF!</definedName>
  </definedNames>
  <calcPr calcId="162913"/>
</workbook>
</file>

<file path=xl/calcChain.xml><?xml version="1.0" encoding="utf-8"?>
<calcChain xmlns="http://schemas.openxmlformats.org/spreadsheetml/2006/main">
  <c r="AO44" i="1" l="1"/>
  <c r="AS43" i="1"/>
  <c r="AS42" i="1"/>
  <c r="AS41" i="1"/>
  <c r="AS40" i="1"/>
  <c r="AS39" i="1"/>
  <c r="AS38" i="1"/>
  <c r="AQ38" i="1"/>
  <c r="AR37" i="1"/>
  <c r="AS37" i="1" s="1"/>
  <c r="AQ37" i="1"/>
  <c r="AQ36" i="1"/>
  <c r="AR36" i="1" s="1"/>
  <c r="AS36" i="1" s="1"/>
  <c r="AR35" i="1"/>
  <c r="AS35" i="1" s="1"/>
  <c r="AQ35" i="1"/>
  <c r="AQ34" i="1"/>
  <c r="AR34" i="1" s="1"/>
  <c r="AS34" i="1" s="1"/>
  <c r="AR33" i="1"/>
  <c r="AS33" i="1" s="1"/>
  <c r="AQ33" i="1"/>
  <c r="AQ32" i="1"/>
  <c r="AR32" i="1" s="1"/>
  <c r="AS32" i="1" s="1"/>
  <c r="AR31" i="1"/>
  <c r="AS31" i="1" s="1"/>
  <c r="AQ31" i="1"/>
  <c r="AQ30" i="1"/>
  <c r="AR30" i="1" s="1"/>
  <c r="AS30" i="1" s="1"/>
  <c r="AR29" i="1"/>
  <c r="AS29" i="1" s="1"/>
  <c r="AQ29" i="1"/>
  <c r="AQ26" i="1"/>
  <c r="AO24" i="1"/>
  <c r="AS23" i="1"/>
  <c r="AS22" i="1"/>
  <c r="AS21" i="1"/>
  <c r="AS20" i="1"/>
  <c r="AS19" i="1"/>
  <c r="AS18" i="1"/>
  <c r="AQ18" i="1"/>
  <c r="AQ17" i="1"/>
  <c r="AR17" i="1" s="1"/>
  <c r="AS17" i="1" s="1"/>
  <c r="AR16" i="1"/>
  <c r="AS16" i="1" s="1"/>
  <c r="AQ16" i="1"/>
  <c r="AQ15" i="1"/>
  <c r="AR15" i="1" s="1"/>
  <c r="AS15" i="1" s="1"/>
  <c r="AR14" i="1"/>
  <c r="AS14" i="1" s="1"/>
  <c r="AQ14" i="1"/>
  <c r="AQ13" i="1"/>
  <c r="AR13" i="1" s="1"/>
  <c r="AS13" i="1" s="1"/>
  <c r="AR12" i="1"/>
  <c r="AS12" i="1" s="1"/>
  <c r="AQ12" i="1"/>
  <c r="AQ11" i="1"/>
  <c r="AR11" i="1" s="1"/>
  <c r="AS11" i="1" s="1"/>
  <c r="AR10" i="1"/>
  <c r="AS10" i="1" s="1"/>
  <c r="AQ10" i="1"/>
  <c r="AQ9" i="1"/>
  <c r="AR9" i="1" s="1"/>
  <c r="N9" i="1"/>
  <c r="O9" i="1"/>
  <c r="P9" i="1" s="1"/>
  <c r="AF44" i="1"/>
  <c r="AJ43" i="1"/>
  <c r="AJ42" i="1"/>
  <c r="AJ41" i="1"/>
  <c r="AJ40" i="1"/>
  <c r="AJ39" i="1"/>
  <c r="AJ38" i="1"/>
  <c r="AH38" i="1"/>
  <c r="AH37" i="1"/>
  <c r="AI37" i="1" s="1"/>
  <c r="AJ37" i="1" s="1"/>
  <c r="AH36" i="1"/>
  <c r="AI36" i="1" s="1"/>
  <c r="AJ36" i="1" s="1"/>
  <c r="AI35" i="1"/>
  <c r="AJ35" i="1" s="1"/>
  <c r="AH35" i="1"/>
  <c r="AH34" i="1"/>
  <c r="AI34" i="1" s="1"/>
  <c r="AJ34" i="1" s="1"/>
  <c r="AH33" i="1"/>
  <c r="AI33" i="1" s="1"/>
  <c r="AJ33" i="1" s="1"/>
  <c r="AH32" i="1"/>
  <c r="AI32" i="1" s="1"/>
  <c r="AJ32" i="1" s="1"/>
  <c r="AI31" i="1"/>
  <c r="AJ31" i="1" s="1"/>
  <c r="AH31" i="1"/>
  <c r="AH30" i="1"/>
  <c r="AI30" i="1" s="1"/>
  <c r="AJ30" i="1" s="1"/>
  <c r="AH29" i="1"/>
  <c r="AI29" i="1" s="1"/>
  <c r="AJ29" i="1" s="1"/>
  <c r="AH26" i="1"/>
  <c r="AF24" i="1"/>
  <c r="AJ23" i="1"/>
  <c r="AJ22" i="1"/>
  <c r="AJ21" i="1"/>
  <c r="AJ20" i="1"/>
  <c r="AJ19" i="1"/>
  <c r="AJ18" i="1"/>
  <c r="AH18" i="1"/>
  <c r="AH17" i="1"/>
  <c r="AI17" i="1" s="1"/>
  <c r="AJ17" i="1" s="1"/>
  <c r="AI16" i="1"/>
  <c r="AJ16" i="1" s="1"/>
  <c r="AH16" i="1"/>
  <c r="AH15" i="1"/>
  <c r="AI15" i="1" s="1"/>
  <c r="AJ15" i="1" s="1"/>
  <c r="AI14" i="1"/>
  <c r="AJ14" i="1" s="1"/>
  <c r="AH14" i="1"/>
  <c r="AH13" i="1"/>
  <c r="AI13" i="1" s="1"/>
  <c r="AJ13" i="1" s="1"/>
  <c r="AI12" i="1"/>
  <c r="AJ12" i="1" s="1"/>
  <c r="AH12" i="1"/>
  <c r="AH11" i="1"/>
  <c r="AI11" i="1" s="1"/>
  <c r="AJ11" i="1" s="1"/>
  <c r="AI10" i="1"/>
  <c r="AJ10" i="1" s="1"/>
  <c r="AH10" i="1"/>
  <c r="AH9" i="1"/>
  <c r="AI9" i="1" s="1"/>
  <c r="W44" i="1"/>
  <c r="AA43" i="1"/>
  <c r="AA42" i="1"/>
  <c r="AA41" i="1"/>
  <c r="AA40" i="1"/>
  <c r="AA39" i="1"/>
  <c r="AA38" i="1"/>
  <c r="Y38" i="1"/>
  <c r="Z37" i="1"/>
  <c r="AA37" i="1" s="1"/>
  <c r="Y37" i="1"/>
  <c r="Y36" i="1"/>
  <c r="Z36" i="1" s="1"/>
  <c r="AA36" i="1" s="1"/>
  <c r="Z35" i="1"/>
  <c r="AA35" i="1" s="1"/>
  <c r="Y35" i="1"/>
  <c r="Y34" i="1"/>
  <c r="Z34" i="1" s="1"/>
  <c r="AA34" i="1" s="1"/>
  <c r="Z33" i="1"/>
  <c r="AA33" i="1" s="1"/>
  <c r="Y33" i="1"/>
  <c r="Y32" i="1"/>
  <c r="Z32" i="1" s="1"/>
  <c r="AA32" i="1" s="1"/>
  <c r="Z31" i="1"/>
  <c r="AA31" i="1" s="1"/>
  <c r="Y31" i="1"/>
  <c r="Y30" i="1"/>
  <c r="Z30" i="1" s="1"/>
  <c r="AA30" i="1" s="1"/>
  <c r="Z29" i="1"/>
  <c r="AA29" i="1" s="1"/>
  <c r="Y29" i="1"/>
  <c r="Y26" i="1"/>
  <c r="W24" i="1"/>
  <c r="AA23" i="1"/>
  <c r="AA22" i="1"/>
  <c r="AA21" i="1"/>
  <c r="AA20" i="1"/>
  <c r="AA19" i="1"/>
  <c r="AA18" i="1"/>
  <c r="Y18" i="1"/>
  <c r="Y17" i="1"/>
  <c r="Z17" i="1" s="1"/>
  <c r="AA17" i="1" s="1"/>
  <c r="Z16" i="1"/>
  <c r="AA16" i="1" s="1"/>
  <c r="Y16" i="1"/>
  <c r="Y15" i="1"/>
  <c r="Z15" i="1" s="1"/>
  <c r="AA15" i="1" s="1"/>
  <c r="Z14" i="1"/>
  <c r="AA14" i="1" s="1"/>
  <c r="Y14" i="1"/>
  <c r="Y13" i="1"/>
  <c r="Z13" i="1" s="1"/>
  <c r="AA13" i="1" s="1"/>
  <c r="Z12" i="1"/>
  <c r="AA12" i="1" s="1"/>
  <c r="Y12" i="1"/>
  <c r="Y11" i="1"/>
  <c r="Z11" i="1" s="1"/>
  <c r="AA11" i="1" s="1"/>
  <c r="Z10" i="1"/>
  <c r="AA10" i="1" s="1"/>
  <c r="Y10" i="1"/>
  <c r="Y9" i="1"/>
  <c r="Z9" i="1" s="1"/>
  <c r="L44" i="1"/>
  <c r="P43" i="1"/>
  <c r="P42" i="1"/>
  <c r="P41" i="1"/>
  <c r="P40" i="1"/>
  <c r="P39" i="1"/>
  <c r="P38" i="1"/>
  <c r="N38" i="1"/>
  <c r="O37" i="1"/>
  <c r="P37" i="1" s="1"/>
  <c r="N37" i="1"/>
  <c r="N36" i="1"/>
  <c r="O36" i="1" s="1"/>
  <c r="P36" i="1" s="1"/>
  <c r="O35" i="1"/>
  <c r="P35" i="1" s="1"/>
  <c r="N35" i="1"/>
  <c r="N34" i="1"/>
  <c r="O34" i="1" s="1"/>
  <c r="P34" i="1" s="1"/>
  <c r="O33" i="1"/>
  <c r="P33" i="1" s="1"/>
  <c r="N33" i="1"/>
  <c r="N32" i="1"/>
  <c r="O32" i="1" s="1"/>
  <c r="P32" i="1" s="1"/>
  <c r="O31" i="1"/>
  <c r="P31" i="1" s="1"/>
  <c r="N31" i="1"/>
  <c r="N30" i="1"/>
  <c r="O30" i="1" s="1"/>
  <c r="O29" i="1"/>
  <c r="P29" i="1" s="1"/>
  <c r="N29" i="1"/>
  <c r="N26" i="1"/>
  <c r="L24" i="1"/>
  <c r="P23" i="1"/>
  <c r="P22" i="1"/>
  <c r="P21" i="1"/>
  <c r="P20" i="1"/>
  <c r="P19" i="1"/>
  <c r="P18" i="1"/>
  <c r="N18" i="1"/>
  <c r="N17" i="1"/>
  <c r="O17" i="1" s="1"/>
  <c r="P17" i="1" s="1"/>
  <c r="O16" i="1"/>
  <c r="P16" i="1" s="1"/>
  <c r="N16" i="1"/>
  <c r="N15" i="1"/>
  <c r="O15" i="1" s="1"/>
  <c r="P15" i="1" s="1"/>
  <c r="O14" i="1"/>
  <c r="P14" i="1" s="1"/>
  <c r="N14" i="1"/>
  <c r="N13" i="1"/>
  <c r="O13" i="1" s="1"/>
  <c r="P13" i="1" s="1"/>
  <c r="O12" i="1"/>
  <c r="P12" i="1" s="1"/>
  <c r="N12" i="1"/>
  <c r="N11" i="1"/>
  <c r="O11" i="1" s="1"/>
  <c r="P11" i="1" s="1"/>
  <c r="O10" i="1"/>
  <c r="P10" i="1" s="1"/>
  <c r="N10" i="1"/>
  <c r="AR24" i="1" l="1"/>
  <c r="AS9" i="1"/>
  <c r="AS24" i="1" s="1"/>
  <c r="AS44" i="1"/>
  <c r="AR44" i="1"/>
  <c r="AR45" i="1" s="1"/>
  <c r="AI24" i="1"/>
  <c r="AJ9" i="1"/>
  <c r="AJ24" i="1" s="1"/>
  <c r="AJ44" i="1"/>
  <c r="AI44" i="1"/>
  <c r="AI45" i="1" s="1"/>
  <c r="Z24" i="1"/>
  <c r="AA9" i="1"/>
  <c r="AA24" i="1" s="1"/>
  <c r="AA44" i="1"/>
  <c r="Z44" i="1"/>
  <c r="Z45" i="1" s="1"/>
  <c r="P30" i="1"/>
  <c r="O44" i="1"/>
  <c r="O45" i="1" s="1"/>
  <c r="O24" i="1"/>
  <c r="P24" i="1"/>
  <c r="P44" i="1"/>
  <c r="C44" i="1"/>
  <c r="G43" i="1"/>
  <c r="G42" i="1"/>
  <c r="G41" i="1"/>
  <c r="G40" i="1"/>
  <c r="G39" i="1"/>
  <c r="G38" i="1"/>
  <c r="E38" i="1"/>
  <c r="E37" i="1"/>
  <c r="F37" i="1" s="1"/>
  <c r="G37" i="1" s="1"/>
  <c r="E36" i="1"/>
  <c r="F36" i="1" s="1"/>
  <c r="G36" i="1" s="1"/>
  <c r="E35" i="1"/>
  <c r="F35" i="1" s="1"/>
  <c r="G35" i="1" s="1"/>
  <c r="E34" i="1"/>
  <c r="F34" i="1" s="1"/>
  <c r="G34" i="1" s="1"/>
  <c r="E33" i="1"/>
  <c r="F33" i="1" s="1"/>
  <c r="G33" i="1" s="1"/>
  <c r="E32" i="1"/>
  <c r="F32" i="1" s="1"/>
  <c r="G32" i="1" s="1"/>
  <c r="E31" i="1"/>
  <c r="F31" i="1" s="1"/>
  <c r="G31" i="1" s="1"/>
  <c r="E30" i="1"/>
  <c r="F30" i="1" s="1"/>
  <c r="G30" i="1" s="1"/>
  <c r="E29" i="1"/>
  <c r="F29" i="1" s="1"/>
  <c r="G29" i="1" s="1"/>
  <c r="G18" i="1"/>
  <c r="G19" i="1"/>
  <c r="G20" i="1"/>
  <c r="G21" i="1"/>
  <c r="G22" i="1"/>
  <c r="G23" i="1"/>
  <c r="C24" i="1"/>
  <c r="E26" i="1"/>
  <c r="E18" i="1"/>
  <c r="E17" i="1"/>
  <c r="F17" i="1" s="1"/>
  <c r="G17" i="1" s="1"/>
  <c r="E16" i="1"/>
  <c r="F16" i="1" s="1"/>
  <c r="G16" i="1" s="1"/>
  <c r="E15" i="1"/>
  <c r="F15" i="1" s="1"/>
  <c r="G15" i="1" s="1"/>
  <c r="E14" i="1"/>
  <c r="F14" i="1" s="1"/>
  <c r="G14" i="1" s="1"/>
  <c r="E13" i="1"/>
  <c r="F13" i="1" s="1"/>
  <c r="G13" i="1" s="1"/>
  <c r="E12" i="1"/>
  <c r="F12" i="1" s="1"/>
  <c r="G12" i="1" s="1"/>
  <c r="E11" i="1"/>
  <c r="F11" i="1" s="1"/>
  <c r="G11" i="1" s="1"/>
  <c r="E10" i="1"/>
  <c r="F10" i="1" s="1"/>
  <c r="G10" i="1" s="1"/>
  <c r="E9" i="1"/>
  <c r="F9" i="1" s="1"/>
  <c r="G9" i="1" s="1"/>
  <c r="AR46" i="1" l="1"/>
  <c r="AR25" i="1"/>
  <c r="AI46" i="1"/>
  <c r="AI25" i="1"/>
  <c r="Z46" i="1"/>
  <c r="Z25" i="1"/>
  <c r="O46" i="1"/>
  <c r="O25" i="1"/>
  <c r="G24" i="1"/>
  <c r="F24" i="1"/>
  <c r="G44" i="1"/>
  <c r="F44" i="1"/>
  <c r="F45" i="1" s="1"/>
  <c r="Q12" i="1"/>
  <c r="Q30" i="1"/>
  <c r="AR48" i="1" l="1"/>
  <c r="AR47" i="1"/>
  <c r="AI48" i="1"/>
  <c r="AI47" i="1"/>
  <c r="Z48" i="1"/>
  <c r="Z47" i="1"/>
  <c r="O48" i="1"/>
  <c r="O47" i="1"/>
  <c r="F46" i="1"/>
  <c r="F25" i="1"/>
  <c r="F47" i="1" l="1"/>
  <c r="F48" i="1"/>
  <c r="H123" i="1" l="1"/>
</calcChain>
</file>

<file path=xl/sharedStrings.xml><?xml version="1.0" encoding="utf-8"?>
<sst xmlns="http://schemas.openxmlformats.org/spreadsheetml/2006/main" count="213" uniqueCount="95">
  <si>
    <t>S/N</t>
  </si>
  <si>
    <t>UNIVERSITY NAME</t>
  </si>
  <si>
    <t>Average</t>
  </si>
  <si>
    <t>GRADE</t>
  </si>
  <si>
    <t>FIRST/SECOND SEMESTER RESULTS (2020/2021 SESSION)</t>
  </si>
  <si>
    <t>CPE300: COURSE TITLE</t>
  </si>
  <si>
    <t>FACULTY OF [NAME OF FACULTY]</t>
  </si>
  <si>
    <t>Name:</t>
  </si>
  <si>
    <t>COURSE CODE</t>
  </si>
  <si>
    <t>CREDIT</t>
  </si>
  <si>
    <t>SCORE</t>
  </si>
  <si>
    <t>POINT</t>
  </si>
  <si>
    <t>CHEM 101/111</t>
  </si>
  <si>
    <t>CHEM 103/113</t>
  </si>
  <si>
    <t>MTH 100/110</t>
  </si>
  <si>
    <t>MTH 101/112</t>
  </si>
  <si>
    <t>PYHY 100</t>
  </si>
  <si>
    <t>PHY 111</t>
  </si>
  <si>
    <t>PHY 113</t>
  </si>
  <si>
    <t>GST 111</t>
  </si>
  <si>
    <t>GPA</t>
  </si>
  <si>
    <t>GST 112</t>
  </si>
  <si>
    <t>SECOND SEMESTER</t>
  </si>
  <si>
    <t>CHEM 102/122</t>
  </si>
  <si>
    <t>CHEM 104/124</t>
  </si>
  <si>
    <t>MTH 102/123</t>
  </si>
  <si>
    <t>MTH 102/125</t>
  </si>
  <si>
    <t>PHY 109</t>
  </si>
  <si>
    <t>PHY 124</t>
  </si>
  <si>
    <t>GST 121</t>
  </si>
  <si>
    <t>GST 122</t>
  </si>
  <si>
    <t>gpa</t>
  </si>
  <si>
    <t>GST 123</t>
  </si>
  <si>
    <t>EMA 281</t>
  </si>
  <si>
    <t>ECP 281</t>
  </si>
  <si>
    <t>MEE 211</t>
  </si>
  <si>
    <t>MEE 221</t>
  </si>
  <si>
    <t>CVE 211</t>
  </si>
  <si>
    <t>EEE 211</t>
  </si>
  <si>
    <t>PRE 211</t>
  </si>
  <si>
    <t>ENS 211</t>
  </si>
  <si>
    <t>ELA 201</t>
  </si>
  <si>
    <t>EMA 381</t>
  </si>
  <si>
    <t>MEE 351</t>
  </si>
  <si>
    <t>MEE 361</t>
  </si>
  <si>
    <t>PRE 311</t>
  </si>
  <si>
    <t>EEE311</t>
  </si>
  <si>
    <t>EEE313</t>
  </si>
  <si>
    <t>EEE331</t>
  </si>
  <si>
    <t>EEE 371</t>
  </si>
  <si>
    <t>EEE 375</t>
  </si>
  <si>
    <t>ELA 301</t>
  </si>
  <si>
    <t>EMA 382</t>
  </si>
  <si>
    <t>EEE 312</t>
  </si>
  <si>
    <t>EEE 314</t>
  </si>
  <si>
    <t>EEE 316</t>
  </si>
  <si>
    <t>EEE 332</t>
  </si>
  <si>
    <t>EEE 372</t>
  </si>
  <si>
    <t>EEE 376</t>
  </si>
  <si>
    <t>ELA 302</t>
  </si>
  <si>
    <t>CPE 481/EEE 481</t>
  </si>
  <si>
    <t>CPE 457/EEE 431</t>
  </si>
  <si>
    <t>CPE 457/EEE 433</t>
  </si>
  <si>
    <t>EEE 451</t>
  </si>
  <si>
    <t>EEE 453</t>
  </si>
  <si>
    <t>EEE 471</t>
  </si>
  <si>
    <t>EEE 473</t>
  </si>
  <si>
    <t>ELA 401</t>
  </si>
  <si>
    <t>CED 300</t>
  </si>
  <si>
    <t>PRE 571</t>
  </si>
  <si>
    <t>EEE 573</t>
  </si>
  <si>
    <t>EEE 590</t>
  </si>
  <si>
    <t>EEE 591</t>
  </si>
  <si>
    <t>CPE 571/EEE 571</t>
  </si>
  <si>
    <t>CPE 553/ EEE 533</t>
  </si>
  <si>
    <t>CPE 575/EEE 531</t>
  </si>
  <si>
    <t>CPE 501/EEE 501</t>
  </si>
  <si>
    <t>PRE 572</t>
  </si>
  <si>
    <t>EEE 574/EEE 534</t>
  </si>
  <si>
    <t>EEE 552/EEE 516</t>
  </si>
  <si>
    <t>WGPA (DE)</t>
  </si>
  <si>
    <t>EEE 576/</t>
  </si>
  <si>
    <t>CPE512</t>
  </si>
  <si>
    <t>CPE522</t>
  </si>
  <si>
    <t>CPE556</t>
  </si>
  <si>
    <t>CPE574</t>
  </si>
  <si>
    <t>CPE502</t>
  </si>
  <si>
    <t>GRADEPOINT</t>
  </si>
  <si>
    <t>GPA (2nd Sem.)</t>
  </si>
  <si>
    <t>WGPA (UME)</t>
  </si>
  <si>
    <t>GPA CARD</t>
  </si>
  <si>
    <t>MATNO:</t>
  </si>
  <si>
    <t>SESSION:</t>
  </si>
  <si>
    <t>NAME:</t>
  </si>
  <si>
    <t>UBT400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</si>
</sst>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" xfId="0" applyBorder="1"/>
    <xf numFmtId="0" fontId="0" fillId="0" borderId="11" xfId="0" applyBorder="1"/>
    <xf numFmtId="0" fontId="0" fillId="0" borderId="1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3" xfId="0" applyBorder="1"/>
    <xf numFmtId="0" fontId="0" fillId="0" borderId="14" xfId="0" applyBorder="1"/>
    <xf numFmtId="0" fontId="0" fillId="0" borderId="16" xfId="0" applyBorder="1"/>
    <xf numFmtId="0" fontId="0" fillId="0" borderId="6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Alignment="1"/>
    <xf numFmtId="0" fontId="1" fillId="0" borderId="0" xfId="0" applyFont="1" applyBorder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123"/>
  <sheetViews>
    <sheetView tabSelected="1" topLeftCell="R23" zoomScale="115" zoomScaleNormal="115" workbookViewId="0">
      <selection activeCell="AA27" sqref="AA27"/>
    </sheetView>
  </sheetViews>
  <sheetFormatPr defaultRowHeight="15" x14ac:dyDescent="0.25"/>
  <cols>
    <col min="1" max="1" width="3.5703125" customWidth="1"/>
    <col min="2" max="2" width="15.28515625" customWidth="1"/>
    <col min="3" max="3" width="8" customWidth="1"/>
    <col min="4" max="4" width="13.7109375" customWidth="1"/>
    <col min="5" max="5" width="7.140625" bestFit="1" customWidth="1"/>
    <col min="6" max="6" width="7.28515625" customWidth="1"/>
    <col min="7" max="7" width="13.42578125" bestFit="1" customWidth="1"/>
    <col min="8" max="8" width="8" customWidth="1"/>
    <col min="10" max="10" width="6.7109375" customWidth="1"/>
    <col min="11" max="11" width="13.28515625" customWidth="1"/>
    <col min="20" max="20" width="7.5703125" customWidth="1"/>
    <col min="21" max="21" width="4.7109375" customWidth="1"/>
    <col min="22" max="22" width="11.28515625" customWidth="1"/>
    <col min="27" max="27" width="12.5703125" bestFit="1" customWidth="1"/>
    <col min="29" max="29" width="7.7109375" customWidth="1"/>
    <col min="30" max="30" width="6.5703125" customWidth="1"/>
    <col min="31" max="31" width="13.140625" customWidth="1"/>
    <col min="39" max="39" width="5.28515625" customWidth="1"/>
    <col min="40" max="40" width="15.28515625" customWidth="1"/>
  </cols>
  <sheetData>
    <row r="1" spans="1:45" ht="18.75" x14ac:dyDescent="0.3">
      <c r="A1" s="1" t="s">
        <v>6</v>
      </c>
      <c r="B1" s="1"/>
      <c r="C1" s="1"/>
      <c r="D1" s="1"/>
      <c r="E1" s="1"/>
      <c r="F1" s="1"/>
      <c r="G1" s="1"/>
      <c r="H1" s="33"/>
      <c r="J1" s="1" t="s">
        <v>6</v>
      </c>
      <c r="K1" s="1"/>
      <c r="L1" s="1"/>
      <c r="M1" s="1"/>
      <c r="N1" s="1"/>
      <c r="O1" s="1"/>
      <c r="P1" s="1"/>
      <c r="U1" s="1" t="s">
        <v>6</v>
      </c>
      <c r="V1" s="1"/>
      <c r="W1" s="1"/>
      <c r="X1" s="1"/>
      <c r="Y1" s="1"/>
      <c r="Z1" s="1"/>
      <c r="AA1" s="1"/>
      <c r="AD1" s="1" t="s">
        <v>6</v>
      </c>
      <c r="AE1" s="1"/>
      <c r="AF1" s="1"/>
      <c r="AG1" s="1"/>
      <c r="AH1" s="1"/>
      <c r="AM1" s="1" t="s">
        <v>6</v>
      </c>
      <c r="AN1" s="1"/>
      <c r="AO1" s="1"/>
      <c r="AP1" s="1"/>
      <c r="AQ1" s="1"/>
    </row>
    <row r="2" spans="1:45" ht="18.75" x14ac:dyDescent="0.3">
      <c r="A2" s="1" t="s">
        <v>1</v>
      </c>
      <c r="B2" s="1"/>
      <c r="C2" s="1"/>
      <c r="D2" s="1"/>
      <c r="E2" s="1"/>
      <c r="F2" s="1"/>
      <c r="G2" s="1"/>
      <c r="H2" s="33"/>
      <c r="J2" s="1" t="s">
        <v>1</v>
      </c>
      <c r="K2" s="1"/>
      <c r="L2" s="1"/>
      <c r="M2" s="1"/>
      <c r="N2" s="1"/>
      <c r="O2" s="1"/>
      <c r="P2" s="1"/>
      <c r="U2" s="1" t="s">
        <v>1</v>
      </c>
      <c r="V2" s="1"/>
      <c r="W2" s="1"/>
      <c r="X2" s="1"/>
      <c r="Y2" s="1"/>
      <c r="Z2" s="1"/>
      <c r="AA2" s="1"/>
      <c r="AD2" s="1" t="s">
        <v>1</v>
      </c>
      <c r="AE2" s="1"/>
      <c r="AF2" s="1"/>
      <c r="AG2" s="1"/>
      <c r="AH2" s="1"/>
      <c r="AM2" s="1" t="s">
        <v>1</v>
      </c>
      <c r="AN2" s="1"/>
      <c r="AO2" s="1"/>
      <c r="AP2" s="1"/>
      <c r="AQ2" s="1"/>
    </row>
    <row r="3" spans="1:45" ht="18.75" x14ac:dyDescent="0.3">
      <c r="A3" s="1" t="s">
        <v>90</v>
      </c>
      <c r="B3" s="1"/>
      <c r="C3" s="1"/>
      <c r="D3" s="1"/>
      <c r="E3" s="1"/>
      <c r="F3" s="1"/>
      <c r="G3" s="1"/>
      <c r="H3" s="34"/>
      <c r="J3" s="1" t="s">
        <v>90</v>
      </c>
      <c r="K3" s="1"/>
      <c r="L3" s="1"/>
      <c r="M3" s="1"/>
      <c r="N3" s="1"/>
      <c r="O3" s="1"/>
      <c r="P3" s="1"/>
      <c r="U3" s="2" t="s">
        <v>4</v>
      </c>
      <c r="V3" s="2"/>
      <c r="W3" s="2"/>
      <c r="X3" s="2"/>
      <c r="Y3" s="2"/>
      <c r="Z3" s="2"/>
      <c r="AA3" s="2"/>
      <c r="AD3" s="2" t="s">
        <v>4</v>
      </c>
      <c r="AE3" s="2"/>
      <c r="AF3" s="2"/>
      <c r="AG3" s="2"/>
      <c r="AH3" s="2"/>
      <c r="AM3" s="2" t="s">
        <v>4</v>
      </c>
      <c r="AN3" s="2"/>
      <c r="AO3" s="2"/>
      <c r="AP3" s="2"/>
      <c r="AQ3" s="2"/>
    </row>
    <row r="4" spans="1:45" ht="18.75" x14ac:dyDescent="0.3">
      <c r="B4" s="34"/>
      <c r="C4" s="34"/>
      <c r="D4" s="34"/>
      <c r="E4" s="34"/>
      <c r="F4" s="34"/>
      <c r="G4" s="34"/>
      <c r="H4" s="34"/>
      <c r="K4" s="34"/>
      <c r="L4" s="34"/>
      <c r="M4" s="34"/>
      <c r="N4" s="34"/>
      <c r="O4" s="34"/>
      <c r="P4" s="34"/>
      <c r="U4" s="3" t="s">
        <v>5</v>
      </c>
      <c r="V4" s="3"/>
      <c r="W4" s="3"/>
      <c r="X4" s="3"/>
      <c r="Y4" s="3"/>
      <c r="Z4" s="3"/>
      <c r="AA4" s="3"/>
      <c r="AD4" s="3" t="s">
        <v>5</v>
      </c>
      <c r="AE4" s="3"/>
      <c r="AF4" s="3"/>
      <c r="AG4" s="3"/>
      <c r="AH4" s="3"/>
      <c r="AM4" s="3" t="s">
        <v>5</v>
      </c>
      <c r="AN4" s="3"/>
      <c r="AO4" s="3"/>
      <c r="AP4" s="3"/>
      <c r="AQ4" s="3"/>
    </row>
    <row r="5" spans="1:45" x14ac:dyDescent="0.25">
      <c r="B5" t="s">
        <v>91</v>
      </c>
      <c r="D5" t="s">
        <v>92</v>
      </c>
      <c r="K5" t="s">
        <v>91</v>
      </c>
      <c r="M5" t="s">
        <v>92</v>
      </c>
      <c r="U5" t="s">
        <v>7</v>
      </c>
      <c r="AD5" t="s">
        <v>7</v>
      </c>
      <c r="AM5" t="s">
        <v>7</v>
      </c>
    </row>
    <row r="6" spans="1:45" x14ac:dyDescent="0.25">
      <c r="B6" t="s">
        <v>93</v>
      </c>
      <c r="K6" t="s">
        <v>93</v>
      </c>
    </row>
    <row r="7" spans="1:45" ht="15.75" thickBot="1" x14ac:dyDescent="0.3"/>
    <row r="8" spans="1:45" ht="15.75" thickBot="1" x14ac:dyDescent="0.3">
      <c r="A8" s="4" t="s">
        <v>0</v>
      </c>
      <c r="B8" s="4" t="s">
        <v>8</v>
      </c>
      <c r="C8" s="22" t="s">
        <v>9</v>
      </c>
      <c r="D8" s="22" t="s">
        <v>10</v>
      </c>
      <c r="E8" s="22" t="s">
        <v>3</v>
      </c>
      <c r="F8" s="22" t="s">
        <v>11</v>
      </c>
      <c r="G8" s="22" t="s">
        <v>87</v>
      </c>
      <c r="J8" s="4" t="s">
        <v>0</v>
      </c>
      <c r="K8" s="4" t="s">
        <v>8</v>
      </c>
      <c r="L8" s="22" t="s">
        <v>9</v>
      </c>
      <c r="M8" s="22" t="s">
        <v>10</v>
      </c>
      <c r="N8" s="22" t="s">
        <v>3</v>
      </c>
      <c r="O8" s="22" t="s">
        <v>11</v>
      </c>
      <c r="P8" s="22" t="s">
        <v>87</v>
      </c>
      <c r="U8" s="4" t="s">
        <v>0</v>
      </c>
      <c r="V8" s="4" t="s">
        <v>8</v>
      </c>
      <c r="W8" s="22" t="s">
        <v>9</v>
      </c>
      <c r="X8" s="22" t="s">
        <v>10</v>
      </c>
      <c r="Y8" s="22" t="s">
        <v>3</v>
      </c>
      <c r="Z8" s="22" t="s">
        <v>11</v>
      </c>
      <c r="AA8" s="22" t="s">
        <v>87</v>
      </c>
      <c r="AD8" s="4" t="s">
        <v>0</v>
      </c>
      <c r="AE8" s="4" t="s">
        <v>8</v>
      </c>
      <c r="AF8" s="22" t="s">
        <v>9</v>
      </c>
      <c r="AG8" s="22" t="s">
        <v>10</v>
      </c>
      <c r="AH8" s="22" t="s">
        <v>3</v>
      </c>
      <c r="AI8" s="22" t="s">
        <v>11</v>
      </c>
      <c r="AJ8" s="22" t="s">
        <v>87</v>
      </c>
      <c r="AM8" s="4" t="s">
        <v>0</v>
      </c>
      <c r="AN8" s="4" t="s">
        <v>8</v>
      </c>
      <c r="AO8" s="22" t="s">
        <v>9</v>
      </c>
      <c r="AP8" s="22" t="s">
        <v>10</v>
      </c>
      <c r="AQ8" s="22" t="s">
        <v>3</v>
      </c>
      <c r="AR8" s="22" t="s">
        <v>11</v>
      </c>
      <c r="AS8" s="22" t="s">
        <v>87</v>
      </c>
    </row>
    <row r="9" spans="1:45" x14ac:dyDescent="0.25">
      <c r="A9" s="14">
        <v>1</v>
      </c>
      <c r="B9" s="6" t="s">
        <v>12</v>
      </c>
      <c r="C9" s="24">
        <v>3</v>
      </c>
      <c r="D9" s="24">
        <v>43</v>
      </c>
      <c r="E9" s="24" t="str">
        <f>IF(D9=0,"",IF(D9=-1,"NR",IF(D9&lt;40,"F",IF(D9&lt;45,"E",IF(D9&lt;50,"D",IF(D9&lt;60,"C",IF(D9&lt;70,"B","A")))))))</f>
        <v>E</v>
      </c>
      <c r="F9" s="24">
        <f>IF(E9="A",5*C9,IF(E9="B",4*C9,IF(E9="C",3*C9,IF(E9="D",2*C9,IF(E9="E",1*C9,0)))))</f>
        <v>3</v>
      </c>
      <c r="G9" s="25">
        <f>F9*C9</f>
        <v>9</v>
      </c>
      <c r="J9" s="14">
        <v>1</v>
      </c>
      <c r="K9" s="5" t="s">
        <v>33</v>
      </c>
      <c r="L9" s="5">
        <v>2</v>
      </c>
      <c r="M9" s="24">
        <v>43</v>
      </c>
      <c r="N9" s="24" t="str">
        <f>IF(M9=0,"",IF(M9=-1,"NR",IF(M9&lt;40,"F",IF(M9&lt;45,"E",IF(M9&lt;50,"D",IF(M9&lt;60,"C",IF(M9&lt;70,"B","A")))))))</f>
        <v>E</v>
      </c>
      <c r="O9" s="24">
        <f>IF(N9="A",5*L9,IF(N9="B",4*L9,IF(N9="C",3*L9,IF(N9="D",2*L9,IF(N9="E",1*L9,0)))))</f>
        <v>2</v>
      </c>
      <c r="P9" s="25">
        <f>O9*L9</f>
        <v>4</v>
      </c>
      <c r="U9" s="14">
        <v>1</v>
      </c>
      <c r="V9" s="6" t="s">
        <v>42</v>
      </c>
      <c r="W9" s="24">
        <v>3</v>
      </c>
      <c r="X9" s="24">
        <v>43</v>
      </c>
      <c r="Y9" s="24" t="str">
        <f>IF(X9=0,"",IF(X9=-1,"NR",IF(X9&lt;40,"F",IF(X9&lt;45,"E",IF(X9&lt;50,"D",IF(X9&lt;60,"C",IF(X9&lt;70,"B","A")))))))</f>
        <v>E</v>
      </c>
      <c r="Z9" s="24">
        <f>IF(Y9="A",5*W9,IF(Y9="B",4*W9,IF(Y9="C",3*W9,IF(Y9="D",2*W9,IF(Y9="E",1*W9,0)))))</f>
        <v>3</v>
      </c>
      <c r="AA9" s="25">
        <f>Z9*W9</f>
        <v>9</v>
      </c>
      <c r="AD9" s="14">
        <v>1</v>
      </c>
      <c r="AE9" s="6" t="s">
        <v>60</v>
      </c>
      <c r="AF9" s="24">
        <v>3</v>
      </c>
      <c r="AG9" s="24">
        <v>43</v>
      </c>
      <c r="AH9" s="24" t="str">
        <f>IF(AG9=0,"",IF(AG9=-1,"NR",IF(AG9&lt;40,"F",IF(AG9&lt;45,"E",IF(AG9&lt;50,"D",IF(AG9&lt;60,"C",IF(AG9&lt;70,"B","A")))))))</f>
        <v>E</v>
      </c>
      <c r="AI9" s="24">
        <f>IF(AH9="A",5*AF9,IF(AH9="B",4*AF9,IF(AH9="C",3*AF9,IF(AH9="D",2*AF9,IF(AH9="E",1*AF9,0)))))</f>
        <v>3</v>
      </c>
      <c r="AJ9" s="25">
        <f>AI9*AF9</f>
        <v>9</v>
      </c>
      <c r="AM9" s="14">
        <v>1</v>
      </c>
      <c r="AN9" s="6" t="s">
        <v>69</v>
      </c>
      <c r="AO9" s="24">
        <v>3</v>
      </c>
      <c r="AP9" s="24">
        <v>43</v>
      </c>
      <c r="AQ9" s="24" t="str">
        <f>IF(AP9=0,"",IF(AP9=-1,"NR",IF(AP9&lt;40,"F",IF(AP9&lt;45,"E",IF(AP9&lt;50,"D",IF(AP9&lt;60,"C",IF(AP9&lt;70,"B","A")))))))</f>
        <v>E</v>
      </c>
      <c r="AR9" s="24">
        <f>IF(AQ9="A",5*AO9,IF(AQ9="B",4*AO9,IF(AQ9="C",3*AO9,IF(AQ9="D",2*AO9,IF(AQ9="E",1*AO9,0)))))</f>
        <v>3</v>
      </c>
      <c r="AS9" s="25">
        <f>AR9*AO9</f>
        <v>9</v>
      </c>
    </row>
    <row r="10" spans="1:45" ht="15.75" thickBot="1" x14ac:dyDescent="0.3">
      <c r="A10" s="14">
        <v>2</v>
      </c>
      <c r="B10" s="6" t="s">
        <v>13</v>
      </c>
      <c r="C10" s="24">
        <v>3</v>
      </c>
      <c r="D10" s="24">
        <v>41</v>
      </c>
      <c r="E10" s="24" t="str">
        <f t="shared" ref="E10:E26" si="0">IF(D10=0,"",IF(D10=-1,"NR",IF(D10&lt;40,"F",IF(D10&lt;45,"E",IF(D10&lt;50,"D",IF(D10&lt;60,"C",IF(D10&lt;70,"B","A")))))))</f>
        <v>E</v>
      </c>
      <c r="F10" s="24">
        <f t="shared" ref="F10:F17" si="1">IF(E10="A",5*C10,IF(E10="B",4*C10,IF(E10="C",3*C10,IF(E10="D",2*C10,IF(E10="E",1*C10,0)))))</f>
        <v>3</v>
      </c>
      <c r="G10" s="25">
        <f t="shared" ref="G10:G23" si="2">F10*C10</f>
        <v>9</v>
      </c>
      <c r="J10" s="14">
        <v>2</v>
      </c>
      <c r="K10" s="6" t="s">
        <v>34</v>
      </c>
      <c r="L10" s="6">
        <v>2</v>
      </c>
      <c r="M10" s="24">
        <v>41</v>
      </c>
      <c r="N10" s="24" t="str">
        <f t="shared" ref="N10:N26" si="3">IF(M10=0,"",IF(M10=-1,"NR",IF(M10&lt;40,"F",IF(M10&lt;45,"E",IF(M10&lt;50,"D",IF(M10&lt;60,"C",IF(M10&lt;70,"B","A")))))))</f>
        <v>E</v>
      </c>
      <c r="O10" s="24">
        <f t="shared" ref="O10:O17" si="4">IF(N10="A",5*L10,IF(N10="B",4*L10,IF(N10="C",3*L10,IF(N10="D",2*L10,IF(N10="E",1*L10,0)))))</f>
        <v>2</v>
      </c>
      <c r="P10" s="25">
        <f t="shared" ref="P10:P23" si="5">O10*L10</f>
        <v>4</v>
      </c>
      <c r="U10" s="14">
        <v>2</v>
      </c>
      <c r="V10" s="6" t="s">
        <v>43</v>
      </c>
      <c r="W10" s="24">
        <v>2</v>
      </c>
      <c r="X10" s="24">
        <v>41</v>
      </c>
      <c r="Y10" s="24" t="str">
        <f t="shared" ref="Y10:Y26" si="6">IF(X10=0,"",IF(X10=-1,"NR",IF(X10&lt;40,"F",IF(X10&lt;45,"E",IF(X10&lt;50,"D",IF(X10&lt;60,"C",IF(X10&lt;70,"B","A")))))))</f>
        <v>E</v>
      </c>
      <c r="Z10" s="24">
        <f t="shared" ref="Z10:Z17" si="7">IF(Y10="A",5*W10,IF(Y10="B",4*W10,IF(Y10="C",3*W10,IF(Y10="D",2*W10,IF(Y10="E",1*W10,0)))))</f>
        <v>2</v>
      </c>
      <c r="AA10" s="25">
        <f t="shared" ref="AA10:AA23" si="8">Z10*W10</f>
        <v>4</v>
      </c>
      <c r="AD10" s="14">
        <v>2</v>
      </c>
      <c r="AE10" s="6" t="s">
        <v>61</v>
      </c>
      <c r="AF10" s="24">
        <v>3</v>
      </c>
      <c r="AG10" s="24">
        <v>41</v>
      </c>
      <c r="AH10" s="24" t="str">
        <f t="shared" ref="AH10:AH26" si="9">IF(AG10=0,"",IF(AG10=-1,"NR",IF(AG10&lt;40,"F",IF(AG10&lt;45,"E",IF(AG10&lt;50,"D",IF(AG10&lt;60,"C",IF(AG10&lt;70,"B","A")))))))</f>
        <v>E</v>
      </c>
      <c r="AI10" s="24">
        <f t="shared" ref="AI10:AI17" si="10">IF(AH10="A",5*AF10,IF(AH10="B",4*AF10,IF(AH10="C",3*AF10,IF(AH10="D",2*AF10,IF(AH10="E",1*AF10,0)))))</f>
        <v>3</v>
      </c>
      <c r="AJ10" s="25">
        <f t="shared" ref="AJ10:AJ23" si="11">AI10*AF10</f>
        <v>9</v>
      </c>
      <c r="AM10" s="14">
        <v>2</v>
      </c>
      <c r="AN10" s="6" t="s">
        <v>70</v>
      </c>
      <c r="AO10" s="24">
        <v>3</v>
      </c>
      <c r="AP10" s="24">
        <v>41</v>
      </c>
      <c r="AQ10" s="24" t="str">
        <f t="shared" ref="AQ10:AQ26" si="12">IF(AP10=0,"",IF(AP10=-1,"NR",IF(AP10&lt;40,"F",IF(AP10&lt;45,"E",IF(AP10&lt;50,"D",IF(AP10&lt;60,"C",IF(AP10&lt;70,"B","A")))))))</f>
        <v>E</v>
      </c>
      <c r="AR10" s="24">
        <f t="shared" ref="AR10:AR17" si="13">IF(AQ10="A",5*AO10,IF(AQ10="B",4*AO10,IF(AQ10="C",3*AO10,IF(AQ10="D",2*AO10,IF(AQ10="E",1*AO10,0)))))</f>
        <v>3</v>
      </c>
      <c r="AS10" s="25">
        <f t="shared" ref="AS10:AS23" si="14">AR10*AO10</f>
        <v>9</v>
      </c>
    </row>
    <row r="11" spans="1:45" x14ac:dyDescent="0.25">
      <c r="A11" s="14">
        <v>3</v>
      </c>
      <c r="B11" s="6" t="s">
        <v>14</v>
      </c>
      <c r="C11" s="24">
        <v>3</v>
      </c>
      <c r="D11" s="24">
        <v>52</v>
      </c>
      <c r="E11" s="24" t="str">
        <f t="shared" si="0"/>
        <v>C</v>
      </c>
      <c r="F11" s="24">
        <f t="shared" si="1"/>
        <v>9</v>
      </c>
      <c r="G11" s="25">
        <f t="shared" si="2"/>
        <v>27</v>
      </c>
      <c r="J11" s="14">
        <v>3</v>
      </c>
      <c r="K11" s="6" t="s">
        <v>35</v>
      </c>
      <c r="L11" s="6">
        <v>3</v>
      </c>
      <c r="M11" s="24">
        <v>52</v>
      </c>
      <c r="N11" s="24" t="str">
        <f t="shared" si="3"/>
        <v>C</v>
      </c>
      <c r="O11" s="24">
        <f t="shared" si="4"/>
        <v>9</v>
      </c>
      <c r="P11" s="25">
        <f t="shared" si="5"/>
        <v>27</v>
      </c>
      <c r="Q11" s="7" t="s">
        <v>20</v>
      </c>
      <c r="U11" s="14">
        <v>3</v>
      </c>
      <c r="V11" s="6" t="s">
        <v>44</v>
      </c>
      <c r="W11" s="24">
        <v>2</v>
      </c>
      <c r="X11" s="24">
        <v>52</v>
      </c>
      <c r="Y11" s="24" t="str">
        <f t="shared" si="6"/>
        <v>C</v>
      </c>
      <c r="Z11" s="24">
        <f t="shared" si="7"/>
        <v>6</v>
      </c>
      <c r="AA11" s="25">
        <f t="shared" si="8"/>
        <v>12</v>
      </c>
      <c r="AD11" s="14">
        <v>3</v>
      </c>
      <c r="AE11" s="6" t="s">
        <v>62</v>
      </c>
      <c r="AF11" s="24">
        <v>3</v>
      </c>
      <c r="AG11" s="24">
        <v>52</v>
      </c>
      <c r="AH11" s="24" t="str">
        <f t="shared" si="9"/>
        <v>C</v>
      </c>
      <c r="AI11" s="24">
        <f t="shared" si="10"/>
        <v>9</v>
      </c>
      <c r="AJ11" s="25">
        <f t="shared" si="11"/>
        <v>27</v>
      </c>
      <c r="AM11" s="14">
        <v>3</v>
      </c>
      <c r="AN11" s="6" t="s">
        <v>71</v>
      </c>
      <c r="AO11" s="24">
        <v>0</v>
      </c>
      <c r="AP11" s="24">
        <v>52</v>
      </c>
      <c r="AQ11" s="24" t="str">
        <f t="shared" si="12"/>
        <v>C</v>
      </c>
      <c r="AR11" s="24">
        <f t="shared" si="13"/>
        <v>0</v>
      </c>
      <c r="AS11" s="25">
        <f t="shared" si="14"/>
        <v>0</v>
      </c>
    </row>
    <row r="12" spans="1:45" ht="15.75" thickBot="1" x14ac:dyDescent="0.3">
      <c r="A12" s="14">
        <v>4</v>
      </c>
      <c r="B12" s="6" t="s">
        <v>15</v>
      </c>
      <c r="C12" s="24">
        <v>3</v>
      </c>
      <c r="D12" s="24">
        <v>40</v>
      </c>
      <c r="E12" s="24" t="str">
        <f t="shared" si="0"/>
        <v>E</v>
      </c>
      <c r="F12" s="24">
        <f t="shared" si="1"/>
        <v>3</v>
      </c>
      <c r="G12" s="25">
        <f t="shared" si="2"/>
        <v>9</v>
      </c>
      <c r="J12" s="14">
        <v>4</v>
      </c>
      <c r="K12" s="6" t="s">
        <v>36</v>
      </c>
      <c r="L12" s="6">
        <v>3</v>
      </c>
      <c r="M12" s="24">
        <v>40</v>
      </c>
      <c r="N12" s="24" t="str">
        <f t="shared" si="3"/>
        <v>E</v>
      </c>
      <c r="O12" s="24">
        <f t="shared" si="4"/>
        <v>3</v>
      </c>
      <c r="P12" s="25">
        <f t="shared" si="5"/>
        <v>9</v>
      </c>
      <c r="Q12" s="9">
        <f>O17/P17</f>
        <v>0.5</v>
      </c>
      <c r="U12" s="14">
        <v>4</v>
      </c>
      <c r="V12" s="6" t="s">
        <v>45</v>
      </c>
      <c r="W12" s="24">
        <v>2</v>
      </c>
      <c r="X12" s="24">
        <v>40</v>
      </c>
      <c r="Y12" s="24" t="str">
        <f t="shared" si="6"/>
        <v>E</v>
      </c>
      <c r="Z12" s="24">
        <f t="shared" si="7"/>
        <v>2</v>
      </c>
      <c r="AA12" s="25">
        <f t="shared" si="8"/>
        <v>4</v>
      </c>
      <c r="AD12" s="14">
        <v>4</v>
      </c>
      <c r="AE12" s="6" t="s">
        <v>63</v>
      </c>
      <c r="AF12" s="24">
        <v>3</v>
      </c>
      <c r="AG12" s="24">
        <v>40</v>
      </c>
      <c r="AH12" s="24" t="str">
        <f t="shared" si="9"/>
        <v>E</v>
      </c>
      <c r="AI12" s="24">
        <f t="shared" si="10"/>
        <v>3</v>
      </c>
      <c r="AJ12" s="25">
        <f t="shared" si="11"/>
        <v>9</v>
      </c>
      <c r="AM12" s="14">
        <v>4</v>
      </c>
      <c r="AN12" s="6" t="s">
        <v>72</v>
      </c>
      <c r="AO12" s="24">
        <v>3</v>
      </c>
      <c r="AP12" s="24">
        <v>40</v>
      </c>
      <c r="AQ12" s="24" t="str">
        <f t="shared" si="12"/>
        <v>E</v>
      </c>
      <c r="AR12" s="24">
        <f t="shared" si="13"/>
        <v>3</v>
      </c>
      <c r="AS12" s="25">
        <f t="shared" si="14"/>
        <v>9</v>
      </c>
    </row>
    <row r="13" spans="1:45" x14ac:dyDescent="0.25">
      <c r="A13" s="14">
        <v>5</v>
      </c>
      <c r="B13" s="6" t="s">
        <v>16</v>
      </c>
      <c r="C13" s="24">
        <v>0</v>
      </c>
      <c r="D13" s="24"/>
      <c r="E13" s="24" t="str">
        <f t="shared" si="0"/>
        <v/>
      </c>
      <c r="F13" s="24">
        <f t="shared" si="1"/>
        <v>0</v>
      </c>
      <c r="G13" s="25">
        <f t="shared" si="2"/>
        <v>0</v>
      </c>
      <c r="I13" s="8"/>
      <c r="J13" s="14">
        <v>5</v>
      </c>
      <c r="K13" s="6" t="s">
        <v>37</v>
      </c>
      <c r="L13" s="6">
        <v>3</v>
      </c>
      <c r="M13" s="24"/>
      <c r="N13" s="24" t="str">
        <f t="shared" si="3"/>
        <v/>
      </c>
      <c r="O13" s="24">
        <f t="shared" si="4"/>
        <v>0</v>
      </c>
      <c r="P13" s="25">
        <f t="shared" si="5"/>
        <v>0</v>
      </c>
      <c r="Q13" s="8"/>
      <c r="U13" s="14">
        <v>5</v>
      </c>
      <c r="V13" s="6" t="s">
        <v>46</v>
      </c>
      <c r="W13" s="24">
        <v>3</v>
      </c>
      <c r="X13" s="24"/>
      <c r="Y13" s="24" t="str">
        <f t="shared" si="6"/>
        <v/>
      </c>
      <c r="Z13" s="24">
        <f t="shared" si="7"/>
        <v>0</v>
      </c>
      <c r="AA13" s="25">
        <f t="shared" si="8"/>
        <v>0</v>
      </c>
      <c r="AD13" s="14">
        <v>5</v>
      </c>
      <c r="AE13" s="6" t="s">
        <v>64</v>
      </c>
      <c r="AF13" s="24">
        <v>3</v>
      </c>
      <c r="AG13" s="24"/>
      <c r="AH13" s="24" t="str">
        <f t="shared" si="9"/>
        <v/>
      </c>
      <c r="AI13" s="24">
        <f t="shared" si="10"/>
        <v>0</v>
      </c>
      <c r="AJ13" s="25">
        <f t="shared" si="11"/>
        <v>0</v>
      </c>
      <c r="AM13" s="14">
        <v>5</v>
      </c>
      <c r="AN13" s="6" t="s">
        <v>73</v>
      </c>
      <c r="AO13" s="24">
        <v>3</v>
      </c>
      <c r="AP13" s="24"/>
      <c r="AQ13" s="24" t="str">
        <f t="shared" si="12"/>
        <v/>
      </c>
      <c r="AR13" s="24">
        <f t="shared" si="13"/>
        <v>0</v>
      </c>
      <c r="AS13" s="25">
        <f t="shared" si="14"/>
        <v>0</v>
      </c>
    </row>
    <row r="14" spans="1:45" x14ac:dyDescent="0.25">
      <c r="A14" s="14">
        <v>6</v>
      </c>
      <c r="B14" s="6" t="s">
        <v>17</v>
      </c>
      <c r="C14" s="24">
        <v>3</v>
      </c>
      <c r="D14" s="24">
        <v>40</v>
      </c>
      <c r="E14" s="24" t="str">
        <f t="shared" si="0"/>
        <v>E</v>
      </c>
      <c r="F14" s="24">
        <f t="shared" si="1"/>
        <v>3</v>
      </c>
      <c r="G14" s="25">
        <f t="shared" si="2"/>
        <v>9</v>
      </c>
      <c r="I14" s="8"/>
      <c r="J14" s="14">
        <v>6</v>
      </c>
      <c r="K14" s="6" t="s">
        <v>38</v>
      </c>
      <c r="L14" s="6">
        <v>3</v>
      </c>
      <c r="M14" s="24">
        <v>40</v>
      </c>
      <c r="N14" s="24" t="str">
        <f t="shared" si="3"/>
        <v>E</v>
      </c>
      <c r="O14" s="24">
        <f t="shared" si="4"/>
        <v>3</v>
      </c>
      <c r="P14" s="25">
        <f t="shared" si="5"/>
        <v>9</v>
      </c>
      <c r="Q14" s="8"/>
      <c r="U14" s="14">
        <v>6</v>
      </c>
      <c r="V14" s="6" t="s">
        <v>47</v>
      </c>
      <c r="W14" s="24">
        <v>2</v>
      </c>
      <c r="X14" s="24">
        <v>40</v>
      </c>
      <c r="Y14" s="24" t="str">
        <f t="shared" si="6"/>
        <v>E</v>
      </c>
      <c r="Z14" s="24">
        <f t="shared" si="7"/>
        <v>2</v>
      </c>
      <c r="AA14" s="25">
        <f t="shared" si="8"/>
        <v>4</v>
      </c>
      <c r="AD14" s="14">
        <v>6</v>
      </c>
      <c r="AE14" s="6" t="s">
        <v>65</v>
      </c>
      <c r="AF14" s="24">
        <v>3</v>
      </c>
      <c r="AG14" s="24">
        <v>40</v>
      </c>
      <c r="AH14" s="24" t="str">
        <f t="shared" si="9"/>
        <v>E</v>
      </c>
      <c r="AI14" s="24">
        <f t="shared" si="10"/>
        <v>3</v>
      </c>
      <c r="AJ14" s="25">
        <f t="shared" si="11"/>
        <v>9</v>
      </c>
      <c r="AM14" s="14">
        <v>6</v>
      </c>
      <c r="AN14" s="6" t="s">
        <v>74</v>
      </c>
      <c r="AO14" s="24">
        <v>3</v>
      </c>
      <c r="AP14" s="24">
        <v>40</v>
      </c>
      <c r="AQ14" s="24" t="str">
        <f t="shared" si="12"/>
        <v>E</v>
      </c>
      <c r="AR14" s="24">
        <f t="shared" si="13"/>
        <v>3</v>
      </c>
      <c r="AS14" s="25">
        <f t="shared" si="14"/>
        <v>9</v>
      </c>
    </row>
    <row r="15" spans="1:45" x14ac:dyDescent="0.25">
      <c r="A15" s="14">
        <v>7</v>
      </c>
      <c r="B15" s="6" t="s">
        <v>18</v>
      </c>
      <c r="C15" s="24">
        <v>3</v>
      </c>
      <c r="D15" s="24">
        <v>50</v>
      </c>
      <c r="E15" s="24" t="str">
        <f t="shared" si="0"/>
        <v>C</v>
      </c>
      <c r="F15" s="24">
        <f t="shared" si="1"/>
        <v>9</v>
      </c>
      <c r="G15" s="25">
        <f t="shared" si="2"/>
        <v>27</v>
      </c>
      <c r="I15" s="8"/>
      <c r="J15" s="14">
        <v>7</v>
      </c>
      <c r="K15" s="6" t="s">
        <v>39</v>
      </c>
      <c r="L15" s="6">
        <v>2</v>
      </c>
      <c r="M15" s="24">
        <v>50</v>
      </c>
      <c r="N15" s="24" t="str">
        <f t="shared" si="3"/>
        <v>C</v>
      </c>
      <c r="O15" s="24">
        <f t="shared" si="4"/>
        <v>6</v>
      </c>
      <c r="P15" s="25">
        <f t="shared" si="5"/>
        <v>12</v>
      </c>
      <c r="Q15" s="8"/>
      <c r="U15" s="14">
        <v>7</v>
      </c>
      <c r="V15" s="6" t="s">
        <v>48</v>
      </c>
      <c r="W15" s="24">
        <v>2</v>
      </c>
      <c r="X15" s="24">
        <v>50</v>
      </c>
      <c r="Y15" s="24" t="str">
        <f t="shared" si="6"/>
        <v>C</v>
      </c>
      <c r="Z15" s="24">
        <f t="shared" si="7"/>
        <v>6</v>
      </c>
      <c r="AA15" s="25">
        <f t="shared" si="8"/>
        <v>12</v>
      </c>
      <c r="AD15" s="14">
        <v>7</v>
      </c>
      <c r="AE15" s="6" t="s">
        <v>66</v>
      </c>
      <c r="AF15" s="24">
        <v>3</v>
      </c>
      <c r="AG15" s="24">
        <v>50</v>
      </c>
      <c r="AH15" s="24" t="str">
        <f t="shared" si="9"/>
        <v>C</v>
      </c>
      <c r="AI15" s="24">
        <f t="shared" si="10"/>
        <v>9</v>
      </c>
      <c r="AJ15" s="25">
        <f t="shared" si="11"/>
        <v>27</v>
      </c>
      <c r="AM15" s="14">
        <v>7</v>
      </c>
      <c r="AN15" s="6" t="s">
        <v>75</v>
      </c>
      <c r="AO15" s="24">
        <v>3</v>
      </c>
      <c r="AP15" s="24">
        <v>50</v>
      </c>
      <c r="AQ15" s="24" t="str">
        <f t="shared" si="12"/>
        <v>C</v>
      </c>
      <c r="AR15" s="24">
        <f t="shared" si="13"/>
        <v>9</v>
      </c>
      <c r="AS15" s="25">
        <f t="shared" si="14"/>
        <v>27</v>
      </c>
    </row>
    <row r="16" spans="1:45" x14ac:dyDescent="0.25">
      <c r="A16" s="14">
        <v>8</v>
      </c>
      <c r="B16" s="6" t="s">
        <v>19</v>
      </c>
      <c r="C16" s="24">
        <v>2</v>
      </c>
      <c r="D16" s="24">
        <v>78</v>
      </c>
      <c r="E16" s="24" t="str">
        <f t="shared" si="0"/>
        <v>A</v>
      </c>
      <c r="F16" s="24">
        <f t="shared" si="1"/>
        <v>10</v>
      </c>
      <c r="G16" s="25">
        <f t="shared" si="2"/>
        <v>20</v>
      </c>
      <c r="I16" s="8"/>
      <c r="J16" s="14">
        <v>8</v>
      </c>
      <c r="K16" s="6" t="s">
        <v>40</v>
      </c>
      <c r="L16" s="6">
        <v>2</v>
      </c>
      <c r="M16" s="24">
        <v>78</v>
      </c>
      <c r="N16" s="24" t="str">
        <f t="shared" si="3"/>
        <v>A</v>
      </c>
      <c r="O16" s="24">
        <f t="shared" si="4"/>
        <v>10</v>
      </c>
      <c r="P16" s="25">
        <f t="shared" si="5"/>
        <v>20</v>
      </c>
      <c r="Q16" s="8"/>
      <c r="U16" s="14">
        <v>8</v>
      </c>
      <c r="V16" s="6" t="s">
        <v>49</v>
      </c>
      <c r="W16" s="24">
        <v>3</v>
      </c>
      <c r="X16" s="24">
        <v>78</v>
      </c>
      <c r="Y16" s="24" t="str">
        <f t="shared" si="6"/>
        <v>A</v>
      </c>
      <c r="Z16" s="24">
        <f t="shared" si="7"/>
        <v>15</v>
      </c>
      <c r="AA16" s="25">
        <f t="shared" si="8"/>
        <v>45</v>
      </c>
      <c r="AD16" s="14">
        <v>8</v>
      </c>
      <c r="AE16" s="6" t="s">
        <v>67</v>
      </c>
      <c r="AF16" s="24">
        <v>2</v>
      </c>
      <c r="AG16" s="24">
        <v>78</v>
      </c>
      <c r="AH16" s="24" t="str">
        <f t="shared" si="9"/>
        <v>A</v>
      </c>
      <c r="AI16" s="24">
        <f t="shared" si="10"/>
        <v>10</v>
      </c>
      <c r="AJ16" s="25">
        <f t="shared" si="11"/>
        <v>20</v>
      </c>
      <c r="AM16" s="14">
        <v>8</v>
      </c>
      <c r="AN16" s="6" t="s">
        <v>76</v>
      </c>
      <c r="AO16" s="24">
        <v>3</v>
      </c>
      <c r="AP16" s="24">
        <v>78</v>
      </c>
      <c r="AQ16" s="24" t="str">
        <f t="shared" si="12"/>
        <v>A</v>
      </c>
      <c r="AR16" s="24">
        <f t="shared" si="13"/>
        <v>15</v>
      </c>
      <c r="AS16" s="25">
        <f t="shared" si="14"/>
        <v>45</v>
      </c>
    </row>
    <row r="17" spans="1:45" x14ac:dyDescent="0.25">
      <c r="A17" s="14">
        <v>9</v>
      </c>
      <c r="B17" s="6" t="s">
        <v>21</v>
      </c>
      <c r="C17" s="24">
        <v>2</v>
      </c>
      <c r="D17" s="24">
        <v>64</v>
      </c>
      <c r="E17" s="24" t="str">
        <f t="shared" si="0"/>
        <v>B</v>
      </c>
      <c r="F17" s="24">
        <f t="shared" si="1"/>
        <v>8</v>
      </c>
      <c r="G17" s="25">
        <f t="shared" si="2"/>
        <v>16</v>
      </c>
      <c r="I17" s="8"/>
      <c r="J17" s="14">
        <v>9</v>
      </c>
      <c r="K17" s="6" t="s">
        <v>41</v>
      </c>
      <c r="L17" s="6">
        <v>2</v>
      </c>
      <c r="M17" s="24">
        <v>64</v>
      </c>
      <c r="N17" s="24" t="str">
        <f t="shared" si="3"/>
        <v>B</v>
      </c>
      <c r="O17" s="24">
        <f t="shared" si="4"/>
        <v>8</v>
      </c>
      <c r="P17" s="25">
        <f t="shared" si="5"/>
        <v>16</v>
      </c>
      <c r="Q17" s="8"/>
      <c r="U17" s="14">
        <v>9</v>
      </c>
      <c r="V17" s="6" t="s">
        <v>50</v>
      </c>
      <c r="W17" s="24">
        <v>3</v>
      </c>
      <c r="X17" s="24">
        <v>64</v>
      </c>
      <c r="Y17" s="24" t="str">
        <f t="shared" si="6"/>
        <v>B</v>
      </c>
      <c r="Z17" s="24">
        <f t="shared" si="7"/>
        <v>12</v>
      </c>
      <c r="AA17" s="25">
        <f t="shared" si="8"/>
        <v>36</v>
      </c>
      <c r="AD17" s="14">
        <v>9</v>
      </c>
      <c r="AE17" s="6" t="s">
        <v>68</v>
      </c>
      <c r="AF17" s="24">
        <v>2</v>
      </c>
      <c r="AG17" s="24">
        <v>64</v>
      </c>
      <c r="AH17" s="24" t="str">
        <f t="shared" si="9"/>
        <v>B</v>
      </c>
      <c r="AI17" s="24">
        <f t="shared" si="10"/>
        <v>8</v>
      </c>
      <c r="AJ17" s="25">
        <f t="shared" si="11"/>
        <v>16</v>
      </c>
      <c r="AM17" s="14">
        <v>9</v>
      </c>
      <c r="AN17" s="6"/>
      <c r="AO17" s="24"/>
      <c r="AP17" s="24"/>
      <c r="AQ17" s="24" t="str">
        <f t="shared" si="12"/>
        <v/>
      </c>
      <c r="AR17" s="24">
        <f t="shared" si="13"/>
        <v>0</v>
      </c>
      <c r="AS17" s="25">
        <f t="shared" si="14"/>
        <v>0</v>
      </c>
    </row>
    <row r="18" spans="1:45" x14ac:dyDescent="0.25">
      <c r="A18" s="14">
        <v>10</v>
      </c>
      <c r="B18" s="6"/>
      <c r="C18" s="24"/>
      <c r="D18" s="24"/>
      <c r="E18" s="24" t="str">
        <f t="shared" si="0"/>
        <v/>
      </c>
      <c r="F18" s="24"/>
      <c r="G18" s="25">
        <f t="shared" si="2"/>
        <v>0</v>
      </c>
      <c r="I18" s="8"/>
      <c r="J18" s="14">
        <v>10</v>
      </c>
      <c r="K18" s="6"/>
      <c r="L18" s="24"/>
      <c r="M18" s="24"/>
      <c r="N18" s="24" t="str">
        <f t="shared" si="3"/>
        <v/>
      </c>
      <c r="O18" s="24"/>
      <c r="P18" s="25">
        <f t="shared" si="5"/>
        <v>0</v>
      </c>
      <c r="Q18" s="8"/>
      <c r="U18" s="14">
        <v>10</v>
      </c>
      <c r="V18" s="6" t="s">
        <v>51</v>
      </c>
      <c r="W18" s="24">
        <v>2</v>
      </c>
      <c r="X18" s="24"/>
      <c r="Y18" s="24" t="str">
        <f t="shared" si="6"/>
        <v/>
      </c>
      <c r="Z18" s="24"/>
      <c r="AA18" s="25">
        <f t="shared" si="8"/>
        <v>0</v>
      </c>
      <c r="AD18" s="14">
        <v>10</v>
      </c>
      <c r="AE18" s="6"/>
      <c r="AF18" s="24"/>
      <c r="AG18" s="24"/>
      <c r="AH18" s="24" t="str">
        <f t="shared" si="9"/>
        <v/>
      </c>
      <c r="AI18" s="24"/>
      <c r="AJ18" s="25">
        <f t="shared" si="11"/>
        <v>0</v>
      </c>
      <c r="AM18" s="14">
        <v>10</v>
      </c>
      <c r="AN18" s="6"/>
      <c r="AO18" s="24"/>
      <c r="AP18" s="24"/>
      <c r="AQ18" s="24" t="str">
        <f t="shared" si="12"/>
        <v/>
      </c>
      <c r="AR18" s="24"/>
      <c r="AS18" s="25">
        <f t="shared" si="14"/>
        <v>0</v>
      </c>
    </row>
    <row r="19" spans="1:45" x14ac:dyDescent="0.25">
      <c r="A19" s="14">
        <v>11</v>
      </c>
      <c r="B19" s="6"/>
      <c r="C19" s="24"/>
      <c r="D19" s="24"/>
      <c r="E19" s="24"/>
      <c r="F19" s="24"/>
      <c r="G19" s="25">
        <f t="shared" si="2"/>
        <v>0</v>
      </c>
      <c r="I19" s="8"/>
      <c r="J19" s="14">
        <v>11</v>
      </c>
      <c r="K19" s="6"/>
      <c r="L19" s="24"/>
      <c r="M19" s="24"/>
      <c r="N19" s="24"/>
      <c r="O19" s="24"/>
      <c r="P19" s="25">
        <f t="shared" si="5"/>
        <v>0</v>
      </c>
      <c r="Q19" s="8"/>
      <c r="U19" s="14">
        <v>11</v>
      </c>
      <c r="V19" s="6"/>
      <c r="W19" s="24"/>
      <c r="X19" s="24"/>
      <c r="Y19" s="24"/>
      <c r="Z19" s="24"/>
      <c r="AA19" s="25">
        <f t="shared" si="8"/>
        <v>0</v>
      </c>
      <c r="AD19" s="14">
        <v>11</v>
      </c>
      <c r="AE19" s="6"/>
      <c r="AF19" s="24"/>
      <c r="AG19" s="24"/>
      <c r="AH19" s="24"/>
      <c r="AI19" s="24"/>
      <c r="AJ19" s="25">
        <f t="shared" si="11"/>
        <v>0</v>
      </c>
      <c r="AM19" s="14">
        <v>11</v>
      </c>
      <c r="AN19" s="6"/>
      <c r="AO19" s="24"/>
      <c r="AP19" s="24"/>
      <c r="AQ19" s="24"/>
      <c r="AR19" s="24"/>
      <c r="AS19" s="25">
        <f t="shared" si="14"/>
        <v>0</v>
      </c>
    </row>
    <row r="20" spans="1:45" x14ac:dyDescent="0.25">
      <c r="A20" s="14">
        <v>12</v>
      </c>
      <c r="B20" s="6"/>
      <c r="C20" s="24"/>
      <c r="D20" s="24"/>
      <c r="E20" s="24"/>
      <c r="F20" s="24"/>
      <c r="G20" s="25">
        <f t="shared" si="2"/>
        <v>0</v>
      </c>
      <c r="H20" s="8"/>
      <c r="I20" s="8"/>
      <c r="J20" s="14">
        <v>12</v>
      </c>
      <c r="K20" s="6"/>
      <c r="L20" s="24"/>
      <c r="M20" s="24"/>
      <c r="N20" s="24"/>
      <c r="O20" s="24"/>
      <c r="P20" s="25">
        <f t="shared" si="5"/>
        <v>0</v>
      </c>
      <c r="Q20" s="8"/>
      <c r="U20" s="14">
        <v>12</v>
      </c>
      <c r="V20" s="6"/>
      <c r="W20" s="24"/>
      <c r="X20" s="24"/>
      <c r="Y20" s="24"/>
      <c r="Z20" s="24"/>
      <c r="AA20" s="25">
        <f t="shared" si="8"/>
        <v>0</v>
      </c>
      <c r="AD20" s="14">
        <v>12</v>
      </c>
      <c r="AE20" s="6"/>
      <c r="AF20" s="24"/>
      <c r="AG20" s="24"/>
      <c r="AH20" s="24"/>
      <c r="AI20" s="24"/>
      <c r="AJ20" s="25">
        <f t="shared" si="11"/>
        <v>0</v>
      </c>
      <c r="AM20" s="14">
        <v>12</v>
      </c>
      <c r="AN20" s="6"/>
      <c r="AO20" s="24"/>
      <c r="AP20" s="24"/>
      <c r="AQ20" s="24"/>
      <c r="AR20" s="24"/>
      <c r="AS20" s="25">
        <f t="shared" si="14"/>
        <v>0</v>
      </c>
    </row>
    <row r="21" spans="1:45" x14ac:dyDescent="0.25">
      <c r="A21" s="14">
        <v>13</v>
      </c>
      <c r="B21" s="6"/>
      <c r="C21" s="24"/>
      <c r="D21" s="24"/>
      <c r="E21" s="24"/>
      <c r="F21" s="24"/>
      <c r="G21" s="25">
        <f t="shared" si="2"/>
        <v>0</v>
      </c>
      <c r="H21" s="8"/>
      <c r="I21" s="8"/>
      <c r="J21" s="14">
        <v>13</v>
      </c>
      <c r="K21" s="6"/>
      <c r="L21" s="24"/>
      <c r="M21" s="24"/>
      <c r="N21" s="24"/>
      <c r="O21" s="24"/>
      <c r="P21" s="25">
        <f t="shared" si="5"/>
        <v>0</v>
      </c>
      <c r="Q21" s="8"/>
      <c r="U21" s="14">
        <v>13</v>
      </c>
      <c r="V21" s="6"/>
      <c r="W21" s="24"/>
      <c r="X21" s="24"/>
      <c r="Y21" s="24"/>
      <c r="Z21" s="24"/>
      <c r="AA21" s="25">
        <f t="shared" si="8"/>
        <v>0</v>
      </c>
      <c r="AD21" s="14">
        <v>13</v>
      </c>
      <c r="AE21" s="6"/>
      <c r="AF21" s="24"/>
      <c r="AG21" s="24"/>
      <c r="AH21" s="24"/>
      <c r="AI21" s="24"/>
      <c r="AJ21" s="25">
        <f t="shared" si="11"/>
        <v>0</v>
      </c>
      <c r="AM21" s="14">
        <v>13</v>
      </c>
      <c r="AN21" s="6"/>
      <c r="AO21" s="24"/>
      <c r="AP21" s="24"/>
      <c r="AQ21" s="24"/>
      <c r="AR21" s="24"/>
      <c r="AS21" s="25">
        <f t="shared" si="14"/>
        <v>0</v>
      </c>
    </row>
    <row r="22" spans="1:45" x14ac:dyDescent="0.25">
      <c r="A22" s="14">
        <v>14</v>
      </c>
      <c r="B22" s="6"/>
      <c r="C22" s="24"/>
      <c r="D22" s="24"/>
      <c r="E22" s="24"/>
      <c r="F22" s="24"/>
      <c r="G22" s="25">
        <f t="shared" si="2"/>
        <v>0</v>
      </c>
      <c r="H22" s="8"/>
      <c r="I22" s="8"/>
      <c r="J22" s="14">
        <v>14</v>
      </c>
      <c r="K22" s="6"/>
      <c r="L22" s="24"/>
      <c r="M22" s="24"/>
      <c r="N22" s="24"/>
      <c r="O22" s="24"/>
      <c r="P22" s="25">
        <f t="shared" si="5"/>
        <v>0</v>
      </c>
      <c r="Q22" s="8"/>
      <c r="U22" s="14">
        <v>14</v>
      </c>
      <c r="V22" s="6"/>
      <c r="W22" s="24"/>
      <c r="X22" s="24"/>
      <c r="Y22" s="24"/>
      <c r="Z22" s="24"/>
      <c r="AA22" s="25">
        <f t="shared" si="8"/>
        <v>0</v>
      </c>
      <c r="AD22" s="14">
        <v>14</v>
      </c>
      <c r="AE22" s="6"/>
      <c r="AF22" s="24"/>
      <c r="AG22" s="24"/>
      <c r="AH22" s="24"/>
      <c r="AI22" s="24"/>
      <c r="AJ22" s="25">
        <f t="shared" si="11"/>
        <v>0</v>
      </c>
      <c r="AM22" s="14">
        <v>14</v>
      </c>
      <c r="AN22" s="6"/>
      <c r="AO22" s="24"/>
      <c r="AP22" s="24"/>
      <c r="AQ22" s="24"/>
      <c r="AR22" s="24"/>
      <c r="AS22" s="25">
        <f t="shared" si="14"/>
        <v>0</v>
      </c>
    </row>
    <row r="23" spans="1:45" ht="15.75" thickBot="1" x14ac:dyDescent="0.3">
      <c r="A23" s="26">
        <v>15</v>
      </c>
      <c r="B23" s="27"/>
      <c r="C23" s="28"/>
      <c r="D23" s="28"/>
      <c r="E23" s="28"/>
      <c r="F23" s="28"/>
      <c r="G23" s="29">
        <f t="shared" si="2"/>
        <v>0</v>
      </c>
      <c r="H23" s="8"/>
      <c r="I23" s="8"/>
      <c r="J23" s="26">
        <v>15</v>
      </c>
      <c r="K23" s="27"/>
      <c r="L23" s="28"/>
      <c r="M23" s="28"/>
      <c r="N23" s="28"/>
      <c r="O23" s="28"/>
      <c r="P23" s="29">
        <f t="shared" si="5"/>
        <v>0</v>
      </c>
      <c r="Q23" s="8"/>
      <c r="U23" s="26">
        <v>15</v>
      </c>
      <c r="V23" s="27"/>
      <c r="W23" s="28"/>
      <c r="X23" s="28"/>
      <c r="Y23" s="28"/>
      <c r="Z23" s="28"/>
      <c r="AA23" s="29">
        <f t="shared" si="8"/>
        <v>0</v>
      </c>
      <c r="AD23" s="26">
        <v>15</v>
      </c>
      <c r="AE23" s="27"/>
      <c r="AF23" s="28"/>
      <c r="AG23" s="28"/>
      <c r="AH23" s="28"/>
      <c r="AI23" s="28"/>
      <c r="AJ23" s="29">
        <f t="shared" si="11"/>
        <v>0</v>
      </c>
      <c r="AM23" s="26">
        <v>15</v>
      </c>
      <c r="AN23" s="27"/>
      <c r="AO23" s="28"/>
      <c r="AP23" s="28"/>
      <c r="AQ23" s="28"/>
      <c r="AR23" s="28"/>
      <c r="AS23" s="29">
        <f t="shared" si="14"/>
        <v>0</v>
      </c>
    </row>
    <row r="24" spans="1:45" ht="15.75" thickBot="1" x14ac:dyDescent="0.3">
      <c r="A24" s="19"/>
      <c r="B24" s="20"/>
      <c r="C24" s="30">
        <f t="shared" ref="C24" si="15">SUM(C9:C23)</f>
        <v>22</v>
      </c>
      <c r="D24" s="30"/>
      <c r="E24" s="30"/>
      <c r="F24" s="30">
        <f>SUM(F9:F23)</f>
        <v>48</v>
      </c>
      <c r="G24" s="31">
        <f>SUM(G9:G23)</f>
        <v>126</v>
      </c>
      <c r="H24" s="8"/>
      <c r="I24" s="8"/>
      <c r="J24" s="19"/>
      <c r="K24" s="20"/>
      <c r="L24" s="30">
        <f t="shared" ref="L24" si="16">SUM(L9:L23)</f>
        <v>22</v>
      </c>
      <c r="M24" s="30"/>
      <c r="N24" s="30"/>
      <c r="O24" s="30">
        <f>SUM(O9:O23)</f>
        <v>43</v>
      </c>
      <c r="P24" s="31">
        <f>SUM(P9:P23)</f>
        <v>101</v>
      </c>
      <c r="Q24" s="8"/>
      <c r="U24" s="19"/>
      <c r="V24" s="20"/>
      <c r="W24" s="30">
        <f t="shared" ref="W24" si="17">SUM(W9:W23)</f>
        <v>24</v>
      </c>
      <c r="X24" s="30"/>
      <c r="Y24" s="30"/>
      <c r="Z24" s="30">
        <f>SUM(Z9:Z23)</f>
        <v>48</v>
      </c>
      <c r="AA24" s="31">
        <f>SUM(AA9:AA23)</f>
        <v>126</v>
      </c>
      <c r="AD24" s="19"/>
      <c r="AE24" s="20"/>
      <c r="AF24" s="30">
        <f t="shared" ref="AF24" si="18">SUM(AF9:AF23)</f>
        <v>25</v>
      </c>
      <c r="AG24" s="30"/>
      <c r="AH24" s="30"/>
      <c r="AI24" s="30">
        <f>SUM(AI9:AI23)</f>
        <v>48</v>
      </c>
      <c r="AJ24" s="31">
        <f>SUM(AJ9:AJ23)</f>
        <v>126</v>
      </c>
      <c r="AM24" s="19"/>
      <c r="AN24" s="20"/>
      <c r="AO24" s="30">
        <f t="shared" ref="AO24" si="19">SUM(AO9:AO23)</f>
        <v>21</v>
      </c>
      <c r="AP24" s="30"/>
      <c r="AQ24" s="30"/>
      <c r="AR24" s="30">
        <f>SUM(AR9:AR23)</f>
        <v>36</v>
      </c>
      <c r="AS24" s="31">
        <f>SUM(AS9:AS23)</f>
        <v>108</v>
      </c>
    </row>
    <row r="25" spans="1:45" x14ac:dyDescent="0.25">
      <c r="A25" s="10"/>
      <c r="B25" s="10"/>
      <c r="C25" s="32"/>
      <c r="D25" s="32" t="s">
        <v>20</v>
      </c>
      <c r="E25" s="32"/>
      <c r="F25" s="32">
        <f>F24/C24</f>
        <v>2.1818181818181817</v>
      </c>
      <c r="H25" s="8"/>
      <c r="I25" s="8"/>
      <c r="J25" s="10"/>
      <c r="K25" s="10"/>
      <c r="L25" s="32"/>
      <c r="M25" s="32" t="s">
        <v>20</v>
      </c>
      <c r="N25" s="32"/>
      <c r="O25" s="32">
        <f>O24/L24</f>
        <v>1.9545454545454546</v>
      </c>
      <c r="Q25" s="8"/>
      <c r="U25" s="10"/>
      <c r="V25" s="10"/>
      <c r="W25" s="32"/>
      <c r="X25" s="32" t="s">
        <v>20</v>
      </c>
      <c r="Y25" s="32"/>
      <c r="Z25" s="32">
        <f>Z24/W24</f>
        <v>2</v>
      </c>
      <c r="AD25" s="10"/>
      <c r="AE25" s="10"/>
      <c r="AF25" s="32"/>
      <c r="AG25" s="32" t="s">
        <v>20</v>
      </c>
      <c r="AH25" s="32"/>
      <c r="AI25" s="32">
        <f>AI24/AF24</f>
        <v>1.92</v>
      </c>
      <c r="AM25" s="10"/>
      <c r="AN25" s="10"/>
      <c r="AO25" s="32"/>
      <c r="AP25" s="32" t="s">
        <v>20</v>
      </c>
      <c r="AQ25" s="32"/>
      <c r="AR25" s="32">
        <f>AR24/AO24</f>
        <v>1.7142857142857142</v>
      </c>
    </row>
    <row r="26" spans="1:45" ht="15.75" thickBot="1" x14ac:dyDescent="0.3">
      <c r="B26" t="s">
        <v>22</v>
      </c>
      <c r="E26" t="str">
        <f t="shared" si="0"/>
        <v/>
      </c>
      <c r="G26" s="8"/>
      <c r="H26" s="8"/>
      <c r="I26" s="8"/>
      <c r="K26" t="s">
        <v>22</v>
      </c>
      <c r="N26" t="str">
        <f t="shared" ref="N26:N42" si="20">IF(M26=0,"",IF(M26=-1,"NR",IF(M26&lt;40,"F",IF(M26&lt;45,"E",IF(M26&lt;50,"D",IF(M26&lt;60,"C",IF(M26&lt;70,"B","A")))))))</f>
        <v/>
      </c>
      <c r="P26" s="8"/>
      <c r="Q26" s="8"/>
      <c r="V26" t="s">
        <v>22</v>
      </c>
      <c r="Y26" t="str">
        <f t="shared" ref="Y26:Y42" si="21">IF(X26=0,"",IF(X26=-1,"NR",IF(X26&lt;40,"F",IF(X26&lt;45,"E",IF(X26&lt;50,"D",IF(X26&lt;60,"C",IF(X26&lt;70,"B","A")))))))</f>
        <v/>
      </c>
      <c r="AA26" s="8"/>
      <c r="AE26" t="s">
        <v>22</v>
      </c>
      <c r="AH26" t="str">
        <f t="shared" ref="AH26:AH42" si="22">IF(AG26=0,"",IF(AG26=-1,"NR",IF(AG26&lt;40,"F",IF(AG26&lt;45,"E",IF(AG26&lt;50,"D",IF(AG26&lt;60,"C",IF(AG26&lt;70,"B","A")))))))</f>
        <v/>
      </c>
      <c r="AJ26" s="8"/>
      <c r="AN26" t="s">
        <v>22</v>
      </c>
      <c r="AQ26" t="str">
        <f t="shared" ref="AQ26:AQ42" si="23">IF(AP26=0,"",IF(AP26=-1,"NR",IF(AP26&lt;40,"F",IF(AP26&lt;45,"E",IF(AP26&lt;50,"D",IF(AP26&lt;60,"C",IF(AP26&lt;70,"B","A")))))))</f>
        <v/>
      </c>
      <c r="AS26" s="8"/>
    </row>
    <row r="27" spans="1:45" ht="15.75" thickBot="1" x14ac:dyDescent="0.3">
      <c r="A27" s="4" t="s">
        <v>0</v>
      </c>
      <c r="B27" s="4" t="s">
        <v>8</v>
      </c>
      <c r="C27" s="22" t="s">
        <v>9</v>
      </c>
      <c r="D27" s="22" t="s">
        <v>10</v>
      </c>
      <c r="E27" s="22" t="s">
        <v>3</v>
      </c>
      <c r="F27" s="22" t="s">
        <v>11</v>
      </c>
      <c r="G27" s="22" t="s">
        <v>87</v>
      </c>
      <c r="H27" s="8"/>
      <c r="I27" s="8"/>
      <c r="J27" s="4" t="s">
        <v>0</v>
      </c>
      <c r="K27" s="4" t="s">
        <v>8</v>
      </c>
      <c r="L27" s="22" t="s">
        <v>9</v>
      </c>
      <c r="M27" s="22" t="s">
        <v>10</v>
      </c>
      <c r="N27" s="22" t="s">
        <v>3</v>
      </c>
      <c r="O27" s="22" t="s">
        <v>11</v>
      </c>
      <c r="P27" s="22" t="s">
        <v>87</v>
      </c>
      <c r="Q27" s="8"/>
      <c r="U27" s="4" t="s">
        <v>0</v>
      </c>
      <c r="V27" s="4" t="s">
        <v>8</v>
      </c>
      <c r="W27" s="22" t="s">
        <v>9</v>
      </c>
      <c r="X27" s="22" t="s">
        <v>10</v>
      </c>
      <c r="Y27" s="22" t="s">
        <v>3</v>
      </c>
      <c r="Z27" s="22" t="s">
        <v>11</v>
      </c>
      <c r="AA27" s="22" t="s">
        <v>87</v>
      </c>
      <c r="AD27" s="4" t="s">
        <v>0</v>
      </c>
      <c r="AE27" s="4" t="s">
        <v>8</v>
      </c>
      <c r="AF27" s="22" t="s">
        <v>9</v>
      </c>
      <c r="AG27" s="22" t="s">
        <v>10</v>
      </c>
      <c r="AH27" s="22" t="s">
        <v>3</v>
      </c>
      <c r="AI27" s="22" t="s">
        <v>11</v>
      </c>
      <c r="AJ27" s="22" t="s">
        <v>87</v>
      </c>
      <c r="AM27" s="4" t="s">
        <v>0</v>
      </c>
      <c r="AN27" s="4" t="s">
        <v>8</v>
      </c>
      <c r="AO27" s="22" t="s">
        <v>9</v>
      </c>
      <c r="AP27" s="22" t="s">
        <v>10</v>
      </c>
      <c r="AQ27" s="22" t="s">
        <v>3</v>
      </c>
      <c r="AR27" s="22" t="s">
        <v>11</v>
      </c>
      <c r="AS27" s="22" t="s">
        <v>87</v>
      </c>
    </row>
    <row r="28" spans="1:45" ht="15.75" thickBot="1" x14ac:dyDescent="0.3">
      <c r="A28" s="4"/>
      <c r="B28" s="21"/>
      <c r="C28" s="23"/>
      <c r="D28" s="23"/>
      <c r="E28" s="23"/>
      <c r="F28" s="23"/>
      <c r="G28" s="23"/>
      <c r="H28" s="8"/>
      <c r="I28" s="8"/>
      <c r="J28" s="4"/>
      <c r="K28" s="21"/>
      <c r="L28" s="23"/>
      <c r="M28" s="23"/>
      <c r="N28" s="23"/>
      <c r="O28" s="23"/>
      <c r="P28" s="23"/>
      <c r="Q28" s="8"/>
      <c r="U28" s="4"/>
      <c r="V28" s="21"/>
      <c r="W28" s="23"/>
      <c r="X28" s="23"/>
      <c r="Y28" s="23"/>
      <c r="Z28" s="23"/>
      <c r="AA28" s="23"/>
      <c r="AD28" s="4"/>
      <c r="AE28" s="21"/>
      <c r="AF28" s="23"/>
      <c r="AG28" s="23"/>
      <c r="AH28" s="23"/>
      <c r="AI28" s="23"/>
      <c r="AJ28" s="23"/>
      <c r="AM28" s="4"/>
      <c r="AN28" s="21"/>
      <c r="AO28" s="23"/>
      <c r="AP28" s="23"/>
      <c r="AQ28" s="23"/>
      <c r="AR28" s="23"/>
      <c r="AS28" s="23"/>
    </row>
    <row r="29" spans="1:45" x14ac:dyDescent="0.25">
      <c r="A29" s="14">
        <v>1</v>
      </c>
      <c r="B29" s="6" t="s">
        <v>23</v>
      </c>
      <c r="C29" s="6">
        <v>3</v>
      </c>
      <c r="D29" s="24">
        <v>99</v>
      </c>
      <c r="E29" s="24" t="str">
        <f>IF(D29=0,"",IF(D29=-1,"NR",IF(D29&lt;40,"F",IF(D29&lt;45,"E",IF(D29&lt;50,"D",IF(D29&lt;60,"C",IF(D29&lt;70,"B","A")))))))</f>
        <v>A</v>
      </c>
      <c r="F29" s="24">
        <f>IF(E29="A",5*C29,IF(E29="B",4*C29,IF(E29="C",3*C29,IF(E29="D",2*C29,IF(E29="E",1*C29,0)))))</f>
        <v>15</v>
      </c>
      <c r="G29" s="25">
        <f>F29*C29</f>
        <v>45</v>
      </c>
      <c r="H29" s="8"/>
      <c r="I29" s="8"/>
      <c r="J29" s="14">
        <v>1</v>
      </c>
      <c r="K29" s="6" t="s">
        <v>23</v>
      </c>
      <c r="L29" s="6">
        <v>3</v>
      </c>
      <c r="M29" s="24">
        <v>99</v>
      </c>
      <c r="N29" s="24" t="str">
        <f>IF(M29=0,"",IF(M29=-1,"NR",IF(M29&lt;40,"F",IF(M29&lt;45,"E",IF(M29&lt;50,"D",IF(M29&lt;60,"C",IF(M29&lt;70,"B","A")))))))</f>
        <v>A</v>
      </c>
      <c r="O29" s="24">
        <f>IF(N29="A",5*L29,IF(N29="B",4*L29,IF(N29="C",3*L29,IF(N29="D",2*L29,IF(N29="E",1*L29,0)))))</f>
        <v>15</v>
      </c>
      <c r="P29" s="25">
        <f>O29*L29</f>
        <v>45</v>
      </c>
      <c r="Q29" s="7" t="s">
        <v>31</v>
      </c>
      <c r="U29" s="14">
        <v>1</v>
      </c>
      <c r="V29" s="6" t="s">
        <v>52</v>
      </c>
      <c r="W29" s="6">
        <v>4</v>
      </c>
      <c r="X29" s="24">
        <v>99</v>
      </c>
      <c r="Y29" s="24" t="str">
        <f>IF(X29=0,"",IF(X29=-1,"NR",IF(X29&lt;40,"F",IF(X29&lt;45,"E",IF(X29&lt;50,"D",IF(X29&lt;60,"C",IF(X29&lt;70,"B","A")))))))</f>
        <v>A</v>
      </c>
      <c r="Z29" s="24">
        <f>IF(Y29="A",5*W29,IF(Y29="B",4*W29,IF(Y29="C",3*W29,IF(Y29="D",2*W29,IF(Y29="E",1*W29,0)))))</f>
        <v>20</v>
      </c>
      <c r="AA29" s="25">
        <f>Z29*W29</f>
        <v>80</v>
      </c>
      <c r="AD29" s="14">
        <v>1</v>
      </c>
      <c r="AE29" s="6" t="s">
        <v>94</v>
      </c>
      <c r="AF29" s="6">
        <v>6</v>
      </c>
      <c r="AG29" s="24">
        <v>78</v>
      </c>
      <c r="AH29" s="24" t="str">
        <f>IF(AG29=0,"",IF(AG29=-1,"NR",IF(AG29&lt;40,"F",IF(AG29&lt;45,"E",IF(AG29&lt;50,"D",IF(AG29&lt;60,"C",IF(AG29&lt;70,"B","A")))))))</f>
        <v>A</v>
      </c>
      <c r="AI29" s="24">
        <f>IF(AH29="A",5*AF29,IF(AH29="B",4*AF29,IF(AH29="C",3*AF29,IF(AH29="D",2*AF29,IF(AH29="E",1*AF29,0)))))</f>
        <v>30</v>
      </c>
      <c r="AJ29" s="25">
        <f>AI29*AF29</f>
        <v>180</v>
      </c>
      <c r="AM29" s="14">
        <v>1</v>
      </c>
      <c r="AN29" s="6" t="s">
        <v>77</v>
      </c>
      <c r="AO29" s="6">
        <v>3</v>
      </c>
      <c r="AP29" s="24">
        <v>99</v>
      </c>
      <c r="AQ29" s="24" t="str">
        <f>IF(AP29=0,"",IF(AP29=-1,"NR",IF(AP29&lt;40,"F",IF(AP29&lt;45,"E",IF(AP29&lt;50,"D",IF(AP29&lt;60,"C",IF(AP29&lt;70,"B","A")))))))</f>
        <v>A</v>
      </c>
      <c r="AR29" s="24">
        <f>IF(AQ29="A",5*AO29,IF(AQ29="B",4*AO29,IF(AQ29="C",3*AO29,IF(AQ29="D",2*AO29,IF(AQ29="E",1*AO29,0)))))</f>
        <v>15</v>
      </c>
      <c r="AS29" s="25">
        <f>AR29*AO29</f>
        <v>45</v>
      </c>
    </row>
    <row r="30" spans="1:45" ht="15.75" thickBot="1" x14ac:dyDescent="0.3">
      <c r="A30" s="14">
        <v>2</v>
      </c>
      <c r="B30" s="6" t="s">
        <v>24</v>
      </c>
      <c r="C30" s="6">
        <v>3</v>
      </c>
      <c r="D30" s="24">
        <v>78</v>
      </c>
      <c r="E30" s="24" t="str">
        <f t="shared" ref="E30:E38" si="24">IF(D30=0,"",IF(D30=-1,"NR",IF(D30&lt;40,"F",IF(D30&lt;45,"E",IF(D30&lt;50,"D",IF(D30&lt;60,"C",IF(D30&lt;70,"B","A")))))))</f>
        <v>A</v>
      </c>
      <c r="F30" s="24">
        <f t="shared" ref="F30:F44" si="25">IF(E30="A",5*C30,IF(E30="B",4*C30,IF(E30="C",3*C30,IF(E30="D",2*C30,IF(E30="E",1*C30,0)))))</f>
        <v>15</v>
      </c>
      <c r="G30" s="25">
        <f t="shared" ref="G30:G43" si="26">F30*C30</f>
        <v>45</v>
      </c>
      <c r="H30" s="8"/>
      <c r="I30" s="8"/>
      <c r="J30" s="14">
        <v>2</v>
      </c>
      <c r="K30" s="6" t="s">
        <v>24</v>
      </c>
      <c r="L30" s="6">
        <v>3</v>
      </c>
      <c r="M30" s="24">
        <v>78</v>
      </c>
      <c r="N30" s="24" t="str">
        <f t="shared" ref="N30:N38" si="27">IF(M30=0,"",IF(M30=-1,"NR",IF(M30&lt;40,"F",IF(M30&lt;45,"E",IF(M30&lt;50,"D",IF(M30&lt;60,"C",IF(M30&lt;70,"B","A")))))))</f>
        <v>A</v>
      </c>
      <c r="O30" s="24">
        <f t="shared" ref="O30:O44" si="28">IF(N30="A",5*L30,IF(N30="B",4*L30,IF(N30="C",3*L30,IF(N30="D",2*L30,IF(N30="E",1*L30,0)))))</f>
        <v>15</v>
      </c>
      <c r="P30" s="25">
        <f t="shared" ref="P30:P43" si="29">O30*L30</f>
        <v>45</v>
      </c>
      <c r="Q30" s="9">
        <f>O35/P35</f>
        <v>0.5</v>
      </c>
      <c r="U30" s="14">
        <v>2</v>
      </c>
      <c r="V30" s="6" t="s">
        <v>53</v>
      </c>
      <c r="W30" s="6">
        <v>3</v>
      </c>
      <c r="X30" s="24">
        <v>78</v>
      </c>
      <c r="Y30" s="24" t="str">
        <f t="shared" ref="Y30:Y38" si="30">IF(X30=0,"",IF(X30=-1,"NR",IF(X30&lt;40,"F",IF(X30&lt;45,"E",IF(X30&lt;50,"D",IF(X30&lt;60,"C",IF(X30&lt;70,"B","A")))))))</f>
        <v>A</v>
      </c>
      <c r="Z30" s="24">
        <f t="shared" ref="Z30:Z44" si="31">IF(Y30="A",5*W30,IF(Y30="B",4*W30,IF(Y30="C",3*W30,IF(Y30="D",2*W30,IF(Y30="E",1*W30,0)))))</f>
        <v>15</v>
      </c>
      <c r="AA30" s="25">
        <f t="shared" ref="AA30:AA43" si="32">Z30*W30</f>
        <v>45</v>
      </c>
      <c r="AD30" s="14">
        <v>2</v>
      </c>
      <c r="AE30" s="6"/>
      <c r="AF30" s="6"/>
      <c r="AG30" s="24"/>
      <c r="AH30" s="24" t="str">
        <f t="shared" ref="AH30:AH38" si="33">IF(AG30=0,"",IF(AG30=-1,"NR",IF(AG30&lt;40,"F",IF(AG30&lt;45,"E",IF(AG30&lt;50,"D",IF(AG30&lt;60,"C",IF(AG30&lt;70,"B","A")))))))</f>
        <v/>
      </c>
      <c r="AI30" s="24">
        <f t="shared" ref="AI30:AI44" si="34">IF(AH30="A",5*AF30,IF(AH30="B",4*AF30,IF(AH30="C",3*AF30,IF(AH30="D",2*AF30,IF(AH30="E",1*AF30,0)))))</f>
        <v>0</v>
      </c>
      <c r="AJ30" s="25">
        <f t="shared" ref="AJ30:AJ43" si="35">AI30*AF30</f>
        <v>0</v>
      </c>
      <c r="AM30" s="14">
        <v>2</v>
      </c>
      <c r="AN30" s="6" t="s">
        <v>71</v>
      </c>
      <c r="AO30" s="6">
        <v>0</v>
      </c>
      <c r="AP30" s="24">
        <v>78</v>
      </c>
      <c r="AQ30" s="24" t="str">
        <f t="shared" ref="AQ30:AQ38" si="36">IF(AP30=0,"",IF(AP30=-1,"NR",IF(AP30&lt;40,"F",IF(AP30&lt;45,"E",IF(AP30&lt;50,"D",IF(AP30&lt;60,"C",IF(AP30&lt;70,"B","A")))))))</f>
        <v>A</v>
      </c>
      <c r="AR30" s="24">
        <f t="shared" ref="AR30:AR44" si="37">IF(AQ30="A",5*AO30,IF(AQ30="B",4*AO30,IF(AQ30="C",3*AO30,IF(AQ30="D",2*AO30,IF(AQ30="E",1*AO30,0)))))</f>
        <v>0</v>
      </c>
      <c r="AS30" s="25">
        <f t="shared" ref="AS30:AS43" si="38">AR30*AO30</f>
        <v>0</v>
      </c>
    </row>
    <row r="31" spans="1:45" x14ac:dyDescent="0.25">
      <c r="A31" s="14">
        <v>3</v>
      </c>
      <c r="B31" s="6" t="s">
        <v>25</v>
      </c>
      <c r="C31" s="6">
        <v>3</v>
      </c>
      <c r="D31" s="24">
        <v>89</v>
      </c>
      <c r="E31" s="24" t="str">
        <f t="shared" si="24"/>
        <v>A</v>
      </c>
      <c r="F31" s="24">
        <f t="shared" si="25"/>
        <v>15</v>
      </c>
      <c r="G31" s="25">
        <f t="shared" si="26"/>
        <v>45</v>
      </c>
      <c r="H31" s="8"/>
      <c r="I31" s="8"/>
      <c r="J31" s="14">
        <v>3</v>
      </c>
      <c r="K31" s="6" t="s">
        <v>25</v>
      </c>
      <c r="L31" s="6">
        <v>3</v>
      </c>
      <c r="M31" s="24">
        <v>89</v>
      </c>
      <c r="N31" s="24" t="str">
        <f t="shared" si="27"/>
        <v>A</v>
      </c>
      <c r="O31" s="24">
        <f t="shared" si="28"/>
        <v>15</v>
      </c>
      <c r="P31" s="25">
        <f t="shared" si="29"/>
        <v>45</v>
      </c>
      <c r="Q31" s="8"/>
      <c r="U31" s="14">
        <v>3</v>
      </c>
      <c r="V31" s="6" t="s">
        <v>54</v>
      </c>
      <c r="W31" s="6">
        <v>3</v>
      </c>
      <c r="X31" s="24">
        <v>89</v>
      </c>
      <c r="Y31" s="24" t="str">
        <f t="shared" si="30"/>
        <v>A</v>
      </c>
      <c r="Z31" s="24">
        <f t="shared" si="31"/>
        <v>15</v>
      </c>
      <c r="AA31" s="25">
        <f t="shared" si="32"/>
        <v>45</v>
      </c>
      <c r="AD31" s="14">
        <v>3</v>
      </c>
      <c r="AE31" s="6"/>
      <c r="AF31" s="6"/>
      <c r="AG31" s="24"/>
      <c r="AH31" s="24" t="str">
        <f t="shared" si="33"/>
        <v/>
      </c>
      <c r="AI31" s="24">
        <f t="shared" si="34"/>
        <v>0</v>
      </c>
      <c r="AJ31" s="25">
        <f t="shared" si="35"/>
        <v>0</v>
      </c>
      <c r="AM31" s="14">
        <v>3</v>
      </c>
      <c r="AN31" s="6" t="s">
        <v>78</v>
      </c>
      <c r="AO31" s="6">
        <v>3</v>
      </c>
      <c r="AP31" s="24">
        <v>89</v>
      </c>
      <c r="AQ31" s="24" t="str">
        <f t="shared" si="36"/>
        <v>A</v>
      </c>
      <c r="AR31" s="24">
        <f t="shared" si="37"/>
        <v>15</v>
      </c>
      <c r="AS31" s="25">
        <f t="shared" si="38"/>
        <v>45</v>
      </c>
    </row>
    <row r="32" spans="1:45" x14ac:dyDescent="0.25">
      <c r="A32" s="14">
        <v>4</v>
      </c>
      <c r="B32" s="6" t="s">
        <v>26</v>
      </c>
      <c r="C32" s="6">
        <v>3</v>
      </c>
      <c r="D32" s="24">
        <v>77</v>
      </c>
      <c r="E32" s="24" t="str">
        <f t="shared" si="24"/>
        <v>A</v>
      </c>
      <c r="F32" s="24">
        <f t="shared" si="25"/>
        <v>15</v>
      </c>
      <c r="G32" s="25">
        <f t="shared" si="26"/>
        <v>45</v>
      </c>
      <c r="H32" s="8"/>
      <c r="I32" s="8"/>
      <c r="J32" s="14">
        <v>4</v>
      </c>
      <c r="K32" s="6" t="s">
        <v>26</v>
      </c>
      <c r="L32" s="6">
        <v>3</v>
      </c>
      <c r="M32" s="24">
        <v>77</v>
      </c>
      <c r="N32" s="24" t="str">
        <f t="shared" si="27"/>
        <v>A</v>
      </c>
      <c r="O32" s="24">
        <f t="shared" si="28"/>
        <v>15</v>
      </c>
      <c r="P32" s="25">
        <f t="shared" si="29"/>
        <v>45</v>
      </c>
      <c r="U32" s="14">
        <v>4</v>
      </c>
      <c r="V32" s="6" t="s">
        <v>55</v>
      </c>
      <c r="W32" s="6">
        <v>2</v>
      </c>
      <c r="X32" s="24">
        <v>77</v>
      </c>
      <c r="Y32" s="24" t="str">
        <f t="shared" si="30"/>
        <v>A</v>
      </c>
      <c r="Z32" s="24">
        <f t="shared" si="31"/>
        <v>10</v>
      </c>
      <c r="AA32" s="25">
        <f t="shared" si="32"/>
        <v>20</v>
      </c>
      <c r="AD32" s="14">
        <v>4</v>
      </c>
      <c r="AE32" s="6"/>
      <c r="AF32" s="6"/>
      <c r="AG32" s="24"/>
      <c r="AH32" s="24" t="str">
        <f t="shared" si="33"/>
        <v/>
      </c>
      <c r="AI32" s="24">
        <f t="shared" si="34"/>
        <v>0</v>
      </c>
      <c r="AJ32" s="25">
        <f t="shared" si="35"/>
        <v>0</v>
      </c>
      <c r="AM32" s="14">
        <v>4</v>
      </c>
      <c r="AN32" s="6" t="s">
        <v>79</v>
      </c>
      <c r="AO32" s="6">
        <v>0</v>
      </c>
      <c r="AP32" s="24">
        <v>77</v>
      </c>
      <c r="AQ32" s="24" t="str">
        <f t="shared" si="36"/>
        <v>A</v>
      </c>
      <c r="AR32" s="24">
        <f t="shared" si="37"/>
        <v>0</v>
      </c>
      <c r="AS32" s="25">
        <f t="shared" si="38"/>
        <v>0</v>
      </c>
    </row>
    <row r="33" spans="1:45" x14ac:dyDescent="0.25">
      <c r="A33" s="14">
        <v>5</v>
      </c>
      <c r="B33" s="6" t="s">
        <v>27</v>
      </c>
      <c r="C33" s="6">
        <v>2</v>
      </c>
      <c r="D33" s="24">
        <v>78</v>
      </c>
      <c r="E33" s="24" t="str">
        <f t="shared" si="24"/>
        <v>A</v>
      </c>
      <c r="F33" s="24">
        <f t="shared" si="25"/>
        <v>10</v>
      </c>
      <c r="G33" s="25">
        <f t="shared" si="26"/>
        <v>20</v>
      </c>
      <c r="H33" s="8"/>
      <c r="I33" s="8"/>
      <c r="J33" s="14">
        <v>5</v>
      </c>
      <c r="K33" s="6" t="s">
        <v>27</v>
      </c>
      <c r="L33" s="6">
        <v>2</v>
      </c>
      <c r="M33" s="24">
        <v>78</v>
      </c>
      <c r="N33" s="24" t="str">
        <f t="shared" si="27"/>
        <v>A</v>
      </c>
      <c r="O33" s="24">
        <f t="shared" si="28"/>
        <v>10</v>
      </c>
      <c r="P33" s="25">
        <f t="shared" si="29"/>
        <v>20</v>
      </c>
      <c r="U33" s="14">
        <v>5</v>
      </c>
      <c r="V33" s="6" t="s">
        <v>56</v>
      </c>
      <c r="W33" s="6">
        <v>3</v>
      </c>
      <c r="X33" s="24">
        <v>78</v>
      </c>
      <c r="Y33" s="24" t="str">
        <f t="shared" si="30"/>
        <v>A</v>
      </c>
      <c r="Z33" s="24">
        <f t="shared" si="31"/>
        <v>15</v>
      </c>
      <c r="AA33" s="25">
        <f t="shared" si="32"/>
        <v>45</v>
      </c>
      <c r="AD33" s="14">
        <v>5</v>
      </c>
      <c r="AE33" s="6"/>
      <c r="AF33" s="6"/>
      <c r="AG33" s="24"/>
      <c r="AH33" s="24" t="str">
        <f t="shared" si="33"/>
        <v/>
      </c>
      <c r="AI33" s="24">
        <f t="shared" si="34"/>
        <v>0</v>
      </c>
      <c r="AJ33" s="25">
        <f t="shared" si="35"/>
        <v>0</v>
      </c>
      <c r="AM33" s="14">
        <v>5</v>
      </c>
      <c r="AN33" s="6" t="s">
        <v>81</v>
      </c>
      <c r="AO33" s="6">
        <v>0</v>
      </c>
      <c r="AP33" s="24">
        <v>78</v>
      </c>
      <c r="AQ33" s="24" t="str">
        <f t="shared" si="36"/>
        <v>A</v>
      </c>
      <c r="AR33" s="24">
        <f t="shared" si="37"/>
        <v>0</v>
      </c>
      <c r="AS33" s="25">
        <f t="shared" si="38"/>
        <v>0</v>
      </c>
    </row>
    <row r="34" spans="1:45" x14ac:dyDescent="0.25">
      <c r="A34" s="14">
        <v>6</v>
      </c>
      <c r="B34" s="6" t="s">
        <v>28</v>
      </c>
      <c r="C34" s="6">
        <v>4</v>
      </c>
      <c r="D34" s="24">
        <v>70</v>
      </c>
      <c r="E34" s="24" t="str">
        <f t="shared" si="24"/>
        <v>A</v>
      </c>
      <c r="F34" s="24">
        <f t="shared" si="25"/>
        <v>20</v>
      </c>
      <c r="G34" s="25">
        <f t="shared" si="26"/>
        <v>80</v>
      </c>
      <c r="H34" s="8"/>
      <c r="J34" s="14">
        <v>6</v>
      </c>
      <c r="K34" s="6" t="s">
        <v>28</v>
      </c>
      <c r="L34" s="6">
        <v>4</v>
      </c>
      <c r="M34" s="24">
        <v>70</v>
      </c>
      <c r="N34" s="24" t="str">
        <f t="shared" si="27"/>
        <v>A</v>
      </c>
      <c r="O34" s="24">
        <f t="shared" si="28"/>
        <v>20</v>
      </c>
      <c r="P34" s="25">
        <f t="shared" si="29"/>
        <v>80</v>
      </c>
      <c r="U34" s="14">
        <v>6</v>
      </c>
      <c r="V34" s="6" t="s">
        <v>57</v>
      </c>
      <c r="W34" s="6">
        <v>3</v>
      </c>
      <c r="X34" s="24">
        <v>70</v>
      </c>
      <c r="Y34" s="24" t="str">
        <f t="shared" si="30"/>
        <v>A</v>
      </c>
      <c r="Z34" s="24">
        <f t="shared" si="31"/>
        <v>15</v>
      </c>
      <c r="AA34" s="25">
        <f t="shared" si="32"/>
        <v>45</v>
      </c>
      <c r="AD34" s="14">
        <v>6</v>
      </c>
      <c r="AE34" s="6"/>
      <c r="AF34" s="6"/>
      <c r="AG34" s="24"/>
      <c r="AH34" s="24" t="str">
        <f t="shared" si="33"/>
        <v/>
      </c>
      <c r="AI34" s="24">
        <f t="shared" si="34"/>
        <v>0</v>
      </c>
      <c r="AJ34" s="25">
        <f t="shared" si="35"/>
        <v>0</v>
      </c>
      <c r="AM34" s="14">
        <v>6</v>
      </c>
      <c r="AN34" s="6" t="s">
        <v>82</v>
      </c>
      <c r="AO34" s="6">
        <v>3</v>
      </c>
      <c r="AP34" s="24">
        <v>70</v>
      </c>
      <c r="AQ34" s="24" t="str">
        <f t="shared" si="36"/>
        <v>A</v>
      </c>
      <c r="AR34" s="24">
        <f t="shared" si="37"/>
        <v>15</v>
      </c>
      <c r="AS34" s="25">
        <f t="shared" si="38"/>
        <v>45</v>
      </c>
    </row>
    <row r="35" spans="1:45" x14ac:dyDescent="0.25">
      <c r="A35" s="14">
        <v>7</v>
      </c>
      <c r="B35" s="6" t="s">
        <v>29</v>
      </c>
      <c r="C35" s="6">
        <v>2</v>
      </c>
      <c r="D35" s="24">
        <v>77</v>
      </c>
      <c r="E35" s="24" t="str">
        <f t="shared" si="24"/>
        <v>A</v>
      </c>
      <c r="F35" s="24">
        <f t="shared" si="25"/>
        <v>10</v>
      </c>
      <c r="G35" s="25">
        <f t="shared" si="26"/>
        <v>20</v>
      </c>
      <c r="H35" s="8"/>
      <c r="J35" s="14">
        <v>7</v>
      </c>
      <c r="K35" s="6" t="s">
        <v>29</v>
      </c>
      <c r="L35" s="6">
        <v>2</v>
      </c>
      <c r="M35" s="24">
        <v>77</v>
      </c>
      <c r="N35" s="24" t="str">
        <f t="shared" si="27"/>
        <v>A</v>
      </c>
      <c r="O35" s="24">
        <f t="shared" si="28"/>
        <v>10</v>
      </c>
      <c r="P35" s="25">
        <f t="shared" si="29"/>
        <v>20</v>
      </c>
      <c r="U35" s="14">
        <v>7</v>
      </c>
      <c r="V35" s="6" t="s">
        <v>58</v>
      </c>
      <c r="W35" s="6">
        <v>3</v>
      </c>
      <c r="X35" s="24">
        <v>77</v>
      </c>
      <c r="Y35" s="24" t="str">
        <f t="shared" si="30"/>
        <v>A</v>
      </c>
      <c r="Z35" s="24">
        <f t="shared" si="31"/>
        <v>15</v>
      </c>
      <c r="AA35" s="25">
        <f t="shared" si="32"/>
        <v>45</v>
      </c>
      <c r="AD35" s="14">
        <v>7</v>
      </c>
      <c r="AE35" s="6"/>
      <c r="AF35" s="6"/>
      <c r="AG35" s="24"/>
      <c r="AH35" s="24" t="str">
        <f t="shared" si="33"/>
        <v/>
      </c>
      <c r="AI35" s="24">
        <f t="shared" si="34"/>
        <v>0</v>
      </c>
      <c r="AJ35" s="25">
        <f t="shared" si="35"/>
        <v>0</v>
      </c>
      <c r="AM35" s="14">
        <v>7</v>
      </c>
      <c r="AN35" s="6" t="s">
        <v>83</v>
      </c>
      <c r="AO35" s="6">
        <v>3</v>
      </c>
      <c r="AP35" s="24">
        <v>77</v>
      </c>
      <c r="AQ35" s="24" t="str">
        <f t="shared" si="36"/>
        <v>A</v>
      </c>
      <c r="AR35" s="24">
        <f t="shared" si="37"/>
        <v>15</v>
      </c>
      <c r="AS35" s="25">
        <f t="shared" si="38"/>
        <v>45</v>
      </c>
    </row>
    <row r="36" spans="1:45" x14ac:dyDescent="0.25">
      <c r="A36" s="14">
        <v>8</v>
      </c>
      <c r="B36" s="6" t="s">
        <v>30</v>
      </c>
      <c r="C36" s="6">
        <v>2</v>
      </c>
      <c r="D36" s="24">
        <v>78</v>
      </c>
      <c r="E36" s="24" t="str">
        <f t="shared" si="24"/>
        <v>A</v>
      </c>
      <c r="F36" s="24">
        <f t="shared" si="25"/>
        <v>10</v>
      </c>
      <c r="G36" s="25">
        <f t="shared" si="26"/>
        <v>20</v>
      </c>
      <c r="H36" s="8"/>
      <c r="J36" s="14">
        <v>8</v>
      </c>
      <c r="K36" s="6" t="s">
        <v>30</v>
      </c>
      <c r="L36" s="6">
        <v>2</v>
      </c>
      <c r="M36" s="24">
        <v>78</v>
      </c>
      <c r="N36" s="24" t="str">
        <f t="shared" si="27"/>
        <v>A</v>
      </c>
      <c r="O36" s="24">
        <f t="shared" si="28"/>
        <v>10</v>
      </c>
      <c r="P36" s="25">
        <f t="shared" si="29"/>
        <v>20</v>
      </c>
      <c r="U36" s="14">
        <v>8</v>
      </c>
      <c r="V36" s="6" t="s">
        <v>59</v>
      </c>
      <c r="W36" s="6">
        <v>2</v>
      </c>
      <c r="X36" s="24">
        <v>78</v>
      </c>
      <c r="Y36" s="24" t="str">
        <f t="shared" si="30"/>
        <v>A</v>
      </c>
      <c r="Z36" s="24">
        <f t="shared" si="31"/>
        <v>10</v>
      </c>
      <c r="AA36" s="25">
        <f t="shared" si="32"/>
        <v>20</v>
      </c>
      <c r="AD36" s="14">
        <v>8</v>
      </c>
      <c r="AE36" s="6"/>
      <c r="AF36" s="6"/>
      <c r="AG36" s="24"/>
      <c r="AH36" s="24" t="str">
        <f t="shared" si="33"/>
        <v/>
      </c>
      <c r="AI36" s="24">
        <f t="shared" si="34"/>
        <v>0</v>
      </c>
      <c r="AJ36" s="25">
        <f t="shared" si="35"/>
        <v>0</v>
      </c>
      <c r="AM36" s="14">
        <v>8</v>
      </c>
      <c r="AN36" s="6" t="s">
        <v>84</v>
      </c>
      <c r="AO36" s="6">
        <v>3</v>
      </c>
      <c r="AP36" s="24">
        <v>78</v>
      </c>
      <c r="AQ36" s="24" t="str">
        <f t="shared" si="36"/>
        <v>A</v>
      </c>
      <c r="AR36" s="24">
        <f t="shared" si="37"/>
        <v>15</v>
      </c>
      <c r="AS36" s="25">
        <f t="shared" si="38"/>
        <v>45</v>
      </c>
    </row>
    <row r="37" spans="1:45" x14ac:dyDescent="0.25">
      <c r="A37" s="14">
        <v>9</v>
      </c>
      <c r="B37" s="6" t="s">
        <v>32</v>
      </c>
      <c r="C37" s="6">
        <v>2</v>
      </c>
      <c r="D37" s="24">
        <v>64</v>
      </c>
      <c r="E37" s="24" t="str">
        <f t="shared" si="24"/>
        <v>B</v>
      </c>
      <c r="F37" s="24">
        <f t="shared" si="25"/>
        <v>8</v>
      </c>
      <c r="G37" s="25">
        <f t="shared" si="26"/>
        <v>16</v>
      </c>
      <c r="H37" s="8"/>
      <c r="J37" s="14">
        <v>9</v>
      </c>
      <c r="K37" s="6" t="s">
        <v>32</v>
      </c>
      <c r="L37" s="6">
        <v>2</v>
      </c>
      <c r="M37" s="24">
        <v>64</v>
      </c>
      <c r="N37" s="24" t="str">
        <f t="shared" si="27"/>
        <v>B</v>
      </c>
      <c r="O37" s="24">
        <f t="shared" si="28"/>
        <v>8</v>
      </c>
      <c r="P37" s="25">
        <f t="shared" si="29"/>
        <v>16</v>
      </c>
      <c r="U37" s="14">
        <v>9</v>
      </c>
      <c r="V37" s="6" t="s">
        <v>32</v>
      </c>
      <c r="W37" s="6">
        <v>2</v>
      </c>
      <c r="X37" s="24">
        <v>64</v>
      </c>
      <c r="Y37" s="24" t="str">
        <f t="shared" si="30"/>
        <v>B</v>
      </c>
      <c r="Z37" s="24">
        <f t="shared" si="31"/>
        <v>8</v>
      </c>
      <c r="AA37" s="25">
        <f t="shared" si="32"/>
        <v>16</v>
      </c>
      <c r="AD37" s="14">
        <v>9</v>
      </c>
      <c r="AE37" s="6"/>
      <c r="AF37" s="6"/>
      <c r="AG37" s="24"/>
      <c r="AH37" s="24" t="str">
        <f t="shared" si="33"/>
        <v/>
      </c>
      <c r="AI37" s="24">
        <f t="shared" si="34"/>
        <v>0</v>
      </c>
      <c r="AJ37" s="25">
        <f t="shared" si="35"/>
        <v>0</v>
      </c>
      <c r="AM37" s="14">
        <v>9</v>
      </c>
      <c r="AN37" s="6" t="s">
        <v>85</v>
      </c>
      <c r="AO37" s="6">
        <v>3</v>
      </c>
      <c r="AP37" s="24">
        <v>64</v>
      </c>
      <c r="AQ37" s="24" t="str">
        <f t="shared" si="36"/>
        <v>B</v>
      </c>
      <c r="AR37" s="24">
        <f t="shared" si="37"/>
        <v>12</v>
      </c>
      <c r="AS37" s="25">
        <f t="shared" si="38"/>
        <v>36</v>
      </c>
    </row>
    <row r="38" spans="1:45" x14ac:dyDescent="0.25">
      <c r="A38" s="14">
        <v>10</v>
      </c>
      <c r="B38" s="6"/>
      <c r="C38" s="24"/>
      <c r="D38" s="24"/>
      <c r="E38" s="24" t="str">
        <f t="shared" si="24"/>
        <v/>
      </c>
      <c r="F38" s="24"/>
      <c r="G38" s="25">
        <f t="shared" si="26"/>
        <v>0</v>
      </c>
      <c r="H38" s="8"/>
      <c r="J38" s="14">
        <v>10</v>
      </c>
      <c r="K38" s="6"/>
      <c r="L38" s="24"/>
      <c r="M38" s="24"/>
      <c r="N38" s="24" t="str">
        <f t="shared" si="27"/>
        <v/>
      </c>
      <c r="O38" s="24"/>
      <c r="P38" s="25">
        <f t="shared" si="29"/>
        <v>0</v>
      </c>
      <c r="U38" s="14">
        <v>10</v>
      </c>
      <c r="V38" s="6"/>
      <c r="W38" s="24"/>
      <c r="X38" s="24"/>
      <c r="Y38" s="24" t="str">
        <f t="shared" si="30"/>
        <v/>
      </c>
      <c r="Z38" s="24"/>
      <c r="AA38" s="25">
        <f t="shared" si="32"/>
        <v>0</v>
      </c>
      <c r="AD38" s="14">
        <v>10</v>
      </c>
      <c r="AE38" s="6"/>
      <c r="AF38" s="24"/>
      <c r="AG38" s="24"/>
      <c r="AH38" s="24" t="str">
        <f t="shared" si="33"/>
        <v/>
      </c>
      <c r="AI38" s="24"/>
      <c r="AJ38" s="25">
        <f t="shared" si="35"/>
        <v>0</v>
      </c>
      <c r="AM38" s="14">
        <v>10</v>
      </c>
      <c r="AN38" s="6" t="s">
        <v>86</v>
      </c>
      <c r="AO38" s="24">
        <v>3</v>
      </c>
      <c r="AP38" s="24"/>
      <c r="AQ38" s="24" t="str">
        <f t="shared" si="36"/>
        <v/>
      </c>
      <c r="AR38" s="24"/>
      <c r="AS38" s="25">
        <f t="shared" si="38"/>
        <v>0</v>
      </c>
    </row>
    <row r="39" spans="1:45" x14ac:dyDescent="0.25">
      <c r="A39" s="14">
        <v>11</v>
      </c>
      <c r="B39" s="6"/>
      <c r="C39" s="24"/>
      <c r="D39" s="24"/>
      <c r="E39" s="24"/>
      <c r="F39" s="24"/>
      <c r="G39" s="25">
        <f t="shared" si="26"/>
        <v>0</v>
      </c>
      <c r="H39" s="8"/>
      <c r="J39" s="14">
        <v>11</v>
      </c>
      <c r="K39" s="6"/>
      <c r="L39" s="24"/>
      <c r="M39" s="24"/>
      <c r="N39" s="24"/>
      <c r="O39" s="24"/>
      <c r="P39" s="25">
        <f t="shared" si="29"/>
        <v>0</v>
      </c>
      <c r="U39" s="14">
        <v>11</v>
      </c>
      <c r="V39" s="6"/>
      <c r="W39" s="24"/>
      <c r="X39" s="24"/>
      <c r="Y39" s="24"/>
      <c r="Z39" s="24"/>
      <c r="AA39" s="25">
        <f t="shared" si="32"/>
        <v>0</v>
      </c>
      <c r="AD39" s="14">
        <v>11</v>
      </c>
      <c r="AE39" s="6"/>
      <c r="AF39" s="24"/>
      <c r="AG39" s="24"/>
      <c r="AH39" s="24"/>
      <c r="AI39" s="24"/>
      <c r="AJ39" s="25">
        <f t="shared" si="35"/>
        <v>0</v>
      </c>
      <c r="AM39" s="14">
        <v>11</v>
      </c>
      <c r="AN39" s="6"/>
      <c r="AO39" s="24"/>
      <c r="AP39" s="24"/>
      <c r="AQ39" s="24"/>
      <c r="AR39" s="24"/>
      <c r="AS39" s="25">
        <f t="shared" si="38"/>
        <v>0</v>
      </c>
    </row>
    <row r="40" spans="1:45" x14ac:dyDescent="0.25">
      <c r="A40" s="14">
        <v>12</v>
      </c>
      <c r="B40" s="6"/>
      <c r="C40" s="24"/>
      <c r="D40" s="24"/>
      <c r="E40" s="24"/>
      <c r="F40" s="24"/>
      <c r="G40" s="25">
        <f t="shared" si="26"/>
        <v>0</v>
      </c>
      <c r="H40" s="8"/>
      <c r="J40" s="14">
        <v>12</v>
      </c>
      <c r="K40" s="6"/>
      <c r="L40" s="24"/>
      <c r="M40" s="24"/>
      <c r="N40" s="24"/>
      <c r="O40" s="24"/>
      <c r="P40" s="25">
        <f t="shared" si="29"/>
        <v>0</v>
      </c>
      <c r="U40" s="14">
        <v>12</v>
      </c>
      <c r="V40" s="6"/>
      <c r="W40" s="24"/>
      <c r="X40" s="24"/>
      <c r="Y40" s="24"/>
      <c r="Z40" s="24"/>
      <c r="AA40" s="25">
        <f t="shared" si="32"/>
        <v>0</v>
      </c>
      <c r="AD40" s="14">
        <v>12</v>
      </c>
      <c r="AE40" s="6"/>
      <c r="AF40" s="24"/>
      <c r="AG40" s="24"/>
      <c r="AH40" s="24"/>
      <c r="AI40" s="24"/>
      <c r="AJ40" s="25">
        <f t="shared" si="35"/>
        <v>0</v>
      </c>
      <c r="AM40" s="14">
        <v>12</v>
      </c>
      <c r="AN40" s="6"/>
      <c r="AO40" s="24"/>
      <c r="AP40" s="24"/>
      <c r="AQ40" s="24"/>
      <c r="AR40" s="24"/>
      <c r="AS40" s="25">
        <f t="shared" si="38"/>
        <v>0</v>
      </c>
    </row>
    <row r="41" spans="1:45" x14ac:dyDescent="0.25">
      <c r="A41" s="14">
        <v>13</v>
      </c>
      <c r="B41" s="6"/>
      <c r="C41" s="24"/>
      <c r="D41" s="24"/>
      <c r="E41" s="24"/>
      <c r="F41" s="24"/>
      <c r="G41" s="25">
        <f t="shared" si="26"/>
        <v>0</v>
      </c>
      <c r="J41" s="14">
        <v>13</v>
      </c>
      <c r="K41" s="6"/>
      <c r="L41" s="24"/>
      <c r="M41" s="24"/>
      <c r="N41" s="24"/>
      <c r="O41" s="24"/>
      <c r="P41" s="25">
        <f t="shared" si="29"/>
        <v>0</v>
      </c>
      <c r="U41" s="14">
        <v>13</v>
      </c>
      <c r="V41" s="6"/>
      <c r="W41" s="24"/>
      <c r="X41" s="24"/>
      <c r="Y41" s="24"/>
      <c r="Z41" s="24"/>
      <c r="AA41" s="25">
        <f t="shared" si="32"/>
        <v>0</v>
      </c>
      <c r="AD41" s="14">
        <v>13</v>
      </c>
      <c r="AE41" s="6"/>
      <c r="AF41" s="24"/>
      <c r="AG41" s="24"/>
      <c r="AH41" s="24"/>
      <c r="AI41" s="24"/>
      <c r="AJ41" s="25">
        <f t="shared" si="35"/>
        <v>0</v>
      </c>
      <c r="AM41" s="14">
        <v>13</v>
      </c>
      <c r="AN41" s="6"/>
      <c r="AO41" s="24"/>
      <c r="AP41" s="24"/>
      <c r="AQ41" s="24"/>
      <c r="AR41" s="24"/>
      <c r="AS41" s="25">
        <f t="shared" si="38"/>
        <v>0</v>
      </c>
    </row>
    <row r="42" spans="1:45" x14ac:dyDescent="0.25">
      <c r="A42" s="14">
        <v>14</v>
      </c>
      <c r="B42" s="6"/>
      <c r="C42" s="24"/>
      <c r="D42" s="24"/>
      <c r="E42" s="24"/>
      <c r="F42" s="24"/>
      <c r="G42" s="25">
        <f t="shared" si="26"/>
        <v>0</v>
      </c>
      <c r="J42" s="14">
        <v>14</v>
      </c>
      <c r="K42" s="6"/>
      <c r="L42" s="24"/>
      <c r="M42" s="24"/>
      <c r="N42" s="24"/>
      <c r="O42" s="24"/>
      <c r="P42" s="25">
        <f t="shared" si="29"/>
        <v>0</v>
      </c>
      <c r="U42" s="14">
        <v>14</v>
      </c>
      <c r="V42" s="6"/>
      <c r="W42" s="24"/>
      <c r="X42" s="24"/>
      <c r="Y42" s="24"/>
      <c r="Z42" s="24"/>
      <c r="AA42" s="25">
        <f t="shared" si="32"/>
        <v>0</v>
      </c>
      <c r="AD42" s="14">
        <v>14</v>
      </c>
      <c r="AE42" s="6"/>
      <c r="AF42" s="24"/>
      <c r="AG42" s="24"/>
      <c r="AH42" s="24"/>
      <c r="AI42" s="24"/>
      <c r="AJ42" s="25">
        <f t="shared" si="35"/>
        <v>0</v>
      </c>
      <c r="AM42" s="14">
        <v>14</v>
      </c>
      <c r="AN42" s="6"/>
      <c r="AO42" s="24"/>
      <c r="AP42" s="24"/>
      <c r="AQ42" s="24"/>
      <c r="AR42" s="24"/>
      <c r="AS42" s="25">
        <f t="shared" si="38"/>
        <v>0</v>
      </c>
    </row>
    <row r="43" spans="1:45" ht="15.75" thickBot="1" x14ac:dyDescent="0.3">
      <c r="A43" s="26">
        <v>15</v>
      </c>
      <c r="B43" s="27"/>
      <c r="C43" s="28"/>
      <c r="D43" s="28"/>
      <c r="E43" s="28"/>
      <c r="F43" s="28"/>
      <c r="G43" s="29">
        <f t="shared" si="26"/>
        <v>0</v>
      </c>
      <c r="J43" s="26">
        <v>15</v>
      </c>
      <c r="K43" s="27"/>
      <c r="L43" s="28"/>
      <c r="M43" s="28"/>
      <c r="N43" s="28"/>
      <c r="O43" s="28"/>
      <c r="P43" s="29">
        <f t="shared" si="29"/>
        <v>0</v>
      </c>
      <c r="U43" s="26">
        <v>15</v>
      </c>
      <c r="V43" s="27"/>
      <c r="W43" s="28"/>
      <c r="X43" s="28"/>
      <c r="Y43" s="28"/>
      <c r="Z43" s="28"/>
      <c r="AA43" s="29">
        <f t="shared" si="32"/>
        <v>0</v>
      </c>
      <c r="AD43" s="26">
        <v>15</v>
      </c>
      <c r="AE43" s="27"/>
      <c r="AF43" s="28"/>
      <c r="AG43" s="28"/>
      <c r="AH43" s="28"/>
      <c r="AI43" s="28"/>
      <c r="AJ43" s="29">
        <f t="shared" si="35"/>
        <v>0</v>
      </c>
      <c r="AM43" s="26">
        <v>15</v>
      </c>
      <c r="AN43" s="27"/>
      <c r="AO43" s="28"/>
      <c r="AP43" s="28"/>
      <c r="AQ43" s="28"/>
      <c r="AR43" s="28"/>
      <c r="AS43" s="29">
        <f t="shared" si="38"/>
        <v>0</v>
      </c>
    </row>
    <row r="44" spans="1:45" ht="15.75" thickBot="1" x14ac:dyDescent="0.3">
      <c r="A44" s="19"/>
      <c r="B44" s="20"/>
      <c r="C44" s="30">
        <f t="shared" ref="C44" si="39">SUM(C29:C43)</f>
        <v>24</v>
      </c>
      <c r="D44" s="30"/>
      <c r="E44" s="30"/>
      <c r="F44" s="30">
        <f>SUM(F29:F43)</f>
        <v>118</v>
      </c>
      <c r="G44" s="31">
        <f>SUM(G29:G43)</f>
        <v>336</v>
      </c>
      <c r="J44" s="19"/>
      <c r="K44" s="20"/>
      <c r="L44" s="30">
        <f t="shared" ref="L44" si="40">SUM(L29:L43)</f>
        <v>24</v>
      </c>
      <c r="M44" s="30"/>
      <c r="N44" s="30"/>
      <c r="O44" s="30">
        <f>SUM(O29:O43)</f>
        <v>118</v>
      </c>
      <c r="P44" s="31">
        <f>SUM(P29:P43)</f>
        <v>336</v>
      </c>
      <c r="U44" s="19"/>
      <c r="V44" s="20"/>
      <c r="W44" s="30">
        <f t="shared" ref="W44" si="41">SUM(W29:W43)</f>
        <v>25</v>
      </c>
      <c r="X44" s="30"/>
      <c r="Y44" s="30"/>
      <c r="Z44" s="30">
        <f>SUM(Z29:Z43)</f>
        <v>123</v>
      </c>
      <c r="AA44" s="31">
        <f>SUM(AA29:AA43)</f>
        <v>361</v>
      </c>
      <c r="AD44" s="19"/>
      <c r="AE44" s="20"/>
      <c r="AF44" s="30">
        <f t="shared" ref="AF44" si="42">SUM(AF29:AF43)</f>
        <v>6</v>
      </c>
      <c r="AG44" s="30"/>
      <c r="AH44" s="30"/>
      <c r="AI44" s="30">
        <f>SUM(AI29:AI43)</f>
        <v>30</v>
      </c>
      <c r="AJ44" s="31">
        <f>SUM(AJ29:AJ43)</f>
        <v>180</v>
      </c>
      <c r="AM44" s="19"/>
      <c r="AN44" s="20"/>
      <c r="AO44" s="30">
        <f t="shared" ref="AO44" si="43">SUM(AO29:AO43)</f>
        <v>21</v>
      </c>
      <c r="AP44" s="30"/>
      <c r="AQ44" s="30"/>
      <c r="AR44" s="30">
        <f>SUM(AR29:AR43)</f>
        <v>87</v>
      </c>
      <c r="AS44" s="31">
        <f>SUM(AS29:AS43)</f>
        <v>261</v>
      </c>
    </row>
    <row r="45" spans="1:45" ht="15.75" thickBot="1" x14ac:dyDescent="0.3">
      <c r="D45" t="s">
        <v>88</v>
      </c>
      <c r="F45">
        <f>F44/C44</f>
        <v>4.916666666666667</v>
      </c>
      <c r="M45" t="s">
        <v>88</v>
      </c>
      <c r="O45">
        <f>O44/L44</f>
        <v>4.916666666666667</v>
      </c>
      <c r="X45" t="s">
        <v>88</v>
      </c>
      <c r="Z45">
        <f>Z44/W44</f>
        <v>4.92</v>
      </c>
      <c r="AG45" t="s">
        <v>88</v>
      </c>
      <c r="AI45">
        <f>AI44/AF44</f>
        <v>5</v>
      </c>
      <c r="AP45" t="s">
        <v>88</v>
      </c>
      <c r="AR45">
        <f>AR44/AO44</f>
        <v>4.1428571428571432</v>
      </c>
    </row>
    <row r="46" spans="1:45" x14ac:dyDescent="0.25">
      <c r="D46" s="11" t="s">
        <v>20</v>
      </c>
      <c r="E46" s="12"/>
      <c r="F46" s="13">
        <f>(F24+F44)/(C24+C44)</f>
        <v>3.6086956521739131</v>
      </c>
      <c r="M46" s="11" t="s">
        <v>20</v>
      </c>
      <c r="N46" s="12"/>
      <c r="O46" s="13">
        <f>(O24+O44)/(L24+L44)</f>
        <v>3.5</v>
      </c>
      <c r="X46" s="11" t="s">
        <v>20</v>
      </c>
      <c r="Y46" s="12"/>
      <c r="Z46" s="13">
        <f>(Z24+Z44)/(W24+W44)</f>
        <v>3.489795918367347</v>
      </c>
      <c r="AG46" s="11" t="s">
        <v>20</v>
      </c>
      <c r="AH46" s="12"/>
      <c r="AI46" s="13">
        <f>(AI24+AI44)/(AF24+AF44)</f>
        <v>2.5161290322580645</v>
      </c>
      <c r="AP46" s="11" t="s">
        <v>20</v>
      </c>
      <c r="AQ46" s="12"/>
      <c r="AR46" s="13">
        <f>(AR24+AR44)/(AO24+AO44)</f>
        <v>2.9285714285714284</v>
      </c>
    </row>
    <row r="47" spans="1:45" x14ac:dyDescent="0.25">
      <c r="D47" s="14" t="s">
        <v>89</v>
      </c>
      <c r="E47" s="6"/>
      <c r="F47" s="15">
        <f>F46*0.1</f>
        <v>0.36086956521739133</v>
      </c>
      <c r="M47" s="14" t="s">
        <v>89</v>
      </c>
      <c r="N47" s="6"/>
      <c r="O47" s="15">
        <f>O46*0.1</f>
        <v>0.35000000000000003</v>
      </c>
      <c r="X47" s="14" t="s">
        <v>89</v>
      </c>
      <c r="Y47" s="6"/>
      <c r="Z47" s="15">
        <f>Z46*0.1</f>
        <v>0.34897959183673471</v>
      </c>
      <c r="AG47" s="14" t="s">
        <v>89</v>
      </c>
      <c r="AH47" s="6"/>
      <c r="AI47" s="15">
        <f>AI46*0.1</f>
        <v>0.25161290322580648</v>
      </c>
      <c r="AP47" s="14" t="s">
        <v>89</v>
      </c>
      <c r="AQ47" s="6"/>
      <c r="AR47" s="15">
        <f>AR46*0.1</f>
        <v>0.29285714285714287</v>
      </c>
    </row>
    <row r="48" spans="1:45" ht="15.75" thickBot="1" x14ac:dyDescent="0.3">
      <c r="D48" s="16" t="s">
        <v>80</v>
      </c>
      <c r="E48" s="17"/>
      <c r="F48" s="18">
        <f>F46*0.1</f>
        <v>0.36086956521739133</v>
      </c>
      <c r="M48" s="16" t="s">
        <v>80</v>
      </c>
      <c r="N48" s="17"/>
      <c r="O48" s="18">
        <f>O46*0.1</f>
        <v>0.35000000000000003</v>
      </c>
      <c r="X48" s="16" t="s">
        <v>80</v>
      </c>
      <c r="Y48" s="17"/>
      <c r="Z48" s="18">
        <f>Z46*0.1</f>
        <v>0.34897959183673471</v>
      </c>
      <c r="AG48" s="16" t="s">
        <v>80</v>
      </c>
      <c r="AH48" s="17"/>
      <c r="AI48" s="18">
        <f>AI46*0.1</f>
        <v>0.25161290322580648</v>
      </c>
      <c r="AP48" s="16" t="s">
        <v>80</v>
      </c>
      <c r="AQ48" s="17"/>
      <c r="AR48" s="18">
        <f>AR46*0.1</f>
        <v>0.29285714285714287</v>
      </c>
    </row>
    <row r="123" spans="4:8" x14ac:dyDescent="0.25">
      <c r="D123" t="s">
        <v>2</v>
      </c>
      <c r="H123" t="e">
        <f>AVERAGE(H8:H102)</f>
        <v>#DIV/0!</v>
      </c>
    </row>
  </sheetData>
  <mergeCells count="18">
    <mergeCell ref="AD1:AH1"/>
    <mergeCell ref="AD2:AH2"/>
    <mergeCell ref="AD3:AH3"/>
    <mergeCell ref="AD4:AH4"/>
    <mergeCell ref="AM1:AQ1"/>
    <mergeCell ref="AM2:AQ2"/>
    <mergeCell ref="AM3:AQ3"/>
    <mergeCell ref="AM4:AQ4"/>
    <mergeCell ref="J1:P1"/>
    <mergeCell ref="J2:P2"/>
    <mergeCell ref="J3:P3"/>
    <mergeCell ref="U1:AA1"/>
    <mergeCell ref="U2:AA2"/>
    <mergeCell ref="U3:AA3"/>
    <mergeCell ref="U4:AA4"/>
    <mergeCell ref="A1:G1"/>
    <mergeCell ref="A2:G2"/>
    <mergeCell ref="A3:G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GPA</vt:lpstr>
      <vt:lpstr>Sheet2</vt:lpstr>
      <vt:lpstr>Sheet3</vt:lpstr>
      <vt:lpstr>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OMOSIGHO IKPONMWONSA</dc:creator>
  <cp:lastModifiedBy>User</cp:lastModifiedBy>
  <cp:lastPrinted>2021-10-03T23:37:03Z</cp:lastPrinted>
  <dcterms:created xsi:type="dcterms:W3CDTF">2015-09-16T04:57:17Z</dcterms:created>
  <dcterms:modified xsi:type="dcterms:W3CDTF">2021-10-03T23:52:39Z</dcterms:modified>
</cp:coreProperties>
</file>